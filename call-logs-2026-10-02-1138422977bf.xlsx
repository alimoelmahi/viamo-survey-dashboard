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ALI72\Downloads\viamo_survey\"/>
    </mc:Choice>
  </mc:AlternateContent>
  <xr:revisionPtr revIDLastSave="0" documentId="13_ncr:1_{3E78C21F-1752-44EE-A2E3-BB6B7360C7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l-logs-2026-10-02-1138422977" sheetId="1" r:id="rId1"/>
  </sheets>
  <definedNames>
    <definedName name="_xlnm._FilterDatabase" localSheetId="0" hidden="1">'call-logs-2026-10-02-1138422977'!$A$1:$BH$4119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19" i="1" l="1"/>
  <c r="B4119" i="1"/>
  <c r="A4119" i="1"/>
  <c r="C4118" i="1"/>
  <c r="B4118" i="1"/>
  <c r="A4118" i="1"/>
  <c r="C4117" i="1"/>
  <c r="B4117" i="1"/>
  <c r="A4117" i="1"/>
  <c r="C4116" i="1"/>
  <c r="B4116" i="1"/>
  <c r="A4116" i="1"/>
  <c r="C4115" i="1"/>
  <c r="B4115" i="1"/>
  <c r="A4115" i="1"/>
  <c r="C4114" i="1"/>
  <c r="B4114" i="1"/>
  <c r="A4114" i="1"/>
  <c r="C4113" i="1"/>
  <c r="B4113" i="1"/>
  <c r="A4113" i="1"/>
  <c r="C4112" i="1"/>
  <c r="B4112" i="1"/>
  <c r="A4112" i="1"/>
  <c r="C4111" i="1"/>
  <c r="B4111" i="1"/>
  <c r="A4111" i="1"/>
  <c r="C4110" i="1"/>
  <c r="B4110" i="1"/>
  <c r="A4110" i="1"/>
  <c r="C4109" i="1"/>
  <c r="B4109" i="1"/>
  <c r="A4109" i="1"/>
  <c r="C4108" i="1"/>
  <c r="B4108" i="1"/>
  <c r="A4108" i="1"/>
  <c r="C4107" i="1"/>
  <c r="B4107" i="1"/>
  <c r="A4107" i="1"/>
  <c r="C4106" i="1"/>
  <c r="B4106" i="1"/>
  <c r="A4106" i="1"/>
  <c r="C4105" i="1"/>
  <c r="B4105" i="1"/>
  <c r="A4105" i="1"/>
  <c r="C4104" i="1"/>
  <c r="B4104" i="1"/>
  <c r="A4104" i="1"/>
  <c r="C4103" i="1"/>
  <c r="B4103" i="1"/>
  <c r="A4103" i="1"/>
  <c r="C4102" i="1"/>
  <c r="B4102" i="1"/>
  <c r="A4102" i="1"/>
  <c r="C4101" i="1"/>
  <c r="B4101" i="1"/>
  <c r="A4101" i="1"/>
  <c r="C4100" i="1"/>
  <c r="B4100" i="1"/>
  <c r="A4100" i="1"/>
  <c r="C4099" i="1"/>
  <c r="B4099" i="1"/>
  <c r="A4099" i="1"/>
  <c r="C4098" i="1"/>
  <c r="B4098" i="1"/>
  <c r="A4098" i="1"/>
  <c r="C4097" i="1"/>
  <c r="B4097" i="1"/>
  <c r="A4097" i="1"/>
  <c r="C4096" i="1"/>
  <c r="B4096" i="1"/>
  <c r="A4096" i="1"/>
  <c r="C4095" i="1"/>
  <c r="B4095" i="1"/>
  <c r="A4095" i="1"/>
  <c r="C4094" i="1"/>
  <c r="B4094" i="1"/>
  <c r="A4094" i="1"/>
  <c r="C4093" i="1"/>
  <c r="B4093" i="1"/>
  <c r="A4093" i="1"/>
  <c r="C4092" i="1"/>
  <c r="B4092" i="1"/>
  <c r="A4092" i="1"/>
  <c r="C4091" i="1"/>
  <c r="B4091" i="1"/>
  <c r="A4091" i="1"/>
  <c r="C4090" i="1"/>
  <c r="B4090" i="1"/>
  <c r="A4090" i="1"/>
  <c r="C4089" i="1"/>
  <c r="B4089" i="1"/>
  <c r="A4089" i="1"/>
  <c r="C4088" i="1"/>
  <c r="B4088" i="1"/>
  <c r="A4088" i="1"/>
  <c r="C4087" i="1"/>
  <c r="B4087" i="1"/>
  <c r="A4087" i="1"/>
  <c r="C4086" i="1"/>
  <c r="B4086" i="1"/>
  <c r="A4086" i="1"/>
  <c r="C4085" i="1"/>
  <c r="B4085" i="1"/>
  <c r="A4085" i="1"/>
  <c r="C4084" i="1"/>
  <c r="B4084" i="1"/>
  <c r="A4084" i="1"/>
  <c r="C4083" i="1"/>
  <c r="B4083" i="1"/>
  <c r="A4083" i="1"/>
  <c r="C4082" i="1"/>
  <c r="B4082" i="1"/>
  <c r="A4082" i="1"/>
  <c r="C4081" i="1"/>
  <c r="B4081" i="1"/>
  <c r="A4081" i="1"/>
  <c r="C4080" i="1"/>
  <c r="B4080" i="1"/>
  <c r="A4080" i="1"/>
  <c r="C4079" i="1"/>
  <c r="B4079" i="1"/>
  <c r="A4079" i="1"/>
  <c r="C4078" i="1"/>
  <c r="B4078" i="1"/>
  <c r="A4078" i="1"/>
  <c r="C4077" i="1"/>
  <c r="B4077" i="1"/>
  <c r="A4077" i="1"/>
  <c r="C4076" i="1"/>
  <c r="B4076" i="1"/>
  <c r="A4076" i="1"/>
  <c r="C4075" i="1"/>
  <c r="B4075" i="1"/>
  <c r="A4075" i="1"/>
  <c r="C4074" i="1"/>
  <c r="B4074" i="1"/>
  <c r="A4074" i="1"/>
  <c r="C4073" i="1"/>
  <c r="B4073" i="1"/>
  <c r="A4073" i="1"/>
  <c r="C4072" i="1"/>
  <c r="B4072" i="1"/>
  <c r="A4072" i="1"/>
  <c r="C4071" i="1"/>
  <c r="B4071" i="1"/>
  <c r="A4071" i="1"/>
  <c r="C4070" i="1"/>
  <c r="B4070" i="1"/>
  <c r="A4070" i="1"/>
  <c r="C4069" i="1"/>
  <c r="B4069" i="1"/>
  <c r="A4069" i="1"/>
  <c r="C4068" i="1"/>
  <c r="B4068" i="1"/>
  <c r="A4068" i="1"/>
  <c r="C4067" i="1"/>
  <c r="B4067" i="1"/>
  <c r="A4067" i="1"/>
  <c r="C4066" i="1"/>
  <c r="B4066" i="1"/>
  <c r="A4066" i="1"/>
  <c r="C4065" i="1"/>
  <c r="B4065" i="1"/>
  <c r="A4065" i="1"/>
  <c r="C4064" i="1"/>
  <c r="B4064" i="1"/>
  <c r="A4064" i="1"/>
  <c r="C4063" i="1"/>
  <c r="B4063" i="1"/>
  <c r="A4063" i="1"/>
  <c r="C4062" i="1"/>
  <c r="B4062" i="1"/>
  <c r="A4062" i="1"/>
  <c r="C4061" i="1"/>
  <c r="B4061" i="1"/>
  <c r="A4061" i="1"/>
  <c r="C4060" i="1"/>
  <c r="B4060" i="1"/>
  <c r="A4060" i="1"/>
  <c r="C4059" i="1"/>
  <c r="B4059" i="1"/>
  <c r="A4059" i="1"/>
  <c r="C4058" i="1"/>
  <c r="B4058" i="1"/>
  <c r="A4058" i="1"/>
  <c r="C4057" i="1"/>
  <c r="B4057" i="1"/>
  <c r="A4057" i="1"/>
  <c r="C4056" i="1"/>
  <c r="B4056" i="1"/>
  <c r="A4056" i="1"/>
  <c r="C4055" i="1"/>
  <c r="B4055" i="1"/>
  <c r="A4055" i="1"/>
  <c r="C4054" i="1"/>
  <c r="B4054" i="1"/>
  <c r="A4054" i="1"/>
  <c r="C4053" i="1"/>
  <c r="B4053" i="1"/>
  <c r="A4053" i="1"/>
  <c r="C4052" i="1"/>
  <c r="B4052" i="1"/>
  <c r="A4052" i="1"/>
  <c r="C4051" i="1"/>
  <c r="B4051" i="1"/>
  <c r="A4051" i="1"/>
  <c r="C4050" i="1"/>
  <c r="B4050" i="1"/>
  <c r="A4050" i="1"/>
  <c r="C4049" i="1"/>
  <c r="B4049" i="1"/>
  <c r="A4049" i="1"/>
  <c r="C4048" i="1"/>
  <c r="B4048" i="1"/>
  <c r="A4048" i="1"/>
  <c r="C4047" i="1"/>
  <c r="B4047" i="1"/>
  <c r="A4047" i="1"/>
  <c r="C4046" i="1"/>
  <c r="B4046" i="1"/>
  <c r="A4046" i="1"/>
  <c r="C4045" i="1"/>
  <c r="B4045" i="1"/>
  <c r="A4045" i="1"/>
  <c r="C4044" i="1"/>
  <c r="B4044" i="1"/>
  <c r="A4044" i="1"/>
  <c r="C4043" i="1"/>
  <c r="B4043" i="1"/>
  <c r="A4043" i="1"/>
  <c r="C4042" i="1"/>
  <c r="B4042" i="1"/>
  <c r="A4042" i="1"/>
  <c r="C4041" i="1"/>
  <c r="B4041" i="1"/>
  <c r="A4041" i="1"/>
  <c r="C4040" i="1"/>
  <c r="B4040" i="1"/>
  <c r="A4040" i="1"/>
  <c r="C4039" i="1"/>
  <c r="B4039" i="1"/>
  <c r="A4039" i="1"/>
  <c r="C4038" i="1"/>
  <c r="B4038" i="1"/>
  <c r="A4038" i="1"/>
  <c r="C4037" i="1"/>
  <c r="B4037" i="1"/>
  <c r="A4037" i="1"/>
  <c r="C4036" i="1"/>
  <c r="B4036" i="1"/>
  <c r="A4036" i="1"/>
  <c r="C4035" i="1"/>
  <c r="B4035" i="1"/>
  <c r="A4035" i="1"/>
  <c r="C4034" i="1"/>
  <c r="B4034" i="1"/>
  <c r="A4034" i="1"/>
  <c r="C4033" i="1"/>
  <c r="B4033" i="1"/>
  <c r="A4033" i="1"/>
  <c r="C4032" i="1"/>
  <c r="B4032" i="1"/>
  <c r="A4032" i="1"/>
  <c r="C4031" i="1"/>
  <c r="B4031" i="1"/>
  <c r="A4031" i="1"/>
  <c r="C4030" i="1"/>
  <c r="B4030" i="1"/>
  <c r="A4030" i="1"/>
  <c r="C4029" i="1"/>
  <c r="B4029" i="1"/>
  <c r="A4029" i="1"/>
  <c r="C4028" i="1"/>
  <c r="B4028" i="1"/>
  <c r="A4028" i="1"/>
  <c r="C4027" i="1"/>
  <c r="B4027" i="1"/>
  <c r="A4027" i="1"/>
  <c r="C4026" i="1"/>
  <c r="B4026" i="1"/>
  <c r="A4026" i="1"/>
  <c r="C4025" i="1"/>
  <c r="B4025" i="1"/>
  <c r="A4025" i="1"/>
  <c r="C4024" i="1"/>
  <c r="B4024" i="1"/>
  <c r="A4024" i="1"/>
  <c r="C4023" i="1"/>
  <c r="B4023" i="1"/>
  <c r="A4023" i="1"/>
  <c r="C4022" i="1"/>
  <c r="B4022" i="1"/>
  <c r="A4022" i="1"/>
  <c r="C4021" i="1"/>
  <c r="B4021" i="1"/>
  <c r="A4021" i="1"/>
  <c r="C4020" i="1"/>
  <c r="B4020" i="1"/>
  <c r="A4020" i="1"/>
  <c r="C4019" i="1"/>
  <c r="B4019" i="1"/>
  <c r="A4019" i="1"/>
  <c r="C4018" i="1"/>
  <c r="B4018" i="1"/>
  <c r="A4018" i="1"/>
  <c r="C4017" i="1"/>
  <c r="B4017" i="1"/>
  <c r="A4017" i="1"/>
  <c r="C4016" i="1"/>
  <c r="B4016" i="1"/>
  <c r="A4016" i="1"/>
  <c r="C4015" i="1"/>
  <c r="B4015" i="1"/>
  <c r="A4015" i="1"/>
  <c r="C4014" i="1"/>
  <c r="B4014" i="1"/>
  <c r="A4014" i="1"/>
  <c r="C4013" i="1"/>
  <c r="B4013" i="1"/>
  <c r="A4013" i="1"/>
  <c r="C4012" i="1"/>
  <c r="B4012" i="1"/>
  <c r="A4012" i="1"/>
  <c r="C4011" i="1"/>
  <c r="B4011" i="1"/>
  <c r="A4011" i="1"/>
  <c r="C4010" i="1"/>
  <c r="B4010" i="1"/>
  <c r="A4010" i="1"/>
  <c r="C4009" i="1"/>
  <c r="B4009" i="1"/>
  <c r="A4009" i="1"/>
  <c r="C4008" i="1"/>
  <c r="B4008" i="1"/>
  <c r="A4008" i="1"/>
  <c r="C4007" i="1"/>
  <c r="B4007" i="1"/>
  <c r="A4007" i="1"/>
  <c r="C4006" i="1"/>
  <c r="B4006" i="1"/>
  <c r="A4006" i="1"/>
  <c r="C4005" i="1"/>
  <c r="B4005" i="1"/>
  <c r="A4005" i="1"/>
  <c r="C4004" i="1"/>
  <c r="B4004" i="1"/>
  <c r="A4004" i="1"/>
  <c r="C4003" i="1"/>
  <c r="B4003" i="1"/>
  <c r="A4003" i="1"/>
  <c r="C4002" i="1"/>
  <c r="B4002" i="1"/>
  <c r="A4002" i="1"/>
  <c r="C4001" i="1"/>
  <c r="B4001" i="1"/>
  <c r="A4001" i="1"/>
  <c r="C4000" i="1"/>
  <c r="B4000" i="1"/>
  <c r="A4000" i="1"/>
  <c r="C3999" i="1"/>
  <c r="B3999" i="1"/>
  <c r="A3999" i="1"/>
  <c r="C3998" i="1"/>
  <c r="B3998" i="1"/>
  <c r="A3998" i="1"/>
  <c r="C3997" i="1"/>
  <c r="B3997" i="1"/>
  <c r="A3997" i="1"/>
  <c r="C3996" i="1"/>
  <c r="B3996" i="1"/>
  <c r="A3996" i="1"/>
  <c r="C3995" i="1"/>
  <c r="B3995" i="1"/>
  <c r="A3995" i="1"/>
  <c r="C3994" i="1"/>
  <c r="B3994" i="1"/>
  <c r="A3994" i="1"/>
  <c r="C3993" i="1"/>
  <c r="B3993" i="1"/>
  <c r="A3993" i="1"/>
  <c r="C3992" i="1"/>
  <c r="B3992" i="1"/>
  <c r="A3992" i="1"/>
  <c r="C3991" i="1"/>
  <c r="B3991" i="1"/>
  <c r="A3991" i="1"/>
  <c r="C3990" i="1"/>
  <c r="B3990" i="1"/>
  <c r="A3990" i="1"/>
  <c r="C3989" i="1"/>
  <c r="B3989" i="1"/>
  <c r="A3989" i="1"/>
  <c r="C3988" i="1"/>
  <c r="B3988" i="1"/>
  <c r="A3988" i="1"/>
  <c r="C3987" i="1"/>
  <c r="B3987" i="1"/>
  <c r="A3987" i="1"/>
  <c r="C3986" i="1"/>
  <c r="B3986" i="1"/>
  <c r="A3986" i="1"/>
  <c r="C3985" i="1"/>
  <c r="B3985" i="1"/>
  <c r="A3985" i="1"/>
  <c r="C3984" i="1"/>
  <c r="B3984" i="1"/>
  <c r="A3984" i="1"/>
  <c r="C3983" i="1"/>
  <c r="B3983" i="1"/>
  <c r="A3983" i="1"/>
  <c r="C3982" i="1"/>
  <c r="B3982" i="1"/>
  <c r="A3982" i="1"/>
  <c r="C3981" i="1"/>
  <c r="B3981" i="1"/>
  <c r="A3981" i="1"/>
  <c r="C3980" i="1"/>
  <c r="B3980" i="1"/>
  <c r="A3980" i="1"/>
  <c r="C3979" i="1"/>
  <c r="B3979" i="1"/>
  <c r="A3979" i="1"/>
  <c r="C3978" i="1"/>
  <c r="B3978" i="1"/>
  <c r="A3978" i="1"/>
  <c r="C3977" i="1"/>
  <c r="B3977" i="1"/>
  <c r="A3977" i="1"/>
  <c r="C3976" i="1"/>
  <c r="B3976" i="1"/>
  <c r="A3976" i="1"/>
  <c r="C3975" i="1"/>
  <c r="B3975" i="1"/>
  <c r="A3975" i="1"/>
  <c r="C3974" i="1"/>
  <c r="B3974" i="1"/>
  <c r="A3974" i="1"/>
  <c r="C3973" i="1"/>
  <c r="B3973" i="1"/>
  <c r="A3973" i="1"/>
  <c r="C3972" i="1"/>
  <c r="B3972" i="1"/>
  <c r="A3972" i="1"/>
  <c r="C3971" i="1"/>
  <c r="B3971" i="1"/>
  <c r="A3971" i="1"/>
  <c r="C3970" i="1"/>
  <c r="B3970" i="1"/>
  <c r="A3970" i="1"/>
  <c r="C3969" i="1"/>
  <c r="B3969" i="1"/>
  <c r="A3969" i="1"/>
  <c r="C3968" i="1"/>
  <c r="B3968" i="1"/>
  <c r="A3968" i="1"/>
  <c r="C3967" i="1"/>
  <c r="B3967" i="1"/>
  <c r="A3967" i="1"/>
  <c r="C3966" i="1"/>
  <c r="B3966" i="1"/>
  <c r="A3966" i="1"/>
  <c r="C3965" i="1"/>
  <c r="B3965" i="1"/>
  <c r="A3965" i="1"/>
  <c r="C3964" i="1"/>
  <c r="B3964" i="1"/>
  <c r="A3964" i="1"/>
  <c r="C3963" i="1"/>
  <c r="B3963" i="1"/>
  <c r="A3963" i="1"/>
  <c r="C3962" i="1"/>
  <c r="B3962" i="1"/>
  <c r="A3962" i="1"/>
  <c r="C3961" i="1"/>
  <c r="B3961" i="1"/>
  <c r="A3961" i="1"/>
  <c r="C3960" i="1"/>
  <c r="B3960" i="1"/>
  <c r="A3960" i="1"/>
  <c r="C3959" i="1"/>
  <c r="B3959" i="1"/>
  <c r="A3959" i="1"/>
  <c r="C3958" i="1"/>
  <c r="B3958" i="1"/>
  <c r="A3958" i="1"/>
  <c r="C3957" i="1"/>
  <c r="B3957" i="1"/>
  <c r="A3957" i="1"/>
  <c r="C3956" i="1"/>
  <c r="B3956" i="1"/>
  <c r="A3956" i="1"/>
  <c r="C3955" i="1"/>
  <c r="B3955" i="1"/>
  <c r="A3955" i="1"/>
  <c r="C3954" i="1"/>
  <c r="B3954" i="1"/>
  <c r="A3954" i="1"/>
  <c r="C3953" i="1"/>
  <c r="B3953" i="1"/>
  <c r="A3953" i="1"/>
  <c r="C3952" i="1"/>
  <c r="B3952" i="1"/>
  <c r="A3952" i="1"/>
  <c r="C3951" i="1"/>
  <c r="B3951" i="1"/>
  <c r="A3951" i="1"/>
  <c r="C3950" i="1"/>
  <c r="B3950" i="1"/>
  <c r="A3950" i="1"/>
  <c r="C3949" i="1"/>
  <c r="B3949" i="1"/>
  <c r="A3949" i="1"/>
  <c r="C3948" i="1"/>
  <c r="B3948" i="1"/>
  <c r="A3948" i="1"/>
  <c r="C3947" i="1"/>
  <c r="B3947" i="1"/>
  <c r="A3947" i="1"/>
  <c r="C3946" i="1"/>
  <c r="B3946" i="1"/>
  <c r="A3946" i="1"/>
  <c r="C3945" i="1"/>
  <c r="B3945" i="1"/>
  <c r="A3945" i="1"/>
  <c r="C3944" i="1"/>
  <c r="B3944" i="1"/>
  <c r="A3944" i="1"/>
  <c r="C3943" i="1"/>
  <c r="B3943" i="1"/>
  <c r="A3943" i="1"/>
  <c r="C3942" i="1"/>
  <c r="B3942" i="1"/>
  <c r="A3942" i="1"/>
  <c r="C3941" i="1"/>
  <c r="B3941" i="1"/>
  <c r="A3941" i="1"/>
  <c r="C3940" i="1"/>
  <c r="B3940" i="1"/>
  <c r="A3940" i="1"/>
  <c r="C3939" i="1"/>
  <c r="B3939" i="1"/>
  <c r="A3939" i="1"/>
  <c r="C3938" i="1"/>
  <c r="B3938" i="1"/>
  <c r="A3938" i="1"/>
  <c r="C3937" i="1"/>
  <c r="B3937" i="1"/>
  <c r="A3937" i="1"/>
  <c r="C3936" i="1"/>
  <c r="B3936" i="1"/>
  <c r="A3936" i="1"/>
  <c r="C3935" i="1"/>
  <c r="B3935" i="1"/>
  <c r="A3935" i="1"/>
  <c r="C3934" i="1"/>
  <c r="B3934" i="1"/>
  <c r="A3934" i="1"/>
  <c r="C3933" i="1"/>
  <c r="B3933" i="1"/>
  <c r="A3933" i="1"/>
  <c r="C3932" i="1"/>
  <c r="B3932" i="1"/>
  <c r="A3932" i="1"/>
  <c r="C3931" i="1"/>
  <c r="B3931" i="1"/>
  <c r="A3931" i="1"/>
  <c r="C3930" i="1"/>
  <c r="B3930" i="1"/>
  <c r="A3930" i="1"/>
  <c r="C3929" i="1"/>
  <c r="B3929" i="1"/>
  <c r="A3929" i="1"/>
  <c r="C3928" i="1"/>
  <c r="B3928" i="1"/>
  <c r="A3928" i="1"/>
  <c r="C3927" i="1"/>
  <c r="B3927" i="1"/>
  <c r="A3927" i="1"/>
  <c r="C3926" i="1"/>
  <c r="B3926" i="1"/>
  <c r="A3926" i="1"/>
  <c r="C3925" i="1"/>
  <c r="B3925" i="1"/>
  <c r="A3925" i="1"/>
  <c r="C3924" i="1"/>
  <c r="B3924" i="1"/>
  <c r="A3924" i="1"/>
  <c r="C3923" i="1"/>
  <c r="B3923" i="1"/>
  <c r="A3923" i="1"/>
  <c r="C3922" i="1"/>
  <c r="B3922" i="1"/>
  <c r="A3922" i="1"/>
  <c r="C3921" i="1"/>
  <c r="B3921" i="1"/>
  <c r="A3921" i="1"/>
  <c r="C3920" i="1"/>
  <c r="B3920" i="1"/>
  <c r="A3920" i="1"/>
  <c r="C3919" i="1"/>
  <c r="B3919" i="1"/>
  <c r="A3919" i="1"/>
  <c r="C3918" i="1"/>
  <c r="B3918" i="1"/>
  <c r="A3918" i="1"/>
  <c r="C3917" i="1"/>
  <c r="B3917" i="1"/>
  <c r="A3917" i="1"/>
  <c r="C3916" i="1"/>
  <c r="B3916" i="1"/>
  <c r="A3916" i="1"/>
  <c r="C3915" i="1"/>
  <c r="B3915" i="1"/>
  <c r="A3915" i="1"/>
  <c r="C3914" i="1"/>
  <c r="B3914" i="1"/>
  <c r="A3914" i="1"/>
  <c r="C3913" i="1"/>
  <c r="B3913" i="1"/>
  <c r="A3913" i="1"/>
  <c r="C3912" i="1"/>
  <c r="B3912" i="1"/>
  <c r="A3912" i="1"/>
  <c r="C3911" i="1"/>
  <c r="B3911" i="1"/>
  <c r="A3911" i="1"/>
  <c r="C3910" i="1"/>
  <c r="B3910" i="1"/>
  <c r="A3910" i="1"/>
  <c r="C3909" i="1"/>
  <c r="B3909" i="1"/>
  <c r="A3909" i="1"/>
  <c r="C3908" i="1"/>
  <c r="B3908" i="1"/>
  <c r="A3908" i="1"/>
  <c r="C3907" i="1"/>
  <c r="B3907" i="1"/>
  <c r="A3907" i="1"/>
  <c r="C3906" i="1"/>
  <c r="B3906" i="1"/>
  <c r="A3906" i="1"/>
  <c r="C3905" i="1"/>
  <c r="B3905" i="1"/>
  <c r="A3905" i="1"/>
  <c r="C3904" i="1"/>
  <c r="B3904" i="1"/>
  <c r="A3904" i="1"/>
  <c r="C3903" i="1"/>
  <c r="B3903" i="1"/>
  <c r="A3903" i="1"/>
  <c r="C3902" i="1"/>
  <c r="B3902" i="1"/>
  <c r="A3902" i="1"/>
  <c r="C3901" i="1"/>
  <c r="B3901" i="1"/>
  <c r="A3901" i="1"/>
  <c r="C3900" i="1"/>
  <c r="B3900" i="1"/>
  <c r="A3900" i="1"/>
  <c r="C3899" i="1"/>
  <c r="B3899" i="1"/>
  <c r="A3899" i="1"/>
  <c r="C3898" i="1"/>
  <c r="B3898" i="1"/>
  <c r="A3898" i="1"/>
  <c r="C3897" i="1"/>
  <c r="B3897" i="1"/>
  <c r="A3897" i="1"/>
  <c r="C3896" i="1"/>
  <c r="B3896" i="1"/>
  <c r="A3896" i="1"/>
  <c r="C3895" i="1"/>
  <c r="B3895" i="1"/>
  <c r="A3895" i="1"/>
  <c r="C3894" i="1"/>
  <c r="B3894" i="1"/>
  <c r="A3894" i="1"/>
  <c r="C3893" i="1"/>
  <c r="B3893" i="1"/>
  <c r="A3893" i="1"/>
  <c r="C3892" i="1"/>
  <c r="B3892" i="1"/>
  <c r="A3892" i="1"/>
  <c r="C3891" i="1"/>
  <c r="B3891" i="1"/>
  <c r="A3891" i="1"/>
  <c r="C3890" i="1"/>
  <c r="B3890" i="1"/>
  <c r="A3890" i="1"/>
  <c r="C3889" i="1"/>
  <c r="B3889" i="1"/>
  <c r="A3889" i="1"/>
  <c r="C3888" i="1"/>
  <c r="B3888" i="1"/>
  <c r="A3888" i="1"/>
  <c r="C3887" i="1"/>
  <c r="B3887" i="1"/>
  <c r="A3887" i="1"/>
  <c r="C3886" i="1"/>
  <c r="B3886" i="1"/>
  <c r="A3886" i="1"/>
  <c r="C3885" i="1"/>
  <c r="B3885" i="1"/>
  <c r="A3885" i="1"/>
  <c r="C3884" i="1"/>
  <c r="B3884" i="1"/>
  <c r="A3884" i="1"/>
  <c r="C3883" i="1"/>
  <c r="B3883" i="1"/>
  <c r="A3883" i="1"/>
  <c r="C3882" i="1"/>
  <c r="B3882" i="1"/>
  <c r="A3882" i="1"/>
  <c r="C3881" i="1"/>
  <c r="B3881" i="1"/>
  <c r="A3881" i="1"/>
  <c r="C3880" i="1"/>
  <c r="B3880" i="1"/>
  <c r="A3880" i="1"/>
  <c r="C3879" i="1"/>
  <c r="B3879" i="1"/>
  <c r="A3879" i="1"/>
  <c r="C3878" i="1"/>
  <c r="B3878" i="1"/>
  <c r="A3878" i="1"/>
  <c r="C3877" i="1"/>
  <c r="B3877" i="1"/>
  <c r="A3877" i="1"/>
  <c r="C3876" i="1"/>
  <c r="B3876" i="1"/>
  <c r="A3876" i="1"/>
  <c r="C3875" i="1"/>
  <c r="B3875" i="1"/>
  <c r="A3875" i="1"/>
  <c r="C3874" i="1"/>
  <c r="B3874" i="1"/>
  <c r="A3874" i="1"/>
  <c r="C3873" i="1"/>
  <c r="B3873" i="1"/>
  <c r="A3873" i="1"/>
  <c r="C3872" i="1"/>
  <c r="B3872" i="1"/>
  <c r="A3872" i="1"/>
  <c r="C3871" i="1"/>
  <c r="B3871" i="1"/>
  <c r="A3871" i="1"/>
  <c r="C3870" i="1"/>
  <c r="B3870" i="1"/>
  <c r="A3870" i="1"/>
  <c r="C3869" i="1"/>
  <c r="B3869" i="1"/>
  <c r="A3869" i="1"/>
  <c r="C3868" i="1"/>
  <c r="B3868" i="1"/>
  <c r="A3868" i="1"/>
  <c r="C3867" i="1"/>
  <c r="B3867" i="1"/>
  <c r="A3867" i="1"/>
  <c r="C3866" i="1"/>
  <c r="B3866" i="1"/>
  <c r="A3866" i="1"/>
  <c r="C3865" i="1"/>
  <c r="B3865" i="1"/>
  <c r="A3865" i="1"/>
  <c r="C3864" i="1"/>
  <c r="B3864" i="1"/>
  <c r="A3864" i="1"/>
  <c r="C3863" i="1"/>
  <c r="B3863" i="1"/>
  <c r="A3863" i="1"/>
  <c r="C3862" i="1"/>
  <c r="B3862" i="1"/>
  <c r="A3862" i="1"/>
  <c r="C3861" i="1"/>
  <c r="B3861" i="1"/>
  <c r="A3861" i="1"/>
  <c r="C3860" i="1"/>
  <c r="B3860" i="1"/>
  <c r="A3860" i="1"/>
  <c r="C3859" i="1"/>
  <c r="B3859" i="1"/>
  <c r="A3859" i="1"/>
  <c r="C3858" i="1"/>
  <c r="B3858" i="1"/>
  <c r="A3858" i="1"/>
  <c r="C3857" i="1"/>
  <c r="B3857" i="1"/>
  <c r="A3857" i="1"/>
  <c r="C3856" i="1"/>
  <c r="B3856" i="1"/>
  <c r="A3856" i="1"/>
  <c r="C3855" i="1"/>
  <c r="B3855" i="1"/>
  <c r="A3855" i="1"/>
  <c r="C3854" i="1"/>
  <c r="B3854" i="1"/>
  <c r="A3854" i="1"/>
  <c r="C3853" i="1"/>
  <c r="B3853" i="1"/>
  <c r="A3853" i="1"/>
  <c r="C3852" i="1"/>
  <c r="B3852" i="1"/>
  <c r="A3852" i="1"/>
  <c r="C3851" i="1"/>
  <c r="B3851" i="1"/>
  <c r="A3851" i="1"/>
  <c r="C3850" i="1"/>
  <c r="B3850" i="1"/>
  <c r="A3850" i="1"/>
  <c r="C3849" i="1"/>
  <c r="B3849" i="1"/>
  <c r="A3849" i="1"/>
  <c r="C3848" i="1"/>
  <c r="B3848" i="1"/>
  <c r="A3848" i="1"/>
  <c r="C3847" i="1"/>
  <c r="B3847" i="1"/>
  <c r="A3847" i="1"/>
  <c r="C3846" i="1"/>
  <c r="B3846" i="1"/>
  <c r="A3846" i="1"/>
  <c r="C3845" i="1"/>
  <c r="B3845" i="1"/>
  <c r="A3845" i="1"/>
  <c r="C3844" i="1"/>
  <c r="B3844" i="1"/>
  <c r="A3844" i="1"/>
  <c r="C3843" i="1"/>
  <c r="B3843" i="1"/>
  <c r="A3843" i="1"/>
  <c r="C3842" i="1"/>
  <c r="B3842" i="1"/>
  <c r="A3842" i="1"/>
  <c r="C3841" i="1"/>
  <c r="B3841" i="1"/>
  <c r="A3841" i="1"/>
  <c r="C3840" i="1"/>
  <c r="B3840" i="1"/>
  <c r="A3840" i="1"/>
  <c r="C3839" i="1"/>
  <c r="B3839" i="1"/>
  <c r="A3839" i="1"/>
  <c r="C3838" i="1"/>
  <c r="B3838" i="1"/>
  <c r="A3838" i="1"/>
  <c r="C3837" i="1"/>
  <c r="B3837" i="1"/>
  <c r="A3837" i="1"/>
  <c r="C3836" i="1"/>
  <c r="B3836" i="1"/>
  <c r="A3836" i="1"/>
  <c r="C3835" i="1"/>
  <c r="B3835" i="1"/>
  <c r="A3835" i="1"/>
  <c r="C3834" i="1"/>
  <c r="B3834" i="1"/>
  <c r="A3834" i="1"/>
  <c r="C3833" i="1"/>
  <c r="B3833" i="1"/>
  <c r="A3833" i="1"/>
  <c r="C3832" i="1"/>
  <c r="B3832" i="1"/>
  <c r="A3832" i="1"/>
  <c r="C3831" i="1"/>
  <c r="B3831" i="1"/>
  <c r="A3831" i="1"/>
  <c r="C3830" i="1"/>
  <c r="B3830" i="1"/>
  <c r="A3830" i="1"/>
  <c r="C3829" i="1"/>
  <c r="B3829" i="1"/>
  <c r="A3829" i="1"/>
  <c r="C3828" i="1"/>
  <c r="B3828" i="1"/>
  <c r="A3828" i="1"/>
  <c r="C3827" i="1"/>
  <c r="B3827" i="1"/>
  <c r="A3827" i="1"/>
  <c r="C3826" i="1"/>
  <c r="B3826" i="1"/>
  <c r="A3826" i="1"/>
  <c r="C3825" i="1"/>
  <c r="B3825" i="1"/>
  <c r="A3825" i="1"/>
  <c r="C3824" i="1"/>
  <c r="B3824" i="1"/>
  <c r="A3824" i="1"/>
  <c r="C3823" i="1"/>
  <c r="B3823" i="1"/>
  <c r="A3823" i="1"/>
  <c r="C3822" i="1"/>
  <c r="B3822" i="1"/>
  <c r="A3822" i="1"/>
  <c r="C3821" i="1"/>
  <c r="B3821" i="1"/>
  <c r="A3821" i="1"/>
  <c r="C3820" i="1"/>
  <c r="B3820" i="1"/>
  <c r="A3820" i="1"/>
  <c r="C3819" i="1"/>
  <c r="B3819" i="1"/>
  <c r="A3819" i="1"/>
  <c r="C3818" i="1"/>
  <c r="B3818" i="1"/>
  <c r="A3818" i="1"/>
  <c r="C3817" i="1"/>
  <c r="B3817" i="1"/>
  <c r="A3817" i="1"/>
  <c r="C3816" i="1"/>
  <c r="B3816" i="1"/>
  <c r="A3816" i="1"/>
  <c r="C3815" i="1"/>
  <c r="B3815" i="1"/>
  <c r="A3815" i="1"/>
  <c r="C3814" i="1"/>
  <c r="B3814" i="1"/>
  <c r="A3814" i="1"/>
  <c r="C3813" i="1"/>
  <c r="B3813" i="1"/>
  <c r="A3813" i="1"/>
  <c r="C3812" i="1"/>
  <c r="B3812" i="1"/>
  <c r="A3812" i="1"/>
  <c r="C3811" i="1"/>
  <c r="B3811" i="1"/>
  <c r="A3811" i="1"/>
  <c r="C3810" i="1"/>
  <c r="B3810" i="1"/>
  <c r="A3810" i="1"/>
  <c r="C3809" i="1"/>
  <c r="B3809" i="1"/>
  <c r="A3809" i="1"/>
  <c r="C3808" i="1"/>
  <c r="B3808" i="1"/>
  <c r="A3808" i="1"/>
  <c r="C3807" i="1"/>
  <c r="B3807" i="1"/>
  <c r="A3807" i="1"/>
  <c r="C3806" i="1"/>
  <c r="B3806" i="1"/>
  <c r="A3806" i="1"/>
  <c r="C3805" i="1"/>
  <c r="B3805" i="1"/>
  <c r="A3805" i="1"/>
  <c r="C3804" i="1"/>
  <c r="B3804" i="1"/>
  <c r="A3804" i="1"/>
  <c r="C3803" i="1"/>
  <c r="B3803" i="1"/>
  <c r="A3803" i="1"/>
  <c r="C3802" i="1"/>
  <c r="B3802" i="1"/>
  <c r="A3802" i="1"/>
  <c r="C3801" i="1"/>
  <c r="B3801" i="1"/>
  <c r="A3801" i="1"/>
  <c r="C3800" i="1"/>
  <c r="B3800" i="1"/>
  <c r="A3800" i="1"/>
  <c r="C3799" i="1"/>
  <c r="B3799" i="1"/>
  <c r="A3799" i="1"/>
  <c r="C3798" i="1"/>
  <c r="B3798" i="1"/>
  <c r="A3798" i="1"/>
  <c r="C3797" i="1"/>
  <c r="B3797" i="1"/>
  <c r="A3797" i="1"/>
  <c r="C3796" i="1"/>
  <c r="B3796" i="1"/>
  <c r="A3796" i="1"/>
  <c r="C3795" i="1"/>
  <c r="B3795" i="1"/>
  <c r="A3795" i="1"/>
  <c r="C3794" i="1"/>
  <c r="B3794" i="1"/>
  <c r="A3794" i="1"/>
  <c r="C3793" i="1"/>
  <c r="B3793" i="1"/>
  <c r="A3793" i="1"/>
  <c r="C3792" i="1"/>
  <c r="B3792" i="1"/>
  <c r="A3792" i="1"/>
  <c r="C3791" i="1"/>
  <c r="B3791" i="1"/>
  <c r="A3791" i="1"/>
  <c r="C3790" i="1"/>
  <c r="B3790" i="1"/>
  <c r="A3790" i="1"/>
  <c r="C3789" i="1"/>
  <c r="B3789" i="1"/>
  <c r="A3789" i="1"/>
  <c r="C3788" i="1"/>
  <c r="B3788" i="1"/>
  <c r="A3788" i="1"/>
  <c r="C3787" i="1"/>
  <c r="B3787" i="1"/>
  <c r="A3787" i="1"/>
  <c r="C3786" i="1"/>
  <c r="B3786" i="1"/>
  <c r="A3786" i="1"/>
  <c r="C3785" i="1"/>
  <c r="B3785" i="1"/>
  <c r="A3785" i="1"/>
  <c r="C3784" i="1"/>
  <c r="B3784" i="1"/>
  <c r="A3784" i="1"/>
  <c r="C3783" i="1"/>
  <c r="B3783" i="1"/>
  <c r="A3783" i="1"/>
  <c r="C3782" i="1"/>
  <c r="B3782" i="1"/>
  <c r="A3782" i="1"/>
  <c r="C3781" i="1"/>
  <c r="B3781" i="1"/>
  <c r="A3781" i="1"/>
  <c r="C3780" i="1"/>
  <c r="B3780" i="1"/>
  <c r="A3780" i="1"/>
  <c r="C3779" i="1"/>
  <c r="B3779" i="1"/>
  <c r="A3779" i="1"/>
  <c r="C3778" i="1"/>
  <c r="B3778" i="1"/>
  <c r="A3778" i="1"/>
  <c r="C3777" i="1"/>
  <c r="B3777" i="1"/>
  <c r="A3777" i="1"/>
  <c r="C3776" i="1"/>
  <c r="B3776" i="1"/>
  <c r="A3776" i="1"/>
  <c r="C3775" i="1"/>
  <c r="B3775" i="1"/>
  <c r="A3775" i="1"/>
  <c r="C3774" i="1"/>
  <c r="B3774" i="1"/>
  <c r="A3774" i="1"/>
  <c r="C3773" i="1"/>
  <c r="B3773" i="1"/>
  <c r="A3773" i="1"/>
  <c r="C3772" i="1"/>
  <c r="B3772" i="1"/>
  <c r="A3772" i="1"/>
  <c r="C3771" i="1"/>
  <c r="B3771" i="1"/>
  <c r="A3771" i="1"/>
  <c r="C3770" i="1"/>
  <c r="B3770" i="1"/>
  <c r="A3770" i="1"/>
  <c r="C3769" i="1"/>
  <c r="B3769" i="1"/>
  <c r="A3769" i="1"/>
  <c r="C3768" i="1"/>
  <c r="B3768" i="1"/>
  <c r="A3768" i="1"/>
  <c r="C3767" i="1"/>
  <c r="B3767" i="1"/>
  <c r="A3767" i="1"/>
  <c r="C3766" i="1"/>
  <c r="B3766" i="1"/>
  <c r="A3766" i="1"/>
  <c r="C3765" i="1"/>
  <c r="B3765" i="1"/>
  <c r="A3765" i="1"/>
  <c r="C3764" i="1"/>
  <c r="B3764" i="1"/>
  <c r="A3764" i="1"/>
  <c r="C3763" i="1"/>
  <c r="B3763" i="1"/>
  <c r="A3763" i="1"/>
  <c r="C3762" i="1"/>
  <c r="B3762" i="1"/>
  <c r="A3762" i="1"/>
  <c r="C3761" i="1"/>
  <c r="B3761" i="1"/>
  <c r="A3761" i="1"/>
  <c r="C3760" i="1"/>
  <c r="B3760" i="1"/>
  <c r="A3760" i="1"/>
  <c r="C3759" i="1"/>
  <c r="B3759" i="1"/>
  <c r="A3759" i="1"/>
  <c r="C3758" i="1"/>
  <c r="B3758" i="1"/>
  <c r="A3758" i="1"/>
  <c r="C3757" i="1"/>
  <c r="B3757" i="1"/>
  <c r="A3757" i="1"/>
  <c r="C3756" i="1"/>
  <c r="B3756" i="1"/>
  <c r="A3756" i="1"/>
  <c r="C3755" i="1"/>
  <c r="B3755" i="1"/>
  <c r="A3755" i="1"/>
  <c r="C3754" i="1"/>
  <c r="B3754" i="1"/>
  <c r="A3754" i="1"/>
  <c r="C3753" i="1"/>
  <c r="B3753" i="1"/>
  <c r="A3753" i="1"/>
  <c r="C3752" i="1"/>
  <c r="B3752" i="1"/>
  <c r="A3752" i="1"/>
  <c r="C3751" i="1"/>
  <c r="B3751" i="1"/>
  <c r="A3751" i="1"/>
  <c r="C3750" i="1"/>
  <c r="B3750" i="1"/>
  <c r="A3750" i="1"/>
  <c r="C3749" i="1"/>
  <c r="B3749" i="1"/>
  <c r="A3749" i="1"/>
  <c r="C3748" i="1"/>
  <c r="B3748" i="1"/>
  <c r="A3748" i="1"/>
  <c r="C3747" i="1"/>
  <c r="B3747" i="1"/>
  <c r="A3747" i="1"/>
  <c r="C3746" i="1"/>
  <c r="B3746" i="1"/>
  <c r="A3746" i="1"/>
  <c r="C3745" i="1"/>
  <c r="B3745" i="1"/>
  <c r="A3745" i="1"/>
  <c r="C3744" i="1"/>
  <c r="B3744" i="1"/>
  <c r="A3744" i="1"/>
  <c r="C3743" i="1"/>
  <c r="B3743" i="1"/>
  <c r="A3743" i="1"/>
  <c r="C3742" i="1"/>
  <c r="B3742" i="1"/>
  <c r="A3742" i="1"/>
  <c r="C3741" i="1"/>
  <c r="B3741" i="1"/>
  <c r="A3741" i="1"/>
  <c r="C3740" i="1"/>
  <c r="B3740" i="1"/>
  <c r="A3740" i="1"/>
  <c r="C3739" i="1"/>
  <c r="B3739" i="1"/>
  <c r="A3739" i="1"/>
  <c r="C3738" i="1"/>
  <c r="B3738" i="1"/>
  <c r="A3738" i="1"/>
  <c r="C3737" i="1"/>
  <c r="B3737" i="1"/>
  <c r="A3737" i="1"/>
  <c r="C3736" i="1"/>
  <c r="B3736" i="1"/>
  <c r="A3736" i="1"/>
  <c r="C3735" i="1"/>
  <c r="B3735" i="1"/>
  <c r="A3735" i="1"/>
  <c r="C3734" i="1"/>
  <c r="B3734" i="1"/>
  <c r="A3734" i="1"/>
  <c r="C3733" i="1"/>
  <c r="B3733" i="1"/>
  <c r="A3733" i="1"/>
  <c r="C3732" i="1"/>
  <c r="B3732" i="1"/>
  <c r="A3732" i="1"/>
  <c r="C3731" i="1"/>
  <c r="B3731" i="1"/>
  <c r="A3731" i="1"/>
  <c r="C3730" i="1"/>
  <c r="B3730" i="1"/>
  <c r="A3730" i="1"/>
  <c r="C3729" i="1"/>
  <c r="B3729" i="1"/>
  <c r="A3729" i="1"/>
  <c r="C3728" i="1"/>
  <c r="B3728" i="1"/>
  <c r="A3728" i="1"/>
  <c r="C3727" i="1"/>
  <c r="B3727" i="1"/>
  <c r="A3727" i="1"/>
  <c r="C3726" i="1"/>
  <c r="B3726" i="1"/>
  <c r="A3726" i="1"/>
  <c r="C3725" i="1"/>
  <c r="B3725" i="1"/>
  <c r="A3725" i="1"/>
  <c r="C3724" i="1"/>
  <c r="B3724" i="1"/>
  <c r="A3724" i="1"/>
  <c r="C3723" i="1"/>
  <c r="B3723" i="1"/>
  <c r="A3723" i="1"/>
  <c r="C3722" i="1"/>
  <c r="B3722" i="1"/>
  <c r="A3722" i="1"/>
  <c r="C3721" i="1"/>
  <c r="B3721" i="1"/>
  <c r="A3721" i="1"/>
  <c r="C3720" i="1"/>
  <c r="B3720" i="1"/>
  <c r="A3720" i="1"/>
  <c r="C3719" i="1"/>
  <c r="B3719" i="1"/>
  <c r="A3719" i="1"/>
  <c r="C3718" i="1"/>
  <c r="B3718" i="1"/>
  <c r="A3718" i="1"/>
  <c r="C3717" i="1"/>
  <c r="B3717" i="1"/>
  <c r="A3717" i="1"/>
  <c r="C3716" i="1"/>
  <c r="B3716" i="1"/>
  <c r="A3716" i="1"/>
  <c r="C3715" i="1"/>
  <c r="B3715" i="1"/>
  <c r="A3715" i="1"/>
  <c r="C3714" i="1"/>
  <c r="B3714" i="1"/>
  <c r="A3714" i="1"/>
  <c r="C3713" i="1"/>
  <c r="B3713" i="1"/>
  <c r="A3713" i="1"/>
  <c r="C3712" i="1"/>
  <c r="B3712" i="1"/>
  <c r="A3712" i="1"/>
  <c r="C3711" i="1"/>
  <c r="B3711" i="1"/>
  <c r="A3711" i="1"/>
  <c r="C3710" i="1"/>
  <c r="B3710" i="1"/>
  <c r="A3710" i="1"/>
  <c r="C3709" i="1"/>
  <c r="B3709" i="1"/>
  <c r="A3709" i="1"/>
  <c r="C3708" i="1"/>
  <c r="B3708" i="1"/>
  <c r="A3708" i="1"/>
  <c r="C3707" i="1"/>
  <c r="B3707" i="1"/>
  <c r="A3707" i="1"/>
  <c r="C3706" i="1"/>
  <c r="B3706" i="1"/>
  <c r="A3706" i="1"/>
  <c r="C3705" i="1"/>
  <c r="B3705" i="1"/>
  <c r="A3705" i="1"/>
  <c r="C3704" i="1"/>
  <c r="B3704" i="1"/>
  <c r="A3704" i="1"/>
  <c r="C3703" i="1"/>
  <c r="B3703" i="1"/>
  <c r="A3703" i="1"/>
  <c r="C3702" i="1"/>
  <c r="B3702" i="1"/>
  <c r="A3702" i="1"/>
  <c r="C3701" i="1"/>
  <c r="B3701" i="1"/>
  <c r="A3701" i="1"/>
  <c r="C3700" i="1"/>
  <c r="B3700" i="1"/>
  <c r="A3700" i="1"/>
  <c r="C3699" i="1"/>
  <c r="B3699" i="1"/>
  <c r="A3699" i="1"/>
  <c r="C3698" i="1"/>
  <c r="B3698" i="1"/>
  <c r="A3698" i="1"/>
  <c r="C3697" i="1"/>
  <c r="B3697" i="1"/>
  <c r="A3697" i="1"/>
  <c r="C3696" i="1"/>
  <c r="B3696" i="1"/>
  <c r="A3696" i="1"/>
  <c r="C3695" i="1"/>
  <c r="B3695" i="1"/>
  <c r="A3695" i="1"/>
  <c r="C3694" i="1"/>
  <c r="B3694" i="1"/>
  <c r="A3694" i="1"/>
  <c r="C3693" i="1"/>
  <c r="B3693" i="1"/>
  <c r="A3693" i="1"/>
  <c r="C3692" i="1"/>
  <c r="B3692" i="1"/>
  <c r="A3692" i="1"/>
  <c r="C3691" i="1"/>
  <c r="B3691" i="1"/>
  <c r="A3691" i="1"/>
  <c r="C3690" i="1"/>
  <c r="B3690" i="1"/>
  <c r="A3690" i="1"/>
  <c r="C3689" i="1"/>
  <c r="B3689" i="1"/>
  <c r="A3689" i="1"/>
  <c r="C3688" i="1"/>
  <c r="B3688" i="1"/>
  <c r="A3688" i="1"/>
  <c r="C3687" i="1"/>
  <c r="B3687" i="1"/>
  <c r="A3687" i="1"/>
  <c r="C3686" i="1"/>
  <c r="B3686" i="1"/>
  <c r="A3686" i="1"/>
  <c r="C3685" i="1"/>
  <c r="B3685" i="1"/>
  <c r="A3685" i="1"/>
  <c r="C3684" i="1"/>
  <c r="B3684" i="1"/>
  <c r="A3684" i="1"/>
  <c r="C3683" i="1"/>
  <c r="B3683" i="1"/>
  <c r="A3683" i="1"/>
  <c r="C3682" i="1"/>
  <c r="B3682" i="1"/>
  <c r="A3682" i="1"/>
  <c r="C3681" i="1"/>
  <c r="B3681" i="1"/>
  <c r="A3681" i="1"/>
  <c r="C3680" i="1"/>
  <c r="B3680" i="1"/>
  <c r="A3680" i="1"/>
  <c r="C3679" i="1"/>
  <c r="B3679" i="1"/>
  <c r="A3679" i="1"/>
  <c r="C3678" i="1"/>
  <c r="B3678" i="1"/>
  <c r="A3678" i="1"/>
  <c r="C3677" i="1"/>
  <c r="B3677" i="1"/>
  <c r="A3677" i="1"/>
  <c r="C3676" i="1"/>
  <c r="B3676" i="1"/>
  <c r="A3676" i="1"/>
  <c r="C3675" i="1"/>
  <c r="B3675" i="1"/>
  <c r="A3675" i="1"/>
  <c r="C3674" i="1"/>
  <c r="B3674" i="1"/>
  <c r="A3674" i="1"/>
  <c r="C3673" i="1"/>
  <c r="B3673" i="1"/>
  <c r="A3673" i="1"/>
  <c r="C3672" i="1"/>
  <c r="B3672" i="1"/>
  <c r="A3672" i="1"/>
  <c r="C3671" i="1"/>
  <c r="B3671" i="1"/>
  <c r="A3671" i="1"/>
  <c r="C3670" i="1"/>
  <c r="B3670" i="1"/>
  <c r="A3670" i="1"/>
  <c r="C3669" i="1"/>
  <c r="B3669" i="1"/>
  <c r="A3669" i="1"/>
  <c r="C3668" i="1"/>
  <c r="B3668" i="1"/>
  <c r="A3668" i="1"/>
  <c r="C3667" i="1"/>
  <c r="B3667" i="1"/>
  <c r="A3667" i="1"/>
  <c r="C3666" i="1"/>
  <c r="B3666" i="1"/>
  <c r="A3666" i="1"/>
  <c r="C3665" i="1"/>
  <c r="B3665" i="1"/>
  <c r="A3665" i="1"/>
  <c r="C3664" i="1"/>
  <c r="B3664" i="1"/>
  <c r="A3664" i="1"/>
  <c r="C3663" i="1"/>
  <c r="B3663" i="1"/>
  <c r="A3663" i="1"/>
  <c r="C3662" i="1"/>
  <c r="B3662" i="1"/>
  <c r="A3662" i="1"/>
  <c r="C3661" i="1"/>
  <c r="B3661" i="1"/>
  <c r="A3661" i="1"/>
  <c r="C3660" i="1"/>
  <c r="B3660" i="1"/>
  <c r="A3660" i="1"/>
  <c r="C3659" i="1"/>
  <c r="B3659" i="1"/>
  <c r="A3659" i="1"/>
  <c r="C3658" i="1"/>
  <c r="B3658" i="1"/>
  <c r="A3658" i="1"/>
  <c r="C3657" i="1"/>
  <c r="B3657" i="1"/>
  <c r="A3657" i="1"/>
  <c r="C3656" i="1"/>
  <c r="B3656" i="1"/>
  <c r="A3656" i="1"/>
  <c r="C3655" i="1"/>
  <c r="B3655" i="1"/>
  <c r="A3655" i="1"/>
  <c r="C3654" i="1"/>
  <c r="B3654" i="1"/>
  <c r="A3654" i="1"/>
  <c r="C3653" i="1"/>
  <c r="B3653" i="1"/>
  <c r="A3653" i="1"/>
  <c r="C3652" i="1"/>
  <c r="B3652" i="1"/>
  <c r="A3652" i="1"/>
  <c r="C3651" i="1"/>
  <c r="B3651" i="1"/>
  <c r="A3651" i="1"/>
  <c r="C3650" i="1"/>
  <c r="B3650" i="1"/>
  <c r="A3650" i="1"/>
  <c r="C3649" i="1"/>
  <c r="B3649" i="1"/>
  <c r="A3649" i="1"/>
  <c r="C3648" i="1"/>
  <c r="B3648" i="1"/>
  <c r="A3648" i="1"/>
  <c r="C3647" i="1"/>
  <c r="B3647" i="1"/>
  <c r="A3647" i="1"/>
  <c r="C3646" i="1"/>
  <c r="B3646" i="1"/>
  <c r="A3646" i="1"/>
  <c r="C3645" i="1"/>
  <c r="B3645" i="1"/>
  <c r="A3645" i="1"/>
  <c r="C3644" i="1"/>
  <c r="B3644" i="1"/>
  <c r="A3644" i="1"/>
  <c r="C3643" i="1"/>
  <c r="B3643" i="1"/>
  <c r="A3643" i="1"/>
  <c r="C3642" i="1"/>
  <c r="B3642" i="1"/>
  <c r="A3642" i="1"/>
  <c r="C3641" i="1"/>
  <c r="B3641" i="1"/>
  <c r="A3641" i="1"/>
  <c r="C3640" i="1"/>
  <c r="B3640" i="1"/>
  <c r="A3640" i="1"/>
  <c r="C3639" i="1"/>
  <c r="B3639" i="1"/>
  <c r="A3639" i="1"/>
  <c r="C3638" i="1"/>
  <c r="B3638" i="1"/>
  <c r="A3638" i="1"/>
  <c r="C3637" i="1"/>
  <c r="B3637" i="1"/>
  <c r="A3637" i="1"/>
  <c r="C3636" i="1"/>
  <c r="B3636" i="1"/>
  <c r="A3636" i="1"/>
  <c r="C3635" i="1"/>
  <c r="B3635" i="1"/>
  <c r="A3635" i="1"/>
  <c r="C3634" i="1"/>
  <c r="B3634" i="1"/>
  <c r="A3634" i="1"/>
  <c r="C3633" i="1"/>
  <c r="B3633" i="1"/>
  <c r="A3633" i="1"/>
  <c r="C3632" i="1"/>
  <c r="B3632" i="1"/>
  <c r="A3632" i="1"/>
  <c r="C3631" i="1"/>
  <c r="B3631" i="1"/>
  <c r="A3631" i="1"/>
  <c r="C3630" i="1"/>
  <c r="B3630" i="1"/>
  <c r="A3630" i="1"/>
  <c r="C3629" i="1"/>
  <c r="B3629" i="1"/>
  <c r="A3629" i="1"/>
  <c r="C3628" i="1"/>
  <c r="B3628" i="1"/>
  <c r="A3628" i="1"/>
  <c r="C3627" i="1"/>
  <c r="B3627" i="1"/>
  <c r="A3627" i="1"/>
  <c r="C3626" i="1"/>
  <c r="B3626" i="1"/>
  <c r="A3626" i="1"/>
  <c r="C3625" i="1"/>
  <c r="B3625" i="1"/>
  <c r="A3625" i="1"/>
  <c r="C3624" i="1"/>
  <c r="B3624" i="1"/>
  <c r="A3624" i="1"/>
  <c r="C3623" i="1"/>
  <c r="B3623" i="1"/>
  <c r="A3623" i="1"/>
  <c r="C3622" i="1"/>
  <c r="B3622" i="1"/>
  <c r="A3622" i="1"/>
  <c r="C3621" i="1"/>
  <c r="B3621" i="1"/>
  <c r="A3621" i="1"/>
  <c r="C3620" i="1"/>
  <c r="B3620" i="1"/>
  <c r="A3620" i="1"/>
  <c r="C3619" i="1"/>
  <c r="B3619" i="1"/>
  <c r="A3619" i="1"/>
  <c r="C3618" i="1"/>
  <c r="B3618" i="1"/>
  <c r="A3618" i="1"/>
  <c r="C3617" i="1"/>
  <c r="B3617" i="1"/>
  <c r="A3617" i="1"/>
  <c r="C3616" i="1"/>
  <c r="B3616" i="1"/>
  <c r="A3616" i="1"/>
  <c r="C3615" i="1"/>
  <c r="B3615" i="1"/>
  <c r="A3615" i="1"/>
  <c r="C3614" i="1"/>
  <c r="B3614" i="1"/>
  <c r="A3614" i="1"/>
  <c r="C3613" i="1"/>
  <c r="B3613" i="1"/>
  <c r="A3613" i="1"/>
  <c r="C3612" i="1"/>
  <c r="B3612" i="1"/>
  <c r="A3612" i="1"/>
  <c r="C3611" i="1"/>
  <c r="B3611" i="1"/>
  <c r="A3611" i="1"/>
  <c r="C3610" i="1"/>
  <c r="B3610" i="1"/>
  <c r="A3610" i="1"/>
  <c r="C3609" i="1"/>
  <c r="B3609" i="1"/>
  <c r="A3609" i="1"/>
  <c r="C3608" i="1"/>
  <c r="B3608" i="1"/>
  <c r="A3608" i="1"/>
  <c r="C3607" i="1"/>
  <c r="B3607" i="1"/>
  <c r="A3607" i="1"/>
  <c r="C3606" i="1"/>
  <c r="B3606" i="1"/>
  <c r="A3606" i="1"/>
  <c r="C3605" i="1"/>
  <c r="B3605" i="1"/>
  <c r="A3605" i="1"/>
  <c r="C3604" i="1"/>
  <c r="B3604" i="1"/>
  <c r="A3604" i="1"/>
  <c r="C3603" i="1"/>
  <c r="B3603" i="1"/>
  <c r="A3603" i="1"/>
  <c r="C3602" i="1"/>
  <c r="B3602" i="1"/>
  <c r="A3602" i="1"/>
  <c r="C3601" i="1"/>
  <c r="B3601" i="1"/>
  <c r="A3601" i="1"/>
  <c r="C3600" i="1"/>
  <c r="B3600" i="1"/>
  <c r="A3600" i="1"/>
  <c r="C3599" i="1"/>
  <c r="B3599" i="1"/>
  <c r="A3599" i="1"/>
  <c r="C3598" i="1"/>
  <c r="B3598" i="1"/>
  <c r="A3598" i="1"/>
  <c r="C3597" i="1"/>
  <c r="B3597" i="1"/>
  <c r="A3597" i="1"/>
  <c r="C3596" i="1"/>
  <c r="B3596" i="1"/>
  <c r="A3596" i="1"/>
  <c r="C3595" i="1"/>
  <c r="B3595" i="1"/>
  <c r="A3595" i="1"/>
  <c r="C3594" i="1"/>
  <c r="B3594" i="1"/>
  <c r="A3594" i="1"/>
  <c r="C3593" i="1"/>
  <c r="B3593" i="1"/>
  <c r="A3593" i="1"/>
  <c r="C3592" i="1"/>
  <c r="B3592" i="1"/>
  <c r="A3592" i="1"/>
  <c r="C3591" i="1"/>
  <c r="B3591" i="1"/>
  <c r="A3591" i="1"/>
  <c r="C3590" i="1"/>
  <c r="B3590" i="1"/>
  <c r="A3590" i="1"/>
  <c r="C3589" i="1"/>
  <c r="B3589" i="1"/>
  <c r="A3589" i="1"/>
  <c r="C3588" i="1"/>
  <c r="B3588" i="1"/>
  <c r="A3588" i="1"/>
  <c r="C3587" i="1"/>
  <c r="B3587" i="1"/>
  <c r="A3587" i="1"/>
  <c r="C3586" i="1"/>
  <c r="B3586" i="1"/>
  <c r="A3586" i="1"/>
  <c r="C3585" i="1"/>
  <c r="B3585" i="1"/>
  <c r="A3585" i="1"/>
  <c r="C3584" i="1"/>
  <c r="B3584" i="1"/>
  <c r="A3584" i="1"/>
  <c r="C3583" i="1"/>
  <c r="B3583" i="1"/>
  <c r="A3583" i="1"/>
  <c r="C3582" i="1"/>
  <c r="B3582" i="1"/>
  <c r="A3582" i="1"/>
  <c r="C3581" i="1"/>
  <c r="B3581" i="1"/>
  <c r="A3581" i="1"/>
  <c r="C3580" i="1"/>
  <c r="B3580" i="1"/>
  <c r="A3580" i="1"/>
  <c r="C3579" i="1"/>
  <c r="B3579" i="1"/>
  <c r="A3579" i="1"/>
  <c r="C3578" i="1"/>
  <c r="B3578" i="1"/>
  <c r="A3578" i="1"/>
  <c r="C3577" i="1"/>
  <c r="B3577" i="1"/>
  <c r="A3577" i="1"/>
  <c r="C3576" i="1"/>
  <c r="B3576" i="1"/>
  <c r="A3576" i="1"/>
  <c r="C3575" i="1"/>
  <c r="B3575" i="1"/>
  <c r="A3575" i="1"/>
  <c r="C3574" i="1"/>
  <c r="B3574" i="1"/>
  <c r="A3574" i="1"/>
  <c r="C3573" i="1"/>
  <c r="B3573" i="1"/>
  <c r="A3573" i="1"/>
  <c r="C3572" i="1"/>
  <c r="B3572" i="1"/>
  <c r="A3572" i="1"/>
  <c r="C3571" i="1"/>
  <c r="B3571" i="1"/>
  <c r="A3571" i="1"/>
  <c r="C3570" i="1"/>
  <c r="B3570" i="1"/>
  <c r="A3570" i="1"/>
  <c r="C3569" i="1"/>
  <c r="B3569" i="1"/>
  <c r="A3569" i="1"/>
  <c r="C3568" i="1"/>
  <c r="B3568" i="1"/>
  <c r="A3568" i="1"/>
  <c r="C3567" i="1"/>
  <c r="B3567" i="1"/>
  <c r="A3567" i="1"/>
  <c r="C3566" i="1"/>
  <c r="B3566" i="1"/>
  <c r="A3566" i="1"/>
  <c r="C3565" i="1"/>
  <c r="B3565" i="1"/>
  <c r="A3565" i="1"/>
  <c r="C3564" i="1"/>
  <c r="B3564" i="1"/>
  <c r="A3564" i="1"/>
  <c r="C3563" i="1"/>
  <c r="B3563" i="1"/>
  <c r="A3563" i="1"/>
  <c r="C3562" i="1"/>
  <c r="B3562" i="1"/>
  <c r="A3562" i="1"/>
  <c r="C3561" i="1"/>
  <c r="B3561" i="1"/>
  <c r="A3561" i="1"/>
  <c r="C3560" i="1"/>
  <c r="B3560" i="1"/>
  <c r="A3560" i="1"/>
  <c r="C3559" i="1"/>
  <c r="B3559" i="1"/>
  <c r="A3559" i="1"/>
  <c r="C3558" i="1"/>
  <c r="B3558" i="1"/>
  <c r="A3558" i="1"/>
  <c r="C3557" i="1"/>
  <c r="B3557" i="1"/>
  <c r="A3557" i="1"/>
  <c r="C3556" i="1"/>
  <c r="B3556" i="1"/>
  <c r="A3556" i="1"/>
  <c r="C3555" i="1"/>
  <c r="B3555" i="1"/>
  <c r="A3555" i="1"/>
  <c r="C3554" i="1"/>
  <c r="B3554" i="1"/>
  <c r="A3554" i="1"/>
  <c r="C3553" i="1"/>
  <c r="B3553" i="1"/>
  <c r="A3553" i="1"/>
  <c r="C3552" i="1"/>
  <c r="B3552" i="1"/>
  <c r="A3552" i="1"/>
  <c r="C3551" i="1"/>
  <c r="B3551" i="1"/>
  <c r="A3551" i="1"/>
  <c r="C3550" i="1"/>
  <c r="B3550" i="1"/>
  <c r="A3550" i="1"/>
  <c r="C3549" i="1"/>
  <c r="B3549" i="1"/>
  <c r="A3549" i="1"/>
  <c r="C3548" i="1"/>
  <c r="B3548" i="1"/>
  <c r="A3548" i="1"/>
  <c r="C3547" i="1"/>
  <c r="B3547" i="1"/>
  <c r="A3547" i="1"/>
  <c r="C3546" i="1"/>
  <c r="B3546" i="1"/>
  <c r="A3546" i="1"/>
  <c r="C3545" i="1"/>
  <c r="B3545" i="1"/>
  <c r="A3545" i="1"/>
  <c r="C3544" i="1"/>
  <c r="B3544" i="1"/>
  <c r="A3544" i="1"/>
  <c r="C3543" i="1"/>
  <c r="B3543" i="1"/>
  <c r="A3543" i="1"/>
  <c r="C3542" i="1"/>
  <c r="B3542" i="1"/>
  <c r="A3542" i="1"/>
  <c r="C3541" i="1"/>
  <c r="B3541" i="1"/>
  <c r="A3541" i="1"/>
  <c r="C3540" i="1"/>
  <c r="B3540" i="1"/>
  <c r="A3540" i="1"/>
  <c r="C3539" i="1"/>
  <c r="B3539" i="1"/>
  <c r="A3539" i="1"/>
  <c r="C3538" i="1"/>
  <c r="B3538" i="1"/>
  <c r="A3538" i="1"/>
  <c r="C3537" i="1"/>
  <c r="B3537" i="1"/>
  <c r="A3537" i="1"/>
  <c r="C3536" i="1"/>
  <c r="B3536" i="1"/>
  <c r="A3536" i="1"/>
  <c r="C3535" i="1"/>
  <c r="B3535" i="1"/>
  <c r="A3535" i="1"/>
  <c r="C3534" i="1"/>
  <c r="B3534" i="1"/>
  <c r="A3534" i="1"/>
  <c r="C3533" i="1"/>
  <c r="B3533" i="1"/>
  <c r="A3533" i="1"/>
  <c r="C3532" i="1"/>
  <c r="B3532" i="1"/>
  <c r="A3532" i="1"/>
  <c r="C3531" i="1"/>
  <c r="B3531" i="1"/>
  <c r="A3531" i="1"/>
  <c r="C3530" i="1"/>
  <c r="B3530" i="1"/>
  <c r="A3530" i="1"/>
  <c r="C3529" i="1"/>
  <c r="B3529" i="1"/>
  <c r="A3529" i="1"/>
  <c r="C3528" i="1"/>
  <c r="B3528" i="1"/>
  <c r="A3528" i="1"/>
  <c r="C3527" i="1"/>
  <c r="B3527" i="1"/>
  <c r="A3527" i="1"/>
  <c r="C3526" i="1"/>
  <c r="B3526" i="1"/>
  <c r="A3526" i="1"/>
  <c r="C3525" i="1"/>
  <c r="B3525" i="1"/>
  <c r="A3525" i="1"/>
  <c r="C3524" i="1"/>
  <c r="B3524" i="1"/>
  <c r="A3524" i="1"/>
  <c r="C3523" i="1"/>
  <c r="B3523" i="1"/>
  <c r="A3523" i="1"/>
  <c r="C3522" i="1"/>
  <c r="B3522" i="1"/>
  <c r="A3522" i="1"/>
  <c r="C3521" i="1"/>
  <c r="B3521" i="1"/>
  <c r="A3521" i="1"/>
  <c r="C3520" i="1"/>
  <c r="B3520" i="1"/>
  <c r="A3520" i="1"/>
  <c r="C3519" i="1"/>
  <c r="B3519" i="1"/>
  <c r="A3519" i="1"/>
  <c r="C3518" i="1"/>
  <c r="B3518" i="1"/>
  <c r="A3518" i="1"/>
  <c r="C3517" i="1"/>
  <c r="B3517" i="1"/>
  <c r="A3517" i="1"/>
  <c r="C3516" i="1"/>
  <c r="B3516" i="1"/>
  <c r="A3516" i="1"/>
  <c r="C3515" i="1"/>
  <c r="B3515" i="1"/>
  <c r="A3515" i="1"/>
  <c r="C3514" i="1"/>
  <c r="B3514" i="1"/>
  <c r="A3514" i="1"/>
  <c r="C3513" i="1"/>
  <c r="B3513" i="1"/>
  <c r="A3513" i="1"/>
  <c r="C3512" i="1"/>
  <c r="B3512" i="1"/>
  <c r="A3512" i="1"/>
  <c r="C3511" i="1"/>
  <c r="B3511" i="1"/>
  <c r="A3511" i="1"/>
  <c r="C3510" i="1"/>
  <c r="B3510" i="1"/>
  <c r="A3510" i="1"/>
  <c r="C3509" i="1"/>
  <c r="B3509" i="1"/>
  <c r="A3509" i="1"/>
  <c r="C3508" i="1"/>
  <c r="B3508" i="1"/>
  <c r="A3508" i="1"/>
  <c r="C3507" i="1"/>
  <c r="B3507" i="1"/>
  <c r="A3507" i="1"/>
  <c r="C3506" i="1"/>
  <c r="B3506" i="1"/>
  <c r="A3506" i="1"/>
  <c r="C3505" i="1"/>
  <c r="B3505" i="1"/>
  <c r="A3505" i="1"/>
  <c r="C3504" i="1"/>
  <c r="B3504" i="1"/>
  <c r="A3504" i="1"/>
  <c r="C3503" i="1"/>
  <c r="B3503" i="1"/>
  <c r="A3503" i="1"/>
  <c r="C3502" i="1"/>
  <c r="B3502" i="1"/>
  <c r="A3502" i="1"/>
  <c r="C3501" i="1"/>
  <c r="B3501" i="1"/>
  <c r="A3501" i="1"/>
  <c r="C3500" i="1"/>
  <c r="B3500" i="1"/>
  <c r="A3500" i="1"/>
  <c r="C3499" i="1"/>
  <c r="B3499" i="1"/>
  <c r="A3499" i="1"/>
  <c r="C3498" i="1"/>
  <c r="B3498" i="1"/>
  <c r="A3498" i="1"/>
  <c r="C3497" i="1"/>
  <c r="B3497" i="1"/>
  <c r="A3497" i="1"/>
  <c r="C3496" i="1"/>
  <c r="B3496" i="1"/>
  <c r="A3496" i="1"/>
  <c r="C3495" i="1"/>
  <c r="B3495" i="1"/>
  <c r="A3495" i="1"/>
  <c r="C3494" i="1"/>
  <c r="B3494" i="1"/>
  <c r="A3494" i="1"/>
  <c r="C3493" i="1"/>
  <c r="B3493" i="1"/>
  <c r="A3493" i="1"/>
  <c r="C3492" i="1"/>
  <c r="B3492" i="1"/>
  <c r="A3492" i="1"/>
  <c r="C3491" i="1"/>
  <c r="B3491" i="1"/>
  <c r="A3491" i="1"/>
  <c r="C3490" i="1"/>
  <c r="B3490" i="1"/>
  <c r="A3490" i="1"/>
  <c r="C3489" i="1"/>
  <c r="B3489" i="1"/>
  <c r="A3489" i="1"/>
  <c r="C3488" i="1"/>
  <c r="B3488" i="1"/>
  <c r="A3488" i="1"/>
  <c r="C3487" i="1"/>
  <c r="B3487" i="1"/>
  <c r="A3487" i="1"/>
  <c r="C3486" i="1"/>
  <c r="B3486" i="1"/>
  <c r="A3486" i="1"/>
  <c r="C3485" i="1"/>
  <c r="B3485" i="1"/>
  <c r="A3485" i="1"/>
  <c r="C3484" i="1"/>
  <c r="B3484" i="1"/>
  <c r="A3484" i="1"/>
  <c r="C3483" i="1"/>
  <c r="B3483" i="1"/>
  <c r="A3483" i="1"/>
  <c r="C3482" i="1"/>
  <c r="B3482" i="1"/>
  <c r="A3482" i="1"/>
  <c r="C3481" i="1"/>
  <c r="B3481" i="1"/>
  <c r="A3481" i="1"/>
  <c r="C3480" i="1"/>
  <c r="B3480" i="1"/>
  <c r="A3480" i="1"/>
  <c r="C3479" i="1"/>
  <c r="B3479" i="1"/>
  <c r="A3479" i="1"/>
  <c r="C3478" i="1"/>
  <c r="B3478" i="1"/>
  <c r="A3478" i="1"/>
  <c r="C3477" i="1"/>
  <c r="B3477" i="1"/>
  <c r="A3477" i="1"/>
  <c r="C3476" i="1"/>
  <c r="B3476" i="1"/>
  <c r="A3476" i="1"/>
  <c r="C3475" i="1"/>
  <c r="B3475" i="1"/>
  <c r="A3475" i="1"/>
  <c r="C3474" i="1"/>
  <c r="B3474" i="1"/>
  <c r="A3474" i="1"/>
  <c r="C3473" i="1"/>
  <c r="B3473" i="1"/>
  <c r="A3473" i="1"/>
  <c r="C3472" i="1"/>
  <c r="B3472" i="1"/>
  <c r="A3472" i="1"/>
  <c r="C3471" i="1"/>
  <c r="B3471" i="1"/>
  <c r="A3471" i="1"/>
  <c r="C3470" i="1"/>
  <c r="B3470" i="1"/>
  <c r="A3470" i="1"/>
  <c r="C3469" i="1"/>
  <c r="B3469" i="1"/>
  <c r="A3469" i="1"/>
  <c r="C3468" i="1"/>
  <c r="B3468" i="1"/>
  <c r="A3468" i="1"/>
  <c r="C3467" i="1"/>
  <c r="B3467" i="1"/>
  <c r="A3467" i="1"/>
  <c r="C3466" i="1"/>
  <c r="B3466" i="1"/>
  <c r="A3466" i="1"/>
  <c r="C3465" i="1"/>
  <c r="B3465" i="1"/>
  <c r="A3465" i="1"/>
  <c r="C3464" i="1"/>
  <c r="B3464" i="1"/>
  <c r="A3464" i="1"/>
  <c r="C3463" i="1"/>
  <c r="B3463" i="1"/>
  <c r="A3463" i="1"/>
  <c r="C3462" i="1"/>
  <c r="B3462" i="1"/>
  <c r="A3462" i="1"/>
  <c r="C3461" i="1"/>
  <c r="B3461" i="1"/>
  <c r="A3461" i="1"/>
  <c r="C3460" i="1"/>
  <c r="B3460" i="1"/>
  <c r="A3460" i="1"/>
  <c r="C3459" i="1"/>
  <c r="B3459" i="1"/>
  <c r="A3459" i="1"/>
  <c r="C3458" i="1"/>
  <c r="B3458" i="1"/>
  <c r="A3458" i="1"/>
  <c r="C3457" i="1"/>
  <c r="B3457" i="1"/>
  <c r="A3457" i="1"/>
  <c r="C3456" i="1"/>
  <c r="B3456" i="1"/>
  <c r="A3456" i="1"/>
  <c r="C3455" i="1"/>
  <c r="B3455" i="1"/>
  <c r="A3455" i="1"/>
  <c r="C3454" i="1"/>
  <c r="B3454" i="1"/>
  <c r="A3454" i="1"/>
  <c r="C3453" i="1"/>
  <c r="B3453" i="1"/>
  <c r="A3453" i="1"/>
  <c r="C3452" i="1"/>
  <c r="B3452" i="1"/>
  <c r="A3452" i="1"/>
  <c r="C3451" i="1"/>
  <c r="B3451" i="1"/>
  <c r="A3451" i="1"/>
  <c r="C3450" i="1"/>
  <c r="B3450" i="1"/>
  <c r="A3450" i="1"/>
  <c r="C3449" i="1"/>
  <c r="B3449" i="1"/>
  <c r="A3449" i="1"/>
  <c r="C3448" i="1"/>
  <c r="B3448" i="1"/>
  <c r="A3448" i="1"/>
  <c r="C3447" i="1"/>
  <c r="B3447" i="1"/>
  <c r="A3447" i="1"/>
  <c r="C3446" i="1"/>
  <c r="B3446" i="1"/>
  <c r="A3446" i="1"/>
  <c r="C3445" i="1"/>
  <c r="B3445" i="1"/>
  <c r="A3445" i="1"/>
  <c r="C3444" i="1"/>
  <c r="B3444" i="1"/>
  <c r="A3444" i="1"/>
  <c r="C3443" i="1"/>
  <c r="B3443" i="1"/>
  <c r="A3443" i="1"/>
  <c r="C3442" i="1"/>
  <c r="B3442" i="1"/>
  <c r="A3442" i="1"/>
  <c r="C3441" i="1"/>
  <c r="B3441" i="1"/>
  <c r="A3441" i="1"/>
  <c r="C3440" i="1"/>
  <c r="B3440" i="1"/>
  <c r="A3440" i="1"/>
  <c r="C3439" i="1"/>
  <c r="B3439" i="1"/>
  <c r="A3439" i="1"/>
  <c r="C3438" i="1"/>
  <c r="B3438" i="1"/>
  <c r="A3438" i="1"/>
  <c r="C3437" i="1"/>
  <c r="B3437" i="1"/>
  <c r="A3437" i="1"/>
  <c r="C3436" i="1"/>
  <c r="B3436" i="1"/>
  <c r="A3436" i="1"/>
  <c r="C3435" i="1"/>
  <c r="B3435" i="1"/>
  <c r="A3435" i="1"/>
  <c r="C3434" i="1"/>
  <c r="B3434" i="1"/>
  <c r="A3434" i="1"/>
  <c r="C3433" i="1"/>
  <c r="B3433" i="1"/>
  <c r="A3433" i="1"/>
  <c r="C3432" i="1"/>
  <c r="B3432" i="1"/>
  <c r="A3432" i="1"/>
  <c r="C3431" i="1"/>
  <c r="B3431" i="1"/>
  <c r="A3431" i="1"/>
  <c r="C3430" i="1"/>
  <c r="B3430" i="1"/>
  <c r="A3430" i="1"/>
  <c r="C3429" i="1"/>
  <c r="B3429" i="1"/>
  <c r="A3429" i="1"/>
  <c r="C3428" i="1"/>
  <c r="B3428" i="1"/>
  <c r="A3428" i="1"/>
  <c r="C3427" i="1"/>
  <c r="B3427" i="1"/>
  <c r="A3427" i="1"/>
  <c r="C3426" i="1"/>
  <c r="B3426" i="1"/>
  <c r="A3426" i="1"/>
  <c r="C3425" i="1"/>
  <c r="B3425" i="1"/>
  <c r="A3425" i="1"/>
  <c r="C3424" i="1"/>
  <c r="B3424" i="1"/>
  <c r="A3424" i="1"/>
  <c r="C3423" i="1"/>
  <c r="B3423" i="1"/>
  <c r="A3423" i="1"/>
  <c r="C3422" i="1"/>
  <c r="B3422" i="1"/>
  <c r="A3422" i="1"/>
  <c r="C3421" i="1"/>
  <c r="B3421" i="1"/>
  <c r="A3421" i="1"/>
  <c r="C3420" i="1"/>
  <c r="B3420" i="1"/>
  <c r="A3420" i="1"/>
  <c r="C3419" i="1"/>
  <c r="B3419" i="1"/>
  <c r="A3419" i="1"/>
  <c r="C3418" i="1"/>
  <c r="B3418" i="1"/>
  <c r="A3418" i="1"/>
  <c r="C3417" i="1"/>
  <c r="B3417" i="1"/>
  <c r="A3417" i="1"/>
  <c r="C3416" i="1"/>
  <c r="B3416" i="1"/>
  <c r="A3416" i="1"/>
  <c r="C3415" i="1"/>
  <c r="B3415" i="1"/>
  <c r="A3415" i="1"/>
  <c r="C3414" i="1"/>
  <c r="B3414" i="1"/>
  <c r="A3414" i="1"/>
  <c r="C3413" i="1"/>
  <c r="B3413" i="1"/>
  <c r="A3413" i="1"/>
  <c r="C3412" i="1"/>
  <c r="B3412" i="1"/>
  <c r="A3412" i="1"/>
  <c r="C3411" i="1"/>
  <c r="B3411" i="1"/>
  <c r="A3411" i="1"/>
  <c r="C3410" i="1"/>
  <c r="B3410" i="1"/>
  <c r="A3410" i="1"/>
  <c r="C3409" i="1"/>
  <c r="B3409" i="1"/>
  <c r="A3409" i="1"/>
  <c r="C3408" i="1"/>
  <c r="B3408" i="1"/>
  <c r="A3408" i="1"/>
  <c r="C3407" i="1"/>
  <c r="B3407" i="1"/>
  <c r="A3407" i="1"/>
  <c r="C3406" i="1"/>
  <c r="B3406" i="1"/>
  <c r="A3406" i="1"/>
  <c r="C3405" i="1"/>
  <c r="B3405" i="1"/>
  <c r="A3405" i="1"/>
  <c r="C3404" i="1"/>
  <c r="B3404" i="1"/>
  <c r="A3404" i="1"/>
  <c r="C3403" i="1"/>
  <c r="B3403" i="1"/>
  <c r="A3403" i="1"/>
  <c r="C3402" i="1"/>
  <c r="B3402" i="1"/>
  <c r="A3402" i="1"/>
  <c r="C3401" i="1"/>
  <c r="B3401" i="1"/>
  <c r="A3401" i="1"/>
  <c r="C3400" i="1"/>
  <c r="B3400" i="1"/>
  <c r="A3400" i="1"/>
  <c r="C3399" i="1"/>
  <c r="B3399" i="1"/>
  <c r="A3399" i="1"/>
  <c r="C3398" i="1"/>
  <c r="B3398" i="1"/>
  <c r="A3398" i="1"/>
  <c r="C3397" i="1"/>
  <c r="B3397" i="1"/>
  <c r="A3397" i="1"/>
  <c r="C3396" i="1"/>
  <c r="B3396" i="1"/>
  <c r="A3396" i="1"/>
  <c r="C3395" i="1"/>
  <c r="B3395" i="1"/>
  <c r="A3395" i="1"/>
  <c r="C3394" i="1"/>
  <c r="B3394" i="1"/>
  <c r="A3394" i="1"/>
  <c r="C3393" i="1"/>
  <c r="B3393" i="1"/>
  <c r="A3393" i="1"/>
  <c r="C3392" i="1"/>
  <c r="B3392" i="1"/>
  <c r="A3392" i="1"/>
  <c r="C3391" i="1"/>
  <c r="B3391" i="1"/>
  <c r="A3391" i="1"/>
  <c r="C3390" i="1"/>
  <c r="B3390" i="1"/>
  <c r="A3390" i="1"/>
  <c r="C3389" i="1"/>
  <c r="B3389" i="1"/>
  <c r="A3389" i="1"/>
  <c r="C3388" i="1"/>
  <c r="B3388" i="1"/>
  <c r="A3388" i="1"/>
  <c r="C3387" i="1"/>
  <c r="B3387" i="1"/>
  <c r="A3387" i="1"/>
  <c r="C3386" i="1"/>
  <c r="B3386" i="1"/>
  <c r="A3386" i="1"/>
  <c r="C3385" i="1"/>
  <c r="B3385" i="1"/>
  <c r="A3385" i="1"/>
  <c r="C3384" i="1"/>
  <c r="B3384" i="1"/>
  <c r="A3384" i="1"/>
  <c r="C3383" i="1"/>
  <c r="B3383" i="1"/>
  <c r="A3383" i="1"/>
  <c r="C3382" i="1"/>
  <c r="B3382" i="1"/>
  <c r="A3382" i="1"/>
  <c r="C3381" i="1"/>
  <c r="B3381" i="1"/>
  <c r="A3381" i="1"/>
  <c r="C3380" i="1"/>
  <c r="B3380" i="1"/>
  <c r="A3380" i="1"/>
  <c r="C3379" i="1"/>
  <c r="B3379" i="1"/>
  <c r="A3379" i="1"/>
  <c r="C3378" i="1"/>
  <c r="B3378" i="1"/>
  <c r="A3378" i="1"/>
  <c r="C3377" i="1"/>
  <c r="B3377" i="1"/>
  <c r="A3377" i="1"/>
  <c r="C3376" i="1"/>
  <c r="B3376" i="1"/>
  <c r="A3376" i="1"/>
  <c r="C3375" i="1"/>
  <c r="B3375" i="1"/>
  <c r="A3375" i="1"/>
  <c r="C3374" i="1"/>
  <c r="B3374" i="1"/>
  <c r="A3374" i="1"/>
  <c r="C3373" i="1"/>
  <c r="B3373" i="1"/>
  <c r="A3373" i="1"/>
  <c r="C3372" i="1"/>
  <c r="B3372" i="1"/>
  <c r="A3372" i="1"/>
  <c r="C3371" i="1"/>
  <c r="B3371" i="1"/>
  <c r="A3371" i="1"/>
  <c r="C3370" i="1"/>
  <c r="B3370" i="1"/>
  <c r="A3370" i="1"/>
  <c r="C3369" i="1"/>
  <c r="B3369" i="1"/>
  <c r="A3369" i="1"/>
  <c r="C3368" i="1"/>
  <c r="B3368" i="1"/>
  <c r="A3368" i="1"/>
  <c r="C3367" i="1"/>
  <c r="B3367" i="1"/>
  <c r="A3367" i="1"/>
  <c r="C3366" i="1"/>
  <c r="B3366" i="1"/>
  <c r="A3366" i="1"/>
  <c r="C3365" i="1"/>
  <c r="B3365" i="1"/>
  <c r="A3365" i="1"/>
  <c r="C3364" i="1"/>
  <c r="B3364" i="1"/>
  <c r="A3364" i="1"/>
  <c r="C3363" i="1"/>
  <c r="B3363" i="1"/>
  <c r="A3363" i="1"/>
  <c r="C3362" i="1"/>
  <c r="B3362" i="1"/>
  <c r="A3362" i="1"/>
  <c r="C3361" i="1"/>
  <c r="B3361" i="1"/>
  <c r="A3361" i="1"/>
  <c r="C3360" i="1"/>
  <c r="B3360" i="1"/>
  <c r="A3360" i="1"/>
  <c r="C3359" i="1"/>
  <c r="B3359" i="1"/>
  <c r="A3359" i="1"/>
  <c r="C3358" i="1"/>
  <c r="B3358" i="1"/>
  <c r="A3358" i="1"/>
  <c r="C3357" i="1"/>
  <c r="B3357" i="1"/>
  <c r="A3357" i="1"/>
  <c r="C3356" i="1"/>
  <c r="B3356" i="1"/>
  <c r="A3356" i="1"/>
  <c r="C3355" i="1"/>
  <c r="B3355" i="1"/>
  <c r="A3355" i="1"/>
  <c r="C3354" i="1"/>
  <c r="B3354" i="1"/>
  <c r="A3354" i="1"/>
  <c r="C3353" i="1"/>
  <c r="B3353" i="1"/>
  <c r="A3353" i="1"/>
  <c r="C3352" i="1"/>
  <c r="B3352" i="1"/>
  <c r="A3352" i="1"/>
  <c r="C3351" i="1"/>
  <c r="B3351" i="1"/>
  <c r="A3351" i="1"/>
  <c r="C3350" i="1"/>
  <c r="B3350" i="1"/>
  <c r="A3350" i="1"/>
  <c r="C3349" i="1"/>
  <c r="B3349" i="1"/>
  <c r="A3349" i="1"/>
  <c r="C3348" i="1"/>
  <c r="B3348" i="1"/>
  <c r="A3348" i="1"/>
  <c r="C3347" i="1"/>
  <c r="B3347" i="1"/>
  <c r="A3347" i="1"/>
  <c r="C3346" i="1"/>
  <c r="B3346" i="1"/>
  <c r="A3346" i="1"/>
  <c r="C3345" i="1"/>
  <c r="B3345" i="1"/>
  <c r="A3345" i="1"/>
  <c r="C3344" i="1"/>
  <c r="B3344" i="1"/>
  <c r="A3344" i="1"/>
  <c r="C3343" i="1"/>
  <c r="B3343" i="1"/>
  <c r="A3343" i="1"/>
  <c r="C3342" i="1"/>
  <c r="B3342" i="1"/>
  <c r="A3342" i="1"/>
  <c r="C3341" i="1"/>
  <c r="B3341" i="1"/>
  <c r="A3341" i="1"/>
  <c r="C3340" i="1"/>
  <c r="B3340" i="1"/>
  <c r="A3340" i="1"/>
  <c r="C3339" i="1"/>
  <c r="B3339" i="1"/>
  <c r="A3339" i="1"/>
  <c r="C3338" i="1"/>
  <c r="B3338" i="1"/>
  <c r="A3338" i="1"/>
  <c r="C3337" i="1"/>
  <c r="B3337" i="1"/>
  <c r="A3337" i="1"/>
  <c r="C3336" i="1"/>
  <c r="B3336" i="1"/>
  <c r="A3336" i="1"/>
  <c r="C3335" i="1"/>
  <c r="B3335" i="1"/>
  <c r="A3335" i="1"/>
  <c r="C3334" i="1"/>
  <c r="B3334" i="1"/>
  <c r="A3334" i="1"/>
  <c r="C3333" i="1"/>
  <c r="B3333" i="1"/>
  <c r="A3333" i="1"/>
  <c r="C3332" i="1"/>
  <c r="B3332" i="1"/>
  <c r="A3332" i="1"/>
  <c r="C3331" i="1"/>
  <c r="B3331" i="1"/>
  <c r="A3331" i="1"/>
  <c r="C3330" i="1"/>
  <c r="B3330" i="1"/>
  <c r="A3330" i="1"/>
  <c r="C3329" i="1"/>
  <c r="B3329" i="1"/>
  <c r="A3329" i="1"/>
  <c r="C3328" i="1"/>
  <c r="B3328" i="1"/>
  <c r="A3328" i="1"/>
  <c r="C3327" i="1"/>
  <c r="B3327" i="1"/>
  <c r="A3327" i="1"/>
  <c r="C3326" i="1"/>
  <c r="B3326" i="1"/>
  <c r="A3326" i="1"/>
  <c r="C3325" i="1"/>
  <c r="B3325" i="1"/>
  <c r="A3325" i="1"/>
  <c r="C3324" i="1"/>
  <c r="B3324" i="1"/>
  <c r="A3324" i="1"/>
  <c r="C3323" i="1"/>
  <c r="B3323" i="1"/>
  <c r="A3323" i="1"/>
  <c r="C3322" i="1"/>
  <c r="B3322" i="1"/>
  <c r="A3322" i="1"/>
  <c r="C3321" i="1"/>
  <c r="B3321" i="1"/>
  <c r="A3321" i="1"/>
  <c r="C3320" i="1"/>
  <c r="B3320" i="1"/>
  <c r="A3320" i="1"/>
  <c r="C3319" i="1"/>
  <c r="B3319" i="1"/>
  <c r="A3319" i="1"/>
  <c r="C3318" i="1"/>
  <c r="B3318" i="1"/>
  <c r="A3318" i="1"/>
  <c r="C3317" i="1"/>
  <c r="B3317" i="1"/>
  <c r="A3317" i="1"/>
  <c r="C3316" i="1"/>
  <c r="B3316" i="1"/>
  <c r="A3316" i="1"/>
  <c r="C3315" i="1"/>
  <c r="B3315" i="1"/>
  <c r="A3315" i="1"/>
  <c r="C3314" i="1"/>
  <c r="B3314" i="1"/>
  <c r="A3314" i="1"/>
  <c r="C3313" i="1"/>
  <c r="B3313" i="1"/>
  <c r="A3313" i="1"/>
  <c r="C3312" i="1"/>
  <c r="B3312" i="1"/>
  <c r="A3312" i="1"/>
  <c r="C3311" i="1"/>
  <c r="B3311" i="1"/>
  <c r="A3311" i="1"/>
  <c r="C3310" i="1"/>
  <c r="B3310" i="1"/>
  <c r="A3310" i="1"/>
  <c r="C3309" i="1"/>
  <c r="B3309" i="1"/>
  <c r="A3309" i="1"/>
  <c r="C3308" i="1"/>
  <c r="B3308" i="1"/>
  <c r="A3308" i="1"/>
  <c r="C3307" i="1"/>
  <c r="B3307" i="1"/>
  <c r="A3307" i="1"/>
  <c r="C3306" i="1"/>
  <c r="B3306" i="1"/>
  <c r="A3306" i="1"/>
  <c r="C3305" i="1"/>
  <c r="B3305" i="1"/>
  <c r="A3305" i="1"/>
  <c r="C3304" i="1"/>
  <c r="B3304" i="1"/>
  <c r="A3304" i="1"/>
  <c r="C3303" i="1"/>
  <c r="B3303" i="1"/>
  <c r="A3303" i="1"/>
  <c r="C3302" i="1"/>
  <c r="B3302" i="1"/>
  <c r="A3302" i="1"/>
  <c r="C3301" i="1"/>
  <c r="B3301" i="1"/>
  <c r="A3301" i="1"/>
  <c r="C3300" i="1"/>
  <c r="B3300" i="1"/>
  <c r="A3300" i="1"/>
  <c r="C3299" i="1"/>
  <c r="B3299" i="1"/>
  <c r="A3299" i="1"/>
  <c r="C3298" i="1"/>
  <c r="B3298" i="1"/>
  <c r="A3298" i="1"/>
  <c r="C3297" i="1"/>
  <c r="B3297" i="1"/>
  <c r="A3297" i="1"/>
  <c r="C3296" i="1"/>
  <c r="B3296" i="1"/>
  <c r="A3296" i="1"/>
  <c r="C3295" i="1"/>
  <c r="B3295" i="1"/>
  <c r="A3295" i="1"/>
  <c r="C3294" i="1"/>
  <c r="B3294" i="1"/>
  <c r="A3294" i="1"/>
  <c r="C3293" i="1"/>
  <c r="B3293" i="1"/>
  <c r="A3293" i="1"/>
  <c r="C3292" i="1"/>
  <c r="B3292" i="1"/>
  <c r="A3292" i="1"/>
  <c r="C3291" i="1"/>
  <c r="B3291" i="1"/>
  <c r="A3291" i="1"/>
  <c r="C3290" i="1"/>
  <c r="B3290" i="1"/>
  <c r="A3290" i="1"/>
  <c r="C3289" i="1"/>
  <c r="B3289" i="1"/>
  <c r="A3289" i="1"/>
  <c r="C3288" i="1"/>
  <c r="B3288" i="1"/>
  <c r="A3288" i="1"/>
  <c r="C3287" i="1"/>
  <c r="B3287" i="1"/>
  <c r="A3287" i="1"/>
  <c r="C3286" i="1"/>
  <c r="B3286" i="1"/>
  <c r="A3286" i="1"/>
  <c r="C3285" i="1"/>
  <c r="B3285" i="1"/>
  <c r="A3285" i="1"/>
  <c r="C3284" i="1"/>
  <c r="B3284" i="1"/>
  <c r="A3284" i="1"/>
  <c r="C3283" i="1"/>
  <c r="B3283" i="1"/>
  <c r="A3283" i="1"/>
  <c r="C3282" i="1"/>
  <c r="B3282" i="1"/>
  <c r="A3282" i="1"/>
  <c r="C3281" i="1"/>
  <c r="B3281" i="1"/>
  <c r="A3281" i="1"/>
  <c r="C3280" i="1"/>
  <c r="B3280" i="1"/>
  <c r="A3280" i="1"/>
  <c r="C3279" i="1"/>
  <c r="B3279" i="1"/>
  <c r="A3279" i="1"/>
  <c r="C3278" i="1"/>
  <c r="B3278" i="1"/>
  <c r="A3278" i="1"/>
  <c r="C3277" i="1"/>
  <c r="B3277" i="1"/>
  <c r="A3277" i="1"/>
  <c r="C3276" i="1"/>
  <c r="B3276" i="1"/>
  <c r="A3276" i="1"/>
  <c r="C3275" i="1"/>
  <c r="B3275" i="1"/>
  <c r="A3275" i="1"/>
  <c r="C3274" i="1"/>
  <c r="B3274" i="1"/>
  <c r="A3274" i="1"/>
  <c r="C3273" i="1"/>
  <c r="B3273" i="1"/>
  <c r="A3273" i="1"/>
  <c r="C3272" i="1"/>
  <c r="B3272" i="1"/>
  <c r="A3272" i="1"/>
  <c r="C3271" i="1"/>
  <c r="B3271" i="1"/>
  <c r="A3271" i="1"/>
  <c r="C3270" i="1"/>
  <c r="B3270" i="1"/>
  <c r="A3270" i="1"/>
  <c r="C3269" i="1"/>
  <c r="B3269" i="1"/>
  <c r="A3269" i="1"/>
  <c r="C3268" i="1"/>
  <c r="B3268" i="1"/>
  <c r="A3268" i="1"/>
  <c r="C3267" i="1"/>
  <c r="B3267" i="1"/>
  <c r="A3267" i="1"/>
  <c r="C3266" i="1"/>
  <c r="B3266" i="1"/>
  <c r="A3266" i="1"/>
  <c r="C3265" i="1"/>
  <c r="B3265" i="1"/>
  <c r="A3265" i="1"/>
  <c r="C3264" i="1"/>
  <c r="B3264" i="1"/>
  <c r="A3264" i="1"/>
  <c r="C3263" i="1"/>
  <c r="B3263" i="1"/>
  <c r="A3263" i="1"/>
  <c r="C3262" i="1"/>
  <c r="B3262" i="1"/>
  <c r="A3262" i="1"/>
  <c r="C3261" i="1"/>
  <c r="B3261" i="1"/>
  <c r="A3261" i="1"/>
  <c r="C3260" i="1"/>
  <c r="B3260" i="1"/>
  <c r="A3260" i="1"/>
  <c r="C3259" i="1"/>
  <c r="B3259" i="1"/>
  <c r="A3259" i="1"/>
  <c r="C3258" i="1"/>
  <c r="B3258" i="1"/>
  <c r="A3258" i="1"/>
  <c r="C3257" i="1"/>
  <c r="B3257" i="1"/>
  <c r="A3257" i="1"/>
  <c r="C3256" i="1"/>
  <c r="B3256" i="1"/>
  <c r="A3256" i="1"/>
  <c r="C3255" i="1"/>
  <c r="B3255" i="1"/>
  <c r="A3255" i="1"/>
  <c r="C3254" i="1"/>
  <c r="B3254" i="1"/>
  <c r="A3254" i="1"/>
  <c r="C3253" i="1"/>
  <c r="B3253" i="1"/>
  <c r="A3253" i="1"/>
  <c r="C3252" i="1"/>
  <c r="B3252" i="1"/>
  <c r="A3252" i="1"/>
  <c r="C3251" i="1"/>
  <c r="B3251" i="1"/>
  <c r="A3251" i="1"/>
  <c r="C3250" i="1"/>
  <c r="B3250" i="1"/>
  <c r="A3250" i="1"/>
  <c r="C3249" i="1"/>
  <c r="B3249" i="1"/>
  <c r="A3249" i="1"/>
  <c r="C3248" i="1"/>
  <c r="B3248" i="1"/>
  <c r="A3248" i="1"/>
  <c r="C3247" i="1"/>
  <c r="B3247" i="1"/>
  <c r="A3247" i="1"/>
  <c r="C3246" i="1"/>
  <c r="B3246" i="1"/>
  <c r="A3246" i="1"/>
  <c r="C3245" i="1"/>
  <c r="B3245" i="1"/>
  <c r="A3245" i="1"/>
  <c r="C3244" i="1"/>
  <c r="B3244" i="1"/>
  <c r="A3244" i="1"/>
  <c r="C3243" i="1"/>
  <c r="B3243" i="1"/>
  <c r="A3243" i="1"/>
  <c r="C3242" i="1"/>
  <c r="B3242" i="1"/>
  <c r="A3242" i="1"/>
  <c r="C3241" i="1"/>
  <c r="B3241" i="1"/>
  <c r="A3241" i="1"/>
  <c r="C3240" i="1"/>
  <c r="B3240" i="1"/>
  <c r="A3240" i="1"/>
  <c r="C3239" i="1"/>
  <c r="B3239" i="1"/>
  <c r="A3239" i="1"/>
  <c r="C3238" i="1"/>
  <c r="B3238" i="1"/>
  <c r="A3238" i="1"/>
  <c r="C3237" i="1"/>
  <c r="B3237" i="1"/>
  <c r="A3237" i="1"/>
  <c r="C3236" i="1"/>
  <c r="B3236" i="1"/>
  <c r="A3236" i="1"/>
  <c r="C3235" i="1"/>
  <c r="B3235" i="1"/>
  <c r="A3235" i="1"/>
  <c r="C3234" i="1"/>
  <c r="B3234" i="1"/>
  <c r="A3234" i="1"/>
  <c r="C3233" i="1"/>
  <c r="B3233" i="1"/>
  <c r="A3233" i="1"/>
  <c r="C3232" i="1"/>
  <c r="B3232" i="1"/>
  <c r="A3232" i="1"/>
  <c r="C3231" i="1"/>
  <c r="B3231" i="1"/>
  <c r="A3231" i="1"/>
  <c r="C3230" i="1"/>
  <c r="B3230" i="1"/>
  <c r="A3230" i="1"/>
  <c r="C3229" i="1"/>
  <c r="B3229" i="1"/>
  <c r="A3229" i="1"/>
  <c r="C3228" i="1"/>
  <c r="B3228" i="1"/>
  <c r="A3228" i="1"/>
  <c r="C3227" i="1"/>
  <c r="B3227" i="1"/>
  <c r="A3227" i="1"/>
  <c r="C3226" i="1"/>
  <c r="B3226" i="1"/>
  <c r="A3226" i="1"/>
  <c r="C3225" i="1"/>
  <c r="B3225" i="1"/>
  <c r="A3225" i="1"/>
  <c r="C3224" i="1"/>
  <c r="B3224" i="1"/>
  <c r="A3224" i="1"/>
  <c r="C3223" i="1"/>
  <c r="B3223" i="1"/>
  <c r="A3223" i="1"/>
  <c r="C3222" i="1"/>
  <c r="B3222" i="1"/>
  <c r="A3222" i="1"/>
  <c r="C3221" i="1"/>
  <c r="B3221" i="1"/>
  <c r="A3221" i="1"/>
  <c r="C3220" i="1"/>
  <c r="B3220" i="1"/>
  <c r="A3220" i="1"/>
  <c r="C3219" i="1"/>
  <c r="B3219" i="1"/>
  <c r="A3219" i="1"/>
  <c r="C3218" i="1"/>
  <c r="B3218" i="1"/>
  <c r="A3218" i="1"/>
  <c r="C3217" i="1"/>
  <c r="B3217" i="1"/>
  <c r="A3217" i="1"/>
  <c r="C3216" i="1"/>
  <c r="B3216" i="1"/>
  <c r="A3216" i="1"/>
  <c r="C3215" i="1"/>
  <c r="B3215" i="1"/>
  <c r="A3215" i="1"/>
  <c r="C3214" i="1"/>
  <c r="B3214" i="1"/>
  <c r="A3214" i="1"/>
  <c r="C3213" i="1"/>
  <c r="B3213" i="1"/>
  <c r="A3213" i="1"/>
  <c r="C3212" i="1"/>
  <c r="B3212" i="1"/>
  <c r="A3212" i="1"/>
  <c r="C3211" i="1"/>
  <c r="B3211" i="1"/>
  <c r="A3211" i="1"/>
  <c r="C3210" i="1"/>
  <c r="B3210" i="1"/>
  <c r="A3210" i="1"/>
  <c r="C3209" i="1"/>
  <c r="B3209" i="1"/>
  <c r="A3209" i="1"/>
  <c r="C3208" i="1"/>
  <c r="B3208" i="1"/>
  <c r="A3208" i="1"/>
  <c r="C3207" i="1"/>
  <c r="B3207" i="1"/>
  <c r="A3207" i="1"/>
  <c r="C3206" i="1"/>
  <c r="B3206" i="1"/>
  <c r="A3206" i="1"/>
  <c r="C3205" i="1"/>
  <c r="B3205" i="1"/>
  <c r="A3205" i="1"/>
  <c r="C3204" i="1"/>
  <c r="B3204" i="1"/>
  <c r="A3204" i="1"/>
  <c r="C3203" i="1"/>
  <c r="B3203" i="1"/>
  <c r="A3203" i="1"/>
  <c r="C3202" i="1"/>
  <c r="B3202" i="1"/>
  <c r="A3202" i="1"/>
  <c r="C3201" i="1"/>
  <c r="B3201" i="1"/>
  <c r="A3201" i="1"/>
  <c r="C3200" i="1"/>
  <c r="B3200" i="1"/>
  <c r="A3200" i="1"/>
  <c r="C3199" i="1"/>
  <c r="B3199" i="1"/>
  <c r="A3199" i="1"/>
  <c r="C3198" i="1"/>
  <c r="B3198" i="1"/>
  <c r="A3198" i="1"/>
  <c r="C3197" i="1"/>
  <c r="B3197" i="1"/>
  <c r="A3197" i="1"/>
  <c r="C3196" i="1"/>
  <c r="B3196" i="1"/>
  <c r="A3196" i="1"/>
  <c r="C3195" i="1"/>
  <c r="B3195" i="1"/>
  <c r="A3195" i="1"/>
  <c r="C3194" i="1"/>
  <c r="B3194" i="1"/>
  <c r="A3194" i="1"/>
  <c r="C3193" i="1"/>
  <c r="B3193" i="1"/>
  <c r="A3193" i="1"/>
  <c r="C3192" i="1"/>
  <c r="B3192" i="1"/>
  <c r="A3192" i="1"/>
  <c r="C3191" i="1"/>
  <c r="B3191" i="1"/>
  <c r="A3191" i="1"/>
  <c r="C3190" i="1"/>
  <c r="B3190" i="1"/>
  <c r="A3190" i="1"/>
  <c r="C3189" i="1"/>
  <c r="B3189" i="1"/>
  <c r="A3189" i="1"/>
  <c r="C3188" i="1"/>
  <c r="B3188" i="1"/>
  <c r="A3188" i="1"/>
  <c r="C3187" i="1"/>
  <c r="B3187" i="1"/>
  <c r="A3187" i="1"/>
  <c r="C3186" i="1"/>
  <c r="B3186" i="1"/>
  <c r="A3186" i="1"/>
  <c r="C3185" i="1"/>
  <c r="B3185" i="1"/>
  <c r="A3185" i="1"/>
  <c r="C3184" i="1"/>
  <c r="B3184" i="1"/>
  <c r="A3184" i="1"/>
  <c r="C3183" i="1"/>
  <c r="B3183" i="1"/>
  <c r="A3183" i="1"/>
  <c r="C3182" i="1"/>
  <c r="B3182" i="1"/>
  <c r="A3182" i="1"/>
  <c r="C3181" i="1"/>
  <c r="B3181" i="1"/>
  <c r="A3181" i="1"/>
  <c r="C3180" i="1"/>
  <c r="B3180" i="1"/>
  <c r="A3180" i="1"/>
  <c r="C3179" i="1"/>
  <c r="B3179" i="1"/>
  <c r="A3179" i="1"/>
  <c r="C3178" i="1"/>
  <c r="B3178" i="1"/>
  <c r="A3178" i="1"/>
  <c r="C3177" i="1"/>
  <c r="B3177" i="1"/>
  <c r="A3177" i="1"/>
  <c r="C3176" i="1"/>
  <c r="B3176" i="1"/>
  <c r="A3176" i="1"/>
  <c r="C3175" i="1"/>
  <c r="B3175" i="1"/>
  <c r="A3175" i="1"/>
  <c r="C3174" i="1"/>
  <c r="B3174" i="1"/>
  <c r="A3174" i="1"/>
  <c r="C3173" i="1"/>
  <c r="B3173" i="1"/>
  <c r="A3173" i="1"/>
  <c r="C3172" i="1"/>
  <c r="B3172" i="1"/>
  <c r="A3172" i="1"/>
  <c r="C3171" i="1"/>
  <c r="B3171" i="1"/>
  <c r="A3171" i="1"/>
  <c r="C3170" i="1"/>
  <c r="B3170" i="1"/>
  <c r="A3170" i="1"/>
  <c r="C3169" i="1"/>
  <c r="B3169" i="1"/>
  <c r="A3169" i="1"/>
  <c r="C3168" i="1"/>
  <c r="B3168" i="1"/>
  <c r="A3168" i="1"/>
  <c r="C3167" i="1"/>
  <c r="B3167" i="1"/>
  <c r="A3167" i="1"/>
  <c r="C3166" i="1"/>
  <c r="B3166" i="1"/>
  <c r="A3166" i="1"/>
  <c r="C3165" i="1"/>
  <c r="B3165" i="1"/>
  <c r="A3165" i="1"/>
  <c r="C3164" i="1"/>
  <c r="B3164" i="1"/>
  <c r="A3164" i="1"/>
  <c r="C3163" i="1"/>
  <c r="B3163" i="1"/>
  <c r="A3163" i="1"/>
  <c r="C3162" i="1"/>
  <c r="B3162" i="1"/>
  <c r="A3162" i="1"/>
  <c r="C3161" i="1"/>
  <c r="B3161" i="1"/>
  <c r="A3161" i="1"/>
  <c r="C3160" i="1"/>
  <c r="B3160" i="1"/>
  <c r="A3160" i="1"/>
  <c r="C3159" i="1"/>
  <c r="B3159" i="1"/>
  <c r="A3159" i="1"/>
  <c r="C3158" i="1"/>
  <c r="B3158" i="1"/>
  <c r="A3158" i="1"/>
  <c r="C3157" i="1"/>
  <c r="B3157" i="1"/>
  <c r="A3157" i="1"/>
  <c r="C3156" i="1"/>
  <c r="B3156" i="1"/>
  <c r="A3156" i="1"/>
  <c r="C3155" i="1"/>
  <c r="B3155" i="1"/>
  <c r="A3155" i="1"/>
  <c r="C3154" i="1"/>
  <c r="B3154" i="1"/>
  <c r="A3154" i="1"/>
  <c r="C3153" i="1"/>
  <c r="B3153" i="1"/>
  <c r="A3153" i="1"/>
  <c r="C3152" i="1"/>
  <c r="B3152" i="1"/>
  <c r="A3152" i="1"/>
  <c r="C3151" i="1"/>
  <c r="B3151" i="1"/>
  <c r="A3151" i="1"/>
  <c r="C3150" i="1"/>
  <c r="B3150" i="1"/>
  <c r="A3150" i="1"/>
  <c r="C3149" i="1"/>
  <c r="B3149" i="1"/>
  <c r="A3149" i="1"/>
  <c r="C3148" i="1"/>
  <c r="B3148" i="1"/>
  <c r="A3148" i="1"/>
  <c r="C3147" i="1"/>
  <c r="B3147" i="1"/>
  <c r="A3147" i="1"/>
  <c r="C3146" i="1"/>
  <c r="B3146" i="1"/>
  <c r="A3146" i="1"/>
  <c r="C3145" i="1"/>
  <c r="B3145" i="1"/>
  <c r="A3145" i="1"/>
  <c r="C3144" i="1"/>
  <c r="B3144" i="1"/>
  <c r="A3144" i="1"/>
  <c r="C3143" i="1"/>
  <c r="B3143" i="1"/>
  <c r="A3143" i="1"/>
  <c r="C3142" i="1"/>
  <c r="B3142" i="1"/>
  <c r="A3142" i="1"/>
  <c r="C3141" i="1"/>
  <c r="B3141" i="1"/>
  <c r="A3141" i="1"/>
  <c r="C3140" i="1"/>
  <c r="B3140" i="1"/>
  <c r="A3140" i="1"/>
  <c r="C3139" i="1"/>
  <c r="B3139" i="1"/>
  <c r="A3139" i="1"/>
  <c r="C3138" i="1"/>
  <c r="B3138" i="1"/>
  <c r="A3138" i="1"/>
  <c r="C3137" i="1"/>
  <c r="B3137" i="1"/>
  <c r="A3137" i="1"/>
  <c r="C3136" i="1"/>
  <c r="B3136" i="1"/>
  <c r="A3136" i="1"/>
  <c r="C3135" i="1"/>
  <c r="B3135" i="1"/>
  <c r="A3135" i="1"/>
  <c r="C3134" i="1"/>
  <c r="B3134" i="1"/>
  <c r="A3134" i="1"/>
  <c r="C3133" i="1"/>
  <c r="B3133" i="1"/>
  <c r="A3133" i="1"/>
  <c r="C3132" i="1"/>
  <c r="B3132" i="1"/>
  <c r="A3132" i="1"/>
  <c r="C3131" i="1"/>
  <c r="B3131" i="1"/>
  <c r="A3131" i="1"/>
  <c r="C3130" i="1"/>
  <c r="B3130" i="1"/>
  <c r="A3130" i="1"/>
  <c r="C3129" i="1"/>
  <c r="B3129" i="1"/>
  <c r="A3129" i="1"/>
  <c r="C3128" i="1"/>
  <c r="B3128" i="1"/>
  <c r="A3128" i="1"/>
  <c r="C3127" i="1"/>
  <c r="B3127" i="1"/>
  <c r="A3127" i="1"/>
  <c r="C3126" i="1"/>
  <c r="B3126" i="1"/>
  <c r="A3126" i="1"/>
  <c r="C3125" i="1"/>
  <c r="B3125" i="1"/>
  <c r="A3125" i="1"/>
  <c r="C3124" i="1"/>
  <c r="B3124" i="1"/>
  <c r="A3124" i="1"/>
  <c r="C3123" i="1"/>
  <c r="B3123" i="1"/>
  <c r="A3123" i="1"/>
  <c r="C3122" i="1"/>
  <c r="B3122" i="1"/>
  <c r="A3122" i="1"/>
  <c r="C3121" i="1"/>
  <c r="B3121" i="1"/>
  <c r="A3121" i="1"/>
  <c r="C3120" i="1"/>
  <c r="B3120" i="1"/>
  <c r="A3120" i="1"/>
  <c r="C3119" i="1"/>
  <c r="B3119" i="1"/>
  <c r="A3119" i="1"/>
  <c r="C3118" i="1"/>
  <c r="B3118" i="1"/>
  <c r="A3118" i="1"/>
  <c r="C3117" i="1"/>
  <c r="B3117" i="1"/>
  <c r="A3117" i="1"/>
  <c r="C3116" i="1"/>
  <c r="B3116" i="1"/>
  <c r="A3116" i="1"/>
  <c r="C3115" i="1"/>
  <c r="B3115" i="1"/>
  <c r="A3115" i="1"/>
  <c r="C3114" i="1"/>
  <c r="B3114" i="1"/>
  <c r="A3114" i="1"/>
  <c r="C3113" i="1"/>
  <c r="B3113" i="1"/>
  <c r="A3113" i="1"/>
  <c r="C3112" i="1"/>
  <c r="B3112" i="1"/>
  <c r="A3112" i="1"/>
  <c r="C3111" i="1"/>
  <c r="B3111" i="1"/>
  <c r="A3111" i="1"/>
  <c r="C3110" i="1"/>
  <c r="B3110" i="1"/>
  <c r="A3110" i="1"/>
  <c r="C3109" i="1"/>
  <c r="B3109" i="1"/>
  <c r="A3109" i="1"/>
  <c r="C3108" i="1"/>
  <c r="B3108" i="1"/>
  <c r="A3108" i="1"/>
  <c r="C3107" i="1"/>
  <c r="B3107" i="1"/>
  <c r="A3107" i="1"/>
  <c r="C3106" i="1"/>
  <c r="B3106" i="1"/>
  <c r="A3106" i="1"/>
  <c r="C3105" i="1"/>
  <c r="B3105" i="1"/>
  <c r="A3105" i="1"/>
  <c r="C3104" i="1"/>
  <c r="B3104" i="1"/>
  <c r="A3104" i="1"/>
  <c r="C3103" i="1"/>
  <c r="B3103" i="1"/>
  <c r="A3103" i="1"/>
  <c r="C3102" i="1"/>
  <c r="B3102" i="1"/>
  <c r="A3102" i="1"/>
  <c r="C3101" i="1"/>
  <c r="B3101" i="1"/>
  <c r="A3101" i="1"/>
  <c r="C3100" i="1"/>
  <c r="B3100" i="1"/>
  <c r="A3100" i="1"/>
  <c r="C3099" i="1"/>
  <c r="B3099" i="1"/>
  <c r="A3099" i="1"/>
  <c r="C3098" i="1"/>
  <c r="B3098" i="1"/>
  <c r="A3098" i="1"/>
  <c r="C3097" i="1"/>
  <c r="B3097" i="1"/>
  <c r="A3097" i="1"/>
  <c r="C3096" i="1"/>
  <c r="B3096" i="1"/>
  <c r="A3096" i="1"/>
  <c r="C3095" i="1"/>
  <c r="B3095" i="1"/>
  <c r="A3095" i="1"/>
  <c r="C3094" i="1"/>
  <c r="B3094" i="1"/>
  <c r="A3094" i="1"/>
  <c r="C3093" i="1"/>
  <c r="B3093" i="1"/>
  <c r="A3093" i="1"/>
  <c r="C3092" i="1"/>
  <c r="B3092" i="1"/>
  <c r="A3092" i="1"/>
  <c r="C3091" i="1"/>
  <c r="B3091" i="1"/>
  <c r="A3091" i="1"/>
  <c r="C3090" i="1"/>
  <c r="B3090" i="1"/>
  <c r="A3090" i="1"/>
  <c r="C3089" i="1"/>
  <c r="B3089" i="1"/>
  <c r="A3089" i="1"/>
  <c r="C3088" i="1"/>
  <c r="B3088" i="1"/>
  <c r="A3088" i="1"/>
  <c r="C3087" i="1"/>
  <c r="B3087" i="1"/>
  <c r="A3087" i="1"/>
  <c r="C3086" i="1"/>
  <c r="B3086" i="1"/>
  <c r="A3086" i="1"/>
  <c r="C3085" i="1"/>
  <c r="B3085" i="1"/>
  <c r="A3085" i="1"/>
  <c r="C3084" i="1"/>
  <c r="B3084" i="1"/>
  <c r="A3084" i="1"/>
  <c r="C3083" i="1"/>
  <c r="B3083" i="1"/>
  <c r="A3083" i="1"/>
  <c r="C3082" i="1"/>
  <c r="B3082" i="1"/>
  <c r="A3082" i="1"/>
  <c r="C3081" i="1"/>
  <c r="B3081" i="1"/>
  <c r="A3081" i="1"/>
  <c r="C3080" i="1"/>
  <c r="B3080" i="1"/>
  <c r="A3080" i="1"/>
  <c r="C3079" i="1"/>
  <c r="B3079" i="1"/>
  <c r="A3079" i="1"/>
  <c r="C3078" i="1"/>
  <c r="B3078" i="1"/>
  <c r="A3078" i="1"/>
  <c r="C3077" i="1"/>
  <c r="B3077" i="1"/>
  <c r="A3077" i="1"/>
  <c r="C3076" i="1"/>
  <c r="B3076" i="1"/>
  <c r="A3076" i="1"/>
  <c r="C3075" i="1"/>
  <c r="B3075" i="1"/>
  <c r="A3075" i="1"/>
  <c r="C3074" i="1"/>
  <c r="B3074" i="1"/>
  <c r="A3074" i="1"/>
  <c r="C3073" i="1"/>
  <c r="B3073" i="1"/>
  <c r="A3073" i="1"/>
  <c r="C3072" i="1"/>
  <c r="B3072" i="1"/>
  <c r="A3072" i="1"/>
  <c r="C3071" i="1"/>
  <c r="B3071" i="1"/>
  <c r="A3071" i="1"/>
  <c r="C3070" i="1"/>
  <c r="B3070" i="1"/>
  <c r="A3070" i="1"/>
  <c r="C3069" i="1"/>
  <c r="B3069" i="1"/>
  <c r="A3069" i="1"/>
  <c r="C3068" i="1"/>
  <c r="B3068" i="1"/>
  <c r="A3068" i="1"/>
  <c r="C3067" i="1"/>
  <c r="B3067" i="1"/>
  <c r="A3067" i="1"/>
  <c r="C3066" i="1"/>
  <c r="B3066" i="1"/>
  <c r="A3066" i="1"/>
  <c r="C3065" i="1"/>
  <c r="B3065" i="1"/>
  <c r="A3065" i="1"/>
  <c r="C3064" i="1"/>
  <c r="B3064" i="1"/>
  <c r="A3064" i="1"/>
  <c r="C3063" i="1"/>
  <c r="B3063" i="1"/>
  <c r="A3063" i="1"/>
  <c r="C3062" i="1"/>
  <c r="B3062" i="1"/>
  <c r="A3062" i="1"/>
  <c r="C3061" i="1"/>
  <c r="B3061" i="1"/>
  <c r="A3061" i="1"/>
  <c r="C3060" i="1"/>
  <c r="B3060" i="1"/>
  <c r="A3060" i="1"/>
  <c r="C3059" i="1"/>
  <c r="B3059" i="1"/>
  <c r="A3059" i="1"/>
  <c r="C3058" i="1"/>
  <c r="B3058" i="1"/>
  <c r="A3058" i="1"/>
  <c r="C3057" i="1"/>
  <c r="B3057" i="1"/>
  <c r="A3057" i="1"/>
  <c r="C3056" i="1"/>
  <c r="B3056" i="1"/>
  <c r="A3056" i="1"/>
  <c r="C3055" i="1"/>
  <c r="B3055" i="1"/>
  <c r="A3055" i="1"/>
  <c r="C3054" i="1"/>
  <c r="B3054" i="1"/>
  <c r="A3054" i="1"/>
  <c r="C3053" i="1"/>
  <c r="B3053" i="1"/>
  <c r="A3053" i="1"/>
  <c r="C3052" i="1"/>
  <c r="B3052" i="1"/>
  <c r="A3052" i="1"/>
  <c r="C3051" i="1"/>
  <c r="B3051" i="1"/>
  <c r="A3051" i="1"/>
  <c r="C3050" i="1"/>
  <c r="B3050" i="1"/>
  <c r="A3050" i="1"/>
  <c r="C3049" i="1"/>
  <c r="B3049" i="1"/>
  <c r="A3049" i="1"/>
  <c r="C3048" i="1"/>
  <c r="B3048" i="1"/>
  <c r="A3048" i="1"/>
  <c r="C3047" i="1"/>
  <c r="B3047" i="1"/>
  <c r="A3047" i="1"/>
  <c r="C3046" i="1"/>
  <c r="B3046" i="1"/>
  <c r="A3046" i="1"/>
  <c r="C3045" i="1"/>
  <c r="B3045" i="1"/>
  <c r="A3045" i="1"/>
  <c r="C3044" i="1"/>
  <c r="B3044" i="1"/>
  <c r="A3044" i="1"/>
  <c r="C3043" i="1"/>
  <c r="B3043" i="1"/>
  <c r="A3043" i="1"/>
  <c r="C3042" i="1"/>
  <c r="B3042" i="1"/>
  <c r="A3042" i="1"/>
  <c r="C3041" i="1"/>
  <c r="B3041" i="1"/>
  <c r="A3041" i="1"/>
  <c r="C3040" i="1"/>
  <c r="B3040" i="1"/>
  <c r="A3040" i="1"/>
  <c r="C3039" i="1"/>
  <c r="B3039" i="1"/>
  <c r="A3039" i="1"/>
  <c r="C3038" i="1"/>
  <c r="B3038" i="1"/>
  <c r="A3038" i="1"/>
  <c r="C3037" i="1"/>
  <c r="B3037" i="1"/>
  <c r="A3037" i="1"/>
  <c r="C3036" i="1"/>
  <c r="B3036" i="1"/>
  <c r="A3036" i="1"/>
  <c r="C3035" i="1"/>
  <c r="B3035" i="1"/>
  <c r="A3035" i="1"/>
  <c r="C3034" i="1"/>
  <c r="B3034" i="1"/>
  <c r="A3034" i="1"/>
  <c r="C3033" i="1"/>
  <c r="B3033" i="1"/>
  <c r="A3033" i="1"/>
  <c r="C3032" i="1"/>
  <c r="B3032" i="1"/>
  <c r="A3032" i="1"/>
  <c r="C3031" i="1"/>
  <c r="B3031" i="1"/>
  <c r="A3031" i="1"/>
  <c r="C3030" i="1"/>
  <c r="B3030" i="1"/>
  <c r="A3030" i="1"/>
  <c r="C3029" i="1"/>
  <c r="B3029" i="1"/>
  <c r="A3029" i="1"/>
  <c r="C3028" i="1"/>
  <c r="B3028" i="1"/>
  <c r="A3028" i="1"/>
  <c r="C3027" i="1"/>
  <c r="B3027" i="1"/>
  <c r="A3027" i="1"/>
  <c r="C3026" i="1"/>
  <c r="B3026" i="1"/>
  <c r="A3026" i="1"/>
  <c r="C3025" i="1"/>
  <c r="B3025" i="1"/>
  <c r="A3025" i="1"/>
  <c r="C3024" i="1"/>
  <c r="B3024" i="1"/>
  <c r="A3024" i="1"/>
  <c r="C3023" i="1"/>
  <c r="B3023" i="1"/>
  <c r="A3023" i="1"/>
  <c r="C3022" i="1"/>
  <c r="B3022" i="1"/>
  <c r="A3022" i="1"/>
  <c r="C3021" i="1"/>
  <c r="B3021" i="1"/>
  <c r="A3021" i="1"/>
  <c r="C3020" i="1"/>
  <c r="B3020" i="1"/>
  <c r="A3020" i="1"/>
  <c r="C3019" i="1"/>
  <c r="B3019" i="1"/>
  <c r="A3019" i="1"/>
  <c r="C3018" i="1"/>
  <c r="B3018" i="1"/>
  <c r="A3018" i="1"/>
  <c r="C3017" i="1"/>
  <c r="B3017" i="1"/>
  <c r="A3017" i="1"/>
  <c r="C3016" i="1"/>
  <c r="B3016" i="1"/>
  <c r="A3016" i="1"/>
  <c r="C3015" i="1"/>
  <c r="B3015" i="1"/>
  <c r="A3015" i="1"/>
  <c r="C3014" i="1"/>
  <c r="B3014" i="1"/>
  <c r="A3014" i="1"/>
  <c r="C3013" i="1"/>
  <c r="B3013" i="1"/>
  <c r="A3013" i="1"/>
  <c r="C3012" i="1"/>
  <c r="B3012" i="1"/>
  <c r="A3012" i="1"/>
  <c r="C3011" i="1"/>
  <c r="B3011" i="1"/>
  <c r="A3011" i="1"/>
  <c r="C3010" i="1"/>
  <c r="B3010" i="1"/>
  <c r="A3010" i="1"/>
  <c r="C3009" i="1"/>
  <c r="B3009" i="1"/>
  <c r="A3009" i="1"/>
  <c r="C3008" i="1"/>
  <c r="B3008" i="1"/>
  <c r="A3008" i="1"/>
  <c r="C3007" i="1"/>
  <c r="B3007" i="1"/>
  <c r="A3007" i="1"/>
  <c r="C3006" i="1"/>
  <c r="B3006" i="1"/>
  <c r="A3006" i="1"/>
  <c r="C3005" i="1"/>
  <c r="B3005" i="1"/>
  <c r="A3005" i="1"/>
  <c r="C3004" i="1"/>
  <c r="B3004" i="1"/>
  <c r="A3004" i="1"/>
  <c r="C3003" i="1"/>
  <c r="B3003" i="1"/>
  <c r="A3003" i="1"/>
  <c r="C3002" i="1"/>
  <c r="B3002" i="1"/>
  <c r="A3002" i="1"/>
  <c r="C3001" i="1"/>
  <c r="B3001" i="1"/>
  <c r="A3001" i="1"/>
  <c r="C3000" i="1"/>
  <c r="B3000" i="1"/>
  <c r="A3000" i="1"/>
  <c r="C2999" i="1"/>
  <c r="B2999" i="1"/>
  <c r="A2999" i="1"/>
  <c r="C2998" i="1"/>
  <c r="B2998" i="1"/>
  <c r="A2998" i="1"/>
  <c r="C2997" i="1"/>
  <c r="B2997" i="1"/>
  <c r="A2997" i="1"/>
  <c r="C2996" i="1"/>
  <c r="B2996" i="1"/>
  <c r="A2996" i="1"/>
  <c r="C2995" i="1"/>
  <c r="B2995" i="1"/>
  <c r="A2995" i="1"/>
  <c r="C2994" i="1"/>
  <c r="B2994" i="1"/>
  <c r="A2994" i="1"/>
  <c r="C2993" i="1"/>
  <c r="B2993" i="1"/>
  <c r="A2993" i="1"/>
  <c r="C2992" i="1"/>
  <c r="B2992" i="1"/>
  <c r="A2992" i="1"/>
  <c r="C2991" i="1"/>
  <c r="B2991" i="1"/>
  <c r="A2991" i="1"/>
  <c r="C2990" i="1"/>
  <c r="B2990" i="1"/>
  <c r="A2990" i="1"/>
  <c r="C2989" i="1"/>
  <c r="B2989" i="1"/>
  <c r="A2989" i="1"/>
  <c r="C2988" i="1"/>
  <c r="B2988" i="1"/>
  <c r="A2988" i="1"/>
  <c r="C2987" i="1"/>
  <c r="B2987" i="1"/>
  <c r="A2987" i="1"/>
  <c r="C2986" i="1"/>
  <c r="B2986" i="1"/>
  <c r="A2986" i="1"/>
  <c r="C2985" i="1"/>
  <c r="B2985" i="1"/>
  <c r="A2985" i="1"/>
  <c r="C2984" i="1"/>
  <c r="B2984" i="1"/>
  <c r="A2984" i="1"/>
  <c r="C2983" i="1"/>
  <c r="B2983" i="1"/>
  <c r="A2983" i="1"/>
  <c r="C2982" i="1"/>
  <c r="B2982" i="1"/>
  <c r="A2982" i="1"/>
  <c r="C2981" i="1"/>
  <c r="B2981" i="1"/>
  <c r="A2981" i="1"/>
  <c r="C2980" i="1"/>
  <c r="B2980" i="1"/>
  <c r="A2980" i="1"/>
  <c r="C2979" i="1"/>
  <c r="B2979" i="1"/>
  <c r="A2979" i="1"/>
  <c r="C2978" i="1"/>
  <c r="B2978" i="1"/>
  <c r="A2978" i="1"/>
  <c r="C2977" i="1"/>
  <c r="B2977" i="1"/>
  <c r="A2977" i="1"/>
  <c r="C2976" i="1"/>
  <c r="B2976" i="1"/>
  <c r="A2976" i="1"/>
  <c r="C2975" i="1"/>
  <c r="B2975" i="1"/>
  <c r="A2975" i="1"/>
  <c r="C2974" i="1"/>
  <c r="B2974" i="1"/>
  <c r="A2974" i="1"/>
  <c r="C2973" i="1"/>
  <c r="B2973" i="1"/>
  <c r="A2973" i="1"/>
  <c r="C2972" i="1"/>
  <c r="B2972" i="1"/>
  <c r="A2972" i="1"/>
  <c r="C2971" i="1"/>
  <c r="B2971" i="1"/>
  <c r="A2971" i="1"/>
  <c r="C2970" i="1"/>
  <c r="B2970" i="1"/>
  <c r="A2970" i="1"/>
  <c r="C2969" i="1"/>
  <c r="B2969" i="1"/>
  <c r="A2969" i="1"/>
  <c r="C2968" i="1"/>
  <c r="B2968" i="1"/>
  <c r="A2968" i="1"/>
  <c r="C2967" i="1"/>
  <c r="B2967" i="1"/>
  <c r="A2967" i="1"/>
  <c r="C2966" i="1"/>
  <c r="B2966" i="1"/>
  <c r="A2966" i="1"/>
  <c r="C2965" i="1"/>
  <c r="B2965" i="1"/>
  <c r="A2965" i="1"/>
  <c r="C2964" i="1"/>
  <c r="B2964" i="1"/>
  <c r="A2964" i="1"/>
  <c r="C2963" i="1"/>
  <c r="B2963" i="1"/>
  <c r="A2963" i="1"/>
  <c r="C2962" i="1"/>
  <c r="B2962" i="1"/>
  <c r="A2962" i="1"/>
  <c r="C2961" i="1"/>
  <c r="B2961" i="1"/>
  <c r="A2961" i="1"/>
  <c r="C2960" i="1"/>
  <c r="B2960" i="1"/>
  <c r="A2960" i="1"/>
  <c r="C2959" i="1"/>
  <c r="B2959" i="1"/>
  <c r="A2959" i="1"/>
  <c r="C2958" i="1"/>
  <c r="B2958" i="1"/>
  <c r="A2958" i="1"/>
  <c r="C2957" i="1"/>
  <c r="B2957" i="1"/>
  <c r="A2957" i="1"/>
  <c r="C2956" i="1"/>
  <c r="B2956" i="1"/>
  <c r="A2956" i="1"/>
  <c r="C2955" i="1"/>
  <c r="B2955" i="1"/>
  <c r="A2955" i="1"/>
  <c r="C2954" i="1"/>
  <c r="B2954" i="1"/>
  <c r="A2954" i="1"/>
  <c r="C2953" i="1"/>
  <c r="B2953" i="1"/>
  <c r="A2953" i="1"/>
  <c r="C2952" i="1"/>
  <c r="B2952" i="1"/>
  <c r="A2952" i="1"/>
  <c r="C2951" i="1"/>
  <c r="B2951" i="1"/>
  <c r="A2951" i="1"/>
  <c r="C2950" i="1"/>
  <c r="B2950" i="1"/>
  <c r="A2950" i="1"/>
  <c r="C2949" i="1"/>
  <c r="B2949" i="1"/>
  <c r="A2949" i="1"/>
  <c r="C2948" i="1"/>
  <c r="B2948" i="1"/>
  <c r="A2948" i="1"/>
  <c r="C2947" i="1"/>
  <c r="B2947" i="1"/>
  <c r="A2947" i="1"/>
  <c r="C2946" i="1"/>
  <c r="B2946" i="1"/>
  <c r="A2946" i="1"/>
  <c r="C2945" i="1"/>
  <c r="B2945" i="1"/>
  <c r="A2945" i="1"/>
  <c r="C2944" i="1"/>
  <c r="B2944" i="1"/>
  <c r="A2944" i="1"/>
  <c r="C2943" i="1"/>
  <c r="B2943" i="1"/>
  <c r="A2943" i="1"/>
  <c r="C2942" i="1"/>
  <c r="B2942" i="1"/>
  <c r="A2942" i="1"/>
  <c r="C2941" i="1"/>
  <c r="B2941" i="1"/>
  <c r="A2941" i="1"/>
  <c r="C2940" i="1"/>
  <c r="B2940" i="1"/>
  <c r="A2940" i="1"/>
  <c r="C2939" i="1"/>
  <c r="B2939" i="1"/>
  <c r="A2939" i="1"/>
  <c r="C2938" i="1"/>
  <c r="B2938" i="1"/>
  <c r="A2938" i="1"/>
  <c r="C2937" i="1"/>
  <c r="B2937" i="1"/>
  <c r="A2937" i="1"/>
  <c r="C2936" i="1"/>
  <c r="B2936" i="1"/>
  <c r="A2936" i="1"/>
  <c r="C2935" i="1"/>
  <c r="B2935" i="1"/>
  <c r="A2935" i="1"/>
  <c r="C2934" i="1"/>
  <c r="B2934" i="1"/>
  <c r="A2934" i="1"/>
  <c r="C2933" i="1"/>
  <c r="B2933" i="1"/>
  <c r="A2933" i="1"/>
  <c r="C2932" i="1"/>
  <c r="B2932" i="1"/>
  <c r="A2932" i="1"/>
  <c r="C2931" i="1"/>
  <c r="B2931" i="1"/>
  <c r="A2931" i="1"/>
  <c r="C2930" i="1"/>
  <c r="B2930" i="1"/>
  <c r="A2930" i="1"/>
  <c r="C2929" i="1"/>
  <c r="B2929" i="1"/>
  <c r="A2929" i="1"/>
  <c r="C2928" i="1"/>
  <c r="B2928" i="1"/>
  <c r="A2928" i="1"/>
  <c r="C2927" i="1"/>
  <c r="B2927" i="1"/>
  <c r="A2927" i="1"/>
  <c r="C2926" i="1"/>
  <c r="B2926" i="1"/>
  <c r="A2926" i="1"/>
  <c r="C2925" i="1"/>
  <c r="B2925" i="1"/>
  <c r="A2925" i="1"/>
  <c r="C2924" i="1"/>
  <c r="B2924" i="1"/>
  <c r="A2924" i="1"/>
  <c r="C2923" i="1"/>
  <c r="B2923" i="1"/>
  <c r="A2923" i="1"/>
  <c r="C2922" i="1"/>
  <c r="B2922" i="1"/>
  <c r="A2922" i="1"/>
  <c r="C2921" i="1"/>
  <c r="B2921" i="1"/>
  <c r="A2921" i="1"/>
  <c r="C2920" i="1"/>
  <c r="B2920" i="1"/>
  <c r="A2920" i="1"/>
  <c r="C2919" i="1"/>
  <c r="B2919" i="1"/>
  <c r="A2919" i="1"/>
  <c r="C2918" i="1"/>
  <c r="B2918" i="1"/>
  <c r="A2918" i="1"/>
  <c r="C2917" i="1"/>
  <c r="B2917" i="1"/>
  <c r="A2917" i="1"/>
  <c r="C2916" i="1"/>
  <c r="B2916" i="1"/>
  <c r="A2916" i="1"/>
  <c r="C2915" i="1"/>
  <c r="B2915" i="1"/>
  <c r="A2915" i="1"/>
  <c r="C2914" i="1"/>
  <c r="B2914" i="1"/>
  <c r="A2914" i="1"/>
  <c r="C2913" i="1"/>
  <c r="B2913" i="1"/>
  <c r="A2913" i="1"/>
  <c r="C2912" i="1"/>
  <c r="B2912" i="1"/>
  <c r="A2912" i="1"/>
  <c r="C2911" i="1"/>
  <c r="B2911" i="1"/>
  <c r="A2911" i="1"/>
  <c r="C2910" i="1"/>
  <c r="B2910" i="1"/>
  <c r="A2910" i="1"/>
  <c r="C2909" i="1"/>
  <c r="B2909" i="1"/>
  <c r="A2909" i="1"/>
  <c r="C2908" i="1"/>
  <c r="B2908" i="1"/>
  <c r="A2908" i="1"/>
  <c r="C2907" i="1"/>
  <c r="B2907" i="1"/>
  <c r="A2907" i="1"/>
  <c r="C2906" i="1"/>
  <c r="B2906" i="1"/>
  <c r="A2906" i="1"/>
  <c r="C2905" i="1"/>
  <c r="B2905" i="1"/>
  <c r="A2905" i="1"/>
  <c r="C2904" i="1"/>
  <c r="B2904" i="1"/>
  <c r="A2904" i="1"/>
  <c r="C2903" i="1"/>
  <c r="B2903" i="1"/>
  <c r="A2903" i="1"/>
  <c r="C2902" i="1"/>
  <c r="B2902" i="1"/>
  <c r="A2902" i="1"/>
  <c r="C2901" i="1"/>
  <c r="B2901" i="1"/>
  <c r="A2901" i="1"/>
  <c r="C2900" i="1"/>
  <c r="B2900" i="1"/>
  <c r="A2900" i="1"/>
  <c r="C2899" i="1"/>
  <c r="B2899" i="1"/>
  <c r="A2899" i="1"/>
  <c r="C2898" i="1"/>
  <c r="B2898" i="1"/>
  <c r="A2898" i="1"/>
  <c r="C2897" i="1"/>
  <c r="B2897" i="1"/>
  <c r="A2897" i="1"/>
  <c r="C2896" i="1"/>
  <c r="B2896" i="1"/>
  <c r="A2896" i="1"/>
  <c r="C2895" i="1"/>
  <c r="B2895" i="1"/>
  <c r="A2895" i="1"/>
  <c r="C2894" i="1"/>
  <c r="B2894" i="1"/>
  <c r="A2894" i="1"/>
  <c r="C2893" i="1"/>
  <c r="B2893" i="1"/>
  <c r="A2893" i="1"/>
  <c r="C2892" i="1"/>
  <c r="B2892" i="1"/>
  <c r="A2892" i="1"/>
  <c r="C2891" i="1"/>
  <c r="B2891" i="1"/>
  <c r="A2891" i="1"/>
  <c r="C2890" i="1"/>
  <c r="B2890" i="1"/>
  <c r="A2890" i="1"/>
  <c r="C2889" i="1"/>
  <c r="B2889" i="1"/>
  <c r="A2889" i="1"/>
  <c r="C2888" i="1"/>
  <c r="B2888" i="1"/>
  <c r="A2888" i="1"/>
  <c r="C2887" i="1"/>
  <c r="B2887" i="1"/>
  <c r="A2887" i="1"/>
  <c r="C2886" i="1"/>
  <c r="B2886" i="1"/>
  <c r="A2886" i="1"/>
  <c r="C2885" i="1"/>
  <c r="B2885" i="1"/>
  <c r="A2885" i="1"/>
  <c r="C2884" i="1"/>
  <c r="B2884" i="1"/>
  <c r="A2884" i="1"/>
  <c r="C2883" i="1"/>
  <c r="B2883" i="1"/>
  <c r="A2883" i="1"/>
  <c r="C2882" i="1"/>
  <c r="B2882" i="1"/>
  <c r="A2882" i="1"/>
  <c r="C2881" i="1"/>
  <c r="B2881" i="1"/>
  <c r="A2881" i="1"/>
  <c r="C2880" i="1"/>
  <c r="B2880" i="1"/>
  <c r="A2880" i="1"/>
  <c r="C2879" i="1"/>
  <c r="B2879" i="1"/>
  <c r="A2879" i="1"/>
  <c r="C2878" i="1"/>
  <c r="B2878" i="1"/>
  <c r="A2878" i="1"/>
  <c r="C2877" i="1"/>
  <c r="B2877" i="1"/>
  <c r="A2877" i="1"/>
  <c r="C2876" i="1"/>
  <c r="B2876" i="1"/>
  <c r="A2876" i="1"/>
  <c r="C2875" i="1"/>
  <c r="B2875" i="1"/>
  <c r="A2875" i="1"/>
  <c r="C2874" i="1"/>
  <c r="B2874" i="1"/>
  <c r="A2874" i="1"/>
  <c r="C2873" i="1"/>
  <c r="B2873" i="1"/>
  <c r="A2873" i="1"/>
  <c r="C2872" i="1"/>
  <c r="B2872" i="1"/>
  <c r="A2872" i="1"/>
  <c r="C2871" i="1"/>
  <c r="B2871" i="1"/>
  <c r="A2871" i="1"/>
  <c r="C2870" i="1"/>
  <c r="B2870" i="1"/>
  <c r="A2870" i="1"/>
  <c r="C2869" i="1"/>
  <c r="B2869" i="1"/>
  <c r="A2869" i="1"/>
  <c r="C2868" i="1"/>
  <c r="B2868" i="1"/>
  <c r="A2868" i="1"/>
  <c r="C2867" i="1"/>
  <c r="B2867" i="1"/>
  <c r="A2867" i="1"/>
  <c r="C2866" i="1"/>
  <c r="B2866" i="1"/>
  <c r="A2866" i="1"/>
  <c r="C2865" i="1"/>
  <c r="B2865" i="1"/>
  <c r="A2865" i="1"/>
  <c r="C2864" i="1"/>
  <c r="B2864" i="1"/>
  <c r="A2864" i="1"/>
  <c r="C2863" i="1"/>
  <c r="B2863" i="1"/>
  <c r="A2863" i="1"/>
  <c r="C2862" i="1"/>
  <c r="B2862" i="1"/>
  <c r="A2862" i="1"/>
  <c r="C2861" i="1"/>
  <c r="B2861" i="1"/>
  <c r="A2861" i="1"/>
  <c r="C2860" i="1"/>
  <c r="B2860" i="1"/>
  <c r="A2860" i="1"/>
  <c r="C2859" i="1"/>
  <c r="B2859" i="1"/>
  <c r="A2859" i="1"/>
  <c r="C2858" i="1"/>
  <c r="B2858" i="1"/>
  <c r="A2858" i="1"/>
  <c r="C2857" i="1"/>
  <c r="B2857" i="1"/>
  <c r="A2857" i="1"/>
  <c r="C2856" i="1"/>
  <c r="B2856" i="1"/>
  <c r="A2856" i="1"/>
  <c r="C2855" i="1"/>
  <c r="B2855" i="1"/>
  <c r="A2855" i="1"/>
  <c r="C2854" i="1"/>
  <c r="B2854" i="1"/>
  <c r="A2854" i="1"/>
  <c r="C2853" i="1"/>
  <c r="B2853" i="1"/>
  <c r="A2853" i="1"/>
  <c r="C2852" i="1"/>
  <c r="B2852" i="1"/>
  <c r="A2852" i="1"/>
  <c r="C2851" i="1"/>
  <c r="B2851" i="1"/>
  <c r="A2851" i="1"/>
  <c r="C2850" i="1"/>
  <c r="B2850" i="1"/>
  <c r="A2850" i="1"/>
  <c r="C2849" i="1"/>
  <c r="B2849" i="1"/>
  <c r="A2849" i="1"/>
  <c r="C2848" i="1"/>
  <c r="B2848" i="1"/>
  <c r="A2848" i="1"/>
  <c r="C2847" i="1"/>
  <c r="B2847" i="1"/>
  <c r="A2847" i="1"/>
  <c r="C2846" i="1"/>
  <c r="B2846" i="1"/>
  <c r="A2846" i="1"/>
  <c r="C2845" i="1"/>
  <c r="B2845" i="1"/>
  <c r="A2845" i="1"/>
  <c r="C2844" i="1"/>
  <c r="B2844" i="1"/>
  <c r="A2844" i="1"/>
  <c r="C2843" i="1"/>
  <c r="B2843" i="1"/>
  <c r="A2843" i="1"/>
  <c r="C2842" i="1"/>
  <c r="B2842" i="1"/>
  <c r="A2842" i="1"/>
  <c r="C2841" i="1"/>
  <c r="B2841" i="1"/>
  <c r="A2841" i="1"/>
  <c r="C2840" i="1"/>
  <c r="B2840" i="1"/>
  <c r="A2840" i="1"/>
  <c r="C2839" i="1"/>
  <c r="B2839" i="1"/>
  <c r="A2839" i="1"/>
  <c r="C2838" i="1"/>
  <c r="B2838" i="1"/>
  <c r="A2838" i="1"/>
  <c r="C2837" i="1"/>
  <c r="B2837" i="1"/>
  <c r="A2837" i="1"/>
  <c r="C2836" i="1"/>
  <c r="B2836" i="1"/>
  <c r="A2836" i="1"/>
  <c r="C2835" i="1"/>
  <c r="B2835" i="1"/>
  <c r="A2835" i="1"/>
  <c r="C2834" i="1"/>
  <c r="B2834" i="1"/>
  <c r="A2834" i="1"/>
  <c r="C2833" i="1"/>
  <c r="B2833" i="1"/>
  <c r="A2833" i="1"/>
  <c r="C2832" i="1"/>
  <c r="B2832" i="1"/>
  <c r="A2832" i="1"/>
  <c r="C2831" i="1"/>
  <c r="B2831" i="1"/>
  <c r="A2831" i="1"/>
  <c r="C2830" i="1"/>
  <c r="B2830" i="1"/>
  <c r="A2830" i="1"/>
  <c r="C2829" i="1"/>
  <c r="B2829" i="1"/>
  <c r="A2829" i="1"/>
  <c r="C2828" i="1"/>
  <c r="B2828" i="1"/>
  <c r="A2828" i="1"/>
  <c r="C2827" i="1"/>
  <c r="B2827" i="1"/>
  <c r="A2827" i="1"/>
  <c r="C2826" i="1"/>
  <c r="B2826" i="1"/>
  <c r="A2826" i="1"/>
  <c r="C2825" i="1"/>
  <c r="B2825" i="1"/>
  <c r="A2825" i="1"/>
  <c r="C2824" i="1"/>
  <c r="B2824" i="1"/>
  <c r="A2824" i="1"/>
  <c r="C2823" i="1"/>
  <c r="B2823" i="1"/>
  <c r="A2823" i="1"/>
  <c r="C2822" i="1"/>
  <c r="B2822" i="1"/>
  <c r="A2822" i="1"/>
  <c r="C2821" i="1"/>
  <c r="B2821" i="1"/>
  <c r="A2821" i="1"/>
  <c r="C2820" i="1"/>
  <c r="B2820" i="1"/>
  <c r="A2820" i="1"/>
  <c r="C2819" i="1"/>
  <c r="B2819" i="1"/>
  <c r="A2819" i="1"/>
  <c r="C2818" i="1"/>
  <c r="B2818" i="1"/>
  <c r="A2818" i="1"/>
  <c r="C2817" i="1"/>
  <c r="B2817" i="1"/>
  <c r="A2817" i="1"/>
  <c r="C2816" i="1"/>
  <c r="B2816" i="1"/>
  <c r="A2816" i="1"/>
  <c r="C2815" i="1"/>
  <c r="B2815" i="1"/>
  <c r="A2815" i="1"/>
  <c r="C2814" i="1"/>
  <c r="B2814" i="1"/>
  <c r="A2814" i="1"/>
  <c r="C2813" i="1"/>
  <c r="B2813" i="1"/>
  <c r="A2813" i="1"/>
  <c r="C2812" i="1"/>
  <c r="B2812" i="1"/>
  <c r="A2812" i="1"/>
  <c r="C2811" i="1"/>
  <c r="B2811" i="1"/>
  <c r="A2811" i="1"/>
  <c r="C2810" i="1"/>
  <c r="B2810" i="1"/>
  <c r="A2810" i="1"/>
  <c r="C2809" i="1"/>
  <c r="B2809" i="1"/>
  <c r="A2809" i="1"/>
  <c r="C2808" i="1"/>
  <c r="B2808" i="1"/>
  <c r="A2808" i="1"/>
  <c r="C2807" i="1"/>
  <c r="B2807" i="1"/>
  <c r="A2807" i="1"/>
  <c r="C2806" i="1"/>
  <c r="B2806" i="1"/>
  <c r="A2806" i="1"/>
  <c r="C2805" i="1"/>
  <c r="B2805" i="1"/>
  <c r="A2805" i="1"/>
  <c r="C2804" i="1"/>
  <c r="B2804" i="1"/>
  <c r="A2804" i="1"/>
  <c r="C2803" i="1"/>
  <c r="B2803" i="1"/>
  <c r="A2803" i="1"/>
  <c r="C2802" i="1"/>
  <c r="B2802" i="1"/>
  <c r="A2802" i="1"/>
  <c r="C2801" i="1"/>
  <c r="B2801" i="1"/>
  <c r="A2801" i="1"/>
  <c r="C2800" i="1"/>
  <c r="B2800" i="1"/>
  <c r="A2800" i="1"/>
  <c r="C2799" i="1"/>
  <c r="B2799" i="1"/>
  <c r="A2799" i="1"/>
  <c r="C2798" i="1"/>
  <c r="B2798" i="1"/>
  <c r="A2798" i="1"/>
  <c r="C2797" i="1"/>
  <c r="B2797" i="1"/>
  <c r="A2797" i="1"/>
  <c r="C2796" i="1"/>
  <c r="B2796" i="1"/>
  <c r="A2796" i="1"/>
  <c r="C2795" i="1"/>
  <c r="B2795" i="1"/>
  <c r="A2795" i="1"/>
  <c r="C2794" i="1"/>
  <c r="B2794" i="1"/>
  <c r="A2794" i="1"/>
  <c r="C2793" i="1"/>
  <c r="B2793" i="1"/>
  <c r="A2793" i="1"/>
  <c r="C2792" i="1"/>
  <c r="B2792" i="1"/>
  <c r="A2792" i="1"/>
  <c r="C2791" i="1"/>
  <c r="B2791" i="1"/>
  <c r="A2791" i="1"/>
  <c r="C2790" i="1"/>
  <c r="B2790" i="1"/>
  <c r="A2790" i="1"/>
  <c r="C2789" i="1"/>
  <c r="B2789" i="1"/>
  <c r="A2789" i="1"/>
  <c r="C2788" i="1"/>
  <c r="B2788" i="1"/>
  <c r="A2788" i="1"/>
  <c r="C2787" i="1"/>
  <c r="B2787" i="1"/>
  <c r="A2787" i="1"/>
  <c r="C2786" i="1"/>
  <c r="B2786" i="1"/>
  <c r="A2786" i="1"/>
  <c r="C2785" i="1"/>
  <c r="B2785" i="1"/>
  <c r="A2785" i="1"/>
  <c r="C2784" i="1"/>
  <c r="B2784" i="1"/>
  <c r="A2784" i="1"/>
  <c r="C2783" i="1"/>
  <c r="B2783" i="1"/>
  <c r="A2783" i="1"/>
  <c r="C2782" i="1"/>
  <c r="B2782" i="1"/>
  <c r="A2782" i="1"/>
  <c r="C2781" i="1"/>
  <c r="B2781" i="1"/>
  <c r="A2781" i="1"/>
  <c r="C2780" i="1"/>
  <c r="B2780" i="1"/>
  <c r="A2780" i="1"/>
  <c r="C2779" i="1"/>
  <c r="B2779" i="1"/>
  <c r="A2779" i="1"/>
  <c r="C2778" i="1"/>
  <c r="B2778" i="1"/>
  <c r="A2778" i="1"/>
  <c r="C2777" i="1"/>
  <c r="B2777" i="1"/>
  <c r="A2777" i="1"/>
  <c r="C2776" i="1"/>
  <c r="B2776" i="1"/>
  <c r="A2776" i="1"/>
  <c r="C2775" i="1"/>
  <c r="B2775" i="1"/>
  <c r="A2775" i="1"/>
  <c r="C2774" i="1"/>
  <c r="B2774" i="1"/>
  <c r="A2774" i="1"/>
  <c r="C2773" i="1"/>
  <c r="B2773" i="1"/>
  <c r="A2773" i="1"/>
  <c r="C2772" i="1"/>
  <c r="B2772" i="1"/>
  <c r="A2772" i="1"/>
  <c r="C2771" i="1"/>
  <c r="B2771" i="1"/>
  <c r="A2771" i="1"/>
  <c r="C2770" i="1"/>
  <c r="B2770" i="1"/>
  <c r="A2770" i="1"/>
  <c r="C2769" i="1"/>
  <c r="B2769" i="1"/>
  <c r="A2769" i="1"/>
  <c r="C2768" i="1"/>
  <c r="B2768" i="1"/>
  <c r="A2768" i="1"/>
  <c r="C2767" i="1"/>
  <c r="B2767" i="1"/>
  <c r="A2767" i="1"/>
  <c r="C2766" i="1"/>
  <c r="B2766" i="1"/>
  <c r="A2766" i="1"/>
  <c r="C2765" i="1"/>
  <c r="B2765" i="1"/>
  <c r="A2765" i="1"/>
  <c r="C2764" i="1"/>
  <c r="B2764" i="1"/>
  <c r="A2764" i="1"/>
  <c r="C2763" i="1"/>
  <c r="B2763" i="1"/>
  <c r="A2763" i="1"/>
  <c r="C2762" i="1"/>
  <c r="B2762" i="1"/>
  <c r="A2762" i="1"/>
  <c r="C2761" i="1"/>
  <c r="B2761" i="1"/>
  <c r="A2761" i="1"/>
  <c r="C2760" i="1"/>
  <c r="B2760" i="1"/>
  <c r="A2760" i="1"/>
  <c r="C2759" i="1"/>
  <c r="B2759" i="1"/>
  <c r="A2759" i="1"/>
  <c r="C2758" i="1"/>
  <c r="B2758" i="1"/>
  <c r="A2758" i="1"/>
  <c r="C2757" i="1"/>
  <c r="B2757" i="1"/>
  <c r="A2757" i="1"/>
  <c r="C2756" i="1"/>
  <c r="B2756" i="1"/>
  <c r="A2756" i="1"/>
  <c r="C2755" i="1"/>
  <c r="B2755" i="1"/>
  <c r="A2755" i="1"/>
  <c r="C2754" i="1"/>
  <c r="B2754" i="1"/>
  <c r="A2754" i="1"/>
  <c r="C2753" i="1"/>
  <c r="B2753" i="1"/>
  <c r="A2753" i="1"/>
  <c r="C2752" i="1"/>
  <c r="B2752" i="1"/>
  <c r="A2752" i="1"/>
  <c r="C2751" i="1"/>
  <c r="B2751" i="1"/>
  <c r="A2751" i="1"/>
  <c r="C2750" i="1"/>
  <c r="B2750" i="1"/>
  <c r="A2750" i="1"/>
  <c r="C2749" i="1"/>
  <c r="B2749" i="1"/>
  <c r="A2749" i="1"/>
  <c r="C2748" i="1"/>
  <c r="B2748" i="1"/>
  <c r="A2748" i="1"/>
  <c r="C2747" i="1"/>
  <c r="B2747" i="1"/>
  <c r="A2747" i="1"/>
  <c r="C2746" i="1"/>
  <c r="B2746" i="1"/>
  <c r="A2746" i="1"/>
  <c r="C2745" i="1"/>
  <c r="B2745" i="1"/>
  <c r="A2745" i="1"/>
  <c r="C2744" i="1"/>
  <c r="B2744" i="1"/>
  <c r="A2744" i="1"/>
  <c r="C2743" i="1"/>
  <c r="B2743" i="1"/>
  <c r="A2743" i="1"/>
  <c r="C2742" i="1"/>
  <c r="B2742" i="1"/>
  <c r="A2742" i="1"/>
  <c r="C2741" i="1"/>
  <c r="B2741" i="1"/>
  <c r="A2741" i="1"/>
  <c r="C2740" i="1"/>
  <c r="B2740" i="1"/>
  <c r="A2740" i="1"/>
  <c r="C2739" i="1"/>
  <c r="B2739" i="1"/>
  <c r="A2739" i="1"/>
  <c r="C2738" i="1"/>
  <c r="B2738" i="1"/>
  <c r="A2738" i="1"/>
  <c r="C2737" i="1"/>
  <c r="B2737" i="1"/>
  <c r="A2737" i="1"/>
  <c r="C2736" i="1"/>
  <c r="B2736" i="1"/>
  <c r="A2736" i="1"/>
  <c r="C2735" i="1"/>
  <c r="B2735" i="1"/>
  <c r="A2735" i="1"/>
  <c r="C2734" i="1"/>
  <c r="B2734" i="1"/>
  <c r="A2734" i="1"/>
  <c r="C2733" i="1"/>
  <c r="B2733" i="1"/>
  <c r="A2733" i="1"/>
  <c r="C2732" i="1"/>
  <c r="B2732" i="1"/>
  <c r="A2732" i="1"/>
  <c r="C2731" i="1"/>
  <c r="B2731" i="1"/>
  <c r="A2731" i="1"/>
  <c r="C2730" i="1"/>
  <c r="B2730" i="1"/>
  <c r="A2730" i="1"/>
  <c r="C2729" i="1"/>
  <c r="B2729" i="1"/>
  <c r="A2729" i="1"/>
  <c r="C2728" i="1"/>
  <c r="B2728" i="1"/>
  <c r="A2728" i="1"/>
  <c r="C2727" i="1"/>
  <c r="B2727" i="1"/>
  <c r="A2727" i="1"/>
  <c r="C2726" i="1"/>
  <c r="B2726" i="1"/>
  <c r="A2726" i="1"/>
  <c r="C2725" i="1"/>
  <c r="B2725" i="1"/>
  <c r="A2725" i="1"/>
  <c r="C2724" i="1"/>
  <c r="B2724" i="1"/>
  <c r="A2724" i="1"/>
  <c r="C2723" i="1"/>
  <c r="B2723" i="1"/>
  <c r="A2723" i="1"/>
  <c r="C2722" i="1"/>
  <c r="B2722" i="1"/>
  <c r="A2722" i="1"/>
  <c r="C2721" i="1"/>
  <c r="B2721" i="1"/>
  <c r="A2721" i="1"/>
  <c r="C2720" i="1"/>
  <c r="B2720" i="1"/>
  <c r="A2720" i="1"/>
  <c r="C2719" i="1"/>
  <c r="B2719" i="1"/>
  <c r="A2719" i="1"/>
  <c r="C2718" i="1"/>
  <c r="B2718" i="1"/>
  <c r="A2718" i="1"/>
  <c r="C2717" i="1"/>
  <c r="B2717" i="1"/>
  <c r="A2717" i="1"/>
  <c r="C2716" i="1"/>
  <c r="B2716" i="1"/>
  <c r="A2716" i="1"/>
  <c r="C2715" i="1"/>
  <c r="B2715" i="1"/>
  <c r="A2715" i="1"/>
  <c r="C2714" i="1"/>
  <c r="B2714" i="1"/>
  <c r="A2714" i="1"/>
  <c r="C2713" i="1"/>
  <c r="B2713" i="1"/>
  <c r="A2713" i="1"/>
  <c r="C2712" i="1"/>
  <c r="B2712" i="1"/>
  <c r="A2712" i="1"/>
  <c r="C2711" i="1"/>
  <c r="B2711" i="1"/>
  <c r="A2711" i="1"/>
  <c r="C2710" i="1"/>
  <c r="B2710" i="1"/>
  <c r="A2710" i="1"/>
  <c r="C2709" i="1"/>
  <c r="B2709" i="1"/>
  <c r="A2709" i="1"/>
  <c r="C2708" i="1"/>
  <c r="B2708" i="1"/>
  <c r="A2708" i="1"/>
  <c r="C2707" i="1"/>
  <c r="B2707" i="1"/>
  <c r="A2707" i="1"/>
  <c r="C2706" i="1"/>
  <c r="B2706" i="1"/>
  <c r="A2706" i="1"/>
  <c r="C2705" i="1"/>
  <c r="B2705" i="1"/>
  <c r="A2705" i="1"/>
  <c r="C2704" i="1"/>
  <c r="B2704" i="1"/>
  <c r="A2704" i="1"/>
  <c r="C2703" i="1"/>
  <c r="B2703" i="1"/>
  <c r="A2703" i="1"/>
  <c r="C2702" i="1"/>
  <c r="B2702" i="1"/>
  <c r="A2702" i="1"/>
  <c r="C2701" i="1"/>
  <c r="B2701" i="1"/>
  <c r="A2701" i="1"/>
  <c r="C2700" i="1"/>
  <c r="B2700" i="1"/>
  <c r="A2700" i="1"/>
  <c r="C2699" i="1"/>
  <c r="B2699" i="1"/>
  <c r="A2699" i="1"/>
  <c r="C2698" i="1"/>
  <c r="B2698" i="1"/>
  <c r="A2698" i="1"/>
  <c r="C2697" i="1"/>
  <c r="B2697" i="1"/>
  <c r="A2697" i="1"/>
  <c r="C2696" i="1"/>
  <c r="B2696" i="1"/>
  <c r="A2696" i="1"/>
  <c r="C2695" i="1"/>
  <c r="B2695" i="1"/>
  <c r="A2695" i="1"/>
  <c r="C2694" i="1"/>
  <c r="B2694" i="1"/>
  <c r="A2694" i="1"/>
  <c r="C2693" i="1"/>
  <c r="B2693" i="1"/>
  <c r="A2693" i="1"/>
  <c r="C2692" i="1"/>
  <c r="B2692" i="1"/>
  <c r="A2692" i="1"/>
  <c r="C2691" i="1"/>
  <c r="B2691" i="1"/>
  <c r="A2691" i="1"/>
  <c r="C2690" i="1"/>
  <c r="B2690" i="1"/>
  <c r="A2690" i="1"/>
  <c r="C2689" i="1"/>
  <c r="B2689" i="1"/>
  <c r="A2689" i="1"/>
  <c r="C2688" i="1"/>
  <c r="B2688" i="1"/>
  <c r="A2688" i="1"/>
  <c r="C2687" i="1"/>
  <c r="B2687" i="1"/>
  <c r="A2687" i="1"/>
  <c r="C2686" i="1"/>
  <c r="B2686" i="1"/>
  <c r="A2686" i="1"/>
  <c r="C2685" i="1"/>
  <c r="B2685" i="1"/>
  <c r="A2685" i="1"/>
  <c r="C2684" i="1"/>
  <c r="B2684" i="1"/>
  <c r="A2684" i="1"/>
  <c r="C2683" i="1"/>
  <c r="B2683" i="1"/>
  <c r="A2683" i="1"/>
  <c r="C2682" i="1"/>
  <c r="B2682" i="1"/>
  <c r="A2682" i="1"/>
  <c r="C2681" i="1"/>
  <c r="B2681" i="1"/>
  <c r="A2681" i="1"/>
  <c r="C2680" i="1"/>
  <c r="B2680" i="1"/>
  <c r="A2680" i="1"/>
  <c r="C2679" i="1"/>
  <c r="B2679" i="1"/>
  <c r="A2679" i="1"/>
  <c r="C2678" i="1"/>
  <c r="B2678" i="1"/>
  <c r="A2678" i="1"/>
  <c r="C2677" i="1"/>
  <c r="B2677" i="1"/>
  <c r="A2677" i="1"/>
  <c r="C2676" i="1"/>
  <c r="B2676" i="1"/>
  <c r="A2676" i="1"/>
  <c r="C2675" i="1"/>
  <c r="B2675" i="1"/>
  <c r="A2675" i="1"/>
  <c r="C2674" i="1"/>
  <c r="B2674" i="1"/>
  <c r="A2674" i="1"/>
  <c r="C2673" i="1"/>
  <c r="B2673" i="1"/>
  <c r="A2673" i="1"/>
  <c r="C2672" i="1"/>
  <c r="B2672" i="1"/>
  <c r="A2672" i="1"/>
  <c r="C2671" i="1"/>
  <c r="B2671" i="1"/>
  <c r="A2671" i="1"/>
  <c r="C2670" i="1"/>
  <c r="B2670" i="1"/>
  <c r="A2670" i="1"/>
  <c r="C2669" i="1"/>
  <c r="B2669" i="1"/>
  <c r="A2669" i="1"/>
  <c r="C2668" i="1"/>
  <c r="B2668" i="1"/>
  <c r="A2668" i="1"/>
  <c r="C2667" i="1"/>
  <c r="B2667" i="1"/>
  <c r="A2667" i="1"/>
  <c r="C2666" i="1"/>
  <c r="B2666" i="1"/>
  <c r="A2666" i="1"/>
  <c r="C2665" i="1"/>
  <c r="B2665" i="1"/>
  <c r="A2665" i="1"/>
  <c r="C2664" i="1"/>
  <c r="B2664" i="1"/>
  <c r="A2664" i="1"/>
  <c r="C2663" i="1"/>
  <c r="B2663" i="1"/>
  <c r="A2663" i="1"/>
  <c r="C2662" i="1"/>
  <c r="B2662" i="1"/>
  <c r="A2662" i="1"/>
  <c r="C2661" i="1"/>
  <c r="B2661" i="1"/>
  <c r="A2661" i="1"/>
  <c r="C2660" i="1"/>
  <c r="B2660" i="1"/>
  <c r="A2660" i="1"/>
  <c r="C2659" i="1"/>
  <c r="B2659" i="1"/>
  <c r="A2659" i="1"/>
  <c r="C2658" i="1"/>
  <c r="B2658" i="1"/>
  <c r="A2658" i="1"/>
  <c r="C2657" i="1"/>
  <c r="B2657" i="1"/>
  <c r="A2657" i="1"/>
  <c r="C2656" i="1"/>
  <c r="B2656" i="1"/>
  <c r="A2656" i="1"/>
  <c r="C2655" i="1"/>
  <c r="B2655" i="1"/>
  <c r="A2655" i="1"/>
  <c r="C2654" i="1"/>
  <c r="B2654" i="1"/>
  <c r="A2654" i="1"/>
  <c r="C2653" i="1"/>
  <c r="B2653" i="1"/>
  <c r="A2653" i="1"/>
  <c r="C2652" i="1"/>
  <c r="B2652" i="1"/>
  <c r="A2652" i="1"/>
  <c r="C2651" i="1"/>
  <c r="B2651" i="1"/>
  <c r="A2651" i="1"/>
  <c r="C2650" i="1"/>
  <c r="B2650" i="1"/>
  <c r="A2650" i="1"/>
  <c r="C2649" i="1"/>
  <c r="B2649" i="1"/>
  <c r="A2649" i="1"/>
  <c r="C2648" i="1"/>
  <c r="B2648" i="1"/>
  <c r="A2648" i="1"/>
  <c r="C2647" i="1"/>
  <c r="B2647" i="1"/>
  <c r="A2647" i="1"/>
  <c r="C2646" i="1"/>
  <c r="B2646" i="1"/>
  <c r="A2646" i="1"/>
  <c r="C2645" i="1"/>
  <c r="B2645" i="1"/>
  <c r="A2645" i="1"/>
  <c r="C2644" i="1"/>
  <c r="B2644" i="1"/>
  <c r="A2644" i="1"/>
  <c r="C2643" i="1"/>
  <c r="B2643" i="1"/>
  <c r="A2643" i="1"/>
  <c r="C2642" i="1"/>
  <c r="B2642" i="1"/>
  <c r="A2642" i="1"/>
  <c r="C2641" i="1"/>
  <c r="B2641" i="1"/>
  <c r="A2641" i="1"/>
  <c r="C2640" i="1"/>
  <c r="B2640" i="1"/>
  <c r="A2640" i="1"/>
  <c r="C2639" i="1"/>
  <c r="B2639" i="1"/>
  <c r="A2639" i="1"/>
  <c r="C2638" i="1"/>
  <c r="B2638" i="1"/>
  <c r="A2638" i="1"/>
  <c r="C2637" i="1"/>
  <c r="B2637" i="1"/>
  <c r="A2637" i="1"/>
  <c r="C2636" i="1"/>
  <c r="B2636" i="1"/>
  <c r="A2636" i="1"/>
  <c r="C2635" i="1"/>
  <c r="B2635" i="1"/>
  <c r="A2635" i="1"/>
  <c r="C2634" i="1"/>
  <c r="B2634" i="1"/>
  <c r="A2634" i="1"/>
  <c r="C2633" i="1"/>
  <c r="B2633" i="1"/>
  <c r="A2633" i="1"/>
  <c r="C2632" i="1"/>
  <c r="B2632" i="1"/>
  <c r="A2632" i="1"/>
  <c r="C2631" i="1"/>
  <c r="B2631" i="1"/>
  <c r="A2631" i="1"/>
  <c r="C2630" i="1"/>
  <c r="B2630" i="1"/>
  <c r="A2630" i="1"/>
  <c r="C2629" i="1"/>
  <c r="B2629" i="1"/>
  <c r="A2629" i="1"/>
  <c r="C2628" i="1"/>
  <c r="B2628" i="1"/>
  <c r="A2628" i="1"/>
  <c r="C2627" i="1"/>
  <c r="B2627" i="1"/>
  <c r="A2627" i="1"/>
  <c r="C2626" i="1"/>
  <c r="B2626" i="1"/>
  <c r="A2626" i="1"/>
  <c r="C2625" i="1"/>
  <c r="B2625" i="1"/>
  <c r="A2625" i="1"/>
  <c r="C2624" i="1"/>
  <c r="B2624" i="1"/>
  <c r="A2624" i="1"/>
  <c r="C2623" i="1"/>
  <c r="B2623" i="1"/>
  <c r="A2623" i="1"/>
  <c r="C2622" i="1"/>
  <c r="B2622" i="1"/>
  <c r="A2622" i="1"/>
  <c r="C2621" i="1"/>
  <c r="B2621" i="1"/>
  <c r="A2621" i="1"/>
  <c r="C2620" i="1"/>
  <c r="B2620" i="1"/>
  <c r="A2620" i="1"/>
  <c r="C2619" i="1"/>
  <c r="B2619" i="1"/>
  <c r="A2619" i="1"/>
  <c r="C2618" i="1"/>
  <c r="B2618" i="1"/>
  <c r="A2618" i="1"/>
  <c r="C2617" i="1"/>
  <c r="B2617" i="1"/>
  <c r="A2617" i="1"/>
  <c r="C2616" i="1"/>
  <c r="B2616" i="1"/>
  <c r="A2616" i="1"/>
  <c r="C2615" i="1"/>
  <c r="B2615" i="1"/>
  <c r="A2615" i="1"/>
  <c r="C2614" i="1"/>
  <c r="B2614" i="1"/>
  <c r="A2614" i="1"/>
  <c r="C2613" i="1"/>
  <c r="B2613" i="1"/>
  <c r="A2613" i="1"/>
  <c r="C2612" i="1"/>
  <c r="B2612" i="1"/>
  <c r="A2612" i="1"/>
  <c r="C2611" i="1"/>
  <c r="B2611" i="1"/>
  <c r="A2611" i="1"/>
  <c r="C2610" i="1"/>
  <c r="B2610" i="1"/>
  <c r="A2610" i="1"/>
  <c r="C2609" i="1"/>
  <c r="B2609" i="1"/>
  <c r="A2609" i="1"/>
  <c r="C2608" i="1"/>
  <c r="B2608" i="1"/>
  <c r="A2608" i="1"/>
  <c r="C2607" i="1"/>
  <c r="B2607" i="1"/>
  <c r="A2607" i="1"/>
  <c r="C2606" i="1"/>
  <c r="B2606" i="1"/>
  <c r="A2606" i="1"/>
  <c r="C2605" i="1"/>
  <c r="B2605" i="1"/>
  <c r="A2605" i="1"/>
  <c r="C2604" i="1"/>
  <c r="B2604" i="1"/>
  <c r="A2604" i="1"/>
  <c r="C2603" i="1"/>
  <c r="B2603" i="1"/>
  <c r="A2603" i="1"/>
  <c r="C2602" i="1"/>
  <c r="B2602" i="1"/>
  <c r="A2602" i="1"/>
  <c r="C2601" i="1"/>
  <c r="B2601" i="1"/>
  <c r="A2601" i="1"/>
  <c r="C2600" i="1"/>
  <c r="B2600" i="1"/>
  <c r="A2600" i="1"/>
  <c r="C2599" i="1"/>
  <c r="B2599" i="1"/>
  <c r="A2599" i="1"/>
  <c r="C2598" i="1"/>
  <c r="B2598" i="1"/>
  <c r="A2598" i="1"/>
  <c r="C2597" i="1"/>
  <c r="B2597" i="1"/>
  <c r="A2597" i="1"/>
  <c r="C2596" i="1"/>
  <c r="B2596" i="1"/>
  <c r="A2596" i="1"/>
  <c r="C2595" i="1"/>
  <c r="B2595" i="1"/>
  <c r="A2595" i="1"/>
  <c r="C2594" i="1"/>
  <c r="B2594" i="1"/>
  <c r="A2594" i="1"/>
  <c r="C2593" i="1"/>
  <c r="B2593" i="1"/>
  <c r="A2593" i="1"/>
  <c r="C2592" i="1"/>
  <c r="B2592" i="1"/>
  <c r="A2592" i="1"/>
  <c r="C2591" i="1"/>
  <c r="B2591" i="1"/>
  <c r="A2591" i="1"/>
  <c r="C2590" i="1"/>
  <c r="B2590" i="1"/>
  <c r="A2590" i="1"/>
  <c r="C2589" i="1"/>
  <c r="B2589" i="1"/>
  <c r="A2589" i="1"/>
  <c r="C2588" i="1"/>
  <c r="B2588" i="1"/>
  <c r="A2588" i="1"/>
  <c r="C2587" i="1"/>
  <c r="B2587" i="1"/>
  <c r="A2587" i="1"/>
  <c r="C2586" i="1"/>
  <c r="B2586" i="1"/>
  <c r="A2586" i="1"/>
  <c r="C2585" i="1"/>
  <c r="B2585" i="1"/>
  <c r="A2585" i="1"/>
  <c r="C2584" i="1"/>
  <c r="B2584" i="1"/>
  <c r="A2584" i="1"/>
  <c r="C2583" i="1"/>
  <c r="B2583" i="1"/>
  <c r="A2583" i="1"/>
  <c r="C2582" i="1"/>
  <c r="B2582" i="1"/>
  <c r="A2582" i="1"/>
  <c r="C2581" i="1"/>
  <c r="B2581" i="1"/>
  <c r="A2581" i="1"/>
  <c r="C2580" i="1"/>
  <c r="B2580" i="1"/>
  <c r="A2580" i="1"/>
  <c r="C2579" i="1"/>
  <c r="B2579" i="1"/>
  <c r="A2579" i="1"/>
  <c r="C2578" i="1"/>
  <c r="B2578" i="1"/>
  <c r="A2578" i="1"/>
  <c r="C2577" i="1"/>
  <c r="B2577" i="1"/>
  <c r="A2577" i="1"/>
  <c r="C2576" i="1"/>
  <c r="B2576" i="1"/>
  <c r="A2576" i="1"/>
  <c r="C2575" i="1"/>
  <c r="B2575" i="1"/>
  <c r="A2575" i="1"/>
  <c r="C2574" i="1"/>
  <c r="B2574" i="1"/>
  <c r="A2574" i="1"/>
  <c r="C2573" i="1"/>
  <c r="B2573" i="1"/>
  <c r="A2573" i="1"/>
  <c r="C2572" i="1"/>
  <c r="B2572" i="1"/>
  <c r="A2572" i="1"/>
  <c r="C2571" i="1"/>
  <c r="B2571" i="1"/>
  <c r="A2571" i="1"/>
  <c r="C2570" i="1"/>
  <c r="B2570" i="1"/>
  <c r="A2570" i="1"/>
  <c r="C2569" i="1"/>
  <c r="B2569" i="1"/>
  <c r="A2569" i="1"/>
  <c r="C2568" i="1"/>
  <c r="B2568" i="1"/>
  <c r="A2568" i="1"/>
  <c r="C2567" i="1"/>
  <c r="B2567" i="1"/>
  <c r="A2567" i="1"/>
  <c r="C2566" i="1"/>
  <c r="B2566" i="1"/>
  <c r="A2566" i="1"/>
  <c r="C2565" i="1"/>
  <c r="B2565" i="1"/>
  <c r="A2565" i="1"/>
  <c r="C2564" i="1"/>
  <c r="B2564" i="1"/>
  <c r="A2564" i="1"/>
  <c r="C2563" i="1"/>
  <c r="B2563" i="1"/>
  <c r="A2563" i="1"/>
  <c r="C2562" i="1"/>
  <c r="B2562" i="1"/>
  <c r="A2562" i="1"/>
  <c r="C2561" i="1"/>
  <c r="B2561" i="1"/>
  <c r="A2561" i="1"/>
  <c r="C2560" i="1"/>
  <c r="B2560" i="1"/>
  <c r="A2560" i="1"/>
  <c r="C2559" i="1"/>
  <c r="B2559" i="1"/>
  <c r="A2559" i="1"/>
  <c r="C2558" i="1"/>
  <c r="B2558" i="1"/>
  <c r="A2558" i="1"/>
  <c r="C2557" i="1"/>
  <c r="B2557" i="1"/>
  <c r="A2557" i="1"/>
  <c r="C2556" i="1"/>
  <c r="B2556" i="1"/>
  <c r="A2556" i="1"/>
  <c r="C2555" i="1"/>
  <c r="B2555" i="1"/>
  <c r="A2555" i="1"/>
  <c r="C2554" i="1"/>
  <c r="B2554" i="1"/>
  <c r="A2554" i="1"/>
  <c r="C2553" i="1"/>
  <c r="B2553" i="1"/>
  <c r="A2553" i="1"/>
  <c r="C2552" i="1"/>
  <c r="B2552" i="1"/>
  <c r="A2552" i="1"/>
  <c r="C2551" i="1"/>
  <c r="B2551" i="1"/>
  <c r="A2551" i="1"/>
  <c r="C2550" i="1"/>
  <c r="B2550" i="1"/>
  <c r="A2550" i="1"/>
  <c r="C2549" i="1"/>
  <c r="B2549" i="1"/>
  <c r="A2549" i="1"/>
  <c r="C2548" i="1"/>
  <c r="B2548" i="1"/>
  <c r="A2548" i="1"/>
  <c r="C2547" i="1"/>
  <c r="B2547" i="1"/>
  <c r="A2547" i="1"/>
  <c r="C2546" i="1"/>
  <c r="B2546" i="1"/>
  <c r="A2546" i="1"/>
  <c r="C2545" i="1"/>
  <c r="B2545" i="1"/>
  <c r="A2545" i="1"/>
  <c r="C2544" i="1"/>
  <c r="B2544" i="1"/>
  <c r="A2544" i="1"/>
  <c r="C2543" i="1"/>
  <c r="B2543" i="1"/>
  <c r="A2543" i="1"/>
  <c r="C2542" i="1"/>
  <c r="B2542" i="1"/>
  <c r="A2542" i="1"/>
  <c r="C2541" i="1"/>
  <c r="B2541" i="1"/>
  <c r="A2541" i="1"/>
  <c r="C2540" i="1"/>
  <c r="B2540" i="1"/>
  <c r="A2540" i="1"/>
  <c r="C2539" i="1"/>
  <c r="B2539" i="1"/>
  <c r="A2539" i="1"/>
  <c r="C2538" i="1"/>
  <c r="B2538" i="1"/>
  <c r="A2538" i="1"/>
  <c r="C2537" i="1"/>
  <c r="B2537" i="1"/>
  <c r="A2537" i="1"/>
  <c r="C2536" i="1"/>
  <c r="B2536" i="1"/>
  <c r="A2536" i="1"/>
  <c r="C2535" i="1"/>
  <c r="B2535" i="1"/>
  <c r="A2535" i="1"/>
  <c r="C2534" i="1"/>
  <c r="B2534" i="1"/>
  <c r="A2534" i="1"/>
  <c r="C2533" i="1"/>
  <c r="B2533" i="1"/>
  <c r="A2533" i="1"/>
  <c r="C2532" i="1"/>
  <c r="B2532" i="1"/>
  <c r="A2532" i="1"/>
  <c r="C2531" i="1"/>
  <c r="B2531" i="1"/>
  <c r="A2531" i="1"/>
  <c r="C2530" i="1"/>
  <c r="B2530" i="1"/>
  <c r="A2530" i="1"/>
  <c r="C2529" i="1"/>
  <c r="B2529" i="1"/>
  <c r="A2529" i="1"/>
  <c r="C2528" i="1"/>
  <c r="B2528" i="1"/>
  <c r="A2528" i="1"/>
  <c r="C2527" i="1"/>
  <c r="B2527" i="1"/>
  <c r="A2527" i="1"/>
  <c r="C2526" i="1"/>
  <c r="B2526" i="1"/>
  <c r="A2526" i="1"/>
  <c r="C2525" i="1"/>
  <c r="B2525" i="1"/>
  <c r="A2525" i="1"/>
  <c r="C2524" i="1"/>
  <c r="B2524" i="1"/>
  <c r="A2524" i="1"/>
  <c r="C2523" i="1"/>
  <c r="B2523" i="1"/>
  <c r="A2523" i="1"/>
  <c r="C2522" i="1"/>
  <c r="B2522" i="1"/>
  <c r="A2522" i="1"/>
  <c r="C2521" i="1"/>
  <c r="B2521" i="1"/>
  <c r="A2521" i="1"/>
  <c r="C2520" i="1"/>
  <c r="B2520" i="1"/>
  <c r="A2520" i="1"/>
  <c r="C2519" i="1"/>
  <c r="B2519" i="1"/>
  <c r="A2519" i="1"/>
  <c r="C2518" i="1"/>
  <c r="B2518" i="1"/>
  <c r="A2518" i="1"/>
  <c r="C2517" i="1"/>
  <c r="B2517" i="1"/>
  <c r="A2517" i="1"/>
  <c r="C2516" i="1"/>
  <c r="B2516" i="1"/>
  <c r="A2516" i="1"/>
  <c r="C2515" i="1"/>
  <c r="B2515" i="1"/>
  <c r="A2515" i="1"/>
  <c r="C2514" i="1"/>
  <c r="B2514" i="1"/>
  <c r="A2514" i="1"/>
  <c r="C2513" i="1"/>
  <c r="B2513" i="1"/>
  <c r="A2513" i="1"/>
  <c r="C2512" i="1"/>
  <c r="B2512" i="1"/>
  <c r="A2512" i="1"/>
  <c r="C2511" i="1"/>
  <c r="B2511" i="1"/>
  <c r="A2511" i="1"/>
  <c r="C2510" i="1"/>
  <c r="B2510" i="1"/>
  <c r="A2510" i="1"/>
  <c r="C2509" i="1"/>
  <c r="B2509" i="1"/>
  <c r="A2509" i="1"/>
  <c r="C2508" i="1"/>
  <c r="B2508" i="1"/>
  <c r="A2508" i="1"/>
  <c r="C2507" i="1"/>
  <c r="B2507" i="1"/>
  <c r="A2507" i="1"/>
  <c r="C2506" i="1"/>
  <c r="B2506" i="1"/>
  <c r="A2506" i="1"/>
  <c r="C2505" i="1"/>
  <c r="B2505" i="1"/>
  <c r="A2505" i="1"/>
  <c r="C2504" i="1"/>
  <c r="B2504" i="1"/>
  <c r="A2504" i="1"/>
  <c r="C2503" i="1"/>
  <c r="B2503" i="1"/>
  <c r="A2503" i="1"/>
  <c r="C2502" i="1"/>
  <c r="B2502" i="1"/>
  <c r="A2502" i="1"/>
  <c r="C2501" i="1"/>
  <c r="B2501" i="1"/>
  <c r="A2501" i="1"/>
  <c r="C2500" i="1"/>
  <c r="B2500" i="1"/>
  <c r="A2500" i="1"/>
  <c r="C2499" i="1"/>
  <c r="B2499" i="1"/>
  <c r="A2499" i="1"/>
  <c r="C2498" i="1"/>
  <c r="B2498" i="1"/>
  <c r="A2498" i="1"/>
  <c r="C2497" i="1"/>
  <c r="B2497" i="1"/>
  <c r="A2497" i="1"/>
  <c r="C2496" i="1"/>
  <c r="B2496" i="1"/>
  <c r="A2496" i="1"/>
  <c r="C2495" i="1"/>
  <c r="B2495" i="1"/>
  <c r="A2495" i="1"/>
  <c r="C2494" i="1"/>
  <c r="B2494" i="1"/>
  <c r="A2494" i="1"/>
  <c r="C2493" i="1"/>
  <c r="B2493" i="1"/>
  <c r="A2493" i="1"/>
  <c r="C2492" i="1"/>
  <c r="B2492" i="1"/>
  <c r="A2492" i="1"/>
  <c r="C2491" i="1"/>
  <c r="B2491" i="1"/>
  <c r="A2491" i="1"/>
  <c r="C2490" i="1"/>
  <c r="B2490" i="1"/>
  <c r="A2490" i="1"/>
  <c r="C2489" i="1"/>
  <c r="B2489" i="1"/>
  <c r="A2489" i="1"/>
  <c r="C2488" i="1"/>
  <c r="B2488" i="1"/>
  <c r="A2488" i="1"/>
  <c r="C2487" i="1"/>
  <c r="B2487" i="1"/>
  <c r="A2487" i="1"/>
  <c r="C2486" i="1"/>
  <c r="B2486" i="1"/>
  <c r="A2486" i="1"/>
  <c r="C2485" i="1"/>
  <c r="B2485" i="1"/>
  <c r="A2485" i="1"/>
  <c r="C2484" i="1"/>
  <c r="B2484" i="1"/>
  <c r="A2484" i="1"/>
  <c r="C2483" i="1"/>
  <c r="B2483" i="1"/>
  <c r="A2483" i="1"/>
  <c r="C2482" i="1"/>
  <c r="B2482" i="1"/>
  <c r="A2482" i="1"/>
  <c r="C2481" i="1"/>
  <c r="B2481" i="1"/>
  <c r="A2481" i="1"/>
  <c r="C2480" i="1"/>
  <c r="B2480" i="1"/>
  <c r="A2480" i="1"/>
  <c r="C2479" i="1"/>
  <c r="B2479" i="1"/>
  <c r="A2479" i="1"/>
  <c r="C2478" i="1"/>
  <c r="B2478" i="1"/>
  <c r="A2478" i="1"/>
  <c r="C2477" i="1"/>
  <c r="B2477" i="1"/>
  <c r="A2477" i="1"/>
  <c r="C2476" i="1"/>
  <c r="B2476" i="1"/>
  <c r="A2476" i="1"/>
  <c r="C2475" i="1"/>
  <c r="B2475" i="1"/>
  <c r="A2475" i="1"/>
  <c r="C2474" i="1"/>
  <c r="B2474" i="1"/>
  <c r="A2474" i="1"/>
  <c r="C2473" i="1"/>
  <c r="B2473" i="1"/>
  <c r="A2473" i="1"/>
  <c r="C2472" i="1"/>
  <c r="B2472" i="1"/>
  <c r="A2472" i="1"/>
  <c r="C2471" i="1"/>
  <c r="B2471" i="1"/>
  <c r="A2471" i="1"/>
  <c r="C2470" i="1"/>
  <c r="B2470" i="1"/>
  <c r="A2470" i="1"/>
  <c r="C2469" i="1"/>
  <c r="B2469" i="1"/>
  <c r="A2469" i="1"/>
  <c r="C2468" i="1"/>
  <c r="B2468" i="1"/>
  <c r="A2468" i="1"/>
  <c r="C2467" i="1"/>
  <c r="B2467" i="1"/>
  <c r="A2467" i="1"/>
  <c r="C2466" i="1"/>
  <c r="B2466" i="1"/>
  <c r="A2466" i="1"/>
  <c r="C2465" i="1"/>
  <c r="B2465" i="1"/>
  <c r="A2465" i="1"/>
  <c r="C2464" i="1"/>
  <c r="B2464" i="1"/>
  <c r="A2464" i="1"/>
  <c r="C2463" i="1"/>
  <c r="B2463" i="1"/>
  <c r="A2463" i="1"/>
  <c r="C2462" i="1"/>
  <c r="B2462" i="1"/>
  <c r="A2462" i="1"/>
  <c r="C2461" i="1"/>
  <c r="B2461" i="1"/>
  <c r="A2461" i="1"/>
  <c r="C2460" i="1"/>
  <c r="B2460" i="1"/>
  <c r="A2460" i="1"/>
  <c r="C2459" i="1"/>
  <c r="B2459" i="1"/>
  <c r="A2459" i="1"/>
  <c r="C2458" i="1"/>
  <c r="B2458" i="1"/>
  <c r="A2458" i="1"/>
  <c r="C2457" i="1"/>
  <c r="B2457" i="1"/>
  <c r="A2457" i="1"/>
  <c r="C2456" i="1"/>
  <c r="B2456" i="1"/>
  <c r="A2456" i="1"/>
  <c r="C2455" i="1"/>
  <c r="B2455" i="1"/>
  <c r="A2455" i="1"/>
  <c r="C2454" i="1"/>
  <c r="B2454" i="1"/>
  <c r="A2454" i="1"/>
  <c r="C2453" i="1"/>
  <c r="B2453" i="1"/>
  <c r="A2453" i="1"/>
  <c r="C2452" i="1"/>
  <c r="B2452" i="1"/>
  <c r="A2452" i="1"/>
  <c r="C2451" i="1"/>
  <c r="B2451" i="1"/>
  <c r="A2451" i="1"/>
  <c r="C2450" i="1"/>
  <c r="B2450" i="1"/>
  <c r="A2450" i="1"/>
  <c r="C2449" i="1"/>
  <c r="B2449" i="1"/>
  <c r="A2449" i="1"/>
  <c r="C2448" i="1"/>
  <c r="B2448" i="1"/>
  <c r="A2448" i="1"/>
  <c r="C2447" i="1"/>
  <c r="B2447" i="1"/>
  <c r="A2447" i="1"/>
  <c r="C2446" i="1"/>
  <c r="B2446" i="1"/>
  <c r="A2446" i="1"/>
  <c r="C2445" i="1"/>
  <c r="B2445" i="1"/>
  <c r="A2445" i="1"/>
  <c r="C2444" i="1"/>
  <c r="B2444" i="1"/>
  <c r="A2444" i="1"/>
  <c r="C2443" i="1"/>
  <c r="B2443" i="1"/>
  <c r="A2443" i="1"/>
  <c r="C2442" i="1"/>
  <c r="B2442" i="1"/>
  <c r="A2442" i="1"/>
  <c r="C2441" i="1"/>
  <c r="B2441" i="1"/>
  <c r="A2441" i="1"/>
  <c r="C2440" i="1"/>
  <c r="B2440" i="1"/>
  <c r="A2440" i="1"/>
  <c r="C2439" i="1"/>
  <c r="B2439" i="1"/>
  <c r="A2439" i="1"/>
  <c r="C2438" i="1"/>
  <c r="B2438" i="1"/>
  <c r="A2438" i="1"/>
  <c r="C2437" i="1"/>
  <c r="B2437" i="1"/>
  <c r="A2437" i="1"/>
  <c r="C2436" i="1"/>
  <c r="B2436" i="1"/>
  <c r="A2436" i="1"/>
  <c r="C2435" i="1"/>
  <c r="B2435" i="1"/>
  <c r="A2435" i="1"/>
  <c r="C2434" i="1"/>
  <c r="B2434" i="1"/>
  <c r="A2434" i="1"/>
  <c r="C2433" i="1"/>
  <c r="B2433" i="1"/>
  <c r="A2433" i="1"/>
  <c r="C2432" i="1"/>
  <c r="B2432" i="1"/>
  <c r="A2432" i="1"/>
  <c r="C2431" i="1"/>
  <c r="B2431" i="1"/>
  <c r="A2431" i="1"/>
  <c r="C2430" i="1"/>
  <c r="B2430" i="1"/>
  <c r="A2430" i="1"/>
  <c r="C2429" i="1"/>
  <c r="B2429" i="1"/>
  <c r="A2429" i="1"/>
  <c r="C2428" i="1"/>
  <c r="B2428" i="1"/>
  <c r="A2428" i="1"/>
  <c r="C2427" i="1"/>
  <c r="B2427" i="1"/>
  <c r="A2427" i="1"/>
  <c r="C2426" i="1"/>
  <c r="B2426" i="1"/>
  <c r="A2426" i="1"/>
  <c r="C2425" i="1"/>
  <c r="B2425" i="1"/>
  <c r="A2425" i="1"/>
  <c r="C2424" i="1"/>
  <c r="B2424" i="1"/>
  <c r="A2424" i="1"/>
  <c r="C2423" i="1"/>
  <c r="B2423" i="1"/>
  <c r="A2423" i="1"/>
  <c r="C2422" i="1"/>
  <c r="B2422" i="1"/>
  <c r="A2422" i="1"/>
  <c r="C2421" i="1"/>
  <c r="B2421" i="1"/>
  <c r="A2421" i="1"/>
  <c r="C2420" i="1"/>
  <c r="B2420" i="1"/>
  <c r="A2420" i="1"/>
  <c r="C2419" i="1"/>
  <c r="B2419" i="1"/>
  <c r="A2419" i="1"/>
  <c r="C2418" i="1"/>
  <c r="B2418" i="1"/>
  <c r="A2418" i="1"/>
  <c r="C2417" i="1"/>
  <c r="B2417" i="1"/>
  <c r="A2417" i="1"/>
  <c r="C2416" i="1"/>
  <c r="B2416" i="1"/>
  <c r="A2416" i="1"/>
  <c r="C2415" i="1"/>
  <c r="B2415" i="1"/>
  <c r="A2415" i="1"/>
  <c r="C2414" i="1"/>
  <c r="B2414" i="1"/>
  <c r="A2414" i="1"/>
  <c r="C2413" i="1"/>
  <c r="B2413" i="1"/>
  <c r="A2413" i="1"/>
  <c r="C2412" i="1"/>
  <c r="B2412" i="1"/>
  <c r="A2412" i="1"/>
  <c r="C2411" i="1"/>
  <c r="B2411" i="1"/>
  <c r="A2411" i="1"/>
  <c r="C2410" i="1"/>
  <c r="B2410" i="1"/>
  <c r="A2410" i="1"/>
  <c r="C2409" i="1"/>
  <c r="B2409" i="1"/>
  <c r="A2409" i="1"/>
  <c r="C2408" i="1"/>
  <c r="B2408" i="1"/>
  <c r="A2408" i="1"/>
  <c r="C2407" i="1"/>
  <c r="B2407" i="1"/>
  <c r="A2407" i="1"/>
  <c r="C2406" i="1"/>
  <c r="B2406" i="1"/>
  <c r="A2406" i="1"/>
  <c r="C2405" i="1"/>
  <c r="B2405" i="1"/>
  <c r="A2405" i="1"/>
  <c r="C2404" i="1"/>
  <c r="B2404" i="1"/>
  <c r="A2404" i="1"/>
  <c r="C2403" i="1"/>
  <c r="B2403" i="1"/>
  <c r="A2403" i="1"/>
  <c r="C2402" i="1"/>
  <c r="B2402" i="1"/>
  <c r="A2402" i="1"/>
  <c r="C2401" i="1"/>
  <c r="B2401" i="1"/>
  <c r="A2401" i="1"/>
  <c r="C2400" i="1"/>
  <c r="B2400" i="1"/>
  <c r="A2400" i="1"/>
  <c r="C2399" i="1"/>
  <c r="B2399" i="1"/>
  <c r="A2399" i="1"/>
  <c r="C2398" i="1"/>
  <c r="B2398" i="1"/>
  <c r="A2398" i="1"/>
  <c r="C2397" i="1"/>
  <c r="B2397" i="1"/>
  <c r="A2397" i="1"/>
  <c r="C2396" i="1"/>
  <c r="B2396" i="1"/>
  <c r="A2396" i="1"/>
  <c r="C2395" i="1"/>
  <c r="B2395" i="1"/>
  <c r="A2395" i="1"/>
  <c r="C2394" i="1"/>
  <c r="B2394" i="1"/>
  <c r="A2394" i="1"/>
  <c r="C2393" i="1"/>
  <c r="B2393" i="1"/>
  <c r="A2393" i="1"/>
  <c r="C2392" i="1"/>
  <c r="B2392" i="1"/>
  <c r="A2392" i="1"/>
  <c r="C2391" i="1"/>
  <c r="B2391" i="1"/>
  <c r="A2391" i="1"/>
  <c r="C2390" i="1"/>
  <c r="B2390" i="1"/>
  <c r="A2390" i="1"/>
  <c r="C2389" i="1"/>
  <c r="B2389" i="1"/>
  <c r="A2389" i="1"/>
  <c r="C2388" i="1"/>
  <c r="B2388" i="1"/>
  <c r="A2388" i="1"/>
  <c r="C2387" i="1"/>
  <c r="B2387" i="1"/>
  <c r="A2387" i="1"/>
  <c r="C2386" i="1"/>
  <c r="B2386" i="1"/>
  <c r="A2386" i="1"/>
  <c r="C2385" i="1"/>
  <c r="B2385" i="1"/>
  <c r="A2385" i="1"/>
  <c r="C2384" i="1"/>
  <c r="B2384" i="1"/>
  <c r="A2384" i="1"/>
  <c r="C2383" i="1"/>
  <c r="B2383" i="1"/>
  <c r="A2383" i="1"/>
  <c r="C2382" i="1"/>
  <c r="B2382" i="1"/>
  <c r="A2382" i="1"/>
  <c r="C2381" i="1"/>
  <c r="B2381" i="1"/>
  <c r="A2381" i="1"/>
  <c r="C2380" i="1"/>
  <c r="B2380" i="1"/>
  <c r="A2380" i="1"/>
  <c r="C2379" i="1"/>
  <c r="B2379" i="1"/>
  <c r="A2379" i="1"/>
  <c r="C2378" i="1"/>
  <c r="B2378" i="1"/>
  <c r="A2378" i="1"/>
  <c r="C2377" i="1"/>
  <c r="B2377" i="1"/>
  <c r="A2377" i="1"/>
  <c r="C2376" i="1"/>
  <c r="B2376" i="1"/>
  <c r="A2376" i="1"/>
  <c r="C2375" i="1"/>
  <c r="B2375" i="1"/>
  <c r="A2375" i="1"/>
  <c r="C2374" i="1"/>
  <c r="B2374" i="1"/>
  <c r="A2374" i="1"/>
  <c r="C2373" i="1"/>
  <c r="B2373" i="1"/>
  <c r="A2373" i="1"/>
  <c r="C2372" i="1"/>
  <c r="B2372" i="1"/>
  <c r="A2372" i="1"/>
  <c r="C2371" i="1"/>
  <c r="B2371" i="1"/>
  <c r="A2371" i="1"/>
  <c r="C2370" i="1"/>
  <c r="B2370" i="1"/>
  <c r="A2370" i="1"/>
  <c r="C2369" i="1"/>
  <c r="B2369" i="1"/>
  <c r="A2369" i="1"/>
  <c r="C2368" i="1"/>
  <c r="B2368" i="1"/>
  <c r="A2368" i="1"/>
  <c r="C2367" i="1"/>
  <c r="B2367" i="1"/>
  <c r="A2367" i="1"/>
  <c r="C2366" i="1"/>
  <c r="B2366" i="1"/>
  <c r="A2366" i="1"/>
  <c r="C2365" i="1"/>
  <c r="B2365" i="1"/>
  <c r="A2365" i="1"/>
  <c r="C2364" i="1"/>
  <c r="B2364" i="1"/>
  <c r="A2364" i="1"/>
  <c r="C2363" i="1"/>
  <c r="B2363" i="1"/>
  <c r="A2363" i="1"/>
  <c r="C2362" i="1"/>
  <c r="B2362" i="1"/>
  <c r="A2362" i="1"/>
  <c r="C2361" i="1"/>
  <c r="B2361" i="1"/>
  <c r="A2361" i="1"/>
  <c r="C2360" i="1"/>
  <c r="B2360" i="1"/>
  <c r="A2360" i="1"/>
  <c r="C2359" i="1"/>
  <c r="B2359" i="1"/>
  <c r="A2359" i="1"/>
  <c r="C2358" i="1"/>
  <c r="B2358" i="1"/>
  <c r="A2358" i="1"/>
  <c r="C2357" i="1"/>
  <c r="B2357" i="1"/>
  <c r="A2357" i="1"/>
  <c r="C2356" i="1"/>
  <c r="B2356" i="1"/>
  <c r="A2356" i="1"/>
  <c r="C2355" i="1"/>
  <c r="B2355" i="1"/>
  <c r="A2355" i="1"/>
  <c r="C2354" i="1"/>
  <c r="B2354" i="1"/>
  <c r="A2354" i="1"/>
  <c r="C2353" i="1"/>
  <c r="B2353" i="1"/>
  <c r="A2353" i="1"/>
  <c r="C2352" i="1"/>
  <c r="B2352" i="1"/>
  <c r="A2352" i="1"/>
  <c r="C2351" i="1"/>
  <c r="B2351" i="1"/>
  <c r="A2351" i="1"/>
  <c r="C2350" i="1"/>
  <c r="B2350" i="1"/>
  <c r="A2350" i="1"/>
  <c r="C2349" i="1"/>
  <c r="B2349" i="1"/>
  <c r="A2349" i="1"/>
  <c r="C2348" i="1"/>
  <c r="B2348" i="1"/>
  <c r="A2348" i="1"/>
  <c r="C2347" i="1"/>
  <c r="B2347" i="1"/>
  <c r="A2347" i="1"/>
  <c r="C2346" i="1"/>
  <c r="B2346" i="1"/>
  <c r="A2346" i="1"/>
  <c r="C2345" i="1"/>
  <c r="B2345" i="1"/>
  <c r="A2345" i="1"/>
  <c r="C2344" i="1"/>
  <c r="B2344" i="1"/>
  <c r="A2344" i="1"/>
  <c r="C2343" i="1"/>
  <c r="B2343" i="1"/>
  <c r="A2343" i="1"/>
  <c r="C2342" i="1"/>
  <c r="B2342" i="1"/>
  <c r="A2342" i="1"/>
  <c r="C2341" i="1"/>
  <c r="B2341" i="1"/>
  <c r="A2341" i="1"/>
  <c r="C2340" i="1"/>
  <c r="B2340" i="1"/>
  <c r="A2340" i="1"/>
  <c r="C2339" i="1"/>
  <c r="B2339" i="1"/>
  <c r="A2339" i="1"/>
  <c r="C2338" i="1"/>
  <c r="B2338" i="1"/>
  <c r="A2338" i="1"/>
  <c r="C2337" i="1"/>
  <c r="B2337" i="1"/>
  <c r="A2337" i="1"/>
  <c r="C2336" i="1"/>
  <c r="B2336" i="1"/>
  <c r="A2336" i="1"/>
  <c r="C2335" i="1"/>
  <c r="B2335" i="1"/>
  <c r="A2335" i="1"/>
  <c r="C2334" i="1"/>
  <c r="B2334" i="1"/>
  <c r="A2334" i="1"/>
  <c r="C2333" i="1"/>
  <c r="B2333" i="1"/>
  <c r="A2333" i="1"/>
  <c r="C2332" i="1"/>
  <c r="B2332" i="1"/>
  <c r="A2332" i="1"/>
  <c r="C2331" i="1"/>
  <c r="B2331" i="1"/>
  <c r="A2331" i="1"/>
  <c r="C2330" i="1"/>
  <c r="B2330" i="1"/>
  <c r="A2330" i="1"/>
  <c r="C2329" i="1"/>
  <c r="B2329" i="1"/>
  <c r="A2329" i="1"/>
  <c r="C2328" i="1"/>
  <c r="B2328" i="1"/>
  <c r="A2328" i="1"/>
  <c r="C2327" i="1"/>
  <c r="B2327" i="1"/>
  <c r="A2327" i="1"/>
  <c r="C2326" i="1"/>
  <c r="B2326" i="1"/>
  <c r="A2326" i="1"/>
  <c r="C2325" i="1"/>
  <c r="B2325" i="1"/>
  <c r="A2325" i="1"/>
  <c r="C2324" i="1"/>
  <c r="B2324" i="1"/>
  <c r="A2324" i="1"/>
  <c r="C2323" i="1"/>
  <c r="B2323" i="1"/>
  <c r="A2323" i="1"/>
  <c r="C2322" i="1"/>
  <c r="B2322" i="1"/>
  <c r="A2322" i="1"/>
  <c r="C2321" i="1"/>
  <c r="B2321" i="1"/>
  <c r="A2321" i="1"/>
  <c r="C2320" i="1"/>
  <c r="B2320" i="1"/>
  <c r="A2320" i="1"/>
  <c r="C2319" i="1"/>
  <c r="B2319" i="1"/>
  <c r="A2319" i="1"/>
  <c r="C2318" i="1"/>
  <c r="B2318" i="1"/>
  <c r="A2318" i="1"/>
  <c r="C2317" i="1"/>
  <c r="B2317" i="1"/>
  <c r="A2317" i="1"/>
  <c r="C2316" i="1"/>
  <c r="B2316" i="1"/>
  <c r="A2316" i="1"/>
  <c r="C2315" i="1"/>
  <c r="B2315" i="1"/>
  <c r="A2315" i="1"/>
  <c r="C2314" i="1"/>
  <c r="B2314" i="1"/>
  <c r="A2314" i="1"/>
  <c r="C2313" i="1"/>
  <c r="B2313" i="1"/>
  <c r="A2313" i="1"/>
  <c r="C2312" i="1"/>
  <c r="B2312" i="1"/>
  <c r="A2312" i="1"/>
  <c r="C2311" i="1"/>
  <c r="B2311" i="1"/>
  <c r="A2311" i="1"/>
  <c r="C2310" i="1"/>
  <c r="B2310" i="1"/>
  <c r="A2310" i="1"/>
  <c r="C2309" i="1"/>
  <c r="B2309" i="1"/>
  <c r="A2309" i="1"/>
  <c r="C2308" i="1"/>
  <c r="B2308" i="1"/>
  <c r="A2308" i="1"/>
  <c r="C2307" i="1"/>
  <c r="B2307" i="1"/>
  <c r="A2307" i="1"/>
  <c r="C2306" i="1"/>
  <c r="B2306" i="1"/>
  <c r="A2306" i="1"/>
  <c r="C2305" i="1"/>
  <c r="B2305" i="1"/>
  <c r="A2305" i="1"/>
  <c r="C2304" i="1"/>
  <c r="B2304" i="1"/>
  <c r="A2304" i="1"/>
  <c r="C2303" i="1"/>
  <c r="B2303" i="1"/>
  <c r="A2303" i="1"/>
  <c r="C2302" i="1"/>
  <c r="B2302" i="1"/>
  <c r="A2302" i="1"/>
  <c r="C2301" i="1"/>
  <c r="B2301" i="1"/>
  <c r="A2301" i="1"/>
  <c r="C2300" i="1"/>
  <c r="B2300" i="1"/>
  <c r="A2300" i="1"/>
  <c r="C2299" i="1"/>
  <c r="B2299" i="1"/>
  <c r="A2299" i="1"/>
  <c r="C2298" i="1"/>
  <c r="B2298" i="1"/>
  <c r="A2298" i="1"/>
  <c r="C2297" i="1"/>
  <c r="B2297" i="1"/>
  <c r="A2297" i="1"/>
  <c r="C2296" i="1"/>
  <c r="B2296" i="1"/>
  <c r="A2296" i="1"/>
  <c r="C2295" i="1"/>
  <c r="B2295" i="1"/>
  <c r="A2295" i="1"/>
  <c r="C2294" i="1"/>
  <c r="B2294" i="1"/>
  <c r="A2294" i="1"/>
  <c r="C2293" i="1"/>
  <c r="B2293" i="1"/>
  <c r="A2293" i="1"/>
  <c r="C2292" i="1"/>
  <c r="B2292" i="1"/>
  <c r="A2292" i="1"/>
  <c r="C2291" i="1"/>
  <c r="B2291" i="1"/>
  <c r="A2291" i="1"/>
  <c r="C2290" i="1"/>
  <c r="B2290" i="1"/>
  <c r="A2290" i="1"/>
  <c r="C2289" i="1"/>
  <c r="B2289" i="1"/>
  <c r="A2289" i="1"/>
  <c r="C2288" i="1"/>
  <c r="B2288" i="1"/>
  <c r="A2288" i="1"/>
  <c r="C2287" i="1"/>
  <c r="B2287" i="1"/>
  <c r="A2287" i="1"/>
  <c r="C2286" i="1"/>
  <c r="B2286" i="1"/>
  <c r="A2286" i="1"/>
  <c r="C2285" i="1"/>
  <c r="B2285" i="1"/>
  <c r="A2285" i="1"/>
  <c r="C2284" i="1"/>
  <c r="B2284" i="1"/>
  <c r="A2284" i="1"/>
  <c r="C2283" i="1"/>
  <c r="B2283" i="1"/>
  <c r="A2283" i="1"/>
  <c r="C2282" i="1"/>
  <c r="B2282" i="1"/>
  <c r="A2282" i="1"/>
  <c r="C2281" i="1"/>
  <c r="B2281" i="1"/>
  <c r="A2281" i="1"/>
  <c r="C2280" i="1"/>
  <c r="B2280" i="1"/>
  <c r="A2280" i="1"/>
  <c r="C2279" i="1"/>
  <c r="B2279" i="1"/>
  <c r="A2279" i="1"/>
  <c r="C2278" i="1"/>
  <c r="B2278" i="1"/>
  <c r="A2278" i="1"/>
  <c r="C2277" i="1"/>
  <c r="B2277" i="1"/>
  <c r="A2277" i="1"/>
  <c r="C2276" i="1"/>
  <c r="B2276" i="1"/>
  <c r="A2276" i="1"/>
  <c r="C2275" i="1"/>
  <c r="B2275" i="1"/>
  <c r="A2275" i="1"/>
  <c r="C2274" i="1"/>
  <c r="B2274" i="1"/>
  <c r="A2274" i="1"/>
  <c r="C2273" i="1"/>
  <c r="B2273" i="1"/>
  <c r="A2273" i="1"/>
  <c r="C2272" i="1"/>
  <c r="B2272" i="1"/>
  <c r="A2272" i="1"/>
  <c r="C2271" i="1"/>
  <c r="B2271" i="1"/>
  <c r="A2271" i="1"/>
  <c r="C2270" i="1"/>
  <c r="B2270" i="1"/>
  <c r="A2270" i="1"/>
  <c r="C2269" i="1"/>
  <c r="B2269" i="1"/>
  <c r="A2269" i="1"/>
  <c r="C2268" i="1"/>
  <c r="B2268" i="1"/>
  <c r="A2268" i="1"/>
  <c r="C2267" i="1"/>
  <c r="B2267" i="1"/>
  <c r="A2267" i="1"/>
  <c r="C2266" i="1"/>
  <c r="B2266" i="1"/>
  <c r="A2266" i="1"/>
  <c r="C2265" i="1"/>
  <c r="B2265" i="1"/>
  <c r="A2265" i="1"/>
  <c r="C2264" i="1"/>
  <c r="B2264" i="1"/>
  <c r="A2264" i="1"/>
  <c r="C2263" i="1"/>
  <c r="B2263" i="1"/>
  <c r="A2263" i="1"/>
  <c r="C2262" i="1"/>
  <c r="B2262" i="1"/>
  <c r="A2262" i="1"/>
  <c r="C2261" i="1"/>
  <c r="B2261" i="1"/>
  <c r="A2261" i="1"/>
  <c r="C2260" i="1"/>
  <c r="B2260" i="1"/>
  <c r="A2260" i="1"/>
  <c r="C2259" i="1"/>
  <c r="B2259" i="1"/>
  <c r="A2259" i="1"/>
  <c r="C2258" i="1"/>
  <c r="B2258" i="1"/>
  <c r="A2258" i="1"/>
  <c r="C2257" i="1"/>
  <c r="B2257" i="1"/>
  <c r="A2257" i="1"/>
  <c r="C2256" i="1"/>
  <c r="B2256" i="1"/>
  <c r="A2256" i="1"/>
  <c r="C2255" i="1"/>
  <c r="B2255" i="1"/>
  <c r="A2255" i="1"/>
  <c r="C2254" i="1"/>
  <c r="B2254" i="1"/>
  <c r="A2254" i="1"/>
  <c r="C2253" i="1"/>
  <c r="B2253" i="1"/>
  <c r="A2253" i="1"/>
  <c r="C2252" i="1"/>
  <c r="B2252" i="1"/>
  <c r="A2252" i="1"/>
  <c r="C2251" i="1"/>
  <c r="B2251" i="1"/>
  <c r="A2251" i="1"/>
  <c r="C2250" i="1"/>
  <c r="B2250" i="1"/>
  <c r="A2250" i="1"/>
  <c r="C2249" i="1"/>
  <c r="B2249" i="1"/>
  <c r="A2249" i="1"/>
  <c r="C2248" i="1"/>
  <c r="B2248" i="1"/>
  <c r="A2248" i="1"/>
  <c r="C2247" i="1"/>
  <c r="B2247" i="1"/>
  <c r="A2247" i="1"/>
  <c r="C2246" i="1"/>
  <c r="B2246" i="1"/>
  <c r="A2246" i="1"/>
  <c r="C2245" i="1"/>
  <c r="B2245" i="1"/>
  <c r="A2245" i="1"/>
  <c r="C2244" i="1"/>
  <c r="B2244" i="1"/>
  <c r="A2244" i="1"/>
  <c r="C2243" i="1"/>
  <c r="B2243" i="1"/>
  <c r="A2243" i="1"/>
  <c r="C2242" i="1"/>
  <c r="B2242" i="1"/>
  <c r="A2242" i="1"/>
  <c r="C2241" i="1"/>
  <c r="B2241" i="1"/>
  <c r="A2241" i="1"/>
  <c r="C2240" i="1"/>
  <c r="B2240" i="1"/>
  <c r="A2240" i="1"/>
  <c r="C2239" i="1"/>
  <c r="B2239" i="1"/>
  <c r="A2239" i="1"/>
  <c r="C2238" i="1"/>
  <c r="B2238" i="1"/>
  <c r="A2238" i="1"/>
  <c r="C2237" i="1"/>
  <c r="B2237" i="1"/>
  <c r="A2237" i="1"/>
  <c r="C2236" i="1"/>
  <c r="B2236" i="1"/>
  <c r="A2236" i="1"/>
  <c r="C2235" i="1"/>
  <c r="B2235" i="1"/>
  <c r="A2235" i="1"/>
  <c r="C2234" i="1"/>
  <c r="B2234" i="1"/>
  <c r="A2234" i="1"/>
  <c r="C2233" i="1"/>
  <c r="B2233" i="1"/>
  <c r="A2233" i="1"/>
  <c r="C2232" i="1"/>
  <c r="B2232" i="1"/>
  <c r="A2232" i="1"/>
  <c r="C2231" i="1"/>
  <c r="B2231" i="1"/>
  <c r="A2231" i="1"/>
  <c r="C2230" i="1"/>
  <c r="B2230" i="1"/>
  <c r="A2230" i="1"/>
  <c r="C2229" i="1"/>
  <c r="B2229" i="1"/>
  <c r="A2229" i="1"/>
  <c r="C2228" i="1"/>
  <c r="B2228" i="1"/>
  <c r="A2228" i="1"/>
  <c r="C2227" i="1"/>
  <c r="B2227" i="1"/>
  <c r="A2227" i="1"/>
  <c r="C2226" i="1"/>
  <c r="B2226" i="1"/>
  <c r="A2226" i="1"/>
  <c r="C2225" i="1"/>
  <c r="B2225" i="1"/>
  <c r="A2225" i="1"/>
  <c r="C2224" i="1"/>
  <c r="B2224" i="1"/>
  <c r="A2224" i="1"/>
  <c r="C2223" i="1"/>
  <c r="B2223" i="1"/>
  <c r="A2223" i="1"/>
  <c r="C2222" i="1"/>
  <c r="B2222" i="1"/>
  <c r="A2222" i="1"/>
  <c r="C2221" i="1"/>
  <c r="B2221" i="1"/>
  <c r="A2221" i="1"/>
  <c r="C2220" i="1"/>
  <c r="B2220" i="1"/>
  <c r="A2220" i="1"/>
  <c r="C2219" i="1"/>
  <c r="B2219" i="1"/>
  <c r="A2219" i="1"/>
  <c r="C2218" i="1"/>
  <c r="B2218" i="1"/>
  <c r="A2218" i="1"/>
  <c r="C2217" i="1"/>
  <c r="B2217" i="1"/>
  <c r="A2217" i="1"/>
  <c r="C2216" i="1"/>
  <c r="B2216" i="1"/>
  <c r="A2216" i="1"/>
  <c r="C2215" i="1"/>
  <c r="B2215" i="1"/>
  <c r="A2215" i="1"/>
  <c r="C2214" i="1"/>
  <c r="B2214" i="1"/>
  <c r="A2214" i="1"/>
  <c r="C2213" i="1"/>
  <c r="B2213" i="1"/>
  <c r="A2213" i="1"/>
  <c r="C2212" i="1"/>
  <c r="B2212" i="1"/>
  <c r="A2212" i="1"/>
  <c r="C2211" i="1"/>
  <c r="B2211" i="1"/>
  <c r="A2211" i="1"/>
  <c r="C2210" i="1"/>
  <c r="B2210" i="1"/>
  <c r="A2210" i="1"/>
  <c r="C2209" i="1"/>
  <c r="B2209" i="1"/>
  <c r="A2209" i="1"/>
  <c r="C2208" i="1"/>
  <c r="B2208" i="1"/>
  <c r="A2208" i="1"/>
  <c r="C2207" i="1"/>
  <c r="B2207" i="1"/>
  <c r="A2207" i="1"/>
  <c r="C2206" i="1"/>
  <c r="B2206" i="1"/>
  <c r="A2206" i="1"/>
  <c r="C2205" i="1"/>
  <c r="B2205" i="1"/>
  <c r="A2205" i="1"/>
  <c r="C2204" i="1"/>
  <c r="B2204" i="1"/>
  <c r="A2204" i="1"/>
  <c r="C2203" i="1"/>
  <c r="B2203" i="1"/>
  <c r="A2203" i="1"/>
  <c r="C2202" i="1"/>
  <c r="B2202" i="1"/>
  <c r="A2202" i="1"/>
  <c r="C2201" i="1"/>
  <c r="B2201" i="1"/>
  <c r="A2201" i="1"/>
  <c r="C2200" i="1"/>
  <c r="B2200" i="1"/>
  <c r="A2200" i="1"/>
  <c r="C2199" i="1"/>
  <c r="B2199" i="1"/>
  <c r="A2199" i="1"/>
  <c r="C2198" i="1"/>
  <c r="B2198" i="1"/>
  <c r="A2198" i="1"/>
  <c r="C2197" i="1"/>
  <c r="B2197" i="1"/>
  <c r="A2197" i="1"/>
  <c r="C2196" i="1"/>
  <c r="B2196" i="1"/>
  <c r="A2196" i="1"/>
  <c r="C2195" i="1"/>
  <c r="B2195" i="1"/>
  <c r="A2195" i="1"/>
  <c r="C2194" i="1"/>
  <c r="B2194" i="1"/>
  <c r="A2194" i="1"/>
  <c r="C2193" i="1"/>
  <c r="B2193" i="1"/>
  <c r="A2193" i="1"/>
  <c r="C2192" i="1"/>
  <c r="B2192" i="1"/>
  <c r="A2192" i="1"/>
  <c r="C2191" i="1"/>
  <c r="B2191" i="1"/>
  <c r="A2191" i="1"/>
  <c r="C2190" i="1"/>
  <c r="B2190" i="1"/>
  <c r="A2190" i="1"/>
  <c r="C2189" i="1"/>
  <c r="B2189" i="1"/>
  <c r="A2189" i="1"/>
  <c r="C2188" i="1"/>
  <c r="B2188" i="1"/>
  <c r="A2188" i="1"/>
  <c r="C2187" i="1"/>
  <c r="B2187" i="1"/>
  <c r="A2187" i="1"/>
  <c r="C2186" i="1"/>
  <c r="B2186" i="1"/>
  <c r="A2186" i="1"/>
  <c r="C2185" i="1"/>
  <c r="B2185" i="1"/>
  <c r="A2185" i="1"/>
  <c r="C2184" i="1"/>
  <c r="B2184" i="1"/>
  <c r="A2184" i="1"/>
  <c r="C2183" i="1"/>
  <c r="B2183" i="1"/>
  <c r="A2183" i="1"/>
  <c r="C2182" i="1"/>
  <c r="B2182" i="1"/>
  <c r="A2182" i="1"/>
  <c r="C2181" i="1"/>
  <c r="B2181" i="1"/>
  <c r="A2181" i="1"/>
  <c r="C2180" i="1"/>
  <c r="B2180" i="1"/>
  <c r="A2180" i="1"/>
  <c r="C2179" i="1"/>
  <c r="B2179" i="1"/>
  <c r="A2179" i="1"/>
  <c r="C2178" i="1"/>
  <c r="B2178" i="1"/>
  <c r="A2178" i="1"/>
  <c r="C2177" i="1"/>
  <c r="B2177" i="1"/>
  <c r="A2177" i="1"/>
  <c r="C2176" i="1"/>
  <c r="B2176" i="1"/>
  <c r="A2176" i="1"/>
  <c r="C2175" i="1"/>
  <c r="B2175" i="1"/>
  <c r="A2175" i="1"/>
  <c r="C2174" i="1"/>
  <c r="B2174" i="1"/>
  <c r="A2174" i="1"/>
  <c r="C2173" i="1"/>
  <c r="B2173" i="1"/>
  <c r="A2173" i="1"/>
  <c r="C2172" i="1"/>
  <c r="B2172" i="1"/>
  <c r="A2172" i="1"/>
  <c r="C2171" i="1"/>
  <c r="B2171" i="1"/>
  <c r="A2171" i="1"/>
  <c r="C2170" i="1"/>
  <c r="B2170" i="1"/>
  <c r="A2170" i="1"/>
  <c r="C2169" i="1"/>
  <c r="B2169" i="1"/>
  <c r="A2169" i="1"/>
  <c r="C2168" i="1"/>
  <c r="B2168" i="1"/>
  <c r="A2168" i="1"/>
  <c r="C2167" i="1"/>
  <c r="B2167" i="1"/>
  <c r="A2167" i="1"/>
  <c r="C2166" i="1"/>
  <c r="B2166" i="1"/>
  <c r="A2166" i="1"/>
  <c r="C2165" i="1"/>
  <c r="B2165" i="1"/>
  <c r="A2165" i="1"/>
  <c r="C2164" i="1"/>
  <c r="B2164" i="1"/>
  <c r="A2164" i="1"/>
  <c r="C2163" i="1"/>
  <c r="B2163" i="1"/>
  <c r="A2163" i="1"/>
  <c r="C2162" i="1"/>
  <c r="B2162" i="1"/>
  <c r="A2162" i="1"/>
  <c r="C2161" i="1"/>
  <c r="B2161" i="1"/>
  <c r="A2161" i="1"/>
  <c r="C2160" i="1"/>
  <c r="B2160" i="1"/>
  <c r="A2160" i="1"/>
  <c r="C2159" i="1"/>
  <c r="B2159" i="1"/>
  <c r="A2159" i="1"/>
  <c r="C2158" i="1"/>
  <c r="B2158" i="1"/>
  <c r="A2158" i="1"/>
  <c r="C2157" i="1"/>
  <c r="B2157" i="1"/>
  <c r="A2157" i="1"/>
  <c r="C2156" i="1"/>
  <c r="B2156" i="1"/>
  <c r="A2156" i="1"/>
  <c r="C2155" i="1"/>
  <c r="B2155" i="1"/>
  <c r="A2155" i="1"/>
  <c r="C2154" i="1"/>
  <c r="B2154" i="1"/>
  <c r="A2154" i="1"/>
  <c r="C2153" i="1"/>
  <c r="B2153" i="1"/>
  <c r="A2153" i="1"/>
  <c r="C2152" i="1"/>
  <c r="B2152" i="1"/>
  <c r="A2152" i="1"/>
  <c r="C2151" i="1"/>
  <c r="B2151" i="1"/>
  <c r="A2151" i="1"/>
  <c r="C2150" i="1"/>
  <c r="B2150" i="1"/>
  <c r="A2150" i="1"/>
  <c r="C2149" i="1"/>
  <c r="B2149" i="1"/>
  <c r="A2149" i="1"/>
  <c r="C2148" i="1"/>
  <c r="B2148" i="1"/>
  <c r="A2148" i="1"/>
  <c r="C2147" i="1"/>
  <c r="B2147" i="1"/>
  <c r="A2147" i="1"/>
  <c r="C2146" i="1"/>
  <c r="B2146" i="1"/>
  <c r="A2146" i="1"/>
  <c r="C2145" i="1"/>
  <c r="B2145" i="1"/>
  <c r="A2145" i="1"/>
  <c r="C2144" i="1"/>
  <c r="B2144" i="1"/>
  <c r="A2144" i="1"/>
  <c r="C2143" i="1"/>
  <c r="B2143" i="1"/>
  <c r="A2143" i="1"/>
  <c r="C2142" i="1"/>
  <c r="B2142" i="1"/>
  <c r="A2142" i="1"/>
  <c r="C2141" i="1"/>
  <c r="B2141" i="1"/>
  <c r="A2141" i="1"/>
  <c r="C2140" i="1"/>
  <c r="B2140" i="1"/>
  <c r="A2140" i="1"/>
  <c r="C2139" i="1"/>
  <c r="B2139" i="1"/>
  <c r="A2139" i="1"/>
  <c r="C2138" i="1"/>
  <c r="B2138" i="1"/>
  <c r="A2138" i="1"/>
  <c r="C2137" i="1"/>
  <c r="B2137" i="1"/>
  <c r="A2137" i="1"/>
  <c r="C2136" i="1"/>
  <c r="B2136" i="1"/>
  <c r="A2136" i="1"/>
  <c r="C2135" i="1"/>
  <c r="B2135" i="1"/>
  <c r="A2135" i="1"/>
  <c r="C2134" i="1"/>
  <c r="B2134" i="1"/>
  <c r="A2134" i="1"/>
  <c r="C2133" i="1"/>
  <c r="B2133" i="1"/>
  <c r="A2133" i="1"/>
  <c r="C2132" i="1"/>
  <c r="B2132" i="1"/>
  <c r="A2132" i="1"/>
  <c r="C2131" i="1"/>
  <c r="B2131" i="1"/>
  <c r="A2131" i="1"/>
  <c r="C2130" i="1"/>
  <c r="B2130" i="1"/>
  <c r="A2130" i="1"/>
  <c r="C2129" i="1"/>
  <c r="B2129" i="1"/>
  <c r="A2129" i="1"/>
  <c r="C2128" i="1"/>
  <c r="B2128" i="1"/>
  <c r="A2128" i="1"/>
  <c r="C2127" i="1"/>
  <c r="B2127" i="1"/>
  <c r="A2127" i="1"/>
  <c r="C2126" i="1"/>
  <c r="B2126" i="1"/>
  <c r="A2126" i="1"/>
  <c r="C2125" i="1"/>
  <c r="B2125" i="1"/>
  <c r="A2125" i="1"/>
  <c r="C2124" i="1"/>
  <c r="B2124" i="1"/>
  <c r="A2124" i="1"/>
  <c r="C2123" i="1"/>
  <c r="B2123" i="1"/>
  <c r="A2123" i="1"/>
  <c r="C2122" i="1"/>
  <c r="B2122" i="1"/>
  <c r="A2122" i="1"/>
  <c r="C2121" i="1"/>
  <c r="B2121" i="1"/>
  <c r="A2121" i="1"/>
  <c r="C2120" i="1"/>
  <c r="B2120" i="1"/>
  <c r="A2120" i="1"/>
  <c r="C2119" i="1"/>
  <c r="B2119" i="1"/>
  <c r="A2119" i="1"/>
  <c r="C2118" i="1"/>
  <c r="B2118" i="1"/>
  <c r="A2118" i="1"/>
  <c r="C2117" i="1"/>
  <c r="B2117" i="1"/>
  <c r="A2117" i="1"/>
  <c r="C2116" i="1"/>
  <c r="B2116" i="1"/>
  <c r="A2116" i="1"/>
  <c r="C2115" i="1"/>
  <c r="B2115" i="1"/>
  <c r="A2115" i="1"/>
  <c r="C2114" i="1"/>
  <c r="B2114" i="1"/>
  <c r="A2114" i="1"/>
  <c r="C2113" i="1"/>
  <c r="B2113" i="1"/>
  <c r="A2113" i="1"/>
  <c r="C2112" i="1"/>
  <c r="B2112" i="1"/>
  <c r="A2112" i="1"/>
  <c r="C2111" i="1"/>
  <c r="B2111" i="1"/>
  <c r="A2111" i="1"/>
  <c r="C2110" i="1"/>
  <c r="B2110" i="1"/>
  <c r="A2110" i="1"/>
  <c r="C2109" i="1"/>
  <c r="B2109" i="1"/>
  <c r="A2109" i="1"/>
  <c r="C2108" i="1"/>
  <c r="B2108" i="1"/>
  <c r="A2108" i="1"/>
  <c r="C2107" i="1"/>
  <c r="B2107" i="1"/>
  <c r="A2107" i="1"/>
  <c r="C2106" i="1"/>
  <c r="B2106" i="1"/>
  <c r="A2106" i="1"/>
  <c r="C2105" i="1"/>
  <c r="B2105" i="1"/>
  <c r="A2105" i="1"/>
  <c r="C2104" i="1"/>
  <c r="B2104" i="1"/>
  <c r="A2104" i="1"/>
  <c r="C2103" i="1"/>
  <c r="B2103" i="1"/>
  <c r="A2103" i="1"/>
  <c r="C2102" i="1"/>
  <c r="B2102" i="1"/>
  <c r="A2102" i="1"/>
  <c r="C2101" i="1"/>
  <c r="B2101" i="1"/>
  <c r="A2101" i="1"/>
  <c r="C2100" i="1"/>
  <c r="B2100" i="1"/>
  <c r="A2100" i="1"/>
  <c r="C2099" i="1"/>
  <c r="B2099" i="1"/>
  <c r="A2099" i="1"/>
  <c r="C2098" i="1"/>
  <c r="B2098" i="1"/>
  <c r="A2098" i="1"/>
  <c r="C2097" i="1"/>
  <c r="B2097" i="1"/>
  <c r="A2097" i="1"/>
  <c r="C2096" i="1"/>
  <c r="B2096" i="1"/>
  <c r="A2096" i="1"/>
  <c r="C2095" i="1"/>
  <c r="B2095" i="1"/>
  <c r="A2095" i="1"/>
  <c r="C2094" i="1"/>
  <c r="B2094" i="1"/>
  <c r="A2094" i="1"/>
  <c r="C2093" i="1"/>
  <c r="B2093" i="1"/>
  <c r="A2093" i="1"/>
  <c r="C2092" i="1"/>
  <c r="B2092" i="1"/>
  <c r="A2092" i="1"/>
  <c r="C2091" i="1"/>
  <c r="B2091" i="1"/>
  <c r="A2091" i="1"/>
  <c r="C2090" i="1"/>
  <c r="B2090" i="1"/>
  <c r="A2090" i="1"/>
  <c r="C2089" i="1"/>
  <c r="B2089" i="1"/>
  <c r="A2089" i="1"/>
  <c r="C2088" i="1"/>
  <c r="B2088" i="1"/>
  <c r="A2088" i="1"/>
  <c r="C2087" i="1"/>
  <c r="B2087" i="1"/>
  <c r="A2087" i="1"/>
  <c r="C2086" i="1"/>
  <c r="B2086" i="1"/>
  <c r="A2086" i="1"/>
  <c r="C2085" i="1"/>
  <c r="B2085" i="1"/>
  <c r="A2085" i="1"/>
  <c r="C2084" i="1"/>
  <c r="B2084" i="1"/>
  <c r="A2084" i="1"/>
  <c r="C2083" i="1"/>
  <c r="B2083" i="1"/>
  <c r="A2083" i="1"/>
  <c r="C2082" i="1"/>
  <c r="B2082" i="1"/>
  <c r="A2082" i="1"/>
  <c r="C2081" i="1"/>
  <c r="B2081" i="1"/>
  <c r="A2081" i="1"/>
  <c r="C2080" i="1"/>
  <c r="B2080" i="1"/>
  <c r="A2080" i="1"/>
  <c r="C2079" i="1"/>
  <c r="B2079" i="1"/>
  <c r="A2079" i="1"/>
  <c r="C2078" i="1"/>
  <c r="B2078" i="1"/>
  <c r="A2078" i="1"/>
  <c r="C2077" i="1"/>
  <c r="B2077" i="1"/>
  <c r="A2077" i="1"/>
  <c r="C2076" i="1"/>
  <c r="B2076" i="1"/>
  <c r="A2076" i="1"/>
  <c r="C2075" i="1"/>
  <c r="B2075" i="1"/>
  <c r="A2075" i="1"/>
  <c r="C2074" i="1"/>
  <c r="B2074" i="1"/>
  <c r="A2074" i="1"/>
  <c r="C2073" i="1"/>
  <c r="B2073" i="1"/>
  <c r="A2073" i="1"/>
  <c r="C2072" i="1"/>
  <c r="B2072" i="1"/>
  <c r="A2072" i="1"/>
  <c r="C2071" i="1"/>
  <c r="B2071" i="1"/>
  <c r="A2071" i="1"/>
  <c r="C2070" i="1"/>
  <c r="B2070" i="1"/>
  <c r="A2070" i="1"/>
  <c r="C2069" i="1"/>
  <c r="B2069" i="1"/>
  <c r="A2069" i="1"/>
  <c r="C2068" i="1"/>
  <c r="B2068" i="1"/>
  <c r="A2068" i="1"/>
  <c r="C2067" i="1"/>
  <c r="B2067" i="1"/>
  <c r="A2067" i="1"/>
  <c r="C2066" i="1"/>
  <c r="B2066" i="1"/>
  <c r="A2066" i="1"/>
  <c r="C2065" i="1"/>
  <c r="B2065" i="1"/>
  <c r="A2065" i="1"/>
  <c r="C2064" i="1"/>
  <c r="B2064" i="1"/>
  <c r="A2064" i="1"/>
  <c r="C2063" i="1"/>
  <c r="B2063" i="1"/>
  <c r="A2063" i="1"/>
  <c r="C2062" i="1"/>
  <c r="B2062" i="1"/>
  <c r="A2062" i="1"/>
  <c r="C2061" i="1"/>
  <c r="B2061" i="1"/>
  <c r="A2061" i="1"/>
  <c r="C2060" i="1"/>
  <c r="B2060" i="1"/>
  <c r="A2060" i="1"/>
  <c r="C2059" i="1"/>
  <c r="B2059" i="1"/>
  <c r="A2059" i="1"/>
  <c r="C2058" i="1"/>
  <c r="B2058" i="1"/>
  <c r="A2058" i="1"/>
  <c r="C2057" i="1"/>
  <c r="B2057" i="1"/>
  <c r="A2057" i="1"/>
  <c r="C2056" i="1"/>
  <c r="B2056" i="1"/>
  <c r="A2056" i="1"/>
  <c r="C2055" i="1"/>
  <c r="B2055" i="1"/>
  <c r="A2055" i="1"/>
  <c r="C2054" i="1"/>
  <c r="B2054" i="1"/>
  <c r="A2054" i="1"/>
  <c r="C2053" i="1"/>
  <c r="B2053" i="1"/>
  <c r="A2053" i="1"/>
  <c r="C2052" i="1"/>
  <c r="B2052" i="1"/>
  <c r="A2052" i="1"/>
  <c r="C2051" i="1"/>
  <c r="B2051" i="1"/>
  <c r="A2051" i="1"/>
  <c r="C2050" i="1"/>
  <c r="B2050" i="1"/>
  <c r="A2050" i="1"/>
  <c r="C2049" i="1"/>
  <c r="B2049" i="1"/>
  <c r="A2049" i="1"/>
  <c r="C2048" i="1"/>
  <c r="B2048" i="1"/>
  <c r="A2048" i="1"/>
  <c r="C2047" i="1"/>
  <c r="B2047" i="1"/>
  <c r="A2047" i="1"/>
  <c r="C2046" i="1"/>
  <c r="B2046" i="1"/>
  <c r="A2046" i="1"/>
  <c r="C2045" i="1"/>
  <c r="B2045" i="1"/>
  <c r="A2045" i="1"/>
  <c r="C2044" i="1"/>
  <c r="B2044" i="1"/>
  <c r="A2044" i="1"/>
  <c r="C2043" i="1"/>
  <c r="B2043" i="1"/>
  <c r="A2043" i="1"/>
  <c r="C2042" i="1"/>
  <c r="B2042" i="1"/>
  <c r="A2042" i="1"/>
  <c r="C2041" i="1"/>
  <c r="B2041" i="1"/>
  <c r="A2041" i="1"/>
  <c r="C2040" i="1"/>
  <c r="B2040" i="1"/>
  <c r="A2040" i="1"/>
  <c r="C2039" i="1"/>
  <c r="B2039" i="1"/>
  <c r="A2039" i="1"/>
  <c r="C2038" i="1"/>
  <c r="B2038" i="1"/>
  <c r="A2038" i="1"/>
  <c r="C2037" i="1"/>
  <c r="B2037" i="1"/>
  <c r="A2037" i="1"/>
  <c r="C2036" i="1"/>
  <c r="B2036" i="1"/>
  <c r="A2036" i="1"/>
  <c r="C2035" i="1"/>
  <c r="B2035" i="1"/>
  <c r="A2035" i="1"/>
  <c r="C2034" i="1"/>
  <c r="B2034" i="1"/>
  <c r="A2034" i="1"/>
  <c r="C2033" i="1"/>
  <c r="B2033" i="1"/>
  <c r="A2033" i="1"/>
  <c r="C2032" i="1"/>
  <c r="B2032" i="1"/>
  <c r="A2032" i="1"/>
  <c r="C2031" i="1"/>
  <c r="B2031" i="1"/>
  <c r="A2031" i="1"/>
  <c r="C2030" i="1"/>
  <c r="B2030" i="1"/>
  <c r="A2030" i="1"/>
  <c r="C2029" i="1"/>
  <c r="B2029" i="1"/>
  <c r="A2029" i="1"/>
  <c r="C2028" i="1"/>
  <c r="B2028" i="1"/>
  <c r="A2028" i="1"/>
  <c r="C2027" i="1"/>
  <c r="B2027" i="1"/>
  <c r="A2027" i="1"/>
  <c r="C2026" i="1"/>
  <c r="B2026" i="1"/>
  <c r="A2026" i="1"/>
  <c r="C2025" i="1"/>
  <c r="B2025" i="1"/>
  <c r="A2025" i="1"/>
  <c r="C2024" i="1"/>
  <c r="B2024" i="1"/>
  <c r="A2024" i="1"/>
  <c r="C2023" i="1"/>
  <c r="B2023" i="1"/>
  <c r="A2023" i="1"/>
  <c r="C2022" i="1"/>
  <c r="B2022" i="1"/>
  <c r="A2022" i="1"/>
  <c r="C2021" i="1"/>
  <c r="B2021" i="1"/>
  <c r="A2021" i="1"/>
  <c r="C2020" i="1"/>
  <c r="B2020" i="1"/>
  <c r="A2020" i="1"/>
  <c r="C2019" i="1"/>
  <c r="B2019" i="1"/>
  <c r="A2019" i="1"/>
  <c r="C2018" i="1"/>
  <c r="B2018" i="1"/>
  <c r="A2018" i="1"/>
  <c r="C2017" i="1"/>
  <c r="B2017" i="1"/>
  <c r="A2017" i="1"/>
  <c r="C2016" i="1"/>
  <c r="B2016" i="1"/>
  <c r="A2016" i="1"/>
  <c r="C2015" i="1"/>
  <c r="B2015" i="1"/>
  <c r="A2015" i="1"/>
  <c r="C2014" i="1"/>
  <c r="B2014" i="1"/>
  <c r="A2014" i="1"/>
  <c r="C2013" i="1"/>
  <c r="B2013" i="1"/>
  <c r="A2013" i="1"/>
  <c r="C2012" i="1"/>
  <c r="B2012" i="1"/>
  <c r="A2012" i="1"/>
  <c r="C2011" i="1"/>
  <c r="B2011" i="1"/>
  <c r="A2011" i="1"/>
  <c r="C2010" i="1"/>
  <c r="B2010" i="1"/>
  <c r="A2010" i="1"/>
  <c r="C2009" i="1"/>
  <c r="B2009" i="1"/>
  <c r="A2009" i="1"/>
  <c r="C2008" i="1"/>
  <c r="B2008" i="1"/>
  <c r="A2008" i="1"/>
  <c r="C2007" i="1"/>
  <c r="B2007" i="1"/>
  <c r="A2007" i="1"/>
  <c r="C2006" i="1"/>
  <c r="B2006" i="1"/>
  <c r="A2006" i="1"/>
  <c r="C2005" i="1"/>
  <c r="B2005" i="1"/>
  <c r="A2005" i="1"/>
  <c r="C2004" i="1"/>
  <c r="B2004" i="1"/>
  <c r="A2004" i="1"/>
  <c r="C2003" i="1"/>
  <c r="B2003" i="1"/>
  <c r="A2003" i="1"/>
  <c r="C2002" i="1"/>
  <c r="B2002" i="1"/>
  <c r="A2002" i="1"/>
  <c r="C2001" i="1"/>
  <c r="B2001" i="1"/>
  <c r="A2001" i="1"/>
  <c r="C2000" i="1"/>
  <c r="B2000" i="1"/>
  <c r="A2000" i="1"/>
  <c r="C1999" i="1"/>
  <c r="B1999" i="1"/>
  <c r="A1999" i="1"/>
  <c r="C1998" i="1"/>
  <c r="B1998" i="1"/>
  <c r="A1998" i="1"/>
  <c r="C1997" i="1"/>
  <c r="B1997" i="1"/>
  <c r="A1997" i="1"/>
  <c r="C1996" i="1"/>
  <c r="B1996" i="1"/>
  <c r="A1996" i="1"/>
  <c r="C1995" i="1"/>
  <c r="B1995" i="1"/>
  <c r="A1995" i="1"/>
  <c r="C1994" i="1"/>
  <c r="B1994" i="1"/>
  <c r="A1994" i="1"/>
  <c r="C1993" i="1"/>
  <c r="B1993" i="1"/>
  <c r="A1993" i="1"/>
  <c r="C1992" i="1"/>
  <c r="B1992" i="1"/>
  <c r="A1992" i="1"/>
  <c r="C1991" i="1"/>
  <c r="B1991" i="1"/>
  <c r="A1991" i="1"/>
  <c r="C1990" i="1"/>
  <c r="B1990" i="1"/>
  <c r="A1990" i="1"/>
  <c r="C1989" i="1"/>
  <c r="B1989" i="1"/>
  <c r="A1989" i="1"/>
  <c r="C1988" i="1"/>
  <c r="B1988" i="1"/>
  <c r="A1988" i="1"/>
  <c r="C1987" i="1"/>
  <c r="B1987" i="1"/>
  <c r="A1987" i="1"/>
  <c r="C1986" i="1"/>
  <c r="B1986" i="1"/>
  <c r="A1986" i="1"/>
  <c r="C1985" i="1"/>
  <c r="B1985" i="1"/>
  <c r="A1985" i="1"/>
  <c r="C1984" i="1"/>
  <c r="B1984" i="1"/>
  <c r="A1984" i="1"/>
  <c r="C1983" i="1"/>
  <c r="B1983" i="1"/>
  <c r="A1983" i="1"/>
  <c r="C1982" i="1"/>
  <c r="B1982" i="1"/>
  <c r="A1982" i="1"/>
  <c r="C1981" i="1"/>
  <c r="B1981" i="1"/>
  <c r="A1981" i="1"/>
  <c r="C1980" i="1"/>
  <c r="B1980" i="1"/>
  <c r="A1980" i="1"/>
  <c r="C1979" i="1"/>
  <c r="B1979" i="1"/>
  <c r="A1979" i="1"/>
  <c r="C1978" i="1"/>
  <c r="B1978" i="1"/>
  <c r="A1978" i="1"/>
  <c r="C1977" i="1"/>
  <c r="B1977" i="1"/>
  <c r="A1977" i="1"/>
  <c r="C1976" i="1"/>
  <c r="B1976" i="1"/>
  <c r="A1976" i="1"/>
  <c r="C1975" i="1"/>
  <c r="B1975" i="1"/>
  <c r="A1975" i="1"/>
  <c r="C1974" i="1"/>
  <c r="B1974" i="1"/>
  <c r="A1974" i="1"/>
  <c r="C1973" i="1"/>
  <c r="B1973" i="1"/>
  <c r="A1973" i="1"/>
  <c r="C1972" i="1"/>
  <c r="B1972" i="1"/>
  <c r="A1972" i="1"/>
  <c r="C1971" i="1"/>
  <c r="B1971" i="1"/>
  <c r="A1971" i="1"/>
  <c r="C1970" i="1"/>
  <c r="B1970" i="1"/>
  <c r="A1970" i="1"/>
  <c r="C1969" i="1"/>
  <c r="B1969" i="1"/>
  <c r="A1969" i="1"/>
  <c r="C1968" i="1"/>
  <c r="B1968" i="1"/>
  <c r="A1968" i="1"/>
  <c r="C1967" i="1"/>
  <c r="B1967" i="1"/>
  <c r="A1967" i="1"/>
  <c r="C1966" i="1"/>
  <c r="B1966" i="1"/>
  <c r="A1966" i="1"/>
  <c r="C1965" i="1"/>
  <c r="B1965" i="1"/>
  <c r="A1965" i="1"/>
  <c r="C1964" i="1"/>
  <c r="B1964" i="1"/>
  <c r="A1964" i="1"/>
  <c r="C1963" i="1"/>
  <c r="B1963" i="1"/>
  <c r="A1963" i="1"/>
  <c r="C1962" i="1"/>
  <c r="B1962" i="1"/>
  <c r="A1962" i="1"/>
  <c r="C1961" i="1"/>
  <c r="B1961" i="1"/>
  <c r="A1961" i="1"/>
  <c r="C1960" i="1"/>
  <c r="B1960" i="1"/>
  <c r="A1960" i="1"/>
  <c r="C1959" i="1"/>
  <c r="B1959" i="1"/>
  <c r="A1959" i="1"/>
  <c r="C1958" i="1"/>
  <c r="B1958" i="1"/>
  <c r="A1958" i="1"/>
  <c r="C1957" i="1"/>
  <c r="B1957" i="1"/>
  <c r="A1957" i="1"/>
  <c r="C1956" i="1"/>
  <c r="B1956" i="1"/>
  <c r="A1956" i="1"/>
  <c r="C1955" i="1"/>
  <c r="B1955" i="1"/>
  <c r="A1955" i="1"/>
  <c r="C1954" i="1"/>
  <c r="B1954" i="1"/>
  <c r="A1954" i="1"/>
  <c r="C1953" i="1"/>
  <c r="B1953" i="1"/>
  <c r="A1953" i="1"/>
  <c r="C1952" i="1"/>
  <c r="B1952" i="1"/>
  <c r="A1952" i="1"/>
  <c r="C1951" i="1"/>
  <c r="B1951" i="1"/>
  <c r="A1951" i="1"/>
  <c r="C1950" i="1"/>
  <c r="B1950" i="1"/>
  <c r="A1950" i="1"/>
  <c r="C1949" i="1"/>
  <c r="B1949" i="1"/>
  <c r="A1949" i="1"/>
  <c r="C1948" i="1"/>
  <c r="B1948" i="1"/>
  <c r="A1948" i="1"/>
  <c r="C1947" i="1"/>
  <c r="B1947" i="1"/>
  <c r="A1947" i="1"/>
  <c r="C1946" i="1"/>
  <c r="B1946" i="1"/>
  <c r="A1946" i="1"/>
  <c r="C1945" i="1"/>
  <c r="B1945" i="1"/>
  <c r="A1945" i="1"/>
  <c r="C1944" i="1"/>
  <c r="B1944" i="1"/>
  <c r="A1944" i="1"/>
  <c r="C1943" i="1"/>
  <c r="B1943" i="1"/>
  <c r="A1943" i="1"/>
  <c r="C1942" i="1"/>
  <c r="B1942" i="1"/>
  <c r="A1942" i="1"/>
  <c r="C1941" i="1"/>
  <c r="B1941" i="1"/>
  <c r="A1941" i="1"/>
  <c r="C1940" i="1"/>
  <c r="B1940" i="1"/>
  <c r="A1940" i="1"/>
  <c r="C1939" i="1"/>
  <c r="B1939" i="1"/>
  <c r="A1939" i="1"/>
  <c r="C1938" i="1"/>
  <c r="B1938" i="1"/>
  <c r="A1938" i="1"/>
  <c r="C1937" i="1"/>
  <c r="B1937" i="1"/>
  <c r="A1937" i="1"/>
  <c r="C1936" i="1"/>
  <c r="B1936" i="1"/>
  <c r="A1936" i="1"/>
  <c r="C1935" i="1"/>
  <c r="B1935" i="1"/>
  <c r="A1935" i="1"/>
  <c r="C1934" i="1"/>
  <c r="B1934" i="1"/>
  <c r="A1934" i="1"/>
  <c r="C1933" i="1"/>
  <c r="B1933" i="1"/>
  <c r="A1933" i="1"/>
  <c r="C1932" i="1"/>
  <c r="B1932" i="1"/>
  <c r="A1932" i="1"/>
  <c r="C1931" i="1"/>
  <c r="B1931" i="1"/>
  <c r="A1931" i="1"/>
  <c r="C1930" i="1"/>
  <c r="B1930" i="1"/>
  <c r="A1930" i="1"/>
  <c r="C1929" i="1"/>
  <c r="B1929" i="1"/>
  <c r="A1929" i="1"/>
  <c r="C1928" i="1"/>
  <c r="B1928" i="1"/>
  <c r="A1928" i="1"/>
  <c r="C1927" i="1"/>
  <c r="B1927" i="1"/>
  <c r="A1927" i="1"/>
  <c r="C1926" i="1"/>
  <c r="B1926" i="1"/>
  <c r="A1926" i="1"/>
  <c r="C1925" i="1"/>
  <c r="B1925" i="1"/>
  <c r="A1925" i="1"/>
  <c r="C1924" i="1"/>
  <c r="B1924" i="1"/>
  <c r="A1924" i="1"/>
  <c r="C1923" i="1"/>
  <c r="B1923" i="1"/>
  <c r="A1923" i="1"/>
  <c r="C1922" i="1"/>
  <c r="B1922" i="1"/>
  <c r="A1922" i="1"/>
  <c r="C1921" i="1"/>
  <c r="B1921" i="1"/>
  <c r="A1921" i="1"/>
  <c r="C1920" i="1"/>
  <c r="B1920" i="1"/>
  <c r="A1920" i="1"/>
  <c r="C1919" i="1"/>
  <c r="B1919" i="1"/>
  <c r="A1919" i="1"/>
  <c r="C1918" i="1"/>
  <c r="B1918" i="1"/>
  <c r="A1918" i="1"/>
  <c r="C1917" i="1"/>
  <c r="B1917" i="1"/>
  <c r="A1917" i="1"/>
  <c r="C1916" i="1"/>
  <c r="B1916" i="1"/>
  <c r="A1916" i="1"/>
  <c r="C1915" i="1"/>
  <c r="B1915" i="1"/>
  <c r="A1915" i="1"/>
  <c r="C1914" i="1"/>
  <c r="B1914" i="1"/>
  <c r="A1914" i="1"/>
  <c r="C1913" i="1"/>
  <c r="B1913" i="1"/>
  <c r="A1913" i="1"/>
  <c r="C1912" i="1"/>
  <c r="B1912" i="1"/>
  <c r="A1912" i="1"/>
  <c r="C1911" i="1"/>
  <c r="B1911" i="1"/>
  <c r="A1911" i="1"/>
  <c r="C1910" i="1"/>
  <c r="B1910" i="1"/>
  <c r="A1910" i="1"/>
  <c r="C1909" i="1"/>
  <c r="B1909" i="1"/>
  <c r="A1909" i="1"/>
  <c r="C1908" i="1"/>
  <c r="B1908" i="1"/>
  <c r="A1908" i="1"/>
  <c r="C1907" i="1"/>
  <c r="B1907" i="1"/>
  <c r="A1907" i="1"/>
  <c r="C1906" i="1"/>
  <c r="B1906" i="1"/>
  <c r="A1906" i="1"/>
  <c r="C1905" i="1"/>
  <c r="B1905" i="1"/>
  <c r="A1905" i="1"/>
  <c r="C1904" i="1"/>
  <c r="B1904" i="1"/>
  <c r="A1904" i="1"/>
  <c r="C1903" i="1"/>
  <c r="B1903" i="1"/>
  <c r="A1903" i="1"/>
  <c r="C1902" i="1"/>
  <c r="B1902" i="1"/>
  <c r="A1902" i="1"/>
  <c r="C1901" i="1"/>
  <c r="B1901" i="1"/>
  <c r="A1901" i="1"/>
  <c r="C1900" i="1"/>
  <c r="B1900" i="1"/>
  <c r="A1900" i="1"/>
  <c r="C1899" i="1"/>
  <c r="B1899" i="1"/>
  <c r="A1899" i="1"/>
  <c r="C1898" i="1"/>
  <c r="B1898" i="1"/>
  <c r="A1898" i="1"/>
  <c r="C1897" i="1"/>
  <c r="B1897" i="1"/>
  <c r="A1897" i="1"/>
  <c r="C1896" i="1"/>
  <c r="B1896" i="1"/>
  <c r="A1896" i="1"/>
  <c r="C1895" i="1"/>
  <c r="B1895" i="1"/>
  <c r="A1895" i="1"/>
  <c r="C1894" i="1"/>
  <c r="B1894" i="1"/>
  <c r="A1894" i="1"/>
  <c r="C1893" i="1"/>
  <c r="B1893" i="1"/>
  <c r="A1893" i="1"/>
  <c r="C1892" i="1"/>
  <c r="B1892" i="1"/>
  <c r="A1892" i="1"/>
  <c r="C1891" i="1"/>
  <c r="B1891" i="1"/>
  <c r="A1891" i="1"/>
  <c r="C1890" i="1"/>
  <c r="B1890" i="1"/>
  <c r="A1890" i="1"/>
  <c r="C1889" i="1"/>
  <c r="B1889" i="1"/>
  <c r="A1889" i="1"/>
  <c r="C1888" i="1"/>
  <c r="B1888" i="1"/>
  <c r="A1888" i="1"/>
  <c r="C1887" i="1"/>
  <c r="B1887" i="1"/>
  <c r="A1887" i="1"/>
  <c r="C1886" i="1"/>
  <c r="B1886" i="1"/>
  <c r="A1886" i="1"/>
  <c r="C1885" i="1"/>
  <c r="B1885" i="1"/>
  <c r="A1885" i="1"/>
  <c r="C1884" i="1"/>
  <c r="B1884" i="1"/>
  <c r="A1884" i="1"/>
  <c r="C1883" i="1"/>
  <c r="B1883" i="1"/>
  <c r="A1883" i="1"/>
  <c r="C1882" i="1"/>
  <c r="B1882" i="1"/>
  <c r="A1882" i="1"/>
  <c r="C1881" i="1"/>
  <c r="B1881" i="1"/>
  <c r="A1881" i="1"/>
  <c r="C1880" i="1"/>
  <c r="B1880" i="1"/>
  <c r="A1880" i="1"/>
  <c r="C1879" i="1"/>
  <c r="B1879" i="1"/>
  <c r="A1879" i="1"/>
  <c r="C1878" i="1"/>
  <c r="B1878" i="1"/>
  <c r="A1878" i="1"/>
  <c r="C1877" i="1"/>
  <c r="B1877" i="1"/>
  <c r="A1877" i="1"/>
  <c r="C1876" i="1"/>
  <c r="B1876" i="1"/>
  <c r="A1876" i="1"/>
  <c r="C1875" i="1"/>
  <c r="B1875" i="1"/>
  <c r="A1875" i="1"/>
  <c r="C1874" i="1"/>
  <c r="B1874" i="1"/>
  <c r="A1874" i="1"/>
  <c r="C1873" i="1"/>
  <c r="B1873" i="1"/>
  <c r="A1873" i="1"/>
  <c r="C1872" i="1"/>
  <c r="B1872" i="1"/>
  <c r="A1872" i="1"/>
  <c r="C1871" i="1"/>
  <c r="B1871" i="1"/>
  <c r="A1871" i="1"/>
  <c r="C1870" i="1"/>
  <c r="B1870" i="1"/>
  <c r="A1870" i="1"/>
  <c r="C1869" i="1"/>
  <c r="B1869" i="1"/>
  <c r="A1869" i="1"/>
  <c r="C1868" i="1"/>
  <c r="B1868" i="1"/>
  <c r="A1868" i="1"/>
  <c r="C1867" i="1"/>
  <c r="B1867" i="1"/>
  <c r="A1867" i="1"/>
  <c r="C1866" i="1"/>
  <c r="B1866" i="1"/>
  <c r="A1866" i="1"/>
  <c r="C1865" i="1"/>
  <c r="B1865" i="1"/>
  <c r="A1865" i="1"/>
  <c r="C1864" i="1"/>
  <c r="B1864" i="1"/>
  <c r="A1864" i="1"/>
  <c r="C1863" i="1"/>
  <c r="B1863" i="1"/>
  <c r="A1863" i="1"/>
  <c r="C1862" i="1"/>
  <c r="B1862" i="1"/>
  <c r="A1862" i="1"/>
  <c r="C1861" i="1"/>
  <c r="B1861" i="1"/>
  <c r="A1861" i="1"/>
  <c r="C1860" i="1"/>
  <c r="B1860" i="1"/>
  <c r="A1860" i="1"/>
  <c r="C1859" i="1"/>
  <c r="B1859" i="1"/>
  <c r="A1859" i="1"/>
  <c r="C1858" i="1"/>
  <c r="B1858" i="1"/>
  <c r="A1858" i="1"/>
  <c r="C1857" i="1"/>
  <c r="B1857" i="1"/>
  <c r="A1857" i="1"/>
  <c r="C1856" i="1"/>
  <c r="B1856" i="1"/>
  <c r="A1856" i="1"/>
  <c r="C1855" i="1"/>
  <c r="B1855" i="1"/>
  <c r="A1855" i="1"/>
  <c r="C1854" i="1"/>
  <c r="B1854" i="1"/>
  <c r="A1854" i="1"/>
  <c r="C1853" i="1"/>
  <c r="B1853" i="1"/>
  <c r="A1853" i="1"/>
  <c r="C1852" i="1"/>
  <c r="B1852" i="1"/>
  <c r="A1852" i="1"/>
  <c r="C1851" i="1"/>
  <c r="B1851" i="1"/>
  <c r="A1851" i="1"/>
  <c r="C1850" i="1"/>
  <c r="B1850" i="1"/>
  <c r="A1850" i="1"/>
  <c r="C1849" i="1"/>
  <c r="B1849" i="1"/>
  <c r="A1849" i="1"/>
  <c r="C1848" i="1"/>
  <c r="B1848" i="1"/>
  <c r="A1848" i="1"/>
  <c r="C1847" i="1"/>
  <c r="B1847" i="1"/>
  <c r="A1847" i="1"/>
  <c r="C1846" i="1"/>
  <c r="B1846" i="1"/>
  <c r="A1846" i="1"/>
  <c r="C1845" i="1"/>
  <c r="B1845" i="1"/>
  <c r="A1845" i="1"/>
  <c r="C1844" i="1"/>
  <c r="B1844" i="1"/>
  <c r="A1844" i="1"/>
  <c r="C1843" i="1"/>
  <c r="B1843" i="1"/>
  <c r="A1843" i="1"/>
  <c r="C1842" i="1"/>
  <c r="B1842" i="1"/>
  <c r="A1842" i="1"/>
  <c r="C1841" i="1"/>
  <c r="B1841" i="1"/>
  <c r="A1841" i="1"/>
  <c r="C1840" i="1"/>
  <c r="B1840" i="1"/>
  <c r="A1840" i="1"/>
  <c r="C1839" i="1"/>
  <c r="B1839" i="1"/>
  <c r="A1839" i="1"/>
  <c r="C1838" i="1"/>
  <c r="B1838" i="1"/>
  <c r="A1838" i="1"/>
  <c r="C1837" i="1"/>
  <c r="B1837" i="1"/>
  <c r="A1837" i="1"/>
  <c r="C1836" i="1"/>
  <c r="B1836" i="1"/>
  <c r="A1836" i="1"/>
  <c r="C1835" i="1"/>
  <c r="B1835" i="1"/>
  <c r="A1835" i="1"/>
  <c r="C1834" i="1"/>
  <c r="B1834" i="1"/>
  <c r="A1834" i="1"/>
  <c r="C1833" i="1"/>
  <c r="B1833" i="1"/>
  <c r="A1833" i="1"/>
  <c r="C1832" i="1"/>
  <c r="B1832" i="1"/>
  <c r="A1832" i="1"/>
  <c r="C1831" i="1"/>
  <c r="B1831" i="1"/>
  <c r="A1831" i="1"/>
  <c r="C1830" i="1"/>
  <c r="B1830" i="1"/>
  <c r="A1830" i="1"/>
  <c r="C1829" i="1"/>
  <c r="B1829" i="1"/>
  <c r="A1829" i="1"/>
  <c r="C1828" i="1"/>
  <c r="B1828" i="1"/>
  <c r="A1828" i="1"/>
  <c r="C1827" i="1"/>
  <c r="B1827" i="1"/>
  <c r="A1827" i="1"/>
  <c r="C1826" i="1"/>
  <c r="B1826" i="1"/>
  <c r="A1826" i="1"/>
  <c r="C1825" i="1"/>
  <c r="B1825" i="1"/>
  <c r="A1825" i="1"/>
  <c r="C1824" i="1"/>
  <c r="B1824" i="1"/>
  <c r="A1824" i="1"/>
  <c r="C1823" i="1"/>
  <c r="B1823" i="1"/>
  <c r="A1823" i="1"/>
  <c r="C1822" i="1"/>
  <c r="B1822" i="1"/>
  <c r="A1822" i="1"/>
  <c r="C1821" i="1"/>
  <c r="B1821" i="1"/>
  <c r="A1821" i="1"/>
  <c r="C1820" i="1"/>
  <c r="B1820" i="1"/>
  <c r="A1820" i="1"/>
  <c r="C1819" i="1"/>
  <c r="B1819" i="1"/>
  <c r="A1819" i="1"/>
  <c r="C1818" i="1"/>
  <c r="B1818" i="1"/>
  <c r="A1818" i="1"/>
  <c r="C1817" i="1"/>
  <c r="B1817" i="1"/>
  <c r="A1817" i="1"/>
  <c r="C1816" i="1"/>
  <c r="B1816" i="1"/>
  <c r="A1816" i="1"/>
  <c r="C1815" i="1"/>
  <c r="B1815" i="1"/>
  <c r="A1815" i="1"/>
  <c r="C1814" i="1"/>
  <c r="B1814" i="1"/>
  <c r="A1814" i="1"/>
  <c r="C1813" i="1"/>
  <c r="B1813" i="1"/>
  <c r="A1813" i="1"/>
  <c r="C1812" i="1"/>
  <c r="B1812" i="1"/>
  <c r="A1812" i="1"/>
  <c r="C1811" i="1"/>
  <c r="B1811" i="1"/>
  <c r="A1811" i="1"/>
  <c r="C1810" i="1"/>
  <c r="B1810" i="1"/>
  <c r="A1810" i="1"/>
  <c r="C1809" i="1"/>
  <c r="B1809" i="1"/>
  <c r="A1809" i="1"/>
  <c r="C1808" i="1"/>
  <c r="B1808" i="1"/>
  <c r="A1808" i="1"/>
  <c r="C1807" i="1"/>
  <c r="B1807" i="1"/>
  <c r="A1807" i="1"/>
  <c r="C1806" i="1"/>
  <c r="B1806" i="1"/>
  <c r="A1806" i="1"/>
  <c r="C1805" i="1"/>
  <c r="B1805" i="1"/>
  <c r="A1805" i="1"/>
  <c r="C1804" i="1"/>
  <c r="B1804" i="1"/>
  <c r="A1804" i="1"/>
  <c r="C1803" i="1"/>
  <c r="B1803" i="1"/>
  <c r="A1803" i="1"/>
  <c r="C1802" i="1"/>
  <c r="B1802" i="1"/>
  <c r="A1802" i="1"/>
  <c r="C1801" i="1"/>
  <c r="B1801" i="1"/>
  <c r="A1801" i="1"/>
  <c r="C1800" i="1"/>
  <c r="B1800" i="1"/>
  <c r="A1800" i="1"/>
  <c r="C1799" i="1"/>
  <c r="B1799" i="1"/>
  <c r="A1799" i="1"/>
  <c r="C1798" i="1"/>
  <c r="B1798" i="1"/>
  <c r="A1798" i="1"/>
  <c r="C1797" i="1"/>
  <c r="B1797" i="1"/>
  <c r="A1797" i="1"/>
  <c r="C1796" i="1"/>
  <c r="B1796" i="1"/>
  <c r="A1796" i="1"/>
  <c r="C1795" i="1"/>
  <c r="B1795" i="1"/>
  <c r="A1795" i="1"/>
  <c r="C1794" i="1"/>
  <c r="B1794" i="1"/>
  <c r="A1794" i="1"/>
  <c r="C1793" i="1"/>
  <c r="B1793" i="1"/>
  <c r="A1793" i="1"/>
  <c r="C1792" i="1"/>
  <c r="B1792" i="1"/>
  <c r="A1792" i="1"/>
  <c r="C1791" i="1"/>
  <c r="B1791" i="1"/>
  <c r="A1791" i="1"/>
  <c r="C1790" i="1"/>
  <c r="B1790" i="1"/>
  <c r="A1790" i="1"/>
  <c r="C1789" i="1"/>
  <c r="B1789" i="1"/>
  <c r="A1789" i="1"/>
  <c r="C1788" i="1"/>
  <c r="B1788" i="1"/>
  <c r="A1788" i="1"/>
  <c r="C1787" i="1"/>
  <c r="B1787" i="1"/>
  <c r="A1787" i="1"/>
  <c r="C1786" i="1"/>
  <c r="B1786" i="1"/>
  <c r="A1786" i="1"/>
  <c r="C1785" i="1"/>
  <c r="B1785" i="1"/>
  <c r="A1785" i="1"/>
  <c r="C1784" i="1"/>
  <c r="B1784" i="1"/>
  <c r="A1784" i="1"/>
  <c r="C1783" i="1"/>
  <c r="B1783" i="1"/>
  <c r="A1783" i="1"/>
  <c r="C1782" i="1"/>
  <c r="B1782" i="1"/>
  <c r="A1782" i="1"/>
  <c r="C1781" i="1"/>
  <c r="B1781" i="1"/>
  <c r="A1781" i="1"/>
  <c r="C1780" i="1"/>
  <c r="B1780" i="1"/>
  <c r="A1780" i="1"/>
  <c r="C1779" i="1"/>
  <c r="B1779" i="1"/>
  <c r="A1779" i="1"/>
  <c r="C1778" i="1"/>
  <c r="B1778" i="1"/>
  <c r="A1778" i="1"/>
  <c r="C1777" i="1"/>
  <c r="B1777" i="1"/>
  <c r="A1777" i="1"/>
  <c r="C1776" i="1"/>
  <c r="B1776" i="1"/>
  <c r="A1776" i="1"/>
  <c r="C1775" i="1"/>
  <c r="B1775" i="1"/>
  <c r="A1775" i="1"/>
  <c r="C1774" i="1"/>
  <c r="B1774" i="1"/>
  <c r="A1774" i="1"/>
  <c r="C1773" i="1"/>
  <c r="B1773" i="1"/>
  <c r="A1773" i="1"/>
  <c r="C1772" i="1"/>
  <c r="B1772" i="1"/>
  <c r="A1772" i="1"/>
  <c r="C1771" i="1"/>
  <c r="B1771" i="1"/>
  <c r="A1771" i="1"/>
  <c r="C1770" i="1"/>
  <c r="B1770" i="1"/>
  <c r="A1770" i="1"/>
  <c r="C1769" i="1"/>
  <c r="B1769" i="1"/>
  <c r="A1769" i="1"/>
  <c r="C1768" i="1"/>
  <c r="B1768" i="1"/>
  <c r="A1768" i="1"/>
  <c r="C1767" i="1"/>
  <c r="B1767" i="1"/>
  <c r="A1767" i="1"/>
  <c r="C1766" i="1"/>
  <c r="B1766" i="1"/>
  <c r="A1766" i="1"/>
  <c r="C1765" i="1"/>
  <c r="B1765" i="1"/>
  <c r="A1765" i="1"/>
  <c r="C1764" i="1"/>
  <c r="B1764" i="1"/>
  <c r="A1764" i="1"/>
  <c r="C1763" i="1"/>
  <c r="B1763" i="1"/>
  <c r="A1763" i="1"/>
  <c r="C1762" i="1"/>
  <c r="B1762" i="1"/>
  <c r="A1762" i="1"/>
  <c r="C1761" i="1"/>
  <c r="B1761" i="1"/>
  <c r="A1761" i="1"/>
  <c r="C1760" i="1"/>
  <c r="B1760" i="1"/>
  <c r="A1760" i="1"/>
  <c r="C1759" i="1"/>
  <c r="B1759" i="1"/>
  <c r="A1759" i="1"/>
  <c r="C1758" i="1"/>
  <c r="B1758" i="1"/>
  <c r="A1758" i="1"/>
  <c r="C1757" i="1"/>
  <c r="B1757" i="1"/>
  <c r="A1757" i="1"/>
  <c r="C1756" i="1"/>
  <c r="B1756" i="1"/>
  <c r="A1756" i="1"/>
  <c r="C1755" i="1"/>
  <c r="B1755" i="1"/>
  <c r="A1755" i="1"/>
  <c r="C1754" i="1"/>
  <c r="B1754" i="1"/>
  <c r="A1754" i="1"/>
  <c r="C1753" i="1"/>
  <c r="B1753" i="1"/>
  <c r="A1753" i="1"/>
  <c r="C1752" i="1"/>
  <c r="B1752" i="1"/>
  <c r="A1752" i="1"/>
  <c r="C1751" i="1"/>
  <c r="B1751" i="1"/>
  <c r="A1751" i="1"/>
  <c r="C1750" i="1"/>
  <c r="B1750" i="1"/>
  <c r="A1750" i="1"/>
  <c r="C1749" i="1"/>
  <c r="B1749" i="1"/>
  <c r="A1749" i="1"/>
  <c r="C1748" i="1"/>
  <c r="B1748" i="1"/>
  <c r="A1748" i="1"/>
  <c r="C1747" i="1"/>
  <c r="B1747" i="1"/>
  <c r="A1747" i="1"/>
  <c r="C1746" i="1"/>
  <c r="B1746" i="1"/>
  <c r="A1746" i="1"/>
  <c r="C1745" i="1"/>
  <c r="B1745" i="1"/>
  <c r="A1745" i="1"/>
  <c r="C1744" i="1"/>
  <c r="B1744" i="1"/>
  <c r="A1744" i="1"/>
  <c r="C1743" i="1"/>
  <c r="B1743" i="1"/>
  <c r="A1743" i="1"/>
  <c r="C1742" i="1"/>
  <c r="B1742" i="1"/>
  <c r="A1742" i="1"/>
  <c r="C1741" i="1"/>
  <c r="B1741" i="1"/>
  <c r="A1741" i="1"/>
  <c r="C1740" i="1"/>
  <c r="B1740" i="1"/>
  <c r="A1740" i="1"/>
  <c r="C1739" i="1"/>
  <c r="B1739" i="1"/>
  <c r="A1739" i="1"/>
  <c r="C1738" i="1"/>
  <c r="B1738" i="1"/>
  <c r="A1738" i="1"/>
  <c r="C1737" i="1"/>
  <c r="B1737" i="1"/>
  <c r="A1737" i="1"/>
  <c r="C1736" i="1"/>
  <c r="B1736" i="1"/>
  <c r="A1736" i="1"/>
  <c r="C1735" i="1"/>
  <c r="B1735" i="1"/>
  <c r="A1735" i="1"/>
  <c r="C1734" i="1"/>
  <c r="B1734" i="1"/>
  <c r="A1734" i="1"/>
  <c r="C1733" i="1"/>
  <c r="B1733" i="1"/>
  <c r="A1733" i="1"/>
  <c r="C1732" i="1"/>
  <c r="B1732" i="1"/>
  <c r="A1732" i="1"/>
  <c r="C1731" i="1"/>
  <c r="B1731" i="1"/>
  <c r="A1731" i="1"/>
  <c r="C1730" i="1"/>
  <c r="B1730" i="1"/>
  <c r="A1730" i="1"/>
  <c r="C1729" i="1"/>
  <c r="B1729" i="1"/>
  <c r="A1729" i="1"/>
  <c r="C1728" i="1"/>
  <c r="B1728" i="1"/>
  <c r="A1728" i="1"/>
  <c r="C1727" i="1"/>
  <c r="B1727" i="1"/>
  <c r="A1727" i="1"/>
  <c r="C1726" i="1"/>
  <c r="B1726" i="1"/>
  <c r="A1726" i="1"/>
  <c r="C1725" i="1"/>
  <c r="B1725" i="1"/>
  <c r="A1725" i="1"/>
  <c r="C1724" i="1"/>
  <c r="B1724" i="1"/>
  <c r="A1724" i="1"/>
  <c r="C1723" i="1"/>
  <c r="B1723" i="1"/>
  <c r="A1723" i="1"/>
  <c r="C1722" i="1"/>
  <c r="B1722" i="1"/>
  <c r="A1722" i="1"/>
  <c r="C1721" i="1"/>
  <c r="B1721" i="1"/>
  <c r="A1721" i="1"/>
  <c r="C1720" i="1"/>
  <c r="B1720" i="1"/>
  <c r="A1720" i="1"/>
  <c r="C1719" i="1"/>
  <c r="B1719" i="1"/>
  <c r="A1719" i="1"/>
  <c r="C1718" i="1"/>
  <c r="B1718" i="1"/>
  <c r="A1718" i="1"/>
  <c r="C1717" i="1"/>
  <c r="B1717" i="1"/>
  <c r="A1717" i="1"/>
  <c r="C1716" i="1"/>
  <c r="B1716" i="1"/>
  <c r="A1716" i="1"/>
  <c r="C1715" i="1"/>
  <c r="B1715" i="1"/>
  <c r="A1715" i="1"/>
  <c r="C1714" i="1"/>
  <c r="B1714" i="1"/>
  <c r="A1714" i="1"/>
  <c r="C1713" i="1"/>
  <c r="B1713" i="1"/>
  <c r="A1713" i="1"/>
  <c r="C1712" i="1"/>
  <c r="B1712" i="1"/>
  <c r="A1712" i="1"/>
  <c r="C1711" i="1"/>
  <c r="B1711" i="1"/>
  <c r="A1711" i="1"/>
  <c r="C1710" i="1"/>
  <c r="B1710" i="1"/>
  <c r="A1710" i="1"/>
  <c r="C1709" i="1"/>
  <c r="B1709" i="1"/>
  <c r="A1709" i="1"/>
  <c r="C1708" i="1"/>
  <c r="B1708" i="1"/>
  <c r="A1708" i="1"/>
  <c r="C1707" i="1"/>
  <c r="B1707" i="1"/>
  <c r="A1707" i="1"/>
  <c r="C1706" i="1"/>
  <c r="B1706" i="1"/>
  <c r="A1706" i="1"/>
  <c r="C1705" i="1"/>
  <c r="B1705" i="1"/>
  <c r="A1705" i="1"/>
  <c r="C1704" i="1"/>
  <c r="B1704" i="1"/>
  <c r="A1704" i="1"/>
  <c r="C1703" i="1"/>
  <c r="B1703" i="1"/>
  <c r="A1703" i="1"/>
  <c r="C1702" i="1"/>
  <c r="B1702" i="1"/>
  <c r="A1702" i="1"/>
  <c r="C1701" i="1"/>
  <c r="B1701" i="1"/>
  <c r="A1701" i="1"/>
  <c r="C1700" i="1"/>
  <c r="B1700" i="1"/>
  <c r="A1700" i="1"/>
  <c r="C1699" i="1"/>
  <c r="B1699" i="1"/>
  <c r="A1699" i="1"/>
  <c r="C1698" i="1"/>
  <c r="B1698" i="1"/>
  <c r="A1698" i="1"/>
  <c r="C1697" i="1"/>
  <c r="B1697" i="1"/>
  <c r="A1697" i="1"/>
  <c r="C1696" i="1"/>
  <c r="B1696" i="1"/>
  <c r="A1696" i="1"/>
  <c r="C1695" i="1"/>
  <c r="B1695" i="1"/>
  <c r="A1695" i="1"/>
  <c r="C1694" i="1"/>
  <c r="B1694" i="1"/>
  <c r="A1694" i="1"/>
  <c r="C1693" i="1"/>
  <c r="B1693" i="1"/>
  <c r="A1693" i="1"/>
  <c r="C1692" i="1"/>
  <c r="B1692" i="1"/>
  <c r="A1692" i="1"/>
  <c r="C1691" i="1"/>
  <c r="B1691" i="1"/>
  <c r="A1691" i="1"/>
  <c r="C1690" i="1"/>
  <c r="B1690" i="1"/>
  <c r="A1690" i="1"/>
  <c r="C1689" i="1"/>
  <c r="B1689" i="1"/>
  <c r="A1689" i="1"/>
  <c r="C1688" i="1"/>
  <c r="B1688" i="1"/>
  <c r="A1688" i="1"/>
  <c r="C1687" i="1"/>
  <c r="B1687" i="1"/>
  <c r="A1687" i="1"/>
  <c r="C1686" i="1"/>
  <c r="B1686" i="1"/>
  <c r="A1686" i="1"/>
  <c r="C1685" i="1"/>
  <c r="B1685" i="1"/>
  <c r="A1685" i="1"/>
  <c r="C1684" i="1"/>
  <c r="B1684" i="1"/>
  <c r="A1684" i="1"/>
  <c r="C1683" i="1"/>
  <c r="B1683" i="1"/>
  <c r="A1683" i="1"/>
  <c r="C1682" i="1"/>
  <c r="B1682" i="1"/>
  <c r="A1682" i="1"/>
  <c r="C1681" i="1"/>
  <c r="B1681" i="1"/>
  <c r="A1681" i="1"/>
  <c r="C1680" i="1"/>
  <c r="B1680" i="1"/>
  <c r="A1680" i="1"/>
  <c r="C1679" i="1"/>
  <c r="B1679" i="1"/>
  <c r="A1679" i="1"/>
  <c r="C1678" i="1"/>
  <c r="B1678" i="1"/>
  <c r="A1678" i="1"/>
  <c r="C1677" i="1"/>
  <c r="B1677" i="1"/>
  <c r="A1677" i="1"/>
  <c r="C1676" i="1"/>
  <c r="B1676" i="1"/>
  <c r="A1676" i="1"/>
  <c r="C1675" i="1"/>
  <c r="B1675" i="1"/>
  <c r="A1675" i="1"/>
  <c r="C1674" i="1"/>
  <c r="B1674" i="1"/>
  <c r="A1674" i="1"/>
  <c r="C1673" i="1"/>
  <c r="B1673" i="1"/>
  <c r="A1673" i="1"/>
  <c r="C1672" i="1"/>
  <c r="B1672" i="1"/>
  <c r="A1672" i="1"/>
  <c r="C1671" i="1"/>
  <c r="B1671" i="1"/>
  <c r="A1671" i="1"/>
  <c r="C1670" i="1"/>
  <c r="B1670" i="1"/>
  <c r="A1670" i="1"/>
  <c r="C1669" i="1"/>
  <c r="B1669" i="1"/>
  <c r="A1669" i="1"/>
  <c r="C1668" i="1"/>
  <c r="B1668" i="1"/>
  <c r="A1668" i="1"/>
  <c r="C1667" i="1"/>
  <c r="B1667" i="1"/>
  <c r="A1667" i="1"/>
  <c r="C1666" i="1"/>
  <c r="B1666" i="1"/>
  <c r="A1666" i="1"/>
  <c r="C1665" i="1"/>
  <c r="B1665" i="1"/>
  <c r="A1665" i="1"/>
  <c r="C1664" i="1"/>
  <c r="B1664" i="1"/>
  <c r="A1664" i="1"/>
  <c r="C1663" i="1"/>
  <c r="B1663" i="1"/>
  <c r="A1663" i="1"/>
  <c r="C1662" i="1"/>
  <c r="B1662" i="1"/>
  <c r="A1662" i="1"/>
  <c r="C1661" i="1"/>
  <c r="B1661" i="1"/>
  <c r="A1661" i="1"/>
  <c r="C1660" i="1"/>
  <c r="B1660" i="1"/>
  <c r="A1660" i="1"/>
  <c r="C1659" i="1"/>
  <c r="B1659" i="1"/>
  <c r="A1659" i="1"/>
  <c r="C1658" i="1"/>
  <c r="B1658" i="1"/>
  <c r="A1658" i="1"/>
  <c r="C1657" i="1"/>
  <c r="B1657" i="1"/>
  <c r="A1657" i="1"/>
  <c r="C1656" i="1"/>
  <c r="B1656" i="1"/>
  <c r="A1656" i="1"/>
  <c r="C1655" i="1"/>
  <c r="B1655" i="1"/>
  <c r="A1655" i="1"/>
  <c r="C1654" i="1"/>
  <c r="B1654" i="1"/>
  <c r="A1654" i="1"/>
  <c r="C1653" i="1"/>
  <c r="B1653" i="1"/>
  <c r="A1653" i="1"/>
  <c r="C1652" i="1"/>
  <c r="B1652" i="1"/>
  <c r="A1652" i="1"/>
  <c r="C1651" i="1"/>
  <c r="B1651" i="1"/>
  <c r="A1651" i="1"/>
  <c r="C1650" i="1"/>
  <c r="B1650" i="1"/>
  <c r="A1650" i="1"/>
  <c r="C1649" i="1"/>
  <c r="B1649" i="1"/>
  <c r="A1649" i="1"/>
  <c r="C1648" i="1"/>
  <c r="B1648" i="1"/>
  <c r="A1648" i="1"/>
  <c r="C1647" i="1"/>
  <c r="B1647" i="1"/>
  <c r="A1647" i="1"/>
  <c r="C1646" i="1"/>
  <c r="B1646" i="1"/>
  <c r="A1646" i="1"/>
  <c r="C1645" i="1"/>
  <c r="B1645" i="1"/>
  <c r="A1645" i="1"/>
  <c r="C1644" i="1"/>
  <c r="B1644" i="1"/>
  <c r="A1644" i="1"/>
  <c r="C1643" i="1"/>
  <c r="B1643" i="1"/>
  <c r="A1643" i="1"/>
  <c r="C1642" i="1"/>
  <c r="B1642" i="1"/>
  <c r="A1642" i="1"/>
  <c r="C1641" i="1"/>
  <c r="B1641" i="1"/>
  <c r="A1641" i="1"/>
  <c r="C1640" i="1"/>
  <c r="B1640" i="1"/>
  <c r="A1640" i="1"/>
  <c r="C1639" i="1"/>
  <c r="B1639" i="1"/>
  <c r="A1639" i="1"/>
  <c r="C1638" i="1"/>
  <c r="B1638" i="1"/>
  <c r="A1638" i="1"/>
  <c r="C1637" i="1"/>
  <c r="B1637" i="1"/>
  <c r="A1637" i="1"/>
  <c r="C1636" i="1"/>
  <c r="B1636" i="1"/>
  <c r="A1636" i="1"/>
  <c r="C1635" i="1"/>
  <c r="B1635" i="1"/>
  <c r="A1635" i="1"/>
  <c r="C1634" i="1"/>
  <c r="B1634" i="1"/>
  <c r="A1634" i="1"/>
  <c r="C1633" i="1"/>
  <c r="B1633" i="1"/>
  <c r="A1633" i="1"/>
  <c r="C1632" i="1"/>
  <c r="B1632" i="1"/>
  <c r="A1632" i="1"/>
  <c r="C1631" i="1"/>
  <c r="B1631" i="1"/>
  <c r="A1631" i="1"/>
  <c r="C1630" i="1"/>
  <c r="B1630" i="1"/>
  <c r="A1630" i="1"/>
  <c r="C1629" i="1"/>
  <c r="B1629" i="1"/>
  <c r="A1629" i="1"/>
  <c r="C1628" i="1"/>
  <c r="B1628" i="1"/>
  <c r="A1628" i="1"/>
  <c r="C1627" i="1"/>
  <c r="B1627" i="1"/>
  <c r="A1627" i="1"/>
  <c r="C1626" i="1"/>
  <c r="B1626" i="1"/>
  <c r="A1626" i="1"/>
  <c r="C1625" i="1"/>
  <c r="B1625" i="1"/>
  <c r="A1625" i="1"/>
  <c r="C1624" i="1"/>
  <c r="B1624" i="1"/>
  <c r="A1624" i="1"/>
  <c r="C1623" i="1"/>
  <c r="B1623" i="1"/>
  <c r="A1623" i="1"/>
  <c r="C1622" i="1"/>
  <c r="B1622" i="1"/>
  <c r="A1622" i="1"/>
  <c r="C1621" i="1"/>
  <c r="B1621" i="1"/>
  <c r="A1621" i="1"/>
  <c r="C1620" i="1"/>
  <c r="B1620" i="1"/>
  <c r="A1620" i="1"/>
  <c r="C1619" i="1"/>
  <c r="B1619" i="1"/>
  <c r="A1619" i="1"/>
  <c r="C1618" i="1"/>
  <c r="B1618" i="1"/>
  <c r="A1618" i="1"/>
  <c r="C1617" i="1"/>
  <c r="B1617" i="1"/>
  <c r="A1617" i="1"/>
  <c r="C1616" i="1"/>
  <c r="B1616" i="1"/>
  <c r="A1616" i="1"/>
  <c r="C1615" i="1"/>
  <c r="B1615" i="1"/>
  <c r="A1615" i="1"/>
  <c r="C1614" i="1"/>
  <c r="B1614" i="1"/>
  <c r="A1614" i="1"/>
  <c r="C1613" i="1"/>
  <c r="B1613" i="1"/>
  <c r="A1613" i="1"/>
  <c r="C1612" i="1"/>
  <c r="B1612" i="1"/>
  <c r="A1612" i="1"/>
  <c r="C1611" i="1"/>
  <c r="B1611" i="1"/>
  <c r="A1611" i="1"/>
  <c r="C1610" i="1"/>
  <c r="B1610" i="1"/>
  <c r="A1610" i="1"/>
  <c r="C1609" i="1"/>
  <c r="B1609" i="1"/>
  <c r="A1609" i="1"/>
  <c r="C1608" i="1"/>
  <c r="B1608" i="1"/>
  <c r="A1608" i="1"/>
  <c r="C1607" i="1"/>
  <c r="B1607" i="1"/>
  <c r="A1607" i="1"/>
  <c r="C1606" i="1"/>
  <c r="B1606" i="1"/>
  <c r="A1606" i="1"/>
  <c r="C1605" i="1"/>
  <c r="B1605" i="1"/>
  <c r="A1605" i="1"/>
  <c r="C1604" i="1"/>
  <c r="B1604" i="1"/>
  <c r="A1604" i="1"/>
  <c r="C1603" i="1"/>
  <c r="B1603" i="1"/>
  <c r="A1603" i="1"/>
  <c r="C1602" i="1"/>
  <c r="B1602" i="1"/>
  <c r="A1602" i="1"/>
  <c r="C1601" i="1"/>
  <c r="B1601" i="1"/>
  <c r="A1601" i="1"/>
  <c r="C1600" i="1"/>
  <c r="B1600" i="1"/>
  <c r="A1600" i="1"/>
  <c r="C1599" i="1"/>
  <c r="B1599" i="1"/>
  <c r="A1599" i="1"/>
  <c r="C1598" i="1"/>
  <c r="B1598" i="1"/>
  <c r="A1598" i="1"/>
  <c r="C1597" i="1"/>
  <c r="B1597" i="1"/>
  <c r="A1597" i="1"/>
  <c r="C1596" i="1"/>
  <c r="B1596" i="1"/>
  <c r="A1596" i="1"/>
  <c r="C1595" i="1"/>
  <c r="B1595" i="1"/>
  <c r="A1595" i="1"/>
  <c r="C1594" i="1"/>
  <c r="B1594" i="1"/>
  <c r="A1594" i="1"/>
  <c r="C1593" i="1"/>
  <c r="B1593" i="1"/>
  <c r="A1593" i="1"/>
  <c r="C1592" i="1"/>
  <c r="B1592" i="1"/>
  <c r="A1592" i="1"/>
  <c r="C1591" i="1"/>
  <c r="B1591" i="1"/>
  <c r="A1591" i="1"/>
  <c r="C1590" i="1"/>
  <c r="B1590" i="1"/>
  <c r="A1590" i="1"/>
  <c r="C1589" i="1"/>
  <c r="B1589" i="1"/>
  <c r="A1589" i="1"/>
  <c r="C1588" i="1"/>
  <c r="B1588" i="1"/>
  <c r="A1588" i="1"/>
  <c r="C1587" i="1"/>
  <c r="B1587" i="1"/>
  <c r="A1587" i="1"/>
  <c r="C1586" i="1"/>
  <c r="B1586" i="1"/>
  <c r="A1586" i="1"/>
  <c r="C1585" i="1"/>
  <c r="B1585" i="1"/>
  <c r="A1585" i="1"/>
  <c r="C1584" i="1"/>
  <c r="B1584" i="1"/>
  <c r="A1584" i="1"/>
  <c r="C1583" i="1"/>
  <c r="B1583" i="1"/>
  <c r="A1583" i="1"/>
  <c r="C1582" i="1"/>
  <c r="B1582" i="1"/>
  <c r="A1582" i="1"/>
  <c r="C1581" i="1"/>
  <c r="B1581" i="1"/>
  <c r="A1581" i="1"/>
  <c r="C1580" i="1"/>
  <c r="B1580" i="1"/>
  <c r="A1580" i="1"/>
  <c r="C1579" i="1"/>
  <c r="B1579" i="1"/>
  <c r="A1579" i="1"/>
  <c r="C1578" i="1"/>
  <c r="B1578" i="1"/>
  <c r="A1578" i="1"/>
  <c r="C1577" i="1"/>
  <c r="B1577" i="1"/>
  <c r="A1577" i="1"/>
  <c r="C1576" i="1"/>
  <c r="B1576" i="1"/>
  <c r="A1576" i="1"/>
  <c r="C1575" i="1"/>
  <c r="B1575" i="1"/>
  <c r="A1575" i="1"/>
  <c r="C1574" i="1"/>
  <c r="B1574" i="1"/>
  <c r="A1574" i="1"/>
  <c r="C1573" i="1"/>
  <c r="B1573" i="1"/>
  <c r="A1573" i="1"/>
  <c r="C1572" i="1"/>
  <c r="B1572" i="1"/>
  <c r="A1572" i="1"/>
  <c r="C1571" i="1"/>
  <c r="B1571" i="1"/>
  <c r="A1571" i="1"/>
  <c r="C1570" i="1"/>
  <c r="B1570" i="1"/>
  <c r="A1570" i="1"/>
  <c r="C1569" i="1"/>
  <c r="B1569" i="1"/>
  <c r="A1569" i="1"/>
  <c r="C1568" i="1"/>
  <c r="B1568" i="1"/>
  <c r="A1568" i="1"/>
  <c r="C1567" i="1"/>
  <c r="B1567" i="1"/>
  <c r="A1567" i="1"/>
  <c r="C1566" i="1"/>
  <c r="B1566" i="1"/>
  <c r="A1566" i="1"/>
  <c r="C1565" i="1"/>
  <c r="B1565" i="1"/>
  <c r="A1565" i="1"/>
  <c r="C1564" i="1"/>
  <c r="B1564" i="1"/>
  <c r="A1564" i="1"/>
  <c r="C1563" i="1"/>
  <c r="B1563" i="1"/>
  <c r="A1563" i="1"/>
  <c r="C1562" i="1"/>
  <c r="B1562" i="1"/>
  <c r="A1562" i="1"/>
  <c r="C1561" i="1"/>
  <c r="B1561" i="1"/>
  <c r="A1561" i="1"/>
  <c r="C1560" i="1"/>
  <c r="B1560" i="1"/>
  <c r="A1560" i="1"/>
  <c r="C1559" i="1"/>
  <c r="B1559" i="1"/>
  <c r="A1559" i="1"/>
  <c r="C1558" i="1"/>
  <c r="B1558" i="1"/>
  <c r="A1558" i="1"/>
  <c r="C1557" i="1"/>
  <c r="B1557" i="1"/>
  <c r="A1557" i="1"/>
  <c r="C1556" i="1"/>
  <c r="B1556" i="1"/>
  <c r="A1556" i="1"/>
  <c r="C1555" i="1"/>
  <c r="B1555" i="1"/>
  <c r="A1555" i="1"/>
  <c r="C1554" i="1"/>
  <c r="B1554" i="1"/>
  <c r="A1554" i="1"/>
  <c r="C1553" i="1"/>
  <c r="B1553" i="1"/>
  <c r="A1553" i="1"/>
  <c r="C1552" i="1"/>
  <c r="B1552" i="1"/>
  <c r="A1552" i="1"/>
  <c r="C1551" i="1"/>
  <c r="B1551" i="1"/>
  <c r="A1551" i="1"/>
  <c r="C1550" i="1"/>
  <c r="B1550" i="1"/>
  <c r="A1550" i="1"/>
  <c r="C1549" i="1"/>
  <c r="B1549" i="1"/>
  <c r="A1549" i="1"/>
  <c r="C1548" i="1"/>
  <c r="B1548" i="1"/>
  <c r="A1548" i="1"/>
  <c r="C1547" i="1"/>
  <c r="B1547" i="1"/>
  <c r="A1547" i="1"/>
  <c r="C1546" i="1"/>
  <c r="B1546" i="1"/>
  <c r="A1546" i="1"/>
  <c r="C1545" i="1"/>
  <c r="B1545" i="1"/>
  <c r="A1545" i="1"/>
  <c r="C1544" i="1"/>
  <c r="B1544" i="1"/>
  <c r="A1544" i="1"/>
  <c r="C1543" i="1"/>
  <c r="B1543" i="1"/>
  <c r="A1543" i="1"/>
  <c r="C1542" i="1"/>
  <c r="B1542" i="1"/>
  <c r="A1542" i="1"/>
  <c r="C1541" i="1"/>
  <c r="B1541" i="1"/>
  <c r="A1541" i="1"/>
  <c r="C1540" i="1"/>
  <c r="B1540" i="1"/>
  <c r="A1540" i="1"/>
  <c r="C1539" i="1"/>
  <c r="B1539" i="1"/>
  <c r="A1539" i="1"/>
  <c r="C1538" i="1"/>
  <c r="B1538" i="1"/>
  <c r="A1538" i="1"/>
  <c r="C1537" i="1"/>
  <c r="B1537" i="1"/>
  <c r="A1537" i="1"/>
  <c r="C1536" i="1"/>
  <c r="B1536" i="1"/>
  <c r="A1536" i="1"/>
  <c r="C1535" i="1"/>
  <c r="B1535" i="1"/>
  <c r="A1535" i="1"/>
  <c r="C1534" i="1"/>
  <c r="B1534" i="1"/>
  <c r="A1534" i="1"/>
  <c r="C1533" i="1"/>
  <c r="B1533" i="1"/>
  <c r="A1533" i="1"/>
  <c r="C1532" i="1"/>
  <c r="B1532" i="1"/>
  <c r="A1532" i="1"/>
  <c r="C1531" i="1"/>
  <c r="B1531" i="1"/>
  <c r="A1531" i="1"/>
  <c r="C1530" i="1"/>
  <c r="B1530" i="1"/>
  <c r="A1530" i="1"/>
  <c r="C1529" i="1"/>
  <c r="B1529" i="1"/>
  <c r="A1529" i="1"/>
  <c r="C1528" i="1"/>
  <c r="B1528" i="1"/>
  <c r="A1528" i="1"/>
  <c r="C1527" i="1"/>
  <c r="B1527" i="1"/>
  <c r="A1527" i="1"/>
  <c r="C1526" i="1"/>
  <c r="B1526" i="1"/>
  <c r="A1526" i="1"/>
  <c r="C1525" i="1"/>
  <c r="B1525" i="1"/>
  <c r="A1525" i="1"/>
  <c r="C1524" i="1"/>
  <c r="B1524" i="1"/>
  <c r="A1524" i="1"/>
  <c r="C1523" i="1"/>
  <c r="B1523" i="1"/>
  <c r="A1523" i="1"/>
  <c r="C1522" i="1"/>
  <c r="B1522" i="1"/>
  <c r="A1522" i="1"/>
  <c r="C1521" i="1"/>
  <c r="B1521" i="1"/>
  <c r="A1521" i="1"/>
  <c r="C1520" i="1"/>
  <c r="B1520" i="1"/>
  <c r="A1520" i="1"/>
  <c r="C1519" i="1"/>
  <c r="B1519" i="1"/>
  <c r="A1519" i="1"/>
  <c r="C1518" i="1"/>
  <c r="B1518" i="1"/>
  <c r="A1518" i="1"/>
  <c r="C1517" i="1"/>
  <c r="B1517" i="1"/>
  <c r="A1517" i="1"/>
  <c r="C1516" i="1"/>
  <c r="B1516" i="1"/>
  <c r="A1516" i="1"/>
  <c r="C1515" i="1"/>
  <c r="B1515" i="1"/>
  <c r="A1515" i="1"/>
  <c r="C1514" i="1"/>
  <c r="B1514" i="1"/>
  <c r="A1514" i="1"/>
  <c r="C1513" i="1"/>
  <c r="B1513" i="1"/>
  <c r="A1513" i="1"/>
  <c r="C1512" i="1"/>
  <c r="B1512" i="1"/>
  <c r="A1512" i="1"/>
  <c r="C1511" i="1"/>
  <c r="B1511" i="1"/>
  <c r="A1511" i="1"/>
  <c r="C1510" i="1"/>
  <c r="B1510" i="1"/>
  <c r="A1510" i="1"/>
  <c r="C1509" i="1"/>
  <c r="B1509" i="1"/>
  <c r="A1509" i="1"/>
  <c r="C1508" i="1"/>
  <c r="B1508" i="1"/>
  <c r="A1508" i="1"/>
  <c r="C1507" i="1"/>
  <c r="B1507" i="1"/>
  <c r="A1507" i="1"/>
  <c r="C1506" i="1"/>
  <c r="B1506" i="1"/>
  <c r="A1506" i="1"/>
  <c r="C1505" i="1"/>
  <c r="B1505" i="1"/>
  <c r="A1505" i="1"/>
  <c r="C1504" i="1"/>
  <c r="B1504" i="1"/>
  <c r="A1504" i="1"/>
  <c r="C1503" i="1"/>
  <c r="B1503" i="1"/>
  <c r="A1503" i="1"/>
  <c r="C1502" i="1"/>
  <c r="B1502" i="1"/>
  <c r="A1502" i="1"/>
  <c r="C1501" i="1"/>
  <c r="B1501" i="1"/>
  <c r="A1501" i="1"/>
  <c r="C1500" i="1"/>
  <c r="B1500" i="1"/>
  <c r="A1500" i="1"/>
  <c r="C1499" i="1"/>
  <c r="B1499" i="1"/>
  <c r="A1499" i="1"/>
  <c r="C1498" i="1"/>
  <c r="B1498" i="1"/>
  <c r="A1498" i="1"/>
  <c r="C1497" i="1"/>
  <c r="B1497" i="1"/>
  <c r="A1497" i="1"/>
  <c r="C1496" i="1"/>
  <c r="B1496" i="1"/>
  <c r="A1496" i="1"/>
  <c r="C1495" i="1"/>
  <c r="B1495" i="1"/>
  <c r="A1495" i="1"/>
  <c r="C1494" i="1"/>
  <c r="B1494" i="1"/>
  <c r="A1494" i="1"/>
  <c r="C1493" i="1"/>
  <c r="B1493" i="1"/>
  <c r="A1493" i="1"/>
  <c r="C1492" i="1"/>
  <c r="B1492" i="1"/>
  <c r="A1492" i="1"/>
  <c r="C1491" i="1"/>
  <c r="B1491" i="1"/>
  <c r="A1491" i="1"/>
  <c r="C1490" i="1"/>
  <c r="B1490" i="1"/>
  <c r="A1490" i="1"/>
  <c r="C1489" i="1"/>
  <c r="B1489" i="1"/>
  <c r="A1489" i="1"/>
  <c r="C1488" i="1"/>
  <c r="B1488" i="1"/>
  <c r="A1488" i="1"/>
  <c r="C1487" i="1"/>
  <c r="B1487" i="1"/>
  <c r="A1487" i="1"/>
  <c r="C1486" i="1"/>
  <c r="B1486" i="1"/>
  <c r="A1486" i="1"/>
  <c r="C1485" i="1"/>
  <c r="B1485" i="1"/>
  <c r="A1485" i="1"/>
  <c r="C1484" i="1"/>
  <c r="B1484" i="1"/>
  <c r="A1484" i="1"/>
  <c r="C1483" i="1"/>
  <c r="B1483" i="1"/>
  <c r="A1483" i="1"/>
  <c r="C1482" i="1"/>
  <c r="B1482" i="1"/>
  <c r="A1482" i="1"/>
  <c r="C1481" i="1"/>
  <c r="B1481" i="1"/>
  <c r="A1481" i="1"/>
  <c r="C1480" i="1"/>
  <c r="B1480" i="1"/>
  <c r="A1480" i="1"/>
  <c r="C1479" i="1"/>
  <c r="B1479" i="1"/>
  <c r="A1479" i="1"/>
  <c r="C1478" i="1"/>
  <c r="B1478" i="1"/>
  <c r="A1478" i="1"/>
  <c r="C1477" i="1"/>
  <c r="B1477" i="1"/>
  <c r="A1477" i="1"/>
  <c r="C1476" i="1"/>
  <c r="B1476" i="1"/>
  <c r="A1476" i="1"/>
  <c r="C1475" i="1"/>
  <c r="B1475" i="1"/>
  <c r="A1475" i="1"/>
  <c r="C1474" i="1"/>
  <c r="B1474" i="1"/>
  <c r="A1474" i="1"/>
  <c r="C1473" i="1"/>
  <c r="B1473" i="1"/>
  <c r="A1473" i="1"/>
  <c r="C1472" i="1"/>
  <c r="B1472" i="1"/>
  <c r="A1472" i="1"/>
  <c r="C1471" i="1"/>
  <c r="B1471" i="1"/>
  <c r="A1471" i="1"/>
  <c r="C1470" i="1"/>
  <c r="B1470" i="1"/>
  <c r="A1470" i="1"/>
  <c r="C1469" i="1"/>
  <c r="B1469" i="1"/>
  <c r="A1469" i="1"/>
  <c r="C1468" i="1"/>
  <c r="B1468" i="1"/>
  <c r="A1468" i="1"/>
  <c r="C1467" i="1"/>
  <c r="B1467" i="1"/>
  <c r="A1467" i="1"/>
  <c r="C1466" i="1"/>
  <c r="B1466" i="1"/>
  <c r="A1466" i="1"/>
  <c r="C1465" i="1"/>
  <c r="B1465" i="1"/>
  <c r="A1465" i="1"/>
  <c r="C1464" i="1"/>
  <c r="B1464" i="1"/>
  <c r="A1464" i="1"/>
  <c r="C1463" i="1"/>
  <c r="B1463" i="1"/>
  <c r="A1463" i="1"/>
  <c r="C1462" i="1"/>
  <c r="B1462" i="1"/>
  <c r="A1462" i="1"/>
  <c r="C1461" i="1"/>
  <c r="B1461" i="1"/>
  <c r="A1461" i="1"/>
  <c r="C1460" i="1"/>
  <c r="B1460" i="1"/>
  <c r="A1460" i="1"/>
  <c r="C1459" i="1"/>
  <c r="B1459" i="1"/>
  <c r="A1459" i="1"/>
  <c r="C1458" i="1"/>
  <c r="B1458" i="1"/>
  <c r="A1458" i="1"/>
  <c r="C1457" i="1"/>
  <c r="B1457" i="1"/>
  <c r="A1457" i="1"/>
  <c r="C1456" i="1"/>
  <c r="B1456" i="1"/>
  <c r="A1456" i="1"/>
  <c r="C1455" i="1"/>
  <c r="B1455" i="1"/>
  <c r="A1455" i="1"/>
  <c r="C1454" i="1"/>
  <c r="B1454" i="1"/>
  <c r="A1454" i="1"/>
  <c r="C1453" i="1"/>
  <c r="B1453" i="1"/>
  <c r="A1453" i="1"/>
  <c r="C1452" i="1"/>
  <c r="B1452" i="1"/>
  <c r="A1452" i="1"/>
  <c r="C1451" i="1"/>
  <c r="B1451" i="1"/>
  <c r="A1451" i="1"/>
  <c r="C1450" i="1"/>
  <c r="B1450" i="1"/>
  <c r="A1450" i="1"/>
  <c r="C1449" i="1"/>
  <c r="B1449" i="1"/>
  <c r="A1449" i="1"/>
  <c r="C1448" i="1"/>
  <c r="B1448" i="1"/>
  <c r="A1448" i="1"/>
  <c r="C1447" i="1"/>
  <c r="B1447" i="1"/>
  <c r="A1447" i="1"/>
  <c r="C1446" i="1"/>
  <c r="B1446" i="1"/>
  <c r="A1446" i="1"/>
  <c r="C1445" i="1"/>
  <c r="B1445" i="1"/>
  <c r="A1445" i="1"/>
  <c r="C1444" i="1"/>
  <c r="B1444" i="1"/>
  <c r="A1444" i="1"/>
  <c r="C1443" i="1"/>
  <c r="B1443" i="1"/>
  <c r="A1443" i="1"/>
  <c r="C1442" i="1"/>
  <c r="B1442" i="1"/>
  <c r="A1442" i="1"/>
  <c r="C1441" i="1"/>
  <c r="B1441" i="1"/>
  <c r="A1441" i="1"/>
  <c r="C1440" i="1"/>
  <c r="B1440" i="1"/>
  <c r="A1440" i="1"/>
  <c r="C1439" i="1"/>
  <c r="B1439" i="1"/>
  <c r="A1439" i="1"/>
  <c r="C1438" i="1"/>
  <c r="B1438" i="1"/>
  <c r="A1438" i="1"/>
  <c r="C1437" i="1"/>
  <c r="B1437" i="1"/>
  <c r="A1437" i="1"/>
  <c r="C1436" i="1"/>
  <c r="B1436" i="1"/>
  <c r="A1436" i="1"/>
  <c r="C1435" i="1"/>
  <c r="B1435" i="1"/>
  <c r="A1435" i="1"/>
  <c r="C1434" i="1"/>
  <c r="B1434" i="1"/>
  <c r="A1434" i="1"/>
  <c r="C1433" i="1"/>
  <c r="B1433" i="1"/>
  <c r="A1433" i="1"/>
  <c r="C1432" i="1"/>
  <c r="B1432" i="1"/>
  <c r="A1432" i="1"/>
  <c r="C1431" i="1"/>
  <c r="B1431" i="1"/>
  <c r="A1431" i="1"/>
  <c r="C1430" i="1"/>
  <c r="B1430" i="1"/>
  <c r="A1430" i="1"/>
  <c r="C1429" i="1"/>
  <c r="B1429" i="1"/>
  <c r="A1429" i="1"/>
  <c r="C1428" i="1"/>
  <c r="B1428" i="1"/>
  <c r="A1428" i="1"/>
  <c r="C1427" i="1"/>
  <c r="B1427" i="1"/>
  <c r="A1427" i="1"/>
  <c r="C1426" i="1"/>
  <c r="B1426" i="1"/>
  <c r="A1426" i="1"/>
  <c r="C1425" i="1"/>
  <c r="B1425" i="1"/>
  <c r="A1425" i="1"/>
  <c r="C1424" i="1"/>
  <c r="B1424" i="1"/>
  <c r="A1424" i="1"/>
  <c r="C1423" i="1"/>
  <c r="B1423" i="1"/>
  <c r="A1423" i="1"/>
  <c r="C1422" i="1"/>
  <c r="B1422" i="1"/>
  <c r="A1422" i="1"/>
  <c r="C1421" i="1"/>
  <c r="B1421" i="1"/>
  <c r="A1421" i="1"/>
  <c r="C1420" i="1"/>
  <c r="B1420" i="1"/>
  <c r="A1420" i="1"/>
  <c r="C1419" i="1"/>
  <c r="B1419" i="1"/>
  <c r="A1419" i="1"/>
  <c r="C1418" i="1"/>
  <c r="B1418" i="1"/>
  <c r="A1418" i="1"/>
  <c r="C1417" i="1"/>
  <c r="B1417" i="1"/>
  <c r="A1417" i="1"/>
  <c r="C1416" i="1"/>
  <c r="B1416" i="1"/>
  <c r="A1416" i="1"/>
  <c r="C1415" i="1"/>
  <c r="B1415" i="1"/>
  <c r="A1415" i="1"/>
  <c r="C1414" i="1"/>
  <c r="B1414" i="1"/>
  <c r="A1414" i="1"/>
  <c r="C1413" i="1"/>
  <c r="B1413" i="1"/>
  <c r="A1413" i="1"/>
  <c r="C1412" i="1"/>
  <c r="B1412" i="1"/>
  <c r="A1412" i="1"/>
  <c r="C1411" i="1"/>
  <c r="B1411" i="1"/>
  <c r="A1411" i="1"/>
  <c r="C1410" i="1"/>
  <c r="B1410" i="1"/>
  <c r="A1410" i="1"/>
  <c r="C1409" i="1"/>
  <c r="B1409" i="1"/>
  <c r="A1409" i="1"/>
  <c r="C1408" i="1"/>
  <c r="B1408" i="1"/>
  <c r="A1408" i="1"/>
  <c r="C1407" i="1"/>
  <c r="B1407" i="1"/>
  <c r="A1407" i="1"/>
  <c r="C1406" i="1"/>
  <c r="B1406" i="1"/>
  <c r="A1406" i="1"/>
  <c r="C1405" i="1"/>
  <c r="B1405" i="1"/>
  <c r="A1405" i="1"/>
  <c r="C1404" i="1"/>
  <c r="B1404" i="1"/>
  <c r="A1404" i="1"/>
  <c r="C1403" i="1"/>
  <c r="B1403" i="1"/>
  <c r="A1403" i="1"/>
  <c r="C1402" i="1"/>
  <c r="B1402" i="1"/>
  <c r="A1402" i="1"/>
  <c r="C1401" i="1"/>
  <c r="B1401" i="1"/>
  <c r="A1401" i="1"/>
  <c r="C1400" i="1"/>
  <c r="B1400" i="1"/>
  <c r="A1400" i="1"/>
  <c r="C1399" i="1"/>
  <c r="B1399" i="1"/>
  <c r="A1399" i="1"/>
  <c r="C1398" i="1"/>
  <c r="B1398" i="1"/>
  <c r="A1398" i="1"/>
  <c r="C1397" i="1"/>
  <c r="B1397" i="1"/>
  <c r="A1397" i="1"/>
  <c r="C1396" i="1"/>
  <c r="B1396" i="1"/>
  <c r="A1396" i="1"/>
  <c r="C1395" i="1"/>
  <c r="B1395" i="1"/>
  <c r="A1395" i="1"/>
  <c r="C1394" i="1"/>
  <c r="B1394" i="1"/>
  <c r="A1394" i="1"/>
  <c r="C1393" i="1"/>
  <c r="B1393" i="1"/>
  <c r="A1393" i="1"/>
  <c r="C1392" i="1"/>
  <c r="B1392" i="1"/>
  <c r="A1392" i="1"/>
  <c r="C1391" i="1"/>
  <c r="B1391" i="1"/>
  <c r="A1391" i="1"/>
  <c r="C1390" i="1"/>
  <c r="B1390" i="1"/>
  <c r="A1390" i="1"/>
  <c r="C1389" i="1"/>
  <c r="B1389" i="1"/>
  <c r="A1389" i="1"/>
  <c r="C1388" i="1"/>
  <c r="B1388" i="1"/>
  <c r="A1388" i="1"/>
  <c r="C1387" i="1"/>
  <c r="B1387" i="1"/>
  <c r="A1387" i="1"/>
  <c r="C1386" i="1"/>
  <c r="B1386" i="1"/>
  <c r="A1386" i="1"/>
  <c r="C1385" i="1"/>
  <c r="B1385" i="1"/>
  <c r="A1385" i="1"/>
  <c r="C1384" i="1"/>
  <c r="B1384" i="1"/>
  <c r="A1384" i="1"/>
  <c r="C1383" i="1"/>
  <c r="B1383" i="1"/>
  <c r="A1383" i="1"/>
  <c r="C1382" i="1"/>
  <c r="B1382" i="1"/>
  <c r="A1382" i="1"/>
  <c r="C1381" i="1"/>
  <c r="B1381" i="1"/>
  <c r="A1381" i="1"/>
  <c r="C1380" i="1"/>
  <c r="B1380" i="1"/>
  <c r="A1380" i="1"/>
  <c r="C1379" i="1"/>
  <c r="B1379" i="1"/>
  <c r="A1379" i="1"/>
  <c r="C1378" i="1"/>
  <c r="B1378" i="1"/>
  <c r="A1378" i="1"/>
  <c r="C1377" i="1"/>
  <c r="B1377" i="1"/>
  <c r="A1377" i="1"/>
  <c r="C1376" i="1"/>
  <c r="B1376" i="1"/>
  <c r="A1376" i="1"/>
  <c r="C1375" i="1"/>
  <c r="B1375" i="1"/>
  <c r="A1375" i="1"/>
  <c r="C1374" i="1"/>
  <c r="B1374" i="1"/>
  <c r="A1374" i="1"/>
  <c r="C1373" i="1"/>
  <c r="B1373" i="1"/>
  <c r="A1373" i="1"/>
  <c r="C1372" i="1"/>
  <c r="B1372" i="1"/>
  <c r="A1372" i="1"/>
  <c r="C1371" i="1"/>
  <c r="B1371" i="1"/>
  <c r="A1371" i="1"/>
  <c r="C1370" i="1"/>
  <c r="B1370" i="1"/>
  <c r="A1370" i="1"/>
  <c r="C1369" i="1"/>
  <c r="B1369" i="1"/>
  <c r="A1369" i="1"/>
  <c r="C1368" i="1"/>
  <c r="B1368" i="1"/>
  <c r="A1368" i="1"/>
  <c r="C1367" i="1"/>
  <c r="B1367" i="1"/>
  <c r="A1367" i="1"/>
  <c r="C1366" i="1"/>
  <c r="B1366" i="1"/>
  <c r="A1366" i="1"/>
  <c r="C1365" i="1"/>
  <c r="B1365" i="1"/>
  <c r="A1365" i="1"/>
  <c r="C1364" i="1"/>
  <c r="B1364" i="1"/>
  <c r="A1364" i="1"/>
  <c r="C1363" i="1"/>
  <c r="B1363" i="1"/>
  <c r="A1363" i="1"/>
  <c r="C1362" i="1"/>
  <c r="B1362" i="1"/>
  <c r="A1362" i="1"/>
  <c r="C1361" i="1"/>
  <c r="B1361" i="1"/>
  <c r="A1361" i="1"/>
  <c r="C1360" i="1"/>
  <c r="B1360" i="1"/>
  <c r="A1360" i="1"/>
  <c r="C1359" i="1"/>
  <c r="B1359" i="1"/>
  <c r="A1359" i="1"/>
  <c r="C1358" i="1"/>
  <c r="B1358" i="1"/>
  <c r="A1358" i="1"/>
  <c r="C1357" i="1"/>
  <c r="B1357" i="1"/>
  <c r="A1357" i="1"/>
  <c r="C1356" i="1"/>
  <c r="B1356" i="1"/>
  <c r="A1356" i="1"/>
  <c r="C1355" i="1"/>
  <c r="B1355" i="1"/>
  <c r="A1355" i="1"/>
  <c r="C1354" i="1"/>
  <c r="B1354" i="1"/>
  <c r="A1354" i="1"/>
  <c r="C1353" i="1"/>
  <c r="B1353" i="1"/>
  <c r="A1353" i="1"/>
  <c r="C1352" i="1"/>
  <c r="B1352" i="1"/>
  <c r="A1352" i="1"/>
  <c r="C1351" i="1"/>
  <c r="B1351" i="1"/>
  <c r="A1351" i="1"/>
  <c r="C1350" i="1"/>
  <c r="B1350" i="1"/>
  <c r="A1350" i="1"/>
  <c r="C1349" i="1"/>
  <c r="B1349" i="1"/>
  <c r="A1349" i="1"/>
  <c r="C1348" i="1"/>
  <c r="B1348" i="1"/>
  <c r="A1348" i="1"/>
  <c r="C1347" i="1"/>
  <c r="B1347" i="1"/>
  <c r="A1347" i="1"/>
  <c r="C1346" i="1"/>
  <c r="B1346" i="1"/>
  <c r="A1346" i="1"/>
  <c r="C1345" i="1"/>
  <c r="B1345" i="1"/>
  <c r="A1345" i="1"/>
  <c r="C1344" i="1"/>
  <c r="B1344" i="1"/>
  <c r="A1344" i="1"/>
  <c r="C1343" i="1"/>
  <c r="B1343" i="1"/>
  <c r="A1343" i="1"/>
  <c r="C1342" i="1"/>
  <c r="B1342" i="1"/>
  <c r="A1342" i="1"/>
  <c r="C1341" i="1"/>
  <c r="B1341" i="1"/>
  <c r="A1341" i="1"/>
  <c r="C1340" i="1"/>
  <c r="B1340" i="1"/>
  <c r="A1340" i="1"/>
  <c r="C1339" i="1"/>
  <c r="B1339" i="1"/>
  <c r="A1339" i="1"/>
  <c r="C1338" i="1"/>
  <c r="B1338" i="1"/>
  <c r="A1338" i="1"/>
  <c r="C1337" i="1"/>
  <c r="B1337" i="1"/>
  <c r="A1337" i="1"/>
  <c r="C1336" i="1"/>
  <c r="B1336" i="1"/>
  <c r="A1336" i="1"/>
  <c r="C1335" i="1"/>
  <c r="B1335" i="1"/>
  <c r="A1335" i="1"/>
  <c r="C1334" i="1"/>
  <c r="B1334" i="1"/>
  <c r="A1334" i="1"/>
  <c r="C1333" i="1"/>
  <c r="B1333" i="1"/>
  <c r="A1333" i="1"/>
  <c r="C1332" i="1"/>
  <c r="B1332" i="1"/>
  <c r="A1332" i="1"/>
  <c r="C1331" i="1"/>
  <c r="B1331" i="1"/>
  <c r="A1331" i="1"/>
  <c r="C1330" i="1"/>
  <c r="B1330" i="1"/>
  <c r="A1330" i="1"/>
  <c r="C1329" i="1"/>
  <c r="B1329" i="1"/>
  <c r="A1329" i="1"/>
  <c r="C1328" i="1"/>
  <c r="B1328" i="1"/>
  <c r="A1328" i="1"/>
  <c r="C1327" i="1"/>
  <c r="B1327" i="1"/>
  <c r="A1327" i="1"/>
  <c r="C1326" i="1"/>
  <c r="B1326" i="1"/>
  <c r="A1326" i="1"/>
  <c r="C1325" i="1"/>
  <c r="B1325" i="1"/>
  <c r="A1325" i="1"/>
  <c r="C1324" i="1"/>
  <c r="B1324" i="1"/>
  <c r="A1324" i="1"/>
  <c r="C1323" i="1"/>
  <c r="B1323" i="1"/>
  <c r="A1323" i="1"/>
  <c r="C1322" i="1"/>
  <c r="B1322" i="1"/>
  <c r="A1322" i="1"/>
  <c r="C1321" i="1"/>
  <c r="B1321" i="1"/>
  <c r="A1321" i="1"/>
  <c r="C1320" i="1"/>
  <c r="B1320" i="1"/>
  <c r="A1320" i="1"/>
  <c r="C1319" i="1"/>
  <c r="B1319" i="1"/>
  <c r="A1319" i="1"/>
  <c r="C1318" i="1"/>
  <c r="B1318" i="1"/>
  <c r="A1318" i="1"/>
  <c r="C1317" i="1"/>
  <c r="B1317" i="1"/>
  <c r="A1317" i="1"/>
  <c r="C1316" i="1"/>
  <c r="B1316" i="1"/>
  <c r="A1316" i="1"/>
  <c r="C1315" i="1"/>
  <c r="B1315" i="1"/>
  <c r="A1315" i="1"/>
  <c r="C1314" i="1"/>
  <c r="B1314" i="1"/>
  <c r="A1314" i="1"/>
  <c r="C1313" i="1"/>
  <c r="B1313" i="1"/>
  <c r="A1313" i="1"/>
  <c r="C1312" i="1"/>
  <c r="B1312" i="1"/>
  <c r="A1312" i="1"/>
  <c r="C1311" i="1"/>
  <c r="B1311" i="1"/>
  <c r="A1311" i="1"/>
  <c r="C1310" i="1"/>
  <c r="B1310" i="1"/>
  <c r="A1310" i="1"/>
  <c r="C1309" i="1"/>
  <c r="B1309" i="1"/>
  <c r="A1309" i="1"/>
  <c r="C1308" i="1"/>
  <c r="B1308" i="1"/>
  <c r="A1308" i="1"/>
  <c r="C1307" i="1"/>
  <c r="B1307" i="1"/>
  <c r="A1307" i="1"/>
  <c r="C1306" i="1"/>
  <c r="B1306" i="1"/>
  <c r="A1306" i="1"/>
  <c r="C1305" i="1"/>
  <c r="B1305" i="1"/>
  <c r="A1305" i="1"/>
  <c r="C1304" i="1"/>
  <c r="B1304" i="1"/>
  <c r="A1304" i="1"/>
  <c r="C1303" i="1"/>
  <c r="B1303" i="1"/>
  <c r="A1303" i="1"/>
  <c r="C1302" i="1"/>
  <c r="B1302" i="1"/>
  <c r="A1302" i="1"/>
  <c r="C1301" i="1"/>
  <c r="B1301" i="1"/>
  <c r="A1301" i="1"/>
  <c r="C1300" i="1"/>
  <c r="B1300" i="1"/>
  <c r="A1300" i="1"/>
  <c r="C1299" i="1"/>
  <c r="B1299" i="1"/>
  <c r="A1299" i="1"/>
  <c r="C1298" i="1"/>
  <c r="B1298" i="1"/>
  <c r="A1298" i="1"/>
  <c r="C1297" i="1"/>
  <c r="B1297" i="1"/>
  <c r="A1297" i="1"/>
  <c r="C1296" i="1"/>
  <c r="B1296" i="1"/>
  <c r="A1296" i="1"/>
  <c r="C1295" i="1"/>
  <c r="B1295" i="1"/>
  <c r="A1295" i="1"/>
  <c r="C1294" i="1"/>
  <c r="B1294" i="1"/>
  <c r="A1294" i="1"/>
  <c r="C1293" i="1"/>
  <c r="B1293" i="1"/>
  <c r="A1293" i="1"/>
  <c r="C1292" i="1"/>
  <c r="B1292" i="1"/>
  <c r="A1292" i="1"/>
  <c r="C1291" i="1"/>
  <c r="B1291" i="1"/>
  <c r="A1291" i="1"/>
  <c r="C1290" i="1"/>
  <c r="B1290" i="1"/>
  <c r="A1290" i="1"/>
  <c r="C1289" i="1"/>
  <c r="B1289" i="1"/>
  <c r="A1289" i="1"/>
  <c r="C1288" i="1"/>
  <c r="B1288" i="1"/>
  <c r="A1288" i="1"/>
  <c r="C1287" i="1"/>
  <c r="B1287" i="1"/>
  <c r="A1287" i="1"/>
  <c r="C1286" i="1"/>
  <c r="B1286" i="1"/>
  <c r="A1286" i="1"/>
  <c r="C1285" i="1"/>
  <c r="B1285" i="1"/>
  <c r="A1285" i="1"/>
  <c r="C1284" i="1"/>
  <c r="B1284" i="1"/>
  <c r="A1284" i="1"/>
  <c r="C1283" i="1"/>
  <c r="B1283" i="1"/>
  <c r="A1283" i="1"/>
  <c r="C1282" i="1"/>
  <c r="B1282" i="1"/>
  <c r="A1282" i="1"/>
  <c r="C1281" i="1"/>
  <c r="B1281" i="1"/>
  <c r="A1281" i="1"/>
  <c r="C1280" i="1"/>
  <c r="B1280" i="1"/>
  <c r="A1280" i="1"/>
  <c r="C1279" i="1"/>
  <c r="B1279" i="1"/>
  <c r="A1279" i="1"/>
  <c r="C1278" i="1"/>
  <c r="B1278" i="1"/>
  <c r="A1278" i="1"/>
  <c r="C1277" i="1"/>
  <c r="B1277" i="1"/>
  <c r="A1277" i="1"/>
  <c r="C1276" i="1"/>
  <c r="B1276" i="1"/>
  <c r="A1276" i="1"/>
  <c r="C1275" i="1"/>
  <c r="B1275" i="1"/>
  <c r="A1275" i="1"/>
  <c r="C1274" i="1"/>
  <c r="B1274" i="1"/>
  <c r="A1274" i="1"/>
  <c r="C1273" i="1"/>
  <c r="B1273" i="1"/>
  <c r="A1273" i="1"/>
  <c r="C1272" i="1"/>
  <c r="B1272" i="1"/>
  <c r="A1272" i="1"/>
  <c r="C1271" i="1"/>
  <c r="B1271" i="1"/>
  <c r="A1271" i="1"/>
  <c r="C1270" i="1"/>
  <c r="B1270" i="1"/>
  <c r="A1270" i="1"/>
  <c r="C1269" i="1"/>
  <c r="B1269" i="1"/>
  <c r="A1269" i="1"/>
  <c r="C1268" i="1"/>
  <c r="B1268" i="1"/>
  <c r="A1268" i="1"/>
  <c r="C1267" i="1"/>
  <c r="B1267" i="1"/>
  <c r="A1267" i="1"/>
  <c r="C1266" i="1"/>
  <c r="B1266" i="1"/>
  <c r="A1266" i="1"/>
  <c r="C1265" i="1"/>
  <c r="B1265" i="1"/>
  <c r="A1265" i="1"/>
  <c r="C1264" i="1"/>
  <c r="B1264" i="1"/>
  <c r="A1264" i="1"/>
  <c r="C1263" i="1"/>
  <c r="B1263" i="1"/>
  <c r="A1263" i="1"/>
  <c r="C1262" i="1"/>
  <c r="B1262" i="1"/>
  <c r="A1262" i="1"/>
  <c r="C1261" i="1"/>
  <c r="B1261" i="1"/>
  <c r="A1261" i="1"/>
  <c r="C1260" i="1"/>
  <c r="B1260" i="1"/>
  <c r="A1260" i="1"/>
  <c r="C1259" i="1"/>
  <c r="B1259" i="1"/>
  <c r="A1259" i="1"/>
  <c r="C1258" i="1"/>
  <c r="B1258" i="1"/>
  <c r="A1258" i="1"/>
  <c r="C1257" i="1"/>
  <c r="B1257" i="1"/>
  <c r="A1257" i="1"/>
  <c r="C1256" i="1"/>
  <c r="B1256" i="1"/>
  <c r="A1256" i="1"/>
  <c r="C1255" i="1"/>
  <c r="B1255" i="1"/>
  <c r="A1255" i="1"/>
  <c r="C1254" i="1"/>
  <c r="B1254" i="1"/>
  <c r="A1254" i="1"/>
  <c r="C1253" i="1"/>
  <c r="B1253" i="1"/>
  <c r="A1253" i="1"/>
  <c r="C1252" i="1"/>
  <c r="B1252" i="1"/>
  <c r="A1252" i="1"/>
  <c r="C1251" i="1"/>
  <c r="B1251" i="1"/>
  <c r="A1251" i="1"/>
  <c r="C1250" i="1"/>
  <c r="B1250" i="1"/>
  <c r="A1250" i="1"/>
  <c r="C1249" i="1"/>
  <c r="B1249" i="1"/>
  <c r="A1249" i="1"/>
  <c r="C1248" i="1"/>
  <c r="B1248" i="1"/>
  <c r="A1248" i="1"/>
  <c r="C1247" i="1"/>
  <c r="B1247" i="1"/>
  <c r="A1247" i="1"/>
  <c r="C1246" i="1"/>
  <c r="B1246" i="1"/>
  <c r="A1246" i="1"/>
  <c r="C1245" i="1"/>
  <c r="B1245" i="1"/>
  <c r="A1245" i="1"/>
  <c r="C1244" i="1"/>
  <c r="B1244" i="1"/>
  <c r="A1244" i="1"/>
  <c r="C1243" i="1"/>
  <c r="B1243" i="1"/>
  <c r="A1243" i="1"/>
  <c r="C1242" i="1"/>
  <c r="B1242" i="1"/>
  <c r="A1242" i="1"/>
  <c r="C1241" i="1"/>
  <c r="B1241" i="1"/>
  <c r="A1241" i="1"/>
  <c r="C1240" i="1"/>
  <c r="B1240" i="1"/>
  <c r="A1240" i="1"/>
  <c r="C1239" i="1"/>
  <c r="B1239" i="1"/>
  <c r="A1239" i="1"/>
  <c r="C1238" i="1"/>
  <c r="B1238" i="1"/>
  <c r="A1238" i="1"/>
  <c r="C1237" i="1"/>
  <c r="B1237" i="1"/>
  <c r="A1237" i="1"/>
  <c r="C1236" i="1"/>
  <c r="B1236" i="1"/>
  <c r="A1236" i="1"/>
  <c r="C1235" i="1"/>
  <c r="B1235" i="1"/>
  <c r="A1235" i="1"/>
  <c r="C1234" i="1"/>
  <c r="B1234" i="1"/>
  <c r="A1234" i="1"/>
  <c r="C1233" i="1"/>
  <c r="B1233" i="1"/>
  <c r="A1233" i="1"/>
  <c r="C1232" i="1"/>
  <c r="B1232" i="1"/>
  <c r="A1232" i="1"/>
  <c r="C1231" i="1"/>
  <c r="B1231" i="1"/>
  <c r="A1231" i="1"/>
  <c r="C1230" i="1"/>
  <c r="B1230" i="1"/>
  <c r="A1230" i="1"/>
  <c r="C1229" i="1"/>
  <c r="B1229" i="1"/>
  <c r="A1229" i="1"/>
  <c r="C1228" i="1"/>
  <c r="B1228" i="1"/>
  <c r="A1228" i="1"/>
  <c r="C1227" i="1"/>
  <c r="B1227" i="1"/>
  <c r="A1227" i="1"/>
  <c r="C1226" i="1"/>
  <c r="B1226" i="1"/>
  <c r="A1226" i="1"/>
  <c r="C1225" i="1"/>
  <c r="B1225" i="1"/>
  <c r="A1225" i="1"/>
  <c r="C1224" i="1"/>
  <c r="B1224" i="1"/>
  <c r="A1224" i="1"/>
  <c r="C1223" i="1"/>
  <c r="B1223" i="1"/>
  <c r="A1223" i="1"/>
  <c r="C1222" i="1"/>
  <c r="B1222" i="1"/>
  <c r="A1222" i="1"/>
  <c r="C1221" i="1"/>
  <c r="B1221" i="1"/>
  <c r="A1221" i="1"/>
  <c r="C1220" i="1"/>
  <c r="B1220" i="1"/>
  <c r="A1220" i="1"/>
  <c r="C1219" i="1"/>
  <c r="B1219" i="1"/>
  <c r="A1219" i="1"/>
  <c r="C1218" i="1"/>
  <c r="B1218" i="1"/>
  <c r="A1218" i="1"/>
  <c r="C1217" i="1"/>
  <c r="B1217" i="1"/>
  <c r="A1217" i="1"/>
  <c r="C1216" i="1"/>
  <c r="B1216" i="1"/>
  <c r="A1216" i="1"/>
  <c r="C1215" i="1"/>
  <c r="B1215" i="1"/>
  <c r="A1215" i="1"/>
  <c r="C1214" i="1"/>
  <c r="B1214" i="1"/>
  <c r="A1214" i="1"/>
  <c r="C1213" i="1"/>
  <c r="B1213" i="1"/>
  <c r="A1213" i="1"/>
  <c r="C1212" i="1"/>
  <c r="B1212" i="1"/>
  <c r="A1212" i="1"/>
  <c r="C1211" i="1"/>
  <c r="B1211" i="1"/>
  <c r="A1211" i="1"/>
  <c r="C1210" i="1"/>
  <c r="B1210" i="1"/>
  <c r="A1210" i="1"/>
  <c r="C1209" i="1"/>
  <c r="B1209" i="1"/>
  <c r="A1209" i="1"/>
  <c r="C1208" i="1"/>
  <c r="B1208" i="1"/>
  <c r="A1208" i="1"/>
  <c r="C1207" i="1"/>
  <c r="B1207" i="1"/>
  <c r="A1207" i="1"/>
  <c r="C1206" i="1"/>
  <c r="B1206" i="1"/>
  <c r="A1206" i="1"/>
  <c r="C1205" i="1"/>
  <c r="B1205" i="1"/>
  <c r="A1205" i="1"/>
  <c r="C1204" i="1"/>
  <c r="B1204" i="1"/>
  <c r="A1204" i="1"/>
  <c r="C1203" i="1"/>
  <c r="B1203" i="1"/>
  <c r="A1203" i="1"/>
  <c r="C1202" i="1"/>
  <c r="B1202" i="1"/>
  <c r="A1202" i="1"/>
  <c r="C1201" i="1"/>
  <c r="B1201" i="1"/>
  <c r="A1201" i="1"/>
  <c r="C1200" i="1"/>
  <c r="B1200" i="1"/>
  <c r="A1200" i="1"/>
  <c r="C1199" i="1"/>
  <c r="B1199" i="1"/>
  <c r="A1199" i="1"/>
  <c r="C1198" i="1"/>
  <c r="B1198" i="1"/>
  <c r="A1198" i="1"/>
  <c r="C1197" i="1"/>
  <c r="B1197" i="1"/>
  <c r="A1197" i="1"/>
  <c r="C1196" i="1"/>
  <c r="B1196" i="1"/>
  <c r="A1196" i="1"/>
  <c r="C1195" i="1"/>
  <c r="B1195" i="1"/>
  <c r="A1195" i="1"/>
  <c r="C1194" i="1"/>
  <c r="B1194" i="1"/>
  <c r="A1194" i="1"/>
  <c r="C1193" i="1"/>
  <c r="B1193" i="1"/>
  <c r="A1193" i="1"/>
  <c r="C1192" i="1"/>
  <c r="B1192" i="1"/>
  <c r="A1192" i="1"/>
  <c r="C1191" i="1"/>
  <c r="B1191" i="1"/>
  <c r="A1191" i="1"/>
  <c r="C1190" i="1"/>
  <c r="B1190" i="1"/>
  <c r="A1190" i="1"/>
  <c r="C1189" i="1"/>
  <c r="B1189" i="1"/>
  <c r="A1189" i="1"/>
  <c r="C1188" i="1"/>
  <c r="B1188" i="1"/>
  <c r="A1188" i="1"/>
  <c r="C1187" i="1"/>
  <c r="B1187" i="1"/>
  <c r="A1187" i="1"/>
  <c r="C1186" i="1"/>
  <c r="B1186" i="1"/>
  <c r="A1186" i="1"/>
  <c r="C1185" i="1"/>
  <c r="B1185" i="1"/>
  <c r="A1185" i="1"/>
  <c r="C1184" i="1"/>
  <c r="B1184" i="1"/>
  <c r="A1184" i="1"/>
  <c r="C1183" i="1"/>
  <c r="B1183" i="1"/>
  <c r="A1183" i="1"/>
  <c r="C1182" i="1"/>
  <c r="B1182" i="1"/>
  <c r="A1182" i="1"/>
  <c r="C1181" i="1"/>
  <c r="B1181" i="1"/>
  <c r="A1181" i="1"/>
  <c r="C1180" i="1"/>
  <c r="B1180" i="1"/>
  <c r="A1180" i="1"/>
  <c r="C1179" i="1"/>
  <c r="B1179" i="1"/>
  <c r="A1179" i="1"/>
  <c r="C1178" i="1"/>
  <c r="B1178" i="1"/>
  <c r="A1178" i="1"/>
  <c r="C1177" i="1"/>
  <c r="B1177" i="1"/>
  <c r="A1177" i="1"/>
  <c r="C1176" i="1"/>
  <c r="B1176" i="1"/>
  <c r="A1176" i="1"/>
  <c r="C1175" i="1"/>
  <c r="B1175" i="1"/>
  <c r="A1175" i="1"/>
  <c r="C1174" i="1"/>
  <c r="B1174" i="1"/>
  <c r="A1174" i="1"/>
  <c r="C1173" i="1"/>
  <c r="B1173" i="1"/>
  <c r="A1173" i="1"/>
  <c r="C1172" i="1"/>
  <c r="B1172" i="1"/>
  <c r="A1172" i="1"/>
  <c r="C1171" i="1"/>
  <c r="B1171" i="1"/>
  <c r="A1171" i="1"/>
  <c r="C1170" i="1"/>
  <c r="B1170" i="1"/>
  <c r="A1170" i="1"/>
  <c r="C1169" i="1"/>
  <c r="B1169" i="1"/>
  <c r="A1169" i="1"/>
  <c r="C1168" i="1"/>
  <c r="B1168" i="1"/>
  <c r="A1168" i="1"/>
  <c r="C1167" i="1"/>
  <c r="B1167" i="1"/>
  <c r="A1167" i="1"/>
  <c r="C1166" i="1"/>
  <c r="B1166" i="1"/>
  <c r="A1166" i="1"/>
  <c r="C1165" i="1"/>
  <c r="B1165" i="1"/>
  <c r="A1165" i="1"/>
  <c r="C1164" i="1"/>
  <c r="B1164" i="1"/>
  <c r="A1164" i="1"/>
  <c r="C1163" i="1"/>
  <c r="B1163" i="1"/>
  <c r="A1163" i="1"/>
  <c r="C1162" i="1"/>
  <c r="B1162" i="1"/>
  <c r="A1162" i="1"/>
  <c r="C1161" i="1"/>
  <c r="B1161" i="1"/>
  <c r="A1161" i="1"/>
  <c r="C1160" i="1"/>
  <c r="B1160" i="1"/>
  <c r="A1160" i="1"/>
  <c r="C1159" i="1"/>
  <c r="B1159" i="1"/>
  <c r="A1159" i="1"/>
  <c r="C1158" i="1"/>
  <c r="B1158" i="1"/>
  <c r="A1158" i="1"/>
  <c r="C1157" i="1"/>
  <c r="B1157" i="1"/>
  <c r="A1157" i="1"/>
  <c r="C1156" i="1"/>
  <c r="B1156" i="1"/>
  <c r="A1156" i="1"/>
  <c r="C1155" i="1"/>
  <c r="B1155" i="1"/>
  <c r="A1155" i="1"/>
  <c r="C1154" i="1"/>
  <c r="B1154" i="1"/>
  <c r="A1154" i="1"/>
  <c r="C1153" i="1"/>
  <c r="B1153" i="1"/>
  <c r="A1153" i="1"/>
  <c r="C1152" i="1"/>
  <c r="B1152" i="1"/>
  <c r="A1152" i="1"/>
  <c r="C1151" i="1"/>
  <c r="B1151" i="1"/>
  <c r="A1151" i="1"/>
  <c r="C1150" i="1"/>
  <c r="B1150" i="1"/>
  <c r="A1150" i="1"/>
  <c r="C1149" i="1"/>
  <c r="B1149" i="1"/>
  <c r="A1149" i="1"/>
  <c r="C1148" i="1"/>
  <c r="B1148" i="1"/>
  <c r="A1148" i="1"/>
  <c r="C1147" i="1"/>
  <c r="B1147" i="1"/>
  <c r="A1147" i="1"/>
  <c r="C1146" i="1"/>
  <c r="B1146" i="1"/>
  <c r="A1146" i="1"/>
  <c r="C1145" i="1"/>
  <c r="B1145" i="1"/>
  <c r="A1145" i="1"/>
  <c r="C1144" i="1"/>
  <c r="B1144" i="1"/>
  <c r="A1144" i="1"/>
  <c r="C1143" i="1"/>
  <c r="B1143" i="1"/>
  <c r="A1143" i="1"/>
  <c r="C1142" i="1"/>
  <c r="B1142" i="1"/>
  <c r="A1142" i="1"/>
  <c r="C1141" i="1"/>
  <c r="B1141" i="1"/>
  <c r="A1141" i="1"/>
  <c r="C1140" i="1"/>
  <c r="B1140" i="1"/>
  <c r="A1140" i="1"/>
  <c r="C1139" i="1"/>
  <c r="B1139" i="1"/>
  <c r="A1139" i="1"/>
  <c r="C1138" i="1"/>
  <c r="B1138" i="1"/>
  <c r="A1138" i="1"/>
  <c r="C1137" i="1"/>
  <c r="B1137" i="1"/>
  <c r="A1137" i="1"/>
  <c r="C1136" i="1"/>
  <c r="B1136" i="1"/>
  <c r="A1136" i="1"/>
  <c r="C1135" i="1"/>
  <c r="B1135" i="1"/>
  <c r="A1135" i="1"/>
  <c r="C1134" i="1"/>
  <c r="B1134" i="1"/>
  <c r="A1134" i="1"/>
  <c r="C1133" i="1"/>
  <c r="B1133" i="1"/>
  <c r="A1133" i="1"/>
  <c r="C1132" i="1"/>
  <c r="B1132" i="1"/>
  <c r="A1132" i="1"/>
  <c r="C1131" i="1"/>
  <c r="B1131" i="1"/>
  <c r="A1131" i="1"/>
  <c r="C1130" i="1"/>
  <c r="B1130" i="1"/>
  <c r="A1130" i="1"/>
  <c r="C1129" i="1"/>
  <c r="B1129" i="1"/>
  <c r="A1129" i="1"/>
  <c r="C1128" i="1"/>
  <c r="B1128" i="1"/>
  <c r="A1128" i="1"/>
  <c r="C1127" i="1"/>
  <c r="B1127" i="1"/>
  <c r="A1127" i="1"/>
  <c r="C1126" i="1"/>
  <c r="B1126" i="1"/>
  <c r="A1126" i="1"/>
  <c r="C1125" i="1"/>
  <c r="B1125" i="1"/>
  <c r="A1125" i="1"/>
  <c r="C1124" i="1"/>
  <c r="B1124" i="1"/>
  <c r="A1124" i="1"/>
  <c r="C1123" i="1"/>
  <c r="B1123" i="1"/>
  <c r="A1123" i="1"/>
  <c r="C1122" i="1"/>
  <c r="B1122" i="1"/>
  <c r="A1122" i="1"/>
  <c r="C1121" i="1"/>
  <c r="B1121" i="1"/>
  <c r="A1121" i="1"/>
  <c r="C1120" i="1"/>
  <c r="B1120" i="1"/>
  <c r="A1120" i="1"/>
  <c r="C1119" i="1"/>
  <c r="B1119" i="1"/>
  <c r="A1119" i="1"/>
  <c r="C1118" i="1"/>
  <c r="B1118" i="1"/>
  <c r="A1118" i="1"/>
  <c r="C1117" i="1"/>
  <c r="B1117" i="1"/>
  <c r="A1117" i="1"/>
  <c r="C1116" i="1"/>
  <c r="B1116" i="1"/>
  <c r="A1116" i="1"/>
  <c r="C1115" i="1"/>
  <c r="B1115" i="1"/>
  <c r="A1115" i="1"/>
  <c r="C1114" i="1"/>
  <c r="B1114" i="1"/>
  <c r="A1114" i="1"/>
  <c r="C1113" i="1"/>
  <c r="B1113" i="1"/>
  <c r="A1113" i="1"/>
  <c r="C1112" i="1"/>
  <c r="B1112" i="1"/>
  <c r="A1112" i="1"/>
  <c r="C1111" i="1"/>
  <c r="B1111" i="1"/>
  <c r="A1111" i="1"/>
  <c r="C1110" i="1"/>
  <c r="B1110" i="1"/>
  <c r="A1110" i="1"/>
  <c r="C1109" i="1"/>
  <c r="B1109" i="1"/>
  <c r="A1109" i="1"/>
  <c r="C1108" i="1"/>
  <c r="B1108" i="1"/>
  <c r="A1108" i="1"/>
  <c r="C1107" i="1"/>
  <c r="B1107" i="1"/>
  <c r="A1107" i="1"/>
  <c r="C1106" i="1"/>
  <c r="B1106" i="1"/>
  <c r="A1106" i="1"/>
  <c r="C1105" i="1"/>
  <c r="B1105" i="1"/>
  <c r="A1105" i="1"/>
  <c r="C1104" i="1"/>
  <c r="B1104" i="1"/>
  <c r="A1104" i="1"/>
  <c r="C1103" i="1"/>
  <c r="B1103" i="1"/>
  <c r="A1103" i="1"/>
  <c r="C1102" i="1"/>
  <c r="B1102" i="1"/>
  <c r="A1102" i="1"/>
  <c r="C1101" i="1"/>
  <c r="B1101" i="1"/>
  <c r="A1101" i="1"/>
  <c r="C1100" i="1"/>
  <c r="B1100" i="1"/>
  <c r="A1100" i="1"/>
  <c r="C1099" i="1"/>
  <c r="B1099" i="1"/>
  <c r="A1099" i="1"/>
  <c r="C1098" i="1"/>
  <c r="B1098" i="1"/>
  <c r="A1098" i="1"/>
  <c r="C1097" i="1"/>
  <c r="B1097" i="1"/>
  <c r="A1097" i="1"/>
  <c r="C1096" i="1"/>
  <c r="B1096" i="1"/>
  <c r="A1096" i="1"/>
  <c r="C1095" i="1"/>
  <c r="B1095" i="1"/>
  <c r="A1095" i="1"/>
  <c r="C1094" i="1"/>
  <c r="B1094" i="1"/>
  <c r="A1094" i="1"/>
  <c r="C1093" i="1"/>
  <c r="B1093" i="1"/>
  <c r="A1093" i="1"/>
  <c r="C1092" i="1"/>
  <c r="B1092" i="1"/>
  <c r="A1092" i="1"/>
  <c r="C1091" i="1"/>
  <c r="B1091" i="1"/>
  <c r="A1091" i="1"/>
  <c r="C1090" i="1"/>
  <c r="B1090" i="1"/>
  <c r="A1090" i="1"/>
  <c r="C1089" i="1"/>
  <c r="B1089" i="1"/>
  <c r="A1089" i="1"/>
  <c r="C1088" i="1"/>
  <c r="B1088" i="1"/>
  <c r="A1088" i="1"/>
  <c r="C1087" i="1"/>
  <c r="B1087" i="1"/>
  <c r="A1087" i="1"/>
  <c r="C1086" i="1"/>
  <c r="B1086" i="1"/>
  <c r="A1086" i="1"/>
  <c r="C1085" i="1"/>
  <c r="B1085" i="1"/>
  <c r="A1085" i="1"/>
  <c r="C1084" i="1"/>
  <c r="B1084" i="1"/>
  <c r="A1084" i="1"/>
  <c r="C1083" i="1"/>
  <c r="B1083" i="1"/>
  <c r="A1083" i="1"/>
  <c r="C1082" i="1"/>
  <c r="B1082" i="1"/>
  <c r="A1082" i="1"/>
  <c r="C1081" i="1"/>
  <c r="B1081" i="1"/>
  <c r="A1081" i="1"/>
  <c r="C1080" i="1"/>
  <c r="B1080" i="1"/>
  <c r="A1080" i="1"/>
  <c r="C1079" i="1"/>
  <c r="B1079" i="1"/>
  <c r="A1079" i="1"/>
  <c r="C1078" i="1"/>
  <c r="B1078" i="1"/>
  <c r="A1078" i="1"/>
  <c r="C1077" i="1"/>
  <c r="B1077" i="1"/>
  <c r="A1077" i="1"/>
  <c r="C1076" i="1"/>
  <c r="B1076" i="1"/>
  <c r="A1076" i="1"/>
  <c r="C1075" i="1"/>
  <c r="B1075" i="1"/>
  <c r="A1075" i="1"/>
  <c r="C1074" i="1"/>
  <c r="B1074" i="1"/>
  <c r="A1074" i="1"/>
  <c r="C1073" i="1"/>
  <c r="B1073" i="1"/>
  <c r="A1073" i="1"/>
  <c r="C1072" i="1"/>
  <c r="B1072" i="1"/>
  <c r="A1072" i="1"/>
  <c r="C1071" i="1"/>
  <c r="B1071" i="1"/>
  <c r="A1071" i="1"/>
  <c r="C1070" i="1"/>
  <c r="B1070" i="1"/>
  <c r="A1070" i="1"/>
  <c r="C1069" i="1"/>
  <c r="B1069" i="1"/>
  <c r="A1069" i="1"/>
  <c r="C1068" i="1"/>
  <c r="B1068" i="1"/>
  <c r="A1068" i="1"/>
  <c r="C1067" i="1"/>
  <c r="B1067" i="1"/>
  <c r="A1067" i="1"/>
  <c r="C1066" i="1"/>
  <c r="B1066" i="1"/>
  <c r="A1066" i="1"/>
  <c r="C1065" i="1"/>
  <c r="B1065" i="1"/>
  <c r="A1065" i="1"/>
  <c r="C1064" i="1"/>
  <c r="B1064" i="1"/>
  <c r="A1064" i="1"/>
  <c r="C1063" i="1"/>
  <c r="B1063" i="1"/>
  <c r="A1063" i="1"/>
  <c r="C1062" i="1"/>
  <c r="B1062" i="1"/>
  <c r="A1062" i="1"/>
  <c r="C1061" i="1"/>
  <c r="B1061" i="1"/>
  <c r="A1061" i="1"/>
  <c r="C1060" i="1"/>
  <c r="B1060" i="1"/>
  <c r="A1060" i="1"/>
  <c r="C1059" i="1"/>
  <c r="B1059" i="1"/>
  <c r="A1059" i="1"/>
  <c r="C1058" i="1"/>
  <c r="B1058" i="1"/>
  <c r="A1058" i="1"/>
  <c r="C1057" i="1"/>
  <c r="B1057" i="1"/>
  <c r="A1057" i="1"/>
  <c r="C1056" i="1"/>
  <c r="B1056" i="1"/>
  <c r="A1056" i="1"/>
  <c r="C1055" i="1"/>
  <c r="B1055" i="1"/>
  <c r="A1055" i="1"/>
  <c r="C1054" i="1"/>
  <c r="B1054" i="1"/>
  <c r="A1054" i="1"/>
  <c r="C1053" i="1"/>
  <c r="B1053" i="1"/>
  <c r="A1053" i="1"/>
  <c r="C1052" i="1"/>
  <c r="B1052" i="1"/>
  <c r="A1052" i="1"/>
  <c r="C1051" i="1"/>
  <c r="B1051" i="1"/>
  <c r="A1051" i="1"/>
  <c r="C1050" i="1"/>
  <c r="B1050" i="1"/>
  <c r="A1050" i="1"/>
  <c r="C1049" i="1"/>
  <c r="B1049" i="1"/>
  <c r="A1049" i="1"/>
  <c r="C1048" i="1"/>
  <c r="B1048" i="1"/>
  <c r="A1048" i="1"/>
  <c r="C1047" i="1"/>
  <c r="B1047" i="1"/>
  <c r="A1047" i="1"/>
  <c r="C1046" i="1"/>
  <c r="B1046" i="1"/>
  <c r="A1046" i="1"/>
  <c r="C1045" i="1"/>
  <c r="B1045" i="1"/>
  <c r="A1045" i="1"/>
  <c r="C1044" i="1"/>
  <c r="B1044" i="1"/>
  <c r="A1044" i="1"/>
  <c r="C1043" i="1"/>
  <c r="B1043" i="1"/>
  <c r="A1043" i="1"/>
  <c r="C1042" i="1"/>
  <c r="B1042" i="1"/>
  <c r="A1042" i="1"/>
  <c r="C1041" i="1"/>
  <c r="B1041" i="1"/>
  <c r="A1041" i="1"/>
  <c r="C1040" i="1"/>
  <c r="B1040" i="1"/>
  <c r="A1040" i="1"/>
  <c r="C1039" i="1"/>
  <c r="B1039" i="1"/>
  <c r="A1039" i="1"/>
  <c r="C1038" i="1"/>
  <c r="B1038" i="1"/>
  <c r="A1038" i="1"/>
  <c r="C1037" i="1"/>
  <c r="B1037" i="1"/>
  <c r="A1037" i="1"/>
  <c r="C1036" i="1"/>
  <c r="B1036" i="1"/>
  <c r="A1036" i="1"/>
  <c r="C1035" i="1"/>
  <c r="B1035" i="1"/>
  <c r="A1035" i="1"/>
  <c r="C1034" i="1"/>
  <c r="B1034" i="1"/>
  <c r="A1034" i="1"/>
  <c r="C1033" i="1"/>
  <c r="B1033" i="1"/>
  <c r="A1033" i="1"/>
  <c r="C1032" i="1"/>
  <c r="B1032" i="1"/>
  <c r="A1032" i="1"/>
  <c r="C1031" i="1"/>
  <c r="B1031" i="1"/>
  <c r="A1031" i="1"/>
  <c r="C1030" i="1"/>
  <c r="B1030" i="1"/>
  <c r="A1030" i="1"/>
  <c r="C1029" i="1"/>
  <c r="B1029" i="1"/>
  <c r="A1029" i="1"/>
  <c r="C1028" i="1"/>
  <c r="B1028" i="1"/>
  <c r="A1028" i="1"/>
  <c r="C1027" i="1"/>
  <c r="B1027" i="1"/>
  <c r="A1027" i="1"/>
  <c r="C1026" i="1"/>
  <c r="B1026" i="1"/>
  <c r="A1026" i="1"/>
  <c r="C1025" i="1"/>
  <c r="B1025" i="1"/>
  <c r="A1025" i="1"/>
  <c r="C1024" i="1"/>
  <c r="B1024" i="1"/>
  <c r="A1024" i="1"/>
  <c r="C1023" i="1"/>
  <c r="B1023" i="1"/>
  <c r="A1023" i="1"/>
  <c r="C1022" i="1"/>
  <c r="B1022" i="1"/>
  <c r="A1022" i="1"/>
  <c r="C1021" i="1"/>
  <c r="B1021" i="1"/>
  <c r="A1021" i="1"/>
  <c r="C1020" i="1"/>
  <c r="B1020" i="1"/>
  <c r="A1020" i="1"/>
  <c r="C1019" i="1"/>
  <c r="B1019" i="1"/>
  <c r="A1019" i="1"/>
  <c r="C1018" i="1"/>
  <c r="B1018" i="1"/>
  <c r="A1018" i="1"/>
  <c r="C1017" i="1"/>
  <c r="B1017" i="1"/>
  <c r="A1017" i="1"/>
  <c r="C1016" i="1"/>
  <c r="B1016" i="1"/>
  <c r="A1016" i="1"/>
  <c r="C1015" i="1"/>
  <c r="B1015" i="1"/>
  <c r="A1015" i="1"/>
  <c r="C1014" i="1"/>
  <c r="B1014" i="1"/>
  <c r="A1014" i="1"/>
  <c r="C1013" i="1"/>
  <c r="B1013" i="1"/>
  <c r="A1013" i="1"/>
  <c r="C1012" i="1"/>
  <c r="B1012" i="1"/>
  <c r="A1012" i="1"/>
  <c r="C1011" i="1"/>
  <c r="B1011" i="1"/>
  <c r="A1011" i="1"/>
  <c r="C1010" i="1"/>
  <c r="B1010" i="1"/>
  <c r="A1010" i="1"/>
  <c r="C1009" i="1"/>
  <c r="B1009" i="1"/>
  <c r="A1009" i="1"/>
  <c r="C1008" i="1"/>
  <c r="B1008" i="1"/>
  <c r="A1008" i="1"/>
  <c r="C1007" i="1"/>
  <c r="B1007" i="1"/>
  <c r="A1007" i="1"/>
  <c r="C1006" i="1"/>
  <c r="B1006" i="1"/>
  <c r="A1006" i="1"/>
  <c r="C1005" i="1"/>
  <c r="B1005" i="1"/>
  <c r="A1005" i="1"/>
  <c r="C1004" i="1"/>
  <c r="B1004" i="1"/>
  <c r="A1004" i="1"/>
  <c r="C1003" i="1"/>
  <c r="B1003" i="1"/>
  <c r="A1003" i="1"/>
  <c r="C1002" i="1"/>
  <c r="B1002" i="1"/>
  <c r="A1002" i="1"/>
  <c r="C1001" i="1"/>
  <c r="B1001" i="1"/>
  <c r="A1001" i="1"/>
  <c r="C1000" i="1"/>
  <c r="B1000" i="1"/>
  <c r="A1000" i="1"/>
  <c r="C999" i="1"/>
  <c r="B999" i="1"/>
  <c r="A999" i="1"/>
  <c r="C998" i="1"/>
  <c r="B998" i="1"/>
  <c r="A998" i="1"/>
  <c r="C997" i="1"/>
  <c r="B997" i="1"/>
  <c r="A997" i="1"/>
  <c r="C996" i="1"/>
  <c r="B996" i="1"/>
  <c r="A996" i="1"/>
  <c r="C995" i="1"/>
  <c r="B995" i="1"/>
  <c r="A995" i="1"/>
  <c r="C994" i="1"/>
  <c r="B994" i="1"/>
  <c r="A994" i="1"/>
  <c r="C993" i="1"/>
  <c r="B993" i="1"/>
  <c r="A993" i="1"/>
  <c r="C992" i="1"/>
  <c r="B992" i="1"/>
  <c r="A992" i="1"/>
  <c r="C991" i="1"/>
  <c r="B991" i="1"/>
  <c r="A991" i="1"/>
  <c r="C990" i="1"/>
  <c r="B990" i="1"/>
  <c r="A990" i="1"/>
  <c r="C989" i="1"/>
  <c r="B989" i="1"/>
  <c r="A989" i="1"/>
  <c r="C988" i="1"/>
  <c r="B988" i="1"/>
  <c r="A988" i="1"/>
  <c r="C987" i="1"/>
  <c r="B987" i="1"/>
  <c r="A987" i="1"/>
  <c r="C986" i="1"/>
  <c r="B986" i="1"/>
  <c r="A986" i="1"/>
  <c r="C985" i="1"/>
  <c r="B985" i="1"/>
  <c r="A985" i="1"/>
  <c r="C984" i="1"/>
  <c r="B984" i="1"/>
  <c r="A984" i="1"/>
  <c r="C983" i="1"/>
  <c r="B983" i="1"/>
  <c r="A983" i="1"/>
  <c r="C982" i="1"/>
  <c r="B982" i="1"/>
  <c r="A982" i="1"/>
  <c r="C981" i="1"/>
  <c r="B981" i="1"/>
  <c r="A981" i="1"/>
  <c r="C980" i="1"/>
  <c r="B980" i="1"/>
  <c r="A980" i="1"/>
  <c r="C979" i="1"/>
  <c r="B979" i="1"/>
  <c r="A979" i="1"/>
  <c r="C978" i="1"/>
  <c r="B978" i="1"/>
  <c r="A978" i="1"/>
  <c r="C977" i="1"/>
  <c r="B977" i="1"/>
  <c r="A977" i="1"/>
  <c r="C976" i="1"/>
  <c r="B976" i="1"/>
  <c r="A976" i="1"/>
  <c r="C975" i="1"/>
  <c r="B975" i="1"/>
  <c r="A975" i="1"/>
  <c r="C974" i="1"/>
  <c r="B974" i="1"/>
  <c r="A974" i="1"/>
  <c r="C973" i="1"/>
  <c r="B973" i="1"/>
  <c r="A973" i="1"/>
  <c r="C972" i="1"/>
  <c r="B972" i="1"/>
  <c r="A972" i="1"/>
  <c r="C971" i="1"/>
  <c r="B971" i="1"/>
  <c r="A971" i="1"/>
  <c r="C970" i="1"/>
  <c r="B970" i="1"/>
  <c r="A970" i="1"/>
  <c r="C969" i="1"/>
  <c r="B969" i="1"/>
  <c r="A969" i="1"/>
  <c r="C968" i="1"/>
  <c r="B968" i="1"/>
  <c r="A968" i="1"/>
  <c r="C967" i="1"/>
  <c r="B967" i="1"/>
  <c r="A967" i="1"/>
  <c r="C966" i="1"/>
  <c r="B966" i="1"/>
  <c r="A966" i="1"/>
  <c r="C965" i="1"/>
  <c r="B965" i="1"/>
  <c r="A965" i="1"/>
  <c r="C964" i="1"/>
  <c r="B964" i="1"/>
  <c r="A964" i="1"/>
  <c r="C963" i="1"/>
  <c r="B963" i="1"/>
  <c r="A963" i="1"/>
  <c r="C962" i="1"/>
  <c r="B962" i="1"/>
  <c r="A962" i="1"/>
  <c r="C961" i="1"/>
  <c r="B961" i="1"/>
  <c r="A961" i="1"/>
  <c r="C960" i="1"/>
  <c r="B960" i="1"/>
  <c r="A960" i="1"/>
  <c r="C959" i="1"/>
  <c r="B959" i="1"/>
  <c r="A959" i="1"/>
  <c r="C958" i="1"/>
  <c r="B958" i="1"/>
  <c r="A958" i="1"/>
  <c r="C957" i="1"/>
  <c r="B957" i="1"/>
  <c r="A957" i="1"/>
  <c r="C956" i="1"/>
  <c r="B956" i="1"/>
  <c r="A956" i="1"/>
  <c r="C955" i="1"/>
  <c r="B955" i="1"/>
  <c r="A955" i="1"/>
  <c r="C954" i="1"/>
  <c r="B954" i="1"/>
  <c r="A954" i="1"/>
  <c r="C953" i="1"/>
  <c r="B953" i="1"/>
  <c r="A953" i="1"/>
  <c r="C952" i="1"/>
  <c r="B952" i="1"/>
  <c r="A952" i="1"/>
  <c r="C951" i="1"/>
  <c r="B951" i="1"/>
  <c r="A951" i="1"/>
  <c r="C950" i="1"/>
  <c r="B950" i="1"/>
  <c r="A950" i="1"/>
  <c r="C949" i="1"/>
  <c r="B949" i="1"/>
  <c r="A949" i="1"/>
  <c r="C948" i="1"/>
  <c r="B948" i="1"/>
  <c r="A948" i="1"/>
  <c r="C947" i="1"/>
  <c r="B947" i="1"/>
  <c r="A947" i="1"/>
  <c r="C946" i="1"/>
  <c r="B946" i="1"/>
  <c r="A946" i="1"/>
  <c r="C945" i="1"/>
  <c r="B945" i="1"/>
  <c r="A945" i="1"/>
  <c r="C944" i="1"/>
  <c r="B944" i="1"/>
  <c r="A944" i="1"/>
  <c r="C943" i="1"/>
  <c r="B943" i="1"/>
  <c r="A943" i="1"/>
  <c r="C942" i="1"/>
  <c r="B942" i="1"/>
  <c r="A942" i="1"/>
  <c r="C941" i="1"/>
  <c r="B941" i="1"/>
  <c r="A941" i="1"/>
  <c r="C940" i="1"/>
  <c r="B940" i="1"/>
  <c r="A940" i="1"/>
  <c r="C939" i="1"/>
  <c r="B939" i="1"/>
  <c r="A939" i="1"/>
  <c r="C938" i="1"/>
  <c r="B938" i="1"/>
  <c r="A938" i="1"/>
  <c r="C937" i="1"/>
  <c r="B937" i="1"/>
  <c r="A937" i="1"/>
  <c r="C936" i="1"/>
  <c r="B936" i="1"/>
  <c r="A936" i="1"/>
  <c r="C935" i="1"/>
  <c r="B935" i="1"/>
  <c r="A935" i="1"/>
  <c r="C934" i="1"/>
  <c r="B934" i="1"/>
  <c r="A934" i="1"/>
  <c r="C933" i="1"/>
  <c r="B933" i="1"/>
  <c r="A933" i="1"/>
  <c r="C932" i="1"/>
  <c r="B932" i="1"/>
  <c r="A932" i="1"/>
  <c r="C931" i="1"/>
  <c r="B931" i="1"/>
  <c r="A931" i="1"/>
  <c r="C930" i="1"/>
  <c r="B930" i="1"/>
  <c r="A930" i="1"/>
  <c r="C929" i="1"/>
  <c r="B929" i="1"/>
  <c r="A929" i="1"/>
  <c r="C928" i="1"/>
  <c r="B928" i="1"/>
  <c r="A928" i="1"/>
  <c r="C927" i="1"/>
  <c r="B927" i="1"/>
  <c r="A927" i="1"/>
  <c r="C926" i="1"/>
  <c r="B926" i="1"/>
  <c r="A926" i="1"/>
  <c r="C925" i="1"/>
  <c r="B925" i="1"/>
  <c r="A925" i="1"/>
  <c r="C924" i="1"/>
  <c r="B924" i="1"/>
  <c r="A924" i="1"/>
  <c r="C923" i="1"/>
  <c r="B923" i="1"/>
  <c r="A923" i="1"/>
  <c r="C922" i="1"/>
  <c r="B922" i="1"/>
  <c r="A922" i="1"/>
  <c r="C921" i="1"/>
  <c r="B921" i="1"/>
  <c r="A921" i="1"/>
  <c r="C920" i="1"/>
  <c r="B920" i="1"/>
  <c r="A920" i="1"/>
  <c r="C919" i="1"/>
  <c r="B919" i="1"/>
  <c r="A919" i="1"/>
  <c r="C918" i="1"/>
  <c r="B918" i="1"/>
  <c r="A918" i="1"/>
  <c r="C917" i="1"/>
  <c r="B917" i="1"/>
  <c r="A917" i="1"/>
  <c r="C916" i="1"/>
  <c r="B916" i="1"/>
  <c r="A916" i="1"/>
  <c r="C915" i="1"/>
  <c r="B915" i="1"/>
  <c r="A915" i="1"/>
  <c r="C914" i="1"/>
  <c r="B914" i="1"/>
  <c r="A914" i="1"/>
  <c r="C913" i="1"/>
  <c r="B913" i="1"/>
  <c r="A913" i="1"/>
  <c r="C912" i="1"/>
  <c r="B912" i="1"/>
  <c r="A912" i="1"/>
  <c r="C911" i="1"/>
  <c r="B911" i="1"/>
  <c r="A911" i="1"/>
  <c r="C910" i="1"/>
  <c r="B910" i="1"/>
  <c r="A910" i="1"/>
  <c r="C909" i="1"/>
  <c r="B909" i="1"/>
  <c r="A909" i="1"/>
  <c r="C908" i="1"/>
  <c r="B908" i="1"/>
  <c r="A908" i="1"/>
  <c r="C907" i="1"/>
  <c r="B907" i="1"/>
  <c r="A907" i="1"/>
  <c r="C906" i="1"/>
  <c r="B906" i="1"/>
  <c r="A906" i="1"/>
  <c r="C905" i="1"/>
  <c r="B905" i="1"/>
  <c r="A905" i="1"/>
  <c r="C904" i="1"/>
  <c r="B904" i="1"/>
  <c r="A904" i="1"/>
  <c r="C903" i="1"/>
  <c r="B903" i="1"/>
  <c r="A903" i="1"/>
  <c r="C902" i="1"/>
  <c r="B902" i="1"/>
  <c r="A902" i="1"/>
  <c r="C901" i="1"/>
  <c r="B901" i="1"/>
  <c r="A901" i="1"/>
  <c r="C900" i="1"/>
  <c r="B900" i="1"/>
  <c r="A900" i="1"/>
  <c r="C899" i="1"/>
  <c r="B899" i="1"/>
  <c r="A899" i="1"/>
  <c r="C898" i="1"/>
  <c r="B898" i="1"/>
  <c r="A898" i="1"/>
  <c r="C897" i="1"/>
  <c r="B897" i="1"/>
  <c r="A897" i="1"/>
  <c r="C896" i="1"/>
  <c r="B896" i="1"/>
  <c r="A896" i="1"/>
  <c r="C895" i="1"/>
  <c r="B895" i="1"/>
  <c r="A895" i="1"/>
  <c r="C894" i="1"/>
  <c r="B894" i="1"/>
  <c r="A894" i="1"/>
  <c r="C893" i="1"/>
  <c r="B893" i="1"/>
  <c r="A893" i="1"/>
  <c r="C892" i="1"/>
  <c r="B892" i="1"/>
  <c r="A892" i="1"/>
  <c r="C891" i="1"/>
  <c r="B891" i="1"/>
  <c r="A891" i="1"/>
  <c r="C890" i="1"/>
  <c r="B890" i="1"/>
  <c r="A890" i="1"/>
  <c r="C889" i="1"/>
  <c r="B889" i="1"/>
  <c r="A889" i="1"/>
  <c r="C888" i="1"/>
  <c r="B888" i="1"/>
  <c r="A888" i="1"/>
  <c r="C887" i="1"/>
  <c r="B887" i="1"/>
  <c r="A887" i="1"/>
  <c r="C886" i="1"/>
  <c r="B886" i="1"/>
  <c r="A886" i="1"/>
  <c r="C885" i="1"/>
  <c r="B885" i="1"/>
  <c r="A885" i="1"/>
  <c r="C884" i="1"/>
  <c r="B884" i="1"/>
  <c r="A884" i="1"/>
  <c r="C883" i="1"/>
  <c r="B883" i="1"/>
  <c r="A883" i="1"/>
  <c r="C882" i="1"/>
  <c r="B882" i="1"/>
  <c r="A882" i="1"/>
  <c r="C881" i="1"/>
  <c r="B881" i="1"/>
  <c r="A881" i="1"/>
  <c r="C880" i="1"/>
  <c r="B880" i="1"/>
  <c r="A880" i="1"/>
  <c r="C879" i="1"/>
  <c r="B879" i="1"/>
  <c r="A879" i="1"/>
  <c r="C878" i="1"/>
  <c r="B878" i="1"/>
  <c r="A878" i="1"/>
  <c r="C877" i="1"/>
  <c r="B877" i="1"/>
  <c r="A877" i="1"/>
  <c r="C876" i="1"/>
  <c r="B876" i="1"/>
  <c r="A876" i="1"/>
  <c r="C875" i="1"/>
  <c r="B875" i="1"/>
  <c r="A875" i="1"/>
  <c r="C874" i="1"/>
  <c r="B874" i="1"/>
  <c r="A874" i="1"/>
  <c r="C873" i="1"/>
  <c r="B873" i="1"/>
  <c r="A873" i="1"/>
  <c r="C872" i="1"/>
  <c r="B872" i="1"/>
  <c r="A872" i="1"/>
  <c r="C871" i="1"/>
  <c r="B871" i="1"/>
  <c r="A871" i="1"/>
  <c r="C870" i="1"/>
  <c r="B870" i="1"/>
  <c r="A870" i="1"/>
  <c r="C869" i="1"/>
  <c r="B869" i="1"/>
  <c r="A869" i="1"/>
  <c r="C868" i="1"/>
  <c r="B868" i="1"/>
  <c r="A868" i="1"/>
  <c r="C867" i="1"/>
  <c r="B867" i="1"/>
  <c r="A867" i="1"/>
  <c r="C866" i="1"/>
  <c r="B866" i="1"/>
  <c r="A866" i="1"/>
  <c r="C865" i="1"/>
  <c r="B865" i="1"/>
  <c r="A865" i="1"/>
  <c r="C864" i="1"/>
  <c r="B864" i="1"/>
  <c r="A864" i="1"/>
  <c r="C863" i="1"/>
  <c r="B863" i="1"/>
  <c r="A863" i="1"/>
  <c r="C862" i="1"/>
  <c r="B862" i="1"/>
  <c r="A862" i="1"/>
  <c r="C861" i="1"/>
  <c r="B861" i="1"/>
  <c r="A861" i="1"/>
  <c r="C860" i="1"/>
  <c r="B860" i="1"/>
  <c r="A860" i="1"/>
  <c r="C859" i="1"/>
  <c r="B859" i="1"/>
  <c r="A859" i="1"/>
  <c r="C858" i="1"/>
  <c r="B858" i="1"/>
  <c r="A858" i="1"/>
  <c r="C857" i="1"/>
  <c r="B857" i="1"/>
  <c r="A857" i="1"/>
  <c r="C856" i="1"/>
  <c r="B856" i="1"/>
  <c r="A856" i="1"/>
  <c r="C855" i="1"/>
  <c r="B855" i="1"/>
  <c r="A855" i="1"/>
  <c r="C854" i="1"/>
  <c r="B854" i="1"/>
  <c r="A854" i="1"/>
  <c r="C853" i="1"/>
  <c r="B853" i="1"/>
  <c r="A853" i="1"/>
  <c r="C852" i="1"/>
  <c r="B852" i="1"/>
  <c r="A852" i="1"/>
  <c r="C851" i="1"/>
  <c r="B851" i="1"/>
  <c r="A851" i="1"/>
  <c r="C850" i="1"/>
  <c r="B850" i="1"/>
  <c r="A850" i="1"/>
  <c r="C849" i="1"/>
  <c r="B849" i="1"/>
  <c r="A849" i="1"/>
  <c r="C848" i="1"/>
  <c r="B848" i="1"/>
  <c r="A848" i="1"/>
  <c r="C847" i="1"/>
  <c r="B847" i="1"/>
  <c r="A847" i="1"/>
  <c r="C846" i="1"/>
  <c r="B846" i="1"/>
  <c r="A846" i="1"/>
  <c r="C845" i="1"/>
  <c r="B845" i="1"/>
  <c r="A845" i="1"/>
  <c r="C844" i="1"/>
  <c r="B844" i="1"/>
  <c r="A844" i="1"/>
  <c r="C843" i="1"/>
  <c r="B843" i="1"/>
  <c r="A843" i="1"/>
  <c r="C842" i="1"/>
  <c r="B842" i="1"/>
  <c r="A842" i="1"/>
  <c r="C841" i="1"/>
  <c r="B841" i="1"/>
  <c r="A841" i="1"/>
  <c r="C840" i="1"/>
  <c r="B840" i="1"/>
  <c r="A840" i="1"/>
  <c r="C839" i="1"/>
  <c r="B839" i="1"/>
  <c r="A839" i="1"/>
  <c r="C838" i="1"/>
  <c r="B838" i="1"/>
  <c r="A838" i="1"/>
  <c r="C837" i="1"/>
  <c r="B837" i="1"/>
  <c r="A837" i="1"/>
  <c r="C836" i="1"/>
  <c r="B836" i="1"/>
  <c r="A836" i="1"/>
  <c r="C835" i="1"/>
  <c r="B835" i="1"/>
  <c r="A835" i="1"/>
  <c r="C834" i="1"/>
  <c r="B834" i="1"/>
  <c r="A834" i="1"/>
  <c r="C833" i="1"/>
  <c r="B833" i="1"/>
  <c r="A833" i="1"/>
  <c r="C832" i="1"/>
  <c r="B832" i="1"/>
  <c r="A832" i="1"/>
  <c r="C831" i="1"/>
  <c r="B831" i="1"/>
  <c r="A831" i="1"/>
  <c r="C830" i="1"/>
  <c r="B830" i="1"/>
  <c r="A830" i="1"/>
  <c r="C829" i="1"/>
  <c r="B829" i="1"/>
  <c r="A829" i="1"/>
  <c r="C828" i="1"/>
  <c r="B828" i="1"/>
  <c r="A828" i="1"/>
  <c r="C827" i="1"/>
  <c r="B827" i="1"/>
  <c r="A827" i="1"/>
  <c r="C826" i="1"/>
  <c r="B826" i="1"/>
  <c r="A826" i="1"/>
  <c r="C825" i="1"/>
  <c r="B825" i="1"/>
  <c r="A825" i="1"/>
  <c r="C824" i="1"/>
  <c r="B824" i="1"/>
  <c r="A824" i="1"/>
  <c r="C823" i="1"/>
  <c r="B823" i="1"/>
  <c r="A823" i="1"/>
  <c r="C822" i="1"/>
  <c r="B822" i="1"/>
  <c r="A822" i="1"/>
  <c r="C821" i="1"/>
  <c r="B821" i="1"/>
  <c r="A821" i="1"/>
  <c r="C820" i="1"/>
  <c r="B820" i="1"/>
  <c r="A820" i="1"/>
  <c r="C819" i="1"/>
  <c r="B819" i="1"/>
  <c r="A819" i="1"/>
  <c r="C818" i="1"/>
  <c r="B818" i="1"/>
  <c r="A818" i="1"/>
  <c r="C817" i="1"/>
  <c r="B817" i="1"/>
  <c r="A817" i="1"/>
  <c r="C816" i="1"/>
  <c r="B816" i="1"/>
  <c r="A816" i="1"/>
  <c r="C815" i="1"/>
  <c r="B815" i="1"/>
  <c r="A815" i="1"/>
  <c r="C814" i="1"/>
  <c r="B814" i="1"/>
  <c r="A814" i="1"/>
  <c r="C813" i="1"/>
  <c r="B813" i="1"/>
  <c r="A813" i="1"/>
  <c r="C812" i="1"/>
  <c r="B812" i="1"/>
  <c r="A812" i="1"/>
  <c r="C811" i="1"/>
  <c r="B811" i="1"/>
  <c r="A811" i="1"/>
  <c r="C810" i="1"/>
  <c r="B810" i="1"/>
  <c r="A810" i="1"/>
  <c r="C809" i="1"/>
  <c r="B809" i="1"/>
  <c r="A809" i="1"/>
  <c r="C808" i="1"/>
  <c r="B808" i="1"/>
  <c r="A808" i="1"/>
  <c r="C807" i="1"/>
  <c r="B807" i="1"/>
  <c r="A807" i="1"/>
  <c r="C806" i="1"/>
  <c r="B806" i="1"/>
  <c r="A806" i="1"/>
  <c r="C805" i="1"/>
  <c r="B805" i="1"/>
  <c r="A805" i="1"/>
  <c r="C804" i="1"/>
  <c r="B804" i="1"/>
  <c r="A804" i="1"/>
  <c r="C803" i="1"/>
  <c r="B803" i="1"/>
  <c r="A803" i="1"/>
  <c r="C802" i="1"/>
  <c r="B802" i="1"/>
  <c r="A802" i="1"/>
  <c r="C801" i="1"/>
  <c r="B801" i="1"/>
  <c r="A801" i="1"/>
  <c r="C800" i="1"/>
  <c r="B800" i="1"/>
  <c r="A800" i="1"/>
  <c r="C799" i="1"/>
  <c r="B799" i="1"/>
  <c r="A799" i="1"/>
  <c r="C798" i="1"/>
  <c r="B798" i="1"/>
  <c r="A798" i="1"/>
  <c r="C797" i="1"/>
  <c r="B797" i="1"/>
  <c r="A797" i="1"/>
  <c r="C796" i="1"/>
  <c r="B796" i="1"/>
  <c r="A796" i="1"/>
  <c r="C795" i="1"/>
  <c r="B795" i="1"/>
  <c r="A795" i="1"/>
  <c r="C794" i="1"/>
  <c r="B794" i="1"/>
  <c r="A794" i="1"/>
  <c r="C793" i="1"/>
  <c r="B793" i="1"/>
  <c r="A793" i="1"/>
  <c r="C792" i="1"/>
  <c r="B792" i="1"/>
  <c r="A792" i="1"/>
  <c r="C791" i="1"/>
  <c r="B791" i="1"/>
  <c r="A791" i="1"/>
  <c r="C790" i="1"/>
  <c r="B790" i="1"/>
  <c r="A790" i="1"/>
  <c r="C789" i="1"/>
  <c r="B789" i="1"/>
  <c r="A789" i="1"/>
  <c r="C788" i="1"/>
  <c r="B788" i="1"/>
  <c r="A788" i="1"/>
  <c r="C787" i="1"/>
  <c r="B787" i="1"/>
  <c r="A787" i="1"/>
  <c r="C786" i="1"/>
  <c r="B786" i="1"/>
  <c r="A786" i="1"/>
  <c r="C785" i="1"/>
  <c r="B785" i="1"/>
  <c r="A785" i="1"/>
  <c r="C784" i="1"/>
  <c r="B784" i="1"/>
  <c r="A784" i="1"/>
  <c r="C783" i="1"/>
  <c r="B783" i="1"/>
  <c r="A783" i="1"/>
  <c r="C782" i="1"/>
  <c r="B782" i="1"/>
  <c r="A782" i="1"/>
  <c r="C781" i="1"/>
  <c r="B781" i="1"/>
  <c r="A781" i="1"/>
  <c r="C780" i="1"/>
  <c r="B780" i="1"/>
  <c r="A780" i="1"/>
  <c r="C779" i="1"/>
  <c r="B779" i="1"/>
  <c r="A779" i="1"/>
  <c r="C778" i="1"/>
  <c r="B778" i="1"/>
  <c r="A778" i="1"/>
  <c r="C777" i="1"/>
  <c r="B777" i="1"/>
  <c r="A777" i="1"/>
  <c r="C776" i="1"/>
  <c r="B776" i="1"/>
  <c r="A776" i="1"/>
  <c r="C775" i="1"/>
  <c r="B775" i="1"/>
  <c r="A775" i="1"/>
  <c r="C774" i="1"/>
  <c r="B774" i="1"/>
  <c r="A774" i="1"/>
  <c r="C773" i="1"/>
  <c r="B773" i="1"/>
  <c r="A773" i="1"/>
  <c r="C772" i="1"/>
  <c r="B772" i="1"/>
  <c r="A772" i="1"/>
  <c r="C771" i="1"/>
  <c r="B771" i="1"/>
  <c r="A771" i="1"/>
  <c r="C770" i="1"/>
  <c r="B770" i="1"/>
  <c r="A770" i="1"/>
  <c r="C769" i="1"/>
  <c r="B769" i="1"/>
  <c r="A769" i="1"/>
  <c r="C768" i="1"/>
  <c r="B768" i="1"/>
  <c r="A768" i="1"/>
  <c r="C767" i="1"/>
  <c r="B767" i="1"/>
  <c r="A767" i="1"/>
  <c r="C766" i="1"/>
  <c r="B766" i="1"/>
  <c r="A766" i="1"/>
  <c r="C765" i="1"/>
  <c r="B765" i="1"/>
  <c r="A765" i="1"/>
  <c r="C764" i="1"/>
  <c r="B764" i="1"/>
  <c r="A764" i="1"/>
  <c r="C763" i="1"/>
  <c r="B763" i="1"/>
  <c r="A763" i="1"/>
  <c r="C762" i="1"/>
  <c r="B762" i="1"/>
  <c r="A762" i="1"/>
  <c r="C761" i="1"/>
  <c r="B761" i="1"/>
  <c r="A761" i="1"/>
  <c r="C760" i="1"/>
  <c r="B760" i="1"/>
  <c r="A760" i="1"/>
  <c r="C759" i="1"/>
  <c r="B759" i="1"/>
  <c r="A759" i="1"/>
  <c r="C758" i="1"/>
  <c r="B758" i="1"/>
  <c r="A758" i="1"/>
  <c r="C757" i="1"/>
  <c r="B757" i="1"/>
  <c r="A757" i="1"/>
  <c r="C756" i="1"/>
  <c r="B756" i="1"/>
  <c r="A756" i="1"/>
  <c r="C755" i="1"/>
  <c r="B755" i="1"/>
  <c r="A755" i="1"/>
  <c r="C754" i="1"/>
  <c r="B754" i="1"/>
  <c r="A754" i="1"/>
  <c r="C753" i="1"/>
  <c r="B753" i="1"/>
  <c r="A753" i="1"/>
  <c r="C752" i="1"/>
  <c r="B752" i="1"/>
  <c r="A752" i="1"/>
  <c r="C751" i="1"/>
  <c r="B751" i="1"/>
  <c r="A751" i="1"/>
  <c r="C750" i="1"/>
  <c r="B750" i="1"/>
  <c r="A750" i="1"/>
  <c r="C749" i="1"/>
  <c r="B749" i="1"/>
  <c r="A749" i="1"/>
  <c r="C748" i="1"/>
  <c r="B748" i="1"/>
  <c r="A748" i="1"/>
  <c r="C747" i="1"/>
  <c r="B747" i="1"/>
  <c r="A747" i="1"/>
  <c r="C746" i="1"/>
  <c r="B746" i="1"/>
  <c r="A746" i="1"/>
  <c r="C745" i="1"/>
  <c r="B745" i="1"/>
  <c r="A745" i="1"/>
  <c r="C744" i="1"/>
  <c r="B744" i="1"/>
  <c r="A744" i="1"/>
  <c r="C743" i="1"/>
  <c r="B743" i="1"/>
  <c r="A743" i="1"/>
  <c r="C742" i="1"/>
  <c r="B742" i="1"/>
  <c r="A742" i="1"/>
  <c r="C741" i="1"/>
  <c r="B741" i="1"/>
  <c r="A741" i="1"/>
  <c r="C740" i="1"/>
  <c r="B740" i="1"/>
  <c r="A740" i="1"/>
  <c r="C739" i="1"/>
  <c r="B739" i="1"/>
  <c r="A739" i="1"/>
  <c r="C738" i="1"/>
  <c r="B738" i="1"/>
  <c r="A738" i="1"/>
  <c r="C737" i="1"/>
  <c r="B737" i="1"/>
  <c r="A737" i="1"/>
  <c r="C736" i="1"/>
  <c r="B736" i="1"/>
  <c r="A736" i="1"/>
  <c r="C735" i="1"/>
  <c r="B735" i="1"/>
  <c r="A735" i="1"/>
  <c r="C734" i="1"/>
  <c r="B734" i="1"/>
  <c r="A734" i="1"/>
  <c r="C733" i="1"/>
  <c r="B733" i="1"/>
  <c r="A733" i="1"/>
  <c r="C732" i="1"/>
  <c r="B732" i="1"/>
  <c r="A732" i="1"/>
  <c r="C731" i="1"/>
  <c r="B731" i="1"/>
  <c r="A731" i="1"/>
  <c r="C730" i="1"/>
  <c r="B730" i="1"/>
  <c r="A730" i="1"/>
  <c r="C729" i="1"/>
  <c r="B729" i="1"/>
  <c r="A729" i="1"/>
  <c r="C728" i="1"/>
  <c r="B728" i="1"/>
  <c r="A728" i="1"/>
  <c r="C727" i="1"/>
  <c r="B727" i="1"/>
  <c r="A727" i="1"/>
  <c r="C726" i="1"/>
  <c r="B726" i="1"/>
  <c r="A726" i="1"/>
  <c r="C725" i="1"/>
  <c r="B725" i="1"/>
  <c r="A725" i="1"/>
  <c r="C724" i="1"/>
  <c r="B724" i="1"/>
  <c r="A724" i="1"/>
  <c r="C723" i="1"/>
  <c r="B723" i="1"/>
  <c r="A723" i="1"/>
  <c r="C722" i="1"/>
  <c r="B722" i="1"/>
  <c r="A722" i="1"/>
  <c r="C721" i="1"/>
  <c r="B721" i="1"/>
  <c r="A721" i="1"/>
  <c r="C720" i="1"/>
  <c r="B720" i="1"/>
  <c r="A720" i="1"/>
  <c r="C719" i="1"/>
  <c r="B719" i="1"/>
  <c r="A719" i="1"/>
  <c r="C718" i="1"/>
  <c r="B718" i="1"/>
  <c r="A718" i="1"/>
  <c r="C717" i="1"/>
  <c r="B717" i="1"/>
  <c r="A717" i="1"/>
  <c r="C716" i="1"/>
  <c r="B716" i="1"/>
  <c r="A716" i="1"/>
  <c r="C715" i="1"/>
  <c r="B715" i="1"/>
  <c r="A715" i="1"/>
  <c r="C714" i="1"/>
  <c r="B714" i="1"/>
  <c r="A714" i="1"/>
  <c r="C713" i="1"/>
  <c r="B713" i="1"/>
  <c r="A713" i="1"/>
  <c r="C712" i="1"/>
  <c r="B712" i="1"/>
  <c r="A712" i="1"/>
  <c r="C711" i="1"/>
  <c r="B711" i="1"/>
  <c r="A711" i="1"/>
  <c r="C710" i="1"/>
  <c r="B710" i="1"/>
  <c r="A710" i="1"/>
  <c r="C709" i="1"/>
  <c r="B709" i="1"/>
  <c r="A709" i="1"/>
  <c r="C708" i="1"/>
  <c r="B708" i="1"/>
  <c r="A708" i="1"/>
  <c r="C707" i="1"/>
  <c r="B707" i="1"/>
  <c r="A707" i="1"/>
  <c r="C706" i="1"/>
  <c r="B706" i="1"/>
  <c r="A706" i="1"/>
  <c r="C705" i="1"/>
  <c r="B705" i="1"/>
  <c r="A705" i="1"/>
  <c r="C704" i="1"/>
  <c r="B704" i="1"/>
  <c r="A704" i="1"/>
  <c r="C703" i="1"/>
  <c r="B703" i="1"/>
  <c r="A703" i="1"/>
  <c r="C702" i="1"/>
  <c r="B702" i="1"/>
  <c r="A702" i="1"/>
  <c r="C701" i="1"/>
  <c r="B701" i="1"/>
  <c r="A701" i="1"/>
  <c r="C700" i="1"/>
  <c r="B700" i="1"/>
  <c r="A700" i="1"/>
  <c r="C699" i="1"/>
  <c r="B699" i="1"/>
  <c r="A699" i="1"/>
  <c r="C698" i="1"/>
  <c r="B698" i="1"/>
  <c r="A698" i="1"/>
  <c r="C697" i="1"/>
  <c r="B697" i="1"/>
  <c r="A697" i="1"/>
  <c r="C696" i="1"/>
  <c r="B696" i="1"/>
  <c r="A696" i="1"/>
  <c r="C695" i="1"/>
  <c r="B695" i="1"/>
  <c r="A695" i="1"/>
  <c r="C694" i="1"/>
  <c r="B694" i="1"/>
  <c r="A694" i="1"/>
  <c r="C693" i="1"/>
  <c r="B693" i="1"/>
  <c r="A693" i="1"/>
  <c r="C692" i="1"/>
  <c r="B692" i="1"/>
  <c r="A692" i="1"/>
  <c r="C691" i="1"/>
  <c r="B691" i="1"/>
  <c r="A691" i="1"/>
  <c r="C690" i="1"/>
  <c r="B690" i="1"/>
  <c r="A690" i="1"/>
  <c r="C689" i="1"/>
  <c r="B689" i="1"/>
  <c r="A689" i="1"/>
  <c r="C688" i="1"/>
  <c r="B688" i="1"/>
  <c r="A688" i="1"/>
  <c r="C687" i="1"/>
  <c r="B687" i="1"/>
  <c r="A687" i="1"/>
  <c r="C686" i="1"/>
  <c r="B686" i="1"/>
  <c r="A686" i="1"/>
  <c r="C685" i="1"/>
  <c r="B685" i="1"/>
  <c r="A685" i="1"/>
  <c r="C684" i="1"/>
  <c r="B684" i="1"/>
  <c r="A684" i="1"/>
  <c r="C683" i="1"/>
  <c r="B683" i="1"/>
  <c r="A683" i="1"/>
  <c r="C682" i="1"/>
  <c r="B682" i="1"/>
  <c r="A682" i="1"/>
  <c r="C681" i="1"/>
  <c r="B681" i="1"/>
  <c r="A681" i="1"/>
  <c r="C680" i="1"/>
  <c r="B680" i="1"/>
  <c r="A680" i="1"/>
  <c r="C679" i="1"/>
  <c r="B679" i="1"/>
  <c r="A679" i="1"/>
  <c r="C678" i="1"/>
  <c r="B678" i="1"/>
  <c r="A678" i="1"/>
  <c r="C677" i="1"/>
  <c r="B677" i="1"/>
  <c r="A677" i="1"/>
  <c r="C676" i="1"/>
  <c r="B676" i="1"/>
  <c r="A676" i="1"/>
  <c r="C675" i="1"/>
  <c r="B675" i="1"/>
  <c r="A675" i="1"/>
  <c r="C674" i="1"/>
  <c r="B674" i="1"/>
  <c r="A674" i="1"/>
  <c r="C673" i="1"/>
  <c r="B673" i="1"/>
  <c r="A673" i="1"/>
  <c r="C672" i="1"/>
  <c r="B672" i="1"/>
  <c r="A672" i="1"/>
  <c r="C671" i="1"/>
  <c r="B671" i="1"/>
  <c r="A671" i="1"/>
  <c r="C670" i="1"/>
  <c r="B670" i="1"/>
  <c r="A670" i="1"/>
  <c r="C669" i="1"/>
  <c r="B669" i="1"/>
  <c r="A669" i="1"/>
  <c r="C668" i="1"/>
  <c r="B668" i="1"/>
  <c r="A668" i="1"/>
  <c r="C667" i="1"/>
  <c r="B667" i="1"/>
  <c r="A667" i="1"/>
  <c r="C666" i="1"/>
  <c r="B666" i="1"/>
  <c r="A666" i="1"/>
  <c r="C665" i="1"/>
  <c r="B665" i="1"/>
  <c r="A665" i="1"/>
  <c r="C664" i="1"/>
  <c r="B664" i="1"/>
  <c r="A664" i="1"/>
  <c r="C663" i="1"/>
  <c r="B663" i="1"/>
  <c r="A663" i="1"/>
  <c r="C662" i="1"/>
  <c r="B662" i="1"/>
  <c r="A662" i="1"/>
  <c r="C661" i="1"/>
  <c r="B661" i="1"/>
  <c r="A661" i="1"/>
  <c r="C660" i="1"/>
  <c r="B660" i="1"/>
  <c r="A660" i="1"/>
  <c r="C659" i="1"/>
  <c r="B659" i="1"/>
  <c r="A659" i="1"/>
  <c r="C658" i="1"/>
  <c r="B658" i="1"/>
  <c r="A658" i="1"/>
  <c r="C657" i="1"/>
  <c r="B657" i="1"/>
  <c r="A657" i="1"/>
  <c r="C656" i="1"/>
  <c r="B656" i="1"/>
  <c r="A656" i="1"/>
  <c r="C655" i="1"/>
  <c r="B655" i="1"/>
  <c r="A655" i="1"/>
  <c r="C654" i="1"/>
  <c r="B654" i="1"/>
  <c r="A654" i="1"/>
  <c r="C653" i="1"/>
  <c r="B653" i="1"/>
  <c r="A653" i="1"/>
  <c r="C652" i="1"/>
  <c r="B652" i="1"/>
  <c r="A652" i="1"/>
  <c r="C651" i="1"/>
  <c r="B651" i="1"/>
  <c r="A651" i="1"/>
  <c r="C650" i="1"/>
  <c r="B650" i="1"/>
  <c r="A650" i="1"/>
  <c r="C649" i="1"/>
  <c r="B649" i="1"/>
  <c r="A649" i="1"/>
  <c r="C648" i="1"/>
  <c r="B648" i="1"/>
  <c r="A648" i="1"/>
  <c r="C647" i="1"/>
  <c r="B647" i="1"/>
  <c r="A647" i="1"/>
  <c r="C646" i="1"/>
  <c r="B646" i="1"/>
  <c r="A646" i="1"/>
  <c r="C645" i="1"/>
  <c r="B645" i="1"/>
  <c r="A645" i="1"/>
  <c r="C644" i="1"/>
  <c r="B644" i="1"/>
  <c r="A644" i="1"/>
  <c r="C643" i="1"/>
  <c r="B643" i="1"/>
  <c r="A643" i="1"/>
  <c r="C642" i="1"/>
  <c r="B642" i="1"/>
  <c r="A642" i="1"/>
  <c r="C641" i="1"/>
  <c r="B641" i="1"/>
  <c r="A641" i="1"/>
  <c r="C640" i="1"/>
  <c r="B640" i="1"/>
  <c r="A640" i="1"/>
  <c r="C639" i="1"/>
  <c r="B639" i="1"/>
  <c r="A639" i="1"/>
  <c r="C638" i="1"/>
  <c r="B638" i="1"/>
  <c r="A638" i="1"/>
  <c r="C637" i="1"/>
  <c r="B637" i="1"/>
  <c r="A637" i="1"/>
  <c r="C636" i="1"/>
  <c r="B636" i="1"/>
  <c r="A636" i="1"/>
  <c r="C635" i="1"/>
  <c r="B635" i="1"/>
  <c r="A635" i="1"/>
  <c r="C634" i="1"/>
  <c r="B634" i="1"/>
  <c r="A634" i="1"/>
  <c r="C633" i="1"/>
  <c r="B633" i="1"/>
  <c r="A633" i="1"/>
  <c r="C632" i="1"/>
  <c r="B632" i="1"/>
  <c r="A632" i="1"/>
  <c r="C631" i="1"/>
  <c r="B631" i="1"/>
  <c r="A631" i="1"/>
  <c r="C630" i="1"/>
  <c r="B630" i="1"/>
  <c r="A630" i="1"/>
  <c r="C629" i="1"/>
  <c r="B629" i="1"/>
  <c r="A629" i="1"/>
  <c r="C628" i="1"/>
  <c r="B628" i="1"/>
  <c r="A628" i="1"/>
  <c r="C627" i="1"/>
  <c r="B627" i="1"/>
  <c r="A627" i="1"/>
  <c r="C626" i="1"/>
  <c r="B626" i="1"/>
  <c r="A626" i="1"/>
  <c r="C625" i="1"/>
  <c r="B625" i="1"/>
  <c r="A625" i="1"/>
  <c r="C624" i="1"/>
  <c r="B624" i="1"/>
  <c r="A624" i="1"/>
  <c r="C623" i="1"/>
  <c r="B623" i="1"/>
  <c r="A623" i="1"/>
  <c r="C622" i="1"/>
  <c r="B622" i="1"/>
  <c r="A622" i="1"/>
  <c r="C621" i="1"/>
  <c r="B621" i="1"/>
  <c r="A621" i="1"/>
  <c r="C620" i="1"/>
  <c r="B620" i="1"/>
  <c r="A620" i="1"/>
  <c r="C619" i="1"/>
  <c r="B619" i="1"/>
  <c r="A619" i="1"/>
  <c r="C618" i="1"/>
  <c r="B618" i="1"/>
  <c r="A618" i="1"/>
  <c r="C617" i="1"/>
  <c r="B617" i="1"/>
  <c r="A617" i="1"/>
  <c r="C616" i="1"/>
  <c r="B616" i="1"/>
  <c r="A616" i="1"/>
  <c r="C615" i="1"/>
  <c r="B615" i="1"/>
  <c r="A615" i="1"/>
  <c r="C614" i="1"/>
  <c r="B614" i="1"/>
  <c r="A614" i="1"/>
  <c r="C613" i="1"/>
  <c r="B613" i="1"/>
  <c r="A613" i="1"/>
  <c r="C612" i="1"/>
  <c r="B612" i="1"/>
  <c r="A612" i="1"/>
  <c r="C611" i="1"/>
  <c r="B611" i="1"/>
  <c r="A611" i="1"/>
  <c r="C610" i="1"/>
  <c r="B610" i="1"/>
  <c r="A610" i="1"/>
  <c r="C609" i="1"/>
  <c r="B609" i="1"/>
  <c r="A609" i="1"/>
  <c r="C608" i="1"/>
  <c r="B608" i="1"/>
  <c r="A608" i="1"/>
  <c r="C607" i="1"/>
  <c r="B607" i="1"/>
  <c r="A607" i="1"/>
  <c r="C606" i="1"/>
  <c r="B606" i="1"/>
  <c r="A606" i="1"/>
  <c r="C605" i="1"/>
  <c r="B605" i="1"/>
  <c r="A605" i="1"/>
  <c r="C604" i="1"/>
  <c r="B604" i="1"/>
  <c r="A604" i="1"/>
  <c r="C603" i="1"/>
  <c r="B603" i="1"/>
  <c r="A603" i="1"/>
  <c r="C602" i="1"/>
  <c r="B602" i="1"/>
  <c r="A602" i="1"/>
  <c r="C601" i="1"/>
  <c r="B601" i="1"/>
  <c r="A601" i="1"/>
  <c r="C600" i="1"/>
  <c r="B600" i="1"/>
  <c r="A600" i="1"/>
  <c r="C599" i="1"/>
  <c r="B599" i="1"/>
  <c r="A599" i="1"/>
  <c r="C598" i="1"/>
  <c r="B598" i="1"/>
  <c r="A598" i="1"/>
  <c r="C597" i="1"/>
  <c r="B597" i="1"/>
  <c r="A597" i="1"/>
  <c r="C596" i="1"/>
  <c r="B596" i="1"/>
  <c r="A596" i="1"/>
  <c r="C595" i="1"/>
  <c r="B595" i="1"/>
  <c r="A595" i="1"/>
  <c r="C594" i="1"/>
  <c r="B594" i="1"/>
  <c r="A594" i="1"/>
  <c r="C593" i="1"/>
  <c r="B593" i="1"/>
  <c r="A593" i="1"/>
  <c r="C592" i="1"/>
  <c r="B592" i="1"/>
  <c r="A592" i="1"/>
  <c r="C591" i="1"/>
  <c r="B591" i="1"/>
  <c r="A591" i="1"/>
  <c r="C590" i="1"/>
  <c r="B590" i="1"/>
  <c r="A590" i="1"/>
  <c r="C589" i="1"/>
  <c r="B589" i="1"/>
  <c r="A589" i="1"/>
  <c r="C588" i="1"/>
  <c r="B588" i="1"/>
  <c r="A588" i="1"/>
  <c r="C587" i="1"/>
  <c r="B587" i="1"/>
  <c r="A587" i="1"/>
  <c r="C586" i="1"/>
  <c r="B586" i="1"/>
  <c r="A586" i="1"/>
  <c r="C585" i="1"/>
  <c r="B585" i="1"/>
  <c r="A585" i="1"/>
  <c r="C584" i="1"/>
  <c r="B584" i="1"/>
  <c r="A584" i="1"/>
  <c r="C583" i="1"/>
  <c r="B583" i="1"/>
  <c r="A583" i="1"/>
  <c r="C582" i="1"/>
  <c r="B582" i="1"/>
  <c r="A582" i="1"/>
  <c r="C581" i="1"/>
  <c r="B581" i="1"/>
  <c r="A581" i="1"/>
  <c r="C580" i="1"/>
  <c r="B580" i="1"/>
  <c r="A580" i="1"/>
  <c r="C579" i="1"/>
  <c r="B579" i="1"/>
  <c r="A579" i="1"/>
  <c r="C578" i="1"/>
  <c r="B578" i="1"/>
  <c r="A578" i="1"/>
  <c r="C577" i="1"/>
  <c r="B577" i="1"/>
  <c r="A577" i="1"/>
  <c r="C576" i="1"/>
  <c r="B576" i="1"/>
  <c r="A576" i="1"/>
  <c r="C575" i="1"/>
  <c r="B575" i="1"/>
  <c r="A575" i="1"/>
  <c r="C574" i="1"/>
  <c r="B574" i="1"/>
  <c r="A574" i="1"/>
  <c r="C573" i="1"/>
  <c r="B573" i="1"/>
  <c r="A573" i="1"/>
  <c r="C572" i="1"/>
  <c r="B572" i="1"/>
  <c r="A572" i="1"/>
  <c r="C571" i="1"/>
  <c r="B571" i="1"/>
  <c r="A571" i="1"/>
  <c r="C570" i="1"/>
  <c r="B570" i="1"/>
  <c r="A570" i="1"/>
  <c r="C569" i="1"/>
  <c r="B569" i="1"/>
  <c r="A569" i="1"/>
  <c r="C568" i="1"/>
  <c r="B568" i="1"/>
  <c r="A568" i="1"/>
  <c r="C567" i="1"/>
  <c r="B567" i="1"/>
  <c r="A567" i="1"/>
  <c r="C566" i="1"/>
  <c r="B566" i="1"/>
  <c r="A566" i="1"/>
  <c r="C565" i="1"/>
  <c r="B565" i="1"/>
  <c r="A565" i="1"/>
  <c r="C564" i="1"/>
  <c r="B564" i="1"/>
  <c r="A564" i="1"/>
  <c r="C563" i="1"/>
  <c r="B563" i="1"/>
  <c r="A563" i="1"/>
  <c r="C562" i="1"/>
  <c r="B562" i="1"/>
  <c r="A562" i="1"/>
  <c r="C561" i="1"/>
  <c r="B561" i="1"/>
  <c r="A561" i="1"/>
  <c r="C560" i="1"/>
  <c r="B560" i="1"/>
  <c r="A560" i="1"/>
  <c r="C559" i="1"/>
  <c r="B559" i="1"/>
  <c r="A559" i="1"/>
  <c r="C558" i="1"/>
  <c r="B558" i="1"/>
  <c r="A558" i="1"/>
  <c r="C557" i="1"/>
  <c r="B557" i="1"/>
  <c r="A557" i="1"/>
  <c r="C556" i="1"/>
  <c r="B556" i="1"/>
  <c r="A556" i="1"/>
  <c r="C555" i="1"/>
  <c r="B555" i="1"/>
  <c r="A555" i="1"/>
  <c r="C554" i="1"/>
  <c r="B554" i="1"/>
  <c r="A554" i="1"/>
  <c r="C553" i="1"/>
  <c r="B553" i="1"/>
  <c r="A553" i="1"/>
  <c r="C552" i="1"/>
  <c r="B552" i="1"/>
  <c r="A552" i="1"/>
  <c r="C551" i="1"/>
  <c r="B551" i="1"/>
  <c r="A551" i="1"/>
  <c r="C550" i="1"/>
  <c r="B550" i="1"/>
  <c r="A550" i="1"/>
  <c r="C549" i="1"/>
  <c r="B549" i="1"/>
  <c r="A549" i="1"/>
  <c r="C548" i="1"/>
  <c r="B548" i="1"/>
  <c r="A548" i="1"/>
  <c r="C547" i="1"/>
  <c r="B547" i="1"/>
  <c r="A547" i="1"/>
  <c r="C546" i="1"/>
  <c r="B546" i="1"/>
  <c r="A546" i="1"/>
  <c r="C545" i="1"/>
  <c r="B545" i="1"/>
  <c r="A545" i="1"/>
  <c r="C544" i="1"/>
  <c r="B544" i="1"/>
  <c r="A544" i="1"/>
  <c r="C543" i="1"/>
  <c r="B543" i="1"/>
  <c r="A543" i="1"/>
  <c r="C542" i="1"/>
  <c r="B542" i="1"/>
  <c r="A542" i="1"/>
  <c r="C541" i="1"/>
  <c r="B541" i="1"/>
  <c r="A541" i="1"/>
  <c r="C540" i="1"/>
  <c r="B540" i="1"/>
  <c r="A540" i="1"/>
  <c r="C539" i="1"/>
  <c r="B539" i="1"/>
  <c r="A539" i="1"/>
  <c r="C538" i="1"/>
  <c r="B538" i="1"/>
  <c r="A538" i="1"/>
  <c r="C537" i="1"/>
  <c r="B537" i="1"/>
  <c r="A537" i="1"/>
  <c r="C536" i="1"/>
  <c r="B536" i="1"/>
  <c r="A536" i="1"/>
  <c r="C535" i="1"/>
  <c r="B535" i="1"/>
  <c r="A535" i="1"/>
  <c r="C534" i="1"/>
  <c r="B534" i="1"/>
  <c r="A534" i="1"/>
  <c r="C533" i="1"/>
  <c r="B533" i="1"/>
  <c r="A533" i="1"/>
  <c r="C532" i="1"/>
  <c r="B532" i="1"/>
  <c r="A532" i="1"/>
  <c r="C531" i="1"/>
  <c r="B531" i="1"/>
  <c r="A531" i="1"/>
  <c r="C530" i="1"/>
  <c r="B530" i="1"/>
  <c r="A530" i="1"/>
  <c r="C529" i="1"/>
  <c r="B529" i="1"/>
  <c r="A529" i="1"/>
  <c r="C528" i="1"/>
  <c r="B528" i="1"/>
  <c r="A528" i="1"/>
  <c r="C527" i="1"/>
  <c r="B527" i="1"/>
  <c r="A527" i="1"/>
  <c r="C526" i="1"/>
  <c r="B526" i="1"/>
  <c r="A526" i="1"/>
  <c r="C525" i="1"/>
  <c r="B525" i="1"/>
  <c r="A525" i="1"/>
  <c r="C524" i="1"/>
  <c r="B524" i="1"/>
  <c r="A524" i="1"/>
  <c r="C523" i="1"/>
  <c r="B523" i="1"/>
  <c r="A523" i="1"/>
  <c r="C522" i="1"/>
  <c r="B522" i="1"/>
  <c r="A522" i="1"/>
  <c r="C521" i="1"/>
  <c r="B521" i="1"/>
  <c r="A521" i="1"/>
  <c r="C520" i="1"/>
  <c r="B520" i="1"/>
  <c r="A520" i="1"/>
  <c r="C519" i="1"/>
  <c r="B519" i="1"/>
  <c r="A519" i="1"/>
  <c r="C518" i="1"/>
  <c r="B518" i="1"/>
  <c r="A518" i="1"/>
  <c r="C517" i="1"/>
  <c r="B517" i="1"/>
  <c r="A517" i="1"/>
  <c r="C516" i="1"/>
  <c r="B516" i="1"/>
  <c r="A516" i="1"/>
  <c r="C515" i="1"/>
  <c r="B515" i="1"/>
  <c r="A515" i="1"/>
  <c r="C514" i="1"/>
  <c r="B514" i="1"/>
  <c r="A514" i="1"/>
  <c r="C513" i="1"/>
  <c r="B513" i="1"/>
  <c r="A513" i="1"/>
  <c r="C512" i="1"/>
  <c r="B512" i="1"/>
  <c r="A512" i="1"/>
  <c r="C511" i="1"/>
  <c r="B511" i="1"/>
  <c r="A511" i="1"/>
  <c r="C510" i="1"/>
  <c r="B510" i="1"/>
  <c r="A510" i="1"/>
  <c r="C509" i="1"/>
  <c r="B509" i="1"/>
  <c r="A509" i="1"/>
  <c r="C508" i="1"/>
  <c r="B508" i="1"/>
  <c r="A508" i="1"/>
  <c r="C507" i="1"/>
  <c r="B507" i="1"/>
  <c r="A507" i="1"/>
  <c r="C506" i="1"/>
  <c r="B506" i="1"/>
  <c r="A506" i="1"/>
  <c r="C505" i="1"/>
  <c r="B505" i="1"/>
  <c r="A505" i="1"/>
  <c r="C504" i="1"/>
  <c r="B504" i="1"/>
  <c r="A504" i="1"/>
  <c r="C503" i="1"/>
  <c r="B503" i="1"/>
  <c r="A503" i="1"/>
  <c r="C502" i="1"/>
  <c r="B502" i="1"/>
  <c r="A502" i="1"/>
  <c r="C501" i="1"/>
  <c r="B501" i="1"/>
  <c r="A501" i="1"/>
  <c r="C500" i="1"/>
  <c r="B500" i="1"/>
  <c r="A500" i="1"/>
  <c r="C499" i="1"/>
  <c r="B499" i="1"/>
  <c r="A499" i="1"/>
  <c r="C498" i="1"/>
  <c r="B498" i="1"/>
  <c r="A498" i="1"/>
  <c r="C497" i="1"/>
  <c r="B497" i="1"/>
  <c r="A497" i="1"/>
  <c r="C496" i="1"/>
  <c r="B496" i="1"/>
  <c r="A496" i="1"/>
  <c r="C495" i="1"/>
  <c r="B495" i="1"/>
  <c r="A495" i="1"/>
  <c r="C494" i="1"/>
  <c r="B494" i="1"/>
  <c r="A494" i="1"/>
  <c r="C493" i="1"/>
  <c r="B493" i="1"/>
  <c r="A493" i="1"/>
  <c r="C492" i="1"/>
  <c r="B492" i="1"/>
  <c r="A492" i="1"/>
  <c r="C491" i="1"/>
  <c r="B491" i="1"/>
  <c r="A491" i="1"/>
  <c r="C490" i="1"/>
  <c r="B490" i="1"/>
  <c r="A490" i="1"/>
  <c r="C489" i="1"/>
  <c r="B489" i="1"/>
  <c r="A489" i="1"/>
  <c r="C488" i="1"/>
  <c r="B488" i="1"/>
  <c r="A488" i="1"/>
  <c r="C487" i="1"/>
  <c r="B487" i="1"/>
  <c r="A487" i="1"/>
  <c r="C486" i="1"/>
  <c r="B486" i="1"/>
  <c r="A486" i="1"/>
  <c r="C485" i="1"/>
  <c r="B485" i="1"/>
  <c r="A485" i="1"/>
  <c r="C484" i="1"/>
  <c r="B484" i="1"/>
  <c r="A484" i="1"/>
  <c r="C483" i="1"/>
  <c r="B483" i="1"/>
  <c r="A483" i="1"/>
  <c r="C482" i="1"/>
  <c r="B482" i="1"/>
  <c r="A482" i="1"/>
  <c r="C481" i="1"/>
  <c r="B481" i="1"/>
  <c r="A481" i="1"/>
  <c r="C480" i="1"/>
  <c r="B480" i="1"/>
  <c r="A480" i="1"/>
  <c r="C479" i="1"/>
  <c r="B479" i="1"/>
  <c r="A479" i="1"/>
  <c r="C478" i="1"/>
  <c r="B478" i="1"/>
  <c r="A478" i="1"/>
  <c r="C477" i="1"/>
  <c r="B477" i="1"/>
  <c r="A477" i="1"/>
  <c r="C476" i="1"/>
  <c r="B476" i="1"/>
  <c r="A476" i="1"/>
  <c r="C475" i="1"/>
  <c r="B475" i="1"/>
  <c r="A475" i="1"/>
  <c r="C474" i="1"/>
  <c r="B474" i="1"/>
  <c r="A474" i="1"/>
  <c r="C473" i="1"/>
  <c r="B473" i="1"/>
  <c r="A473" i="1"/>
  <c r="C472" i="1"/>
  <c r="B472" i="1"/>
  <c r="A472" i="1"/>
  <c r="C471" i="1"/>
  <c r="B471" i="1"/>
  <c r="A471" i="1"/>
  <c r="C470" i="1"/>
  <c r="B470" i="1"/>
  <c r="A470" i="1"/>
  <c r="C469" i="1"/>
  <c r="B469" i="1"/>
  <c r="A469" i="1"/>
  <c r="C468" i="1"/>
  <c r="B468" i="1"/>
  <c r="A468" i="1"/>
  <c r="C467" i="1"/>
  <c r="B467" i="1"/>
  <c r="A467" i="1"/>
  <c r="C466" i="1"/>
  <c r="B466" i="1"/>
  <c r="A466" i="1"/>
  <c r="C465" i="1"/>
  <c r="B465" i="1"/>
  <c r="A465" i="1"/>
  <c r="C464" i="1"/>
  <c r="B464" i="1"/>
  <c r="A464" i="1"/>
  <c r="C463" i="1"/>
  <c r="B463" i="1"/>
  <c r="A463" i="1"/>
  <c r="C462" i="1"/>
  <c r="B462" i="1"/>
  <c r="A462" i="1"/>
  <c r="C461" i="1"/>
  <c r="B461" i="1"/>
  <c r="A461" i="1"/>
  <c r="C460" i="1"/>
  <c r="B460" i="1"/>
  <c r="A460" i="1"/>
  <c r="C459" i="1"/>
  <c r="B459" i="1"/>
  <c r="A459" i="1"/>
  <c r="C458" i="1"/>
  <c r="B458" i="1"/>
  <c r="A458" i="1"/>
  <c r="C457" i="1"/>
  <c r="B457" i="1"/>
  <c r="A457" i="1"/>
  <c r="C456" i="1"/>
  <c r="B456" i="1"/>
  <c r="A456" i="1"/>
  <c r="C455" i="1"/>
  <c r="B455" i="1"/>
  <c r="A455" i="1"/>
  <c r="C454" i="1"/>
  <c r="B454" i="1"/>
  <c r="A454" i="1"/>
  <c r="C453" i="1"/>
  <c r="B453" i="1"/>
  <c r="A453" i="1"/>
  <c r="C452" i="1"/>
  <c r="B452" i="1"/>
  <c r="A452" i="1"/>
  <c r="C451" i="1"/>
  <c r="B451" i="1"/>
  <c r="A451" i="1"/>
  <c r="C450" i="1"/>
  <c r="B450" i="1"/>
  <c r="A450" i="1"/>
  <c r="C449" i="1"/>
  <c r="B449" i="1"/>
  <c r="A449" i="1"/>
  <c r="C448" i="1"/>
  <c r="B448" i="1"/>
  <c r="A448" i="1"/>
  <c r="C447" i="1"/>
  <c r="B447" i="1"/>
  <c r="A447" i="1"/>
  <c r="C446" i="1"/>
  <c r="B446" i="1"/>
  <c r="A446" i="1"/>
  <c r="C445" i="1"/>
  <c r="B445" i="1"/>
  <c r="A445" i="1"/>
  <c r="C444" i="1"/>
  <c r="B444" i="1"/>
  <c r="A444" i="1"/>
  <c r="C443" i="1"/>
  <c r="B443" i="1"/>
  <c r="A443" i="1"/>
  <c r="C442" i="1"/>
  <c r="B442" i="1"/>
  <c r="A442" i="1"/>
  <c r="C441" i="1"/>
  <c r="B441" i="1"/>
  <c r="A441" i="1"/>
  <c r="C440" i="1"/>
  <c r="B440" i="1"/>
  <c r="A440" i="1"/>
  <c r="C439" i="1"/>
  <c r="B439" i="1"/>
  <c r="A439" i="1"/>
  <c r="C438" i="1"/>
  <c r="B438" i="1"/>
  <c r="A438" i="1"/>
  <c r="C437" i="1"/>
  <c r="B437" i="1"/>
  <c r="A437" i="1"/>
  <c r="C436" i="1"/>
  <c r="B436" i="1"/>
  <c r="A436" i="1"/>
  <c r="C435" i="1"/>
  <c r="B435" i="1"/>
  <c r="A435" i="1"/>
  <c r="C434" i="1"/>
  <c r="B434" i="1"/>
  <c r="A434" i="1"/>
  <c r="C433" i="1"/>
  <c r="B433" i="1"/>
  <c r="A433" i="1"/>
  <c r="C432" i="1"/>
  <c r="B432" i="1"/>
  <c r="A432" i="1"/>
  <c r="C431" i="1"/>
  <c r="B431" i="1"/>
  <c r="A431" i="1"/>
  <c r="C430" i="1"/>
  <c r="B430" i="1"/>
  <c r="A430" i="1"/>
  <c r="C429" i="1"/>
  <c r="B429" i="1"/>
  <c r="A429" i="1"/>
  <c r="C428" i="1"/>
  <c r="B428" i="1"/>
  <c r="A428" i="1"/>
  <c r="C427" i="1"/>
  <c r="B427" i="1"/>
  <c r="A427" i="1"/>
  <c r="C426" i="1"/>
  <c r="B426" i="1"/>
  <c r="A426" i="1"/>
  <c r="C425" i="1"/>
  <c r="B425" i="1"/>
  <c r="A425" i="1"/>
  <c r="C424" i="1"/>
  <c r="B424" i="1"/>
  <c r="A424" i="1"/>
  <c r="C423" i="1"/>
  <c r="B423" i="1"/>
  <c r="A423" i="1"/>
  <c r="C422" i="1"/>
  <c r="B422" i="1"/>
  <c r="A422" i="1"/>
  <c r="C421" i="1"/>
  <c r="B421" i="1"/>
  <c r="A421" i="1"/>
  <c r="C420" i="1"/>
  <c r="B420" i="1"/>
  <c r="A420" i="1"/>
  <c r="C419" i="1"/>
  <c r="B419" i="1"/>
  <c r="A419" i="1"/>
  <c r="C418" i="1"/>
  <c r="B418" i="1"/>
  <c r="A418" i="1"/>
  <c r="C417" i="1"/>
  <c r="B417" i="1"/>
  <c r="A417" i="1"/>
  <c r="C416" i="1"/>
  <c r="B416" i="1"/>
  <c r="A416" i="1"/>
  <c r="C415" i="1"/>
  <c r="B415" i="1"/>
  <c r="A415" i="1"/>
  <c r="C414" i="1"/>
  <c r="B414" i="1"/>
  <c r="A414" i="1"/>
  <c r="C413" i="1"/>
  <c r="B413" i="1"/>
  <c r="A413" i="1"/>
  <c r="C412" i="1"/>
  <c r="B412" i="1"/>
  <c r="A412" i="1"/>
  <c r="C411" i="1"/>
  <c r="B411" i="1"/>
  <c r="A411" i="1"/>
  <c r="C410" i="1"/>
  <c r="B410" i="1"/>
  <c r="A410" i="1"/>
  <c r="C409" i="1"/>
  <c r="B409" i="1"/>
  <c r="A409" i="1"/>
  <c r="C408" i="1"/>
  <c r="B408" i="1"/>
  <c r="A408" i="1"/>
  <c r="C407" i="1"/>
  <c r="B407" i="1"/>
  <c r="A407" i="1"/>
  <c r="C406" i="1"/>
  <c r="B406" i="1"/>
  <c r="A406" i="1"/>
  <c r="C405" i="1"/>
  <c r="B405" i="1"/>
  <c r="A405" i="1"/>
  <c r="C404" i="1"/>
  <c r="B404" i="1"/>
  <c r="A404" i="1"/>
  <c r="C403" i="1"/>
  <c r="B403" i="1"/>
  <c r="A403" i="1"/>
  <c r="C402" i="1"/>
  <c r="B402" i="1"/>
  <c r="A402" i="1"/>
  <c r="C401" i="1"/>
  <c r="B401" i="1"/>
  <c r="A401" i="1"/>
  <c r="C400" i="1"/>
  <c r="B400" i="1"/>
  <c r="A400" i="1"/>
  <c r="C399" i="1"/>
  <c r="B399" i="1"/>
  <c r="A399" i="1"/>
  <c r="C398" i="1"/>
  <c r="B398" i="1"/>
  <c r="A398" i="1"/>
  <c r="C397" i="1"/>
  <c r="B397" i="1"/>
  <c r="A397" i="1"/>
  <c r="C396" i="1"/>
  <c r="B396" i="1"/>
  <c r="A396" i="1"/>
  <c r="C395" i="1"/>
  <c r="B395" i="1"/>
  <c r="A395" i="1"/>
  <c r="C394" i="1"/>
  <c r="B394" i="1"/>
  <c r="A394" i="1"/>
  <c r="C393" i="1"/>
  <c r="B393" i="1"/>
  <c r="A393" i="1"/>
  <c r="C392" i="1"/>
  <c r="B392" i="1"/>
  <c r="A392" i="1"/>
  <c r="C391" i="1"/>
  <c r="B391" i="1"/>
  <c r="A391" i="1"/>
  <c r="C390" i="1"/>
  <c r="B390" i="1"/>
  <c r="A390" i="1"/>
  <c r="C389" i="1"/>
  <c r="B389" i="1"/>
  <c r="A389" i="1"/>
  <c r="C388" i="1"/>
  <c r="B388" i="1"/>
  <c r="A388" i="1"/>
  <c r="C387" i="1"/>
  <c r="B387" i="1"/>
  <c r="A387" i="1"/>
  <c r="C386" i="1"/>
  <c r="B386" i="1"/>
  <c r="A386" i="1"/>
  <c r="C385" i="1"/>
  <c r="B385" i="1"/>
  <c r="A385" i="1"/>
  <c r="C384" i="1"/>
  <c r="B384" i="1"/>
  <c r="A384" i="1"/>
  <c r="C383" i="1"/>
  <c r="B383" i="1"/>
  <c r="A383" i="1"/>
  <c r="C382" i="1"/>
  <c r="B382" i="1"/>
  <c r="A382" i="1"/>
  <c r="C381" i="1"/>
  <c r="B381" i="1"/>
  <c r="A381" i="1"/>
  <c r="C380" i="1"/>
  <c r="B380" i="1"/>
  <c r="A380" i="1"/>
  <c r="C379" i="1"/>
  <c r="B379" i="1"/>
  <c r="A379" i="1"/>
  <c r="C378" i="1"/>
  <c r="B378" i="1"/>
  <c r="A378" i="1"/>
  <c r="C377" i="1"/>
  <c r="B377" i="1"/>
  <c r="A377" i="1"/>
  <c r="C376" i="1"/>
  <c r="B376" i="1"/>
  <c r="A376" i="1"/>
  <c r="C375" i="1"/>
  <c r="B375" i="1"/>
  <c r="A375" i="1"/>
  <c r="C374" i="1"/>
  <c r="B374" i="1"/>
  <c r="A374" i="1"/>
  <c r="C373" i="1"/>
  <c r="B373" i="1"/>
  <c r="A373" i="1"/>
  <c r="C372" i="1"/>
  <c r="B372" i="1"/>
  <c r="A372" i="1"/>
  <c r="C371" i="1"/>
  <c r="B371" i="1"/>
  <c r="A371" i="1"/>
  <c r="C370" i="1"/>
  <c r="B370" i="1"/>
  <c r="A370" i="1"/>
  <c r="C369" i="1"/>
  <c r="B369" i="1"/>
  <c r="A369" i="1"/>
  <c r="C368" i="1"/>
  <c r="B368" i="1"/>
  <c r="A368" i="1"/>
  <c r="C367" i="1"/>
  <c r="B367" i="1"/>
  <c r="A367" i="1"/>
  <c r="C366" i="1"/>
  <c r="B366" i="1"/>
  <c r="A366" i="1"/>
  <c r="C365" i="1"/>
  <c r="B365" i="1"/>
  <c r="A365" i="1"/>
  <c r="C364" i="1"/>
  <c r="B364" i="1"/>
  <c r="A364" i="1"/>
  <c r="C363" i="1"/>
  <c r="B363" i="1"/>
  <c r="A363" i="1"/>
  <c r="C362" i="1"/>
  <c r="B362" i="1"/>
  <c r="A362" i="1"/>
  <c r="C361" i="1"/>
  <c r="B361" i="1"/>
  <c r="A361" i="1"/>
  <c r="C360" i="1"/>
  <c r="B360" i="1"/>
  <c r="A360" i="1"/>
  <c r="C359" i="1"/>
  <c r="B359" i="1"/>
  <c r="A359" i="1"/>
  <c r="C358" i="1"/>
  <c r="B358" i="1"/>
  <c r="A358" i="1"/>
  <c r="C357" i="1"/>
  <c r="B357" i="1"/>
  <c r="A357" i="1"/>
  <c r="C356" i="1"/>
  <c r="B356" i="1"/>
  <c r="A356" i="1"/>
  <c r="C355" i="1"/>
  <c r="B355" i="1"/>
  <c r="A355" i="1"/>
  <c r="C354" i="1"/>
  <c r="B354" i="1"/>
  <c r="A354" i="1"/>
  <c r="C353" i="1"/>
  <c r="B353" i="1"/>
  <c r="A353" i="1"/>
  <c r="C352" i="1"/>
  <c r="B352" i="1"/>
  <c r="A352" i="1"/>
  <c r="C351" i="1"/>
  <c r="B351" i="1"/>
  <c r="A351" i="1"/>
  <c r="C350" i="1"/>
  <c r="B350" i="1"/>
  <c r="A350" i="1"/>
  <c r="C349" i="1"/>
  <c r="B349" i="1"/>
  <c r="A349" i="1"/>
  <c r="C348" i="1"/>
  <c r="B348" i="1"/>
  <c r="A348" i="1"/>
  <c r="C347" i="1"/>
  <c r="B347" i="1"/>
  <c r="A347" i="1"/>
  <c r="C346" i="1"/>
  <c r="B346" i="1"/>
  <c r="A346" i="1"/>
  <c r="C345" i="1"/>
  <c r="B345" i="1"/>
  <c r="A345" i="1"/>
  <c r="C344" i="1"/>
  <c r="B344" i="1"/>
  <c r="A344" i="1"/>
  <c r="C343" i="1"/>
  <c r="B343" i="1"/>
  <c r="A343" i="1"/>
  <c r="C342" i="1"/>
  <c r="B342" i="1"/>
  <c r="A342" i="1"/>
  <c r="C341" i="1"/>
  <c r="B341" i="1"/>
  <c r="A341" i="1"/>
  <c r="C340" i="1"/>
  <c r="B340" i="1"/>
  <c r="A340" i="1"/>
  <c r="C339" i="1"/>
  <c r="B339" i="1"/>
  <c r="A339" i="1"/>
  <c r="C338" i="1"/>
  <c r="B338" i="1"/>
  <c r="A338" i="1"/>
  <c r="C337" i="1"/>
  <c r="B337" i="1"/>
  <c r="A337" i="1"/>
  <c r="C336" i="1"/>
  <c r="B336" i="1"/>
  <c r="A336" i="1"/>
  <c r="C335" i="1"/>
  <c r="B335" i="1"/>
  <c r="A335" i="1"/>
  <c r="C334" i="1"/>
  <c r="B334" i="1"/>
  <c r="A334" i="1"/>
  <c r="C333" i="1"/>
  <c r="B333" i="1"/>
  <c r="A333" i="1"/>
  <c r="C332" i="1"/>
  <c r="B332" i="1"/>
  <c r="A332" i="1"/>
  <c r="C331" i="1"/>
  <c r="B331" i="1"/>
  <c r="A331" i="1"/>
  <c r="C330" i="1"/>
  <c r="B330" i="1"/>
  <c r="A330" i="1"/>
  <c r="C329" i="1"/>
  <c r="B329" i="1"/>
  <c r="A329" i="1"/>
  <c r="C328" i="1"/>
  <c r="B328" i="1"/>
  <c r="A328" i="1"/>
  <c r="C327" i="1"/>
  <c r="B327" i="1"/>
  <c r="A327" i="1"/>
  <c r="C326" i="1"/>
  <c r="B326" i="1"/>
  <c r="A326" i="1"/>
  <c r="C325" i="1"/>
  <c r="B325" i="1"/>
  <c r="A325" i="1"/>
  <c r="C324" i="1"/>
  <c r="B324" i="1"/>
  <c r="A324" i="1"/>
  <c r="C323" i="1"/>
  <c r="B323" i="1"/>
  <c r="A323" i="1"/>
  <c r="C322" i="1"/>
  <c r="B322" i="1"/>
  <c r="A322" i="1"/>
  <c r="C321" i="1"/>
  <c r="B321" i="1"/>
  <c r="A321" i="1"/>
  <c r="C320" i="1"/>
  <c r="B320" i="1"/>
  <c r="A320" i="1"/>
  <c r="C319" i="1"/>
  <c r="B319" i="1"/>
  <c r="A319" i="1"/>
  <c r="C318" i="1"/>
  <c r="B318" i="1"/>
  <c r="A318" i="1"/>
  <c r="C317" i="1"/>
  <c r="B317" i="1"/>
  <c r="A317" i="1"/>
  <c r="C316" i="1"/>
  <c r="B316" i="1"/>
  <c r="A316" i="1"/>
  <c r="C315" i="1"/>
  <c r="B315" i="1"/>
  <c r="A315" i="1"/>
  <c r="C314" i="1"/>
  <c r="B314" i="1"/>
  <c r="A314" i="1"/>
  <c r="C313" i="1"/>
  <c r="B313" i="1"/>
  <c r="A313" i="1"/>
  <c r="C312" i="1"/>
  <c r="B312" i="1"/>
  <c r="A312" i="1"/>
  <c r="C311" i="1"/>
  <c r="B311" i="1"/>
  <c r="A311" i="1"/>
  <c r="C310" i="1"/>
  <c r="B310" i="1"/>
  <c r="A310" i="1"/>
  <c r="C309" i="1"/>
  <c r="B309" i="1"/>
  <c r="A309" i="1"/>
  <c r="C308" i="1"/>
  <c r="B308" i="1"/>
  <c r="A308" i="1"/>
  <c r="C307" i="1"/>
  <c r="B307" i="1"/>
  <c r="A307" i="1"/>
  <c r="C306" i="1"/>
  <c r="B306" i="1"/>
  <c r="A306" i="1"/>
  <c r="C305" i="1"/>
  <c r="B305" i="1"/>
  <c r="A305" i="1"/>
  <c r="C304" i="1"/>
  <c r="B304" i="1"/>
  <c r="A304" i="1"/>
  <c r="C303" i="1"/>
  <c r="B303" i="1"/>
  <c r="A303" i="1"/>
  <c r="C302" i="1"/>
  <c r="B302" i="1"/>
  <c r="A302" i="1"/>
  <c r="C301" i="1"/>
  <c r="B301" i="1"/>
  <c r="A301" i="1"/>
  <c r="C300" i="1"/>
  <c r="B300" i="1"/>
  <c r="A300" i="1"/>
  <c r="C299" i="1"/>
  <c r="B299" i="1"/>
  <c r="A299" i="1"/>
  <c r="C298" i="1"/>
  <c r="B298" i="1"/>
  <c r="A298" i="1"/>
  <c r="C297" i="1"/>
  <c r="B297" i="1"/>
  <c r="A297" i="1"/>
  <c r="C296" i="1"/>
  <c r="B296" i="1"/>
  <c r="A296" i="1"/>
  <c r="C295" i="1"/>
  <c r="B295" i="1"/>
  <c r="A295" i="1"/>
  <c r="C294" i="1"/>
  <c r="B294" i="1"/>
  <c r="A294" i="1"/>
  <c r="C293" i="1"/>
  <c r="B293" i="1"/>
  <c r="A293" i="1"/>
  <c r="C292" i="1"/>
  <c r="B292" i="1"/>
  <c r="A292" i="1"/>
  <c r="C291" i="1"/>
  <c r="B291" i="1"/>
  <c r="A291" i="1"/>
  <c r="C290" i="1"/>
  <c r="B290" i="1"/>
  <c r="A290" i="1"/>
  <c r="C289" i="1"/>
  <c r="B289" i="1"/>
  <c r="A289" i="1"/>
  <c r="C288" i="1"/>
  <c r="B288" i="1"/>
  <c r="A288" i="1"/>
  <c r="C287" i="1"/>
  <c r="B287" i="1"/>
  <c r="A287" i="1"/>
  <c r="C286" i="1"/>
  <c r="B286" i="1"/>
  <c r="A286" i="1"/>
  <c r="C285" i="1"/>
  <c r="B285" i="1"/>
  <c r="A285" i="1"/>
  <c r="C284" i="1"/>
  <c r="B284" i="1"/>
  <c r="A284" i="1"/>
  <c r="C283" i="1"/>
  <c r="B283" i="1"/>
  <c r="A283" i="1"/>
  <c r="C282" i="1"/>
  <c r="B282" i="1"/>
  <c r="A282" i="1"/>
  <c r="C281" i="1"/>
  <c r="B281" i="1"/>
  <c r="A281" i="1"/>
  <c r="C280" i="1"/>
  <c r="B280" i="1"/>
  <c r="A280" i="1"/>
  <c r="C279" i="1"/>
  <c r="B279" i="1"/>
  <c r="A279" i="1"/>
  <c r="C278" i="1"/>
  <c r="B278" i="1"/>
  <c r="A278" i="1"/>
  <c r="C277" i="1"/>
  <c r="B277" i="1"/>
  <c r="A277" i="1"/>
  <c r="C276" i="1"/>
  <c r="B276" i="1"/>
  <c r="A276" i="1"/>
  <c r="C275" i="1"/>
  <c r="B275" i="1"/>
  <c r="A275" i="1"/>
  <c r="C274" i="1"/>
  <c r="B274" i="1"/>
  <c r="A274" i="1"/>
  <c r="C273" i="1"/>
  <c r="B273" i="1"/>
  <c r="A273" i="1"/>
  <c r="C272" i="1"/>
  <c r="B272" i="1"/>
  <c r="A272" i="1"/>
  <c r="C271" i="1"/>
  <c r="B271" i="1"/>
  <c r="A271" i="1"/>
  <c r="C270" i="1"/>
  <c r="B270" i="1"/>
  <c r="A270" i="1"/>
  <c r="C269" i="1"/>
  <c r="B269" i="1"/>
  <c r="A269" i="1"/>
  <c r="C268" i="1"/>
  <c r="B268" i="1"/>
  <c r="A268" i="1"/>
  <c r="C267" i="1"/>
  <c r="B267" i="1"/>
  <c r="A267" i="1"/>
  <c r="C266" i="1"/>
  <c r="B266" i="1"/>
  <c r="A266" i="1"/>
  <c r="C265" i="1"/>
  <c r="B265" i="1"/>
  <c r="A265" i="1"/>
  <c r="C264" i="1"/>
  <c r="B264" i="1"/>
  <c r="A264" i="1"/>
  <c r="C263" i="1"/>
  <c r="B263" i="1"/>
  <c r="A263" i="1"/>
  <c r="C262" i="1"/>
  <c r="B262" i="1"/>
  <c r="A262" i="1"/>
  <c r="C261" i="1"/>
  <c r="B261" i="1"/>
  <c r="A261" i="1"/>
  <c r="C260" i="1"/>
  <c r="B260" i="1"/>
  <c r="A260" i="1"/>
  <c r="C259" i="1"/>
  <c r="B259" i="1"/>
  <c r="A259" i="1"/>
  <c r="C258" i="1"/>
  <c r="B258" i="1"/>
  <c r="A258" i="1"/>
  <c r="C257" i="1"/>
  <c r="B257" i="1"/>
  <c r="A257" i="1"/>
  <c r="C256" i="1"/>
  <c r="B256" i="1"/>
  <c r="A256" i="1"/>
  <c r="C255" i="1"/>
  <c r="B255" i="1"/>
  <c r="A255" i="1"/>
  <c r="C254" i="1"/>
  <c r="B254" i="1"/>
  <c r="A254" i="1"/>
  <c r="C253" i="1"/>
  <c r="B253" i="1"/>
  <c r="A253" i="1"/>
  <c r="C252" i="1"/>
  <c r="B252" i="1"/>
  <c r="A252" i="1"/>
  <c r="C251" i="1"/>
  <c r="B251" i="1"/>
  <c r="A251" i="1"/>
  <c r="C250" i="1"/>
  <c r="B250" i="1"/>
  <c r="A250" i="1"/>
  <c r="C249" i="1"/>
  <c r="B249" i="1"/>
  <c r="A249" i="1"/>
  <c r="C248" i="1"/>
  <c r="B248" i="1"/>
  <c r="A248" i="1"/>
  <c r="C247" i="1"/>
  <c r="B247" i="1"/>
  <c r="A247" i="1"/>
  <c r="C246" i="1"/>
  <c r="B246" i="1"/>
  <c r="A246" i="1"/>
  <c r="C245" i="1"/>
  <c r="B245" i="1"/>
  <c r="A245" i="1"/>
  <c r="C244" i="1"/>
  <c r="B244" i="1"/>
  <c r="A244" i="1"/>
  <c r="C243" i="1"/>
  <c r="B243" i="1"/>
  <c r="A243" i="1"/>
  <c r="C242" i="1"/>
  <c r="B242" i="1"/>
  <c r="A242" i="1"/>
  <c r="C241" i="1"/>
  <c r="B241" i="1"/>
  <c r="A241" i="1"/>
  <c r="C240" i="1"/>
  <c r="B240" i="1"/>
  <c r="A240" i="1"/>
  <c r="C239" i="1"/>
  <c r="B239" i="1"/>
  <c r="A239" i="1"/>
  <c r="C238" i="1"/>
  <c r="B238" i="1"/>
  <c r="A238" i="1"/>
  <c r="C237" i="1"/>
  <c r="B237" i="1"/>
  <c r="A237" i="1"/>
  <c r="C236" i="1"/>
  <c r="B236" i="1"/>
  <c r="A236" i="1"/>
  <c r="C235" i="1"/>
  <c r="B235" i="1"/>
  <c r="A235" i="1"/>
  <c r="C234" i="1"/>
  <c r="B234" i="1"/>
  <c r="A234" i="1"/>
  <c r="C233" i="1"/>
  <c r="B233" i="1"/>
  <c r="A233" i="1"/>
  <c r="C232" i="1"/>
  <c r="B232" i="1"/>
  <c r="A232" i="1"/>
  <c r="C231" i="1"/>
  <c r="B231" i="1"/>
  <c r="A231" i="1"/>
  <c r="C230" i="1"/>
  <c r="B230" i="1"/>
  <c r="A230" i="1"/>
  <c r="C229" i="1"/>
  <c r="B229" i="1"/>
  <c r="A229" i="1"/>
  <c r="C228" i="1"/>
  <c r="B228" i="1"/>
  <c r="A228" i="1"/>
  <c r="C227" i="1"/>
  <c r="B227" i="1"/>
  <c r="A227" i="1"/>
  <c r="C226" i="1"/>
  <c r="B226" i="1"/>
  <c r="A226" i="1"/>
  <c r="C225" i="1"/>
  <c r="B225" i="1"/>
  <c r="A225" i="1"/>
  <c r="C224" i="1"/>
  <c r="B224" i="1"/>
  <c r="A224" i="1"/>
  <c r="C223" i="1"/>
  <c r="B223" i="1"/>
  <c r="A223" i="1"/>
  <c r="C222" i="1"/>
  <c r="B222" i="1"/>
  <c r="A222" i="1"/>
  <c r="C221" i="1"/>
  <c r="B221" i="1"/>
  <c r="A221" i="1"/>
  <c r="C220" i="1"/>
  <c r="B220" i="1"/>
  <c r="A220" i="1"/>
  <c r="C219" i="1"/>
  <c r="B219" i="1"/>
  <c r="A219" i="1"/>
  <c r="C218" i="1"/>
  <c r="B218" i="1"/>
  <c r="A218" i="1"/>
  <c r="C217" i="1"/>
  <c r="B217" i="1"/>
  <c r="A217" i="1"/>
  <c r="C216" i="1"/>
  <c r="B216" i="1"/>
  <c r="A216" i="1"/>
  <c r="C215" i="1"/>
  <c r="B215" i="1"/>
  <c r="A215" i="1"/>
  <c r="C214" i="1"/>
  <c r="B214" i="1"/>
  <c r="A214" i="1"/>
  <c r="C213" i="1"/>
  <c r="B213" i="1"/>
  <c r="A213" i="1"/>
  <c r="C212" i="1"/>
  <c r="B212" i="1"/>
  <c r="A212" i="1"/>
  <c r="C211" i="1"/>
  <c r="B211" i="1"/>
  <c r="A211" i="1"/>
  <c r="C210" i="1"/>
  <c r="B210" i="1"/>
  <c r="A210" i="1"/>
  <c r="C209" i="1"/>
  <c r="B209" i="1"/>
  <c r="A209" i="1"/>
  <c r="C208" i="1"/>
  <c r="B208" i="1"/>
  <c r="A208" i="1"/>
  <c r="C207" i="1"/>
  <c r="B207" i="1"/>
  <c r="A207" i="1"/>
  <c r="C206" i="1"/>
  <c r="B206" i="1"/>
  <c r="A206" i="1"/>
  <c r="C205" i="1"/>
  <c r="B205" i="1"/>
  <c r="A205" i="1"/>
  <c r="C204" i="1"/>
  <c r="B204" i="1"/>
  <c r="A204" i="1"/>
  <c r="C203" i="1"/>
  <c r="B203" i="1"/>
  <c r="A203" i="1"/>
  <c r="C202" i="1"/>
  <c r="B202" i="1"/>
  <c r="A202" i="1"/>
  <c r="C201" i="1"/>
  <c r="B201" i="1"/>
  <c r="A201" i="1"/>
  <c r="C200" i="1"/>
  <c r="B200" i="1"/>
  <c r="A200" i="1"/>
  <c r="C199" i="1"/>
  <c r="B199" i="1"/>
  <c r="A199" i="1"/>
  <c r="C198" i="1"/>
  <c r="B198" i="1"/>
  <c r="A198" i="1"/>
  <c r="C197" i="1"/>
  <c r="B197" i="1"/>
  <c r="A197" i="1"/>
  <c r="C196" i="1"/>
  <c r="B196" i="1"/>
  <c r="A196" i="1"/>
  <c r="C195" i="1"/>
  <c r="B195" i="1"/>
  <c r="A195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2" i="1"/>
  <c r="B2" i="1"/>
  <c r="A2" i="1"/>
</calcChain>
</file>

<file path=xl/sharedStrings.xml><?xml version="1.0" encoding="utf-8"?>
<sst xmlns="http://schemas.openxmlformats.org/spreadsheetml/2006/main" count="36670" uniqueCount="925">
  <si>
    <t>Delivery ID</t>
  </si>
  <si>
    <t>Subscriber Phone</t>
  </si>
  <si>
    <t>Subscriber ID</t>
  </si>
  <si>
    <t>Name</t>
  </si>
  <si>
    <t>Start Date</t>
  </si>
  <si>
    <t>water_usage</t>
  </si>
  <si>
    <t>water_quality</t>
  </si>
  <si>
    <t>health_facility</t>
  </si>
  <si>
    <t>health_access</t>
  </si>
  <si>
    <t>disease</t>
  </si>
  <si>
    <t>completed_survey</t>
  </si>
  <si>
    <t>started_survey</t>
  </si>
  <si>
    <t>R1Q01</t>
  </si>
  <si>
    <t>R1Q02</t>
  </si>
  <si>
    <t>R1Q03</t>
  </si>
  <si>
    <t>R1Q04</t>
  </si>
  <si>
    <t>R1Q05</t>
  </si>
  <si>
    <t>R1Q06</t>
  </si>
  <si>
    <t>R1Q07</t>
  </si>
  <si>
    <t>R1Q08</t>
  </si>
  <si>
    <t>R1Q09</t>
  </si>
  <si>
    <t>R1Q10</t>
  </si>
  <si>
    <t>R1Q11</t>
  </si>
  <si>
    <t>R1Q12</t>
  </si>
  <si>
    <t>R1Q13</t>
  </si>
  <si>
    <t>r1_started_survey</t>
  </si>
  <si>
    <t>r1_intro</t>
  </si>
  <si>
    <t>r1_completed_survey</t>
  </si>
  <si>
    <t>State</t>
  </si>
  <si>
    <t>Locality</t>
  </si>
  <si>
    <t>Community</t>
  </si>
  <si>
    <t>Gender</t>
  </si>
  <si>
    <t>Age</t>
  </si>
  <si>
    <t>Message ID</t>
  </si>
  <si>
    <t>Message Title</t>
  </si>
  <si>
    <t>Survey ID</t>
  </si>
  <si>
    <t>Survey Title</t>
  </si>
  <si>
    <t>Poll ID</t>
  </si>
  <si>
    <t>Tree ID</t>
  </si>
  <si>
    <t>Tree Title</t>
  </si>
  <si>
    <t>Scheduled Date</t>
  </si>
  <si>
    <t>Scheduled Time</t>
  </si>
  <si>
    <t xml:space="preserve">Received Date </t>
  </si>
  <si>
    <t>Received Time</t>
  </si>
  <si>
    <t>Content Type</t>
  </si>
  <si>
    <t>Message Percentage Listened - Voice</t>
  </si>
  <si>
    <t>Call Status</t>
  </si>
  <si>
    <t>Hangup Cause</t>
  </si>
  <si>
    <t>Call Duration [s]</t>
  </si>
  <si>
    <t>Survey Questions - Answered</t>
  </si>
  <si>
    <t>Survey Questions - Total</t>
  </si>
  <si>
    <t>Language</t>
  </si>
  <si>
    <t>Call Attempts</t>
  </si>
  <si>
    <t>Message Repeated By Subscriber # Times</t>
  </si>
  <si>
    <t>Is Call Back for Past Call</t>
  </si>
  <si>
    <t>Airtime Topup Amount</t>
  </si>
  <si>
    <t>Outgoing Call Id</t>
  </si>
  <si>
    <t>Incoming Call Id</t>
  </si>
  <si>
    <t>Mujahid tester</t>
  </si>
  <si>
    <t>Resident of this area</t>
  </si>
  <si>
    <t>Yes</t>
  </si>
  <si>
    <t>Other</t>
  </si>
  <si>
    <t>Savings</t>
  </si>
  <si>
    <t>Increased</t>
  </si>
  <si>
    <t>New job or loan</t>
  </si>
  <si>
    <t>No</t>
  </si>
  <si>
    <t>Difficult</t>
  </si>
  <si>
    <t>NO</t>
  </si>
  <si>
    <t>Very Difficult</t>
  </si>
  <si>
    <t>No, there were not diseases this month</t>
  </si>
  <si>
    <t>14:48:00+02:00</t>
  </si>
  <si>
    <t>Voice</t>
  </si>
  <si>
    <t>Failed (No Answer)</t>
  </si>
  <si>
    <t>NORMAL_UNSPECIFIED</t>
  </si>
  <si>
    <t>14:54:00+02:00</t>
  </si>
  <si>
    <t>Failed (error)</t>
  </si>
  <si>
    <t>11:13:00+02:00</t>
  </si>
  <si>
    <t>11:14:27+02:00</t>
  </si>
  <si>
    <t>Finished (complete)</t>
  </si>
  <si>
    <t>Finished (incomplete)</t>
  </si>
  <si>
    <t>NORMAL_CLEARING</t>
  </si>
  <si>
    <t>Sudanese Arabic</t>
  </si>
  <si>
    <t>Taiba Ibrahim Abdalla Tester</t>
  </si>
  <si>
    <t>Agriculture or Farming</t>
  </si>
  <si>
    <t>Stayed the same</t>
  </si>
  <si>
    <t>Yes, if there is a water related disease</t>
  </si>
  <si>
    <t>13:20:00+02:00</t>
  </si>
  <si>
    <t>13:21:19+02:00</t>
  </si>
  <si>
    <t>Zainab Yagoub Ali Tester</t>
  </si>
  <si>
    <t>13:23:17+02:00</t>
  </si>
  <si>
    <t>Asha Abakar Omer</t>
  </si>
  <si>
    <t>Trading or vending</t>
  </si>
  <si>
    <t>Education</t>
  </si>
  <si>
    <t>Decreased</t>
  </si>
  <si>
    <t>Higher crop yield</t>
  </si>
  <si>
    <t>Rising costs</t>
  </si>
  <si>
    <t>13:21:36+02:00</t>
  </si>
  <si>
    <t>13:27:00+02:00</t>
  </si>
  <si>
    <t>13:28:50+02:00</t>
  </si>
  <si>
    <t>13:28:19+02:00</t>
  </si>
  <si>
    <t>13:30:40+02:00</t>
  </si>
  <si>
    <t>Repaying Debt</t>
  </si>
  <si>
    <t>Very Easy</t>
  </si>
  <si>
    <t>Easy</t>
  </si>
  <si>
    <t>STATE_008</t>
  </si>
  <si>
    <t>LOC_013</t>
  </si>
  <si>
    <t>COM_074</t>
  </si>
  <si>
    <t>GEN_3.133859511147554</t>
  </si>
  <si>
    <t>09:43:00+02:00</t>
  </si>
  <si>
    <t>09:44:23+02:00</t>
  </si>
  <si>
    <t>09:46:11+02:00</t>
  </si>
  <si>
    <t>Formal or informal employment</t>
  </si>
  <si>
    <t>Food</t>
  </si>
  <si>
    <t>09:44:17+02:00</t>
  </si>
  <si>
    <t>09:47:58+02:00</t>
  </si>
  <si>
    <t>SUBSCRIBER_ABSENT</t>
  </si>
  <si>
    <t>09:44:24+02:00</t>
  </si>
  <si>
    <t>09:44:21+02:00</t>
  </si>
  <si>
    <t>09:48:26+02:00</t>
  </si>
  <si>
    <t>Poor rains or water</t>
  </si>
  <si>
    <t>09:44:20+02:00</t>
  </si>
  <si>
    <t>09:44:26+02:00</t>
  </si>
  <si>
    <t>09:44:36+02:00</t>
  </si>
  <si>
    <t>N/A</t>
  </si>
  <si>
    <t>09:46:38+02:00</t>
  </si>
  <si>
    <t>09:44:25+02:00</t>
  </si>
  <si>
    <t>DESTINATION_OUT_OF_ORDER</t>
  </si>
  <si>
    <t>09:45:53+02:00</t>
  </si>
  <si>
    <t>09:44:38+02:00</t>
  </si>
  <si>
    <t>09:44:22+02:00</t>
  </si>
  <si>
    <t>09:45:38+02:00</t>
  </si>
  <si>
    <t>NO_ANSWER</t>
  </si>
  <si>
    <t>09:47:24+02:00</t>
  </si>
  <si>
    <t>IDP or an internally displaced person</t>
  </si>
  <si>
    <t>09:45:35+02:00</t>
  </si>
  <si>
    <t>09:45:42+02:00</t>
  </si>
  <si>
    <t>09:45:41+02:00</t>
  </si>
  <si>
    <t>09:45:57+02:00</t>
  </si>
  <si>
    <t>09:45:40+02:00</t>
  </si>
  <si>
    <t>UNKNOWN</t>
  </si>
  <si>
    <t>09:45:39+02:00</t>
  </si>
  <si>
    <t>LOC_010</t>
  </si>
  <si>
    <t>COM_025</t>
  </si>
  <si>
    <t>09:48:03+02:00</t>
  </si>
  <si>
    <t>GEN_1.242365192107026</t>
  </si>
  <si>
    <t>09:46:39+02:00</t>
  </si>
  <si>
    <t>09:46:50+02:00</t>
  </si>
  <si>
    <t>09:45:52+02:00</t>
  </si>
  <si>
    <t>Refugee</t>
  </si>
  <si>
    <t>09:46:44+02:00</t>
  </si>
  <si>
    <t>09:46:55+02:00</t>
  </si>
  <si>
    <t>LOC_003</t>
  </si>
  <si>
    <t>COM_070</t>
  </si>
  <si>
    <t>09:46:52+02:00</t>
  </si>
  <si>
    <t>09:46:53+02:00</t>
  </si>
  <si>
    <t>09:45:43+02:00</t>
  </si>
  <si>
    <t>09:46:56+02:00</t>
  </si>
  <si>
    <t>13:30:00+02:00</t>
  </si>
  <si>
    <t>13:30:16+02:00</t>
  </si>
  <si>
    <t>More customers</t>
  </si>
  <si>
    <t>Yes there is a disease but not related to water</t>
  </si>
  <si>
    <t>13:30:32+02:00</t>
  </si>
  <si>
    <t>13:30:28+02:00</t>
  </si>
  <si>
    <t>13:30:23+02:00</t>
  </si>
  <si>
    <t>13:30:30+02:00</t>
  </si>
  <si>
    <t>13:30:22+02:00</t>
  </si>
  <si>
    <t>13:30:21+02:00</t>
  </si>
  <si>
    <t>13:30:19+02:00</t>
  </si>
  <si>
    <t>13:32:25+02:00</t>
  </si>
  <si>
    <t>13:30:18+02:00</t>
  </si>
  <si>
    <t>13:32:23+02:00</t>
  </si>
  <si>
    <t>13:30:26+02:00</t>
  </si>
  <si>
    <t>13:31:29+02:00</t>
  </si>
  <si>
    <t>13:31:19+02:00</t>
  </si>
  <si>
    <t>13:31:27+02:00</t>
  </si>
  <si>
    <t>13:31:22+02:00</t>
  </si>
  <si>
    <t>13:31:31+02:00</t>
  </si>
  <si>
    <t>13:31:25+02:00</t>
  </si>
  <si>
    <t>13:31:33+02:00</t>
  </si>
  <si>
    <t>13:31:26+02:00</t>
  </si>
  <si>
    <t>13:31:24+02:00</t>
  </si>
  <si>
    <t>13:32:32+02:00</t>
  </si>
  <si>
    <t>13:32:34+02:00</t>
  </si>
  <si>
    <t>13:32:40+02:00</t>
  </si>
  <si>
    <t>N\A</t>
  </si>
  <si>
    <t>13:32:35+02:00</t>
  </si>
  <si>
    <t>13:33:02+02:00</t>
  </si>
  <si>
    <t>13:32:36+02:00</t>
  </si>
  <si>
    <t>13:32:39+02:00</t>
  </si>
  <si>
    <t>13:32:55+02:00</t>
  </si>
  <si>
    <t>STATE_010</t>
  </si>
  <si>
    <t>LOC_021</t>
  </si>
  <si>
    <t>COM_017</t>
  </si>
  <si>
    <t>13:34:14+02:00</t>
  </si>
  <si>
    <t>13:31:21+02:00</t>
  </si>
  <si>
    <t>15:52:00+02:00</t>
  </si>
  <si>
    <t>16:08:35+02:00</t>
  </si>
  <si>
    <t>16:10:12+02:00</t>
  </si>
  <si>
    <t>16:08:31+02:00</t>
  </si>
  <si>
    <t>16:09:54+02:00</t>
  </si>
  <si>
    <t>16:08:19+02:00</t>
  </si>
  <si>
    <t>16:10:05+02:00</t>
  </si>
  <si>
    <t>16:08:25+02:00</t>
  </si>
  <si>
    <t>16:08:23+02:00</t>
  </si>
  <si>
    <t>16:08:22+02:00</t>
  </si>
  <si>
    <t>16:08:26+02:00</t>
  </si>
  <si>
    <t>16:10:11+02:00</t>
  </si>
  <si>
    <t>16:11:41+02:00</t>
  </si>
  <si>
    <t>16:10:09+02:00</t>
  </si>
  <si>
    <t>16:09:35+02:00</t>
  </si>
  <si>
    <t>16:09:37+02:00</t>
  </si>
  <si>
    <t>16:11:08+02:00</t>
  </si>
  <si>
    <t>16:11:35+02:00</t>
  </si>
  <si>
    <t>16:09:40+02:00</t>
  </si>
  <si>
    <t>16:09:57+02:00</t>
  </si>
  <si>
    <t>16:09:34+02:00</t>
  </si>
  <si>
    <t>16:09:38+02:00</t>
  </si>
  <si>
    <t>16:11:39+02:00</t>
  </si>
  <si>
    <t>16:11:48+02:00</t>
  </si>
  <si>
    <t>16:09:43+02:00</t>
  </si>
  <si>
    <t>16:09:44+02:00</t>
  </si>
  <si>
    <t>16:11:14+02:00</t>
  </si>
  <si>
    <t>16:10:42+02:00</t>
  </si>
  <si>
    <t>16:11:01+02:00</t>
  </si>
  <si>
    <t>16:08:21+02:00</t>
  </si>
  <si>
    <t>16:08:37+02:00</t>
  </si>
  <si>
    <t>19:00:00+02:00</t>
  </si>
  <si>
    <t>19:00:23+02:00</t>
  </si>
  <si>
    <t>19:04:52+02:00</t>
  </si>
  <si>
    <t>19:00:19+02:00</t>
  </si>
  <si>
    <t>19:00:37+02:00</t>
  </si>
  <si>
    <t>19:00:27+02:00</t>
  </si>
  <si>
    <t>19:00:38+02:00</t>
  </si>
  <si>
    <t>19:00:30+02:00</t>
  </si>
  <si>
    <t>19:01:32+02:00</t>
  </si>
  <si>
    <t>19:01:37+02:00</t>
  </si>
  <si>
    <t>19:01:50+02:00</t>
  </si>
  <si>
    <t>19:01:40+02:00</t>
  </si>
  <si>
    <t>19:01:36+02:00</t>
  </si>
  <si>
    <t>19:03:17+02:00</t>
  </si>
  <si>
    <t>19:00:29+02:00</t>
  </si>
  <si>
    <t>19:01:44+02:00</t>
  </si>
  <si>
    <t>19:02:13+02:00</t>
  </si>
  <si>
    <t>19:01:34+02:00</t>
  </si>
  <si>
    <t>19:01:42+02:00</t>
  </si>
  <si>
    <t>19:01:33+02:00</t>
  </si>
  <si>
    <t>19:01:38+02:00</t>
  </si>
  <si>
    <t>19:01:31+02:00</t>
  </si>
  <si>
    <t>09:00:00+02:00</t>
  </si>
  <si>
    <t>09:00:21+02:00</t>
  </si>
  <si>
    <t>09:00:20+02:00</t>
  </si>
  <si>
    <t>09:00:23+02:00</t>
  </si>
  <si>
    <t>09:00:25+02:00</t>
  </si>
  <si>
    <t>09:00:29+02:00</t>
  </si>
  <si>
    <t>09:00:47+02:00</t>
  </si>
  <si>
    <t>09:00:35+02:00</t>
  </si>
  <si>
    <t>USER_BUSY</t>
  </si>
  <si>
    <t>09:02:57+02:00</t>
  </si>
  <si>
    <t>COM_030</t>
  </si>
  <si>
    <t>09:00:22+02:00</t>
  </si>
  <si>
    <t>09:00:32+02:00</t>
  </si>
  <si>
    <t>09:01:41+02:00</t>
  </si>
  <si>
    <t>09:00:30+02:00</t>
  </si>
  <si>
    <t>09:01:34+02:00</t>
  </si>
  <si>
    <t>09:01:48+02:00</t>
  </si>
  <si>
    <t>09:01:29+02:00</t>
  </si>
  <si>
    <t>09:01:32+02:00</t>
  </si>
  <si>
    <t>09:03:31+02:00</t>
  </si>
  <si>
    <t>09:01:42+02:00</t>
  </si>
  <si>
    <t>09:01:44+02:00</t>
  </si>
  <si>
    <t>09:01:31+02:00</t>
  </si>
  <si>
    <t>09:00:33+02:00</t>
  </si>
  <si>
    <t>09:02:07+02:00</t>
  </si>
  <si>
    <t>09:01:35+02:00</t>
  </si>
  <si>
    <t>LOC_008</t>
  </si>
  <si>
    <t>COM_083</t>
  </si>
  <si>
    <t>STATE_006</t>
  </si>
  <si>
    <t>LOC_031</t>
  </si>
  <si>
    <t>COM_112</t>
  </si>
  <si>
    <t>09:02:52+02:00</t>
  </si>
  <si>
    <t>COM_094</t>
  </si>
  <si>
    <t>COM_095</t>
  </si>
  <si>
    <t>COM_096</t>
  </si>
  <si>
    <t>COM_097</t>
  </si>
  <si>
    <t>COM_098</t>
  </si>
  <si>
    <t>COM_099</t>
  </si>
  <si>
    <t>COM_100</t>
  </si>
  <si>
    <t>COM_102</t>
  </si>
  <si>
    <t>COM_101</t>
  </si>
  <si>
    <t>COM_103</t>
  </si>
  <si>
    <t>COM_104</t>
  </si>
  <si>
    <t>COM_105</t>
  </si>
  <si>
    <t>COM_106</t>
  </si>
  <si>
    <t>COM_107</t>
  </si>
  <si>
    <t>COM_109</t>
  </si>
  <si>
    <t>COM_108</t>
  </si>
  <si>
    <t>COM_111</t>
  </si>
  <si>
    <t>COM_110</t>
  </si>
  <si>
    <t>LOC_024</t>
  </si>
  <si>
    <t>COM_069</t>
  </si>
  <si>
    <t>09:01:30+02:00</t>
  </si>
  <si>
    <t>13:00:00+02:00</t>
  </si>
  <si>
    <t>13:00:20+02:00</t>
  </si>
  <si>
    <t>13:00:28+02:00</t>
  </si>
  <si>
    <t>13:00:31+02:00</t>
  </si>
  <si>
    <t>13:00:22+02:00</t>
  </si>
  <si>
    <t>13:00:19+02:00</t>
  </si>
  <si>
    <t>13:00:42+02:00</t>
  </si>
  <si>
    <t>13:00:29+02:00</t>
  </si>
  <si>
    <t>13:00:25+02:00</t>
  </si>
  <si>
    <t>13:00:50+02:00</t>
  </si>
  <si>
    <t>LOC_020</t>
  </si>
  <si>
    <t>COM_061</t>
  </si>
  <si>
    <t>NA</t>
  </si>
  <si>
    <t>13:00:14+02:00</t>
  </si>
  <si>
    <t>13:00:26+02:00</t>
  </si>
  <si>
    <t>13:00:16+02:00</t>
  </si>
  <si>
    <t>13:02:38+02:00</t>
  </si>
  <si>
    <t>13:00:47+02:00</t>
  </si>
  <si>
    <t>13:00:13+02:00</t>
  </si>
  <si>
    <t>13:01:08+02:00</t>
  </si>
  <si>
    <t>13:02:57+02:00</t>
  </si>
  <si>
    <t>COM_054</t>
  </si>
  <si>
    <t>13:01:07+02:00</t>
  </si>
  <si>
    <t>13:01:03+02:00</t>
  </si>
  <si>
    <t>13:01:13+02:00</t>
  </si>
  <si>
    <t>13:01:14+02:00</t>
  </si>
  <si>
    <t>13:01:11+02:00</t>
  </si>
  <si>
    <t>13:01:02+02:00</t>
  </si>
  <si>
    <t>COM_076</t>
  </si>
  <si>
    <t>13:01:49+02:00</t>
  </si>
  <si>
    <t>COM_022</t>
  </si>
  <si>
    <t>13:03:21+02:00</t>
  </si>
  <si>
    <t>13:01:43+02:00</t>
  </si>
  <si>
    <t>BEARERCAPABILITY_NOTAUTH</t>
  </si>
  <si>
    <t>COM_081</t>
  </si>
  <si>
    <t>UNALLOCATED_NUMBER</t>
  </si>
  <si>
    <t>13:01:52+02:00</t>
  </si>
  <si>
    <t>13:01:48+02:00</t>
  </si>
  <si>
    <t>13:01:55+02:00</t>
  </si>
  <si>
    <t>13:02:01+02:00</t>
  </si>
  <si>
    <t>13:02:04+02:00</t>
  </si>
  <si>
    <t>13:02:28+02:00</t>
  </si>
  <si>
    <t>13:02:27+02:00</t>
  </si>
  <si>
    <t>STATE_005</t>
  </si>
  <si>
    <t>LOC_018</t>
  </si>
  <si>
    <t>COM_091</t>
  </si>
  <si>
    <t>13:03:01+02:00</t>
  </si>
  <si>
    <t>13:02:59+02:00</t>
  </si>
  <si>
    <t>13:03:24+02:00</t>
  </si>
  <si>
    <t>13:03:09+02:00</t>
  </si>
  <si>
    <t>13:03:03+02:00</t>
  </si>
  <si>
    <t>13:03:19+02:00</t>
  </si>
  <si>
    <t>13:03:12+02:00</t>
  </si>
  <si>
    <t>13:03:14+02:00</t>
  </si>
  <si>
    <t>13:03:18+02:00</t>
  </si>
  <si>
    <t>13:03:30+02:00</t>
  </si>
  <si>
    <t>LOC_016</t>
  </si>
  <si>
    <t>COM_113</t>
  </si>
  <si>
    <t>13:05:07+02:00</t>
  </si>
  <si>
    <t>13:05:56+02:00</t>
  </si>
  <si>
    <t>COM_014</t>
  </si>
  <si>
    <t>13:05:39+02:00</t>
  </si>
  <si>
    <t>13:03:58+02:00</t>
  </si>
  <si>
    <t>13:04:23+02:00</t>
  </si>
  <si>
    <t>13:04:19+02:00</t>
  </si>
  <si>
    <t>STATE_007</t>
  </si>
  <si>
    <t>LOC_030</t>
  </si>
  <si>
    <t>COM_087</t>
  </si>
  <si>
    <t>13:06:06+02:00</t>
  </si>
  <si>
    <t>13:04:24+02:00</t>
  </si>
  <si>
    <t>19:00:13+02:00</t>
  </si>
  <si>
    <t>LOC_015</t>
  </si>
  <si>
    <t>COM_089</t>
  </si>
  <si>
    <t>19:00:22+02:00</t>
  </si>
  <si>
    <t>COM_007</t>
  </si>
  <si>
    <t>19:04:22+02:00</t>
  </si>
  <si>
    <t>19:04:37+02:00</t>
  </si>
  <si>
    <t>19:00:24+02:00</t>
  </si>
  <si>
    <t>19:00:26+02:00</t>
  </si>
  <si>
    <t>19:00:16+02:00</t>
  </si>
  <si>
    <t>19:00:18+02:00</t>
  </si>
  <si>
    <t>19:00:15+02:00</t>
  </si>
  <si>
    <t>LOC_028</t>
  </si>
  <si>
    <t>COM_040</t>
  </si>
  <si>
    <t>19:01:52+02:00</t>
  </si>
  <si>
    <t>COM_013</t>
  </si>
  <si>
    <t>19:00:31+02:00</t>
  </si>
  <si>
    <t>COM_009</t>
  </si>
  <si>
    <t>19:02:56+02:00</t>
  </si>
  <si>
    <t>19:00:32+02:00</t>
  </si>
  <si>
    <t>19:01:00+02:00</t>
  </si>
  <si>
    <t>COM_011</t>
  </si>
  <si>
    <t>INVALID_NUMBER_FORMAT</t>
  </si>
  <si>
    <t>19:00:25+02:00</t>
  </si>
  <si>
    <t>19:03:03+02:00</t>
  </si>
  <si>
    <t>19:00:33+02:00</t>
  </si>
  <si>
    <t>19:00:55+02:00</t>
  </si>
  <si>
    <t>19:00:46+02:00</t>
  </si>
  <si>
    <t>19:03:00+02:00</t>
  </si>
  <si>
    <t>19:00:59+02:00</t>
  </si>
  <si>
    <t>COM_048</t>
  </si>
  <si>
    <t>19:03:01+02:00</t>
  </si>
  <si>
    <t>19:01:01+02:00</t>
  </si>
  <si>
    <t>19:01:15+02:00</t>
  </si>
  <si>
    <t>19:03:05+02:00</t>
  </si>
  <si>
    <t>Returnee</t>
  </si>
  <si>
    <t>19:01:12+02:00</t>
  </si>
  <si>
    <t>19:01:14+02:00</t>
  </si>
  <si>
    <t>COM_008</t>
  </si>
  <si>
    <t>COM_010</t>
  </si>
  <si>
    <t>19:01:23+02:00</t>
  </si>
  <si>
    <t>INTERWORKING</t>
  </si>
  <si>
    <t>19:01:16+02:00</t>
  </si>
  <si>
    <t>19:03:27+02:00</t>
  </si>
  <si>
    <t>19:03:43+02:00</t>
  </si>
  <si>
    <t>19:01:54+02:00</t>
  </si>
  <si>
    <t>19:03:47+02:00</t>
  </si>
  <si>
    <t>19:02:22+02:00</t>
  </si>
  <si>
    <t>19:02:16+02:00</t>
  </si>
  <si>
    <t>19:02:15+02:00</t>
  </si>
  <si>
    <t>19:03:52+02:00</t>
  </si>
  <si>
    <t>19:05:46+02:00</t>
  </si>
  <si>
    <t>19:03:39+02:00</t>
  </si>
  <si>
    <t>19:04:19+02:00</t>
  </si>
  <si>
    <t>19:04:29+02:00</t>
  </si>
  <si>
    <t>19:04:44+02:00</t>
  </si>
  <si>
    <t>19:04:40+02:00</t>
  </si>
  <si>
    <t>19:05:13+02:00</t>
  </si>
  <si>
    <t>19:05:15+02:00</t>
  </si>
  <si>
    <t>LOC_032</t>
  </si>
  <si>
    <t>COM_117</t>
  </si>
  <si>
    <t>19:05:04+02:00</t>
  </si>
  <si>
    <t>19:06:22+02:00</t>
  </si>
  <si>
    <t>19:07:15+02:00</t>
  </si>
  <si>
    <t>COM_078</t>
  </si>
  <si>
    <t>19:05:06+02:00</t>
  </si>
  <si>
    <t>CALL_REJECTED</t>
  </si>
  <si>
    <t>COM_118</t>
  </si>
  <si>
    <t>COM_015</t>
  </si>
  <si>
    <t>COM_020</t>
  </si>
  <si>
    <t>LOC_005</t>
  </si>
  <si>
    <t>COM_028</t>
  </si>
  <si>
    <t>COM_016</t>
  </si>
  <si>
    <t>09:02:31+02:00</t>
  </si>
  <si>
    <t>09:02:35+02:00</t>
  </si>
  <si>
    <t>COM_004</t>
  </si>
  <si>
    <t>COM_116</t>
  </si>
  <si>
    <t>COM_057</t>
  </si>
  <si>
    <t>STATE_009</t>
  </si>
  <si>
    <t>LOC_029</t>
  </si>
  <si>
    <t>COM_024</t>
  </si>
  <si>
    <t>COM_026</t>
  </si>
  <si>
    <t>COM_050</t>
  </si>
  <si>
    <t>COM_049</t>
  </si>
  <si>
    <t>COM_031</t>
  </si>
  <si>
    <t>09:00:27+02:00</t>
  </si>
  <si>
    <t>COM_046</t>
  </si>
  <si>
    <t>COM_035</t>
  </si>
  <si>
    <t>COM_068</t>
  </si>
  <si>
    <t>09:00:34+02:00</t>
  </si>
  <si>
    <t>STATE_004</t>
  </si>
  <si>
    <t>LOC_007</t>
  </si>
  <si>
    <t>COM_027</t>
  </si>
  <si>
    <t>Insecurity or low demand</t>
  </si>
  <si>
    <t>09:02:58+02:00</t>
  </si>
  <si>
    <t>LOC_009</t>
  </si>
  <si>
    <t>COM_092</t>
  </si>
  <si>
    <t>09:00:24+02:00</t>
  </si>
  <si>
    <t>09:00:54+02:00</t>
  </si>
  <si>
    <t>COM_018</t>
  </si>
  <si>
    <t>09:00:52+02:00</t>
  </si>
  <si>
    <t>COM_059</t>
  </si>
  <si>
    <t>09:00:37+02:00</t>
  </si>
  <si>
    <t>12:08:37+02:00</t>
  </si>
  <si>
    <t>COM_065</t>
  </si>
  <si>
    <t>COM_038</t>
  </si>
  <si>
    <t>09:00:50+02:00</t>
  </si>
  <si>
    <t>09:02:53+02:00</t>
  </si>
  <si>
    <t>COM_079</t>
  </si>
  <si>
    <t>BEARERCAPABILITY_NOTAVAIL</t>
  </si>
  <si>
    <t>COM_032</t>
  </si>
  <si>
    <t>09:00:58+02:00</t>
  </si>
  <si>
    <t>09:30:00+02:00</t>
  </si>
  <si>
    <t>09:30:45+02:00</t>
  </si>
  <si>
    <t>12:34:20+02:00</t>
  </si>
  <si>
    <t>12:38:11+02:00</t>
  </si>
  <si>
    <t>COM_019</t>
  </si>
  <si>
    <t>09:30:42+02:00</t>
  </si>
  <si>
    <t>12:33:24+02:00</t>
  </si>
  <si>
    <t>09:35:23+02:00</t>
  </si>
  <si>
    <t>COM_077</t>
  </si>
  <si>
    <t>09:30:23+02:00</t>
  </si>
  <si>
    <t>09:31:03+02:00</t>
  </si>
  <si>
    <t>09:30:16+02:00</t>
  </si>
  <si>
    <t>12:33:26+02:00</t>
  </si>
  <si>
    <t>COM_033</t>
  </si>
  <si>
    <t>09:30:22+02:00</t>
  </si>
  <si>
    <t>COM_029</t>
  </si>
  <si>
    <t>09:31:28+02:00</t>
  </si>
  <si>
    <t>09:30:32+02:00</t>
  </si>
  <si>
    <t>LOC_026</t>
  </si>
  <si>
    <t>COM_052</t>
  </si>
  <si>
    <t>GEN_5.253370332742474</t>
  </si>
  <si>
    <t>COM_044</t>
  </si>
  <si>
    <t>09:30:24+02:00</t>
  </si>
  <si>
    <t>LOC_025</t>
  </si>
  <si>
    <t>COM_012</t>
  </si>
  <si>
    <t>COM_080</t>
  </si>
  <si>
    <t>COM_003</t>
  </si>
  <si>
    <t>COM_037</t>
  </si>
  <si>
    <t>COM_047</t>
  </si>
  <si>
    <t>COM_119</t>
  </si>
  <si>
    <t>COM_034</t>
  </si>
  <si>
    <t>COM_023</t>
  </si>
  <si>
    <t>COM_021</t>
  </si>
  <si>
    <t>09:30:40+02:00</t>
  </si>
  <si>
    <t>LOC_027</t>
  </si>
  <si>
    <t>COM_036</t>
  </si>
  <si>
    <t>COM_056</t>
  </si>
  <si>
    <t>COM_086</t>
  </si>
  <si>
    <t>COM_067</t>
  </si>
  <si>
    <t>COM_060</t>
  </si>
  <si>
    <t>16:03:20+02:00</t>
  </si>
  <si>
    <t>LOC_022</t>
  </si>
  <si>
    <t>13:00:24+02:00</t>
  </si>
  <si>
    <t>COM_075</t>
  </si>
  <si>
    <t>COM_085</t>
  </si>
  <si>
    <t>COM_082</t>
  </si>
  <si>
    <t>Not Specified</t>
  </si>
  <si>
    <t>COM_002</t>
  </si>
  <si>
    <t>COM_088</t>
  </si>
  <si>
    <t>COM_043</t>
  </si>
  <si>
    <t>13:00:33+02:00</t>
  </si>
  <si>
    <t>COM_063</t>
  </si>
  <si>
    <t>COM_071</t>
  </si>
  <si>
    <t>COM_042</t>
  </si>
  <si>
    <t>13:01:06+02:00</t>
  </si>
  <si>
    <t>COM_041</t>
  </si>
  <si>
    <t>13:02:14+02:00</t>
  </si>
  <si>
    <t>COM_066</t>
  </si>
  <si>
    <t>19:11:40+02:00</t>
  </si>
  <si>
    <t>16:05:37+02:00</t>
  </si>
  <si>
    <t>13:05:12+02:00</t>
  </si>
  <si>
    <t>COM_072</t>
  </si>
  <si>
    <t>13:30:50+02:00</t>
  </si>
  <si>
    <t>COM_053</t>
  </si>
  <si>
    <t>13:30:59+02:00</t>
  </si>
  <si>
    <t>13:31:04+02:00</t>
  </si>
  <si>
    <t>08:00:20+02:00</t>
  </si>
  <si>
    <t>19:00:47+02:00</t>
  </si>
  <si>
    <t>19:30:00+02:00</t>
  </si>
  <si>
    <t>19:30:26+02:00</t>
  </si>
  <si>
    <t>19:30:34+02:00</t>
  </si>
  <si>
    <t>19:30:22+02:00</t>
  </si>
  <si>
    <t>19:30:14+02:00</t>
  </si>
  <si>
    <t>19:30:20+02:00</t>
  </si>
  <si>
    <t>08:00:44+02:00</t>
  </si>
  <si>
    <t>19:32:22+02:00</t>
  </si>
  <si>
    <t>08:00:21+02:00</t>
  </si>
  <si>
    <t>19:30:16+02:00</t>
  </si>
  <si>
    <t>19:30:33+02:00</t>
  </si>
  <si>
    <t>08:00:29+02:00</t>
  </si>
  <si>
    <t>19:34:20+02:00</t>
  </si>
  <si>
    <t>19:32:58+02:00</t>
  </si>
  <si>
    <t>19:30:28+02:00</t>
  </si>
  <si>
    <t>08:00:56+02:00</t>
  </si>
  <si>
    <t>19:30:25+02:00</t>
  </si>
  <si>
    <t>19:30:44+02:00</t>
  </si>
  <si>
    <t>19:30:24+02:00</t>
  </si>
  <si>
    <t>08:04:25+02:00</t>
  </si>
  <si>
    <t>19:30:23+02:00</t>
  </si>
  <si>
    <t>19:30:31+02:00</t>
  </si>
  <si>
    <t>19:31:08+02:00</t>
  </si>
  <si>
    <t>11:04:31+02:00</t>
  </si>
  <si>
    <t>19:30:58+02:00</t>
  </si>
  <si>
    <t>08:00:34+02:00</t>
  </si>
  <si>
    <t>19:32:48+02:00</t>
  </si>
  <si>
    <t>19:31:01+02:00</t>
  </si>
  <si>
    <t>08:04:34+02:00</t>
  </si>
  <si>
    <t>08:00:28+02:00</t>
  </si>
  <si>
    <t>19:32:18+02:00</t>
  </si>
  <si>
    <t>19:31:06+02:00</t>
  </si>
  <si>
    <t>19:32:27+02:00</t>
  </si>
  <si>
    <t>19:31:45+02:00</t>
  </si>
  <si>
    <t>19:31:18+02:00</t>
  </si>
  <si>
    <t>19:31:43+02:00</t>
  </si>
  <si>
    <t>19:31:15+02:00</t>
  </si>
  <si>
    <t>14:00:00+02:00</t>
  </si>
  <si>
    <t>14:00:38+02:00</t>
  </si>
  <si>
    <t>CALL_DIED</t>
  </si>
  <si>
    <t>20:09:20+02:00</t>
  </si>
  <si>
    <t>16:00:00+02:00</t>
  </si>
  <si>
    <t>16:00:38+02:00</t>
  </si>
  <si>
    <t>16:00:32+02:00</t>
  </si>
  <si>
    <t>19:04:16+02:00</t>
  </si>
  <si>
    <t>16:00:28+02:00</t>
  </si>
  <si>
    <t>16:00:25+02:00</t>
  </si>
  <si>
    <t>16:00:18+02:00</t>
  </si>
  <si>
    <t>16:00:41+02:00</t>
  </si>
  <si>
    <t>16:04:55+02:00</t>
  </si>
  <si>
    <t>NETWORK_OUT_OF_ORDER</t>
  </si>
  <si>
    <t>16:02:23+02:00</t>
  </si>
  <si>
    <t>16:00:46+02:00</t>
  </si>
  <si>
    <t>16:00:48+02:00</t>
  </si>
  <si>
    <t>16:00:35+02:00</t>
  </si>
  <si>
    <t>16:00:19+02:00</t>
  </si>
  <si>
    <t>16:00:22+02:00</t>
  </si>
  <si>
    <t>16:04:54+02:00</t>
  </si>
  <si>
    <t>COM_073</t>
  </si>
  <si>
    <t>COM_084</t>
  </si>
  <si>
    <t>16:04:17+02:00</t>
  </si>
  <si>
    <t>16:00:55+02:00</t>
  </si>
  <si>
    <t>16:00:34+02:00</t>
  </si>
  <si>
    <t>16:00:40+02:00</t>
  </si>
  <si>
    <t>08:00:43+02:00</t>
  </si>
  <si>
    <t>16:01:05+02:00</t>
  </si>
  <si>
    <t>16:02:09+02:00</t>
  </si>
  <si>
    <t>16:00:49+02:00</t>
  </si>
  <si>
    <t>16:04:45+02:00</t>
  </si>
  <si>
    <t>19:06:10+02:00</t>
  </si>
  <si>
    <t>16:01:10+02:00</t>
  </si>
  <si>
    <t>16:01:04+02:00</t>
  </si>
  <si>
    <t>16:01:18+02:00</t>
  </si>
  <si>
    <t>16:01:24+02:00</t>
  </si>
  <si>
    <t>16:01:46+02:00</t>
  </si>
  <si>
    <t>16:01:41+02:00</t>
  </si>
  <si>
    <t>19:03:50+02:00</t>
  </si>
  <si>
    <t>16:02:13+02:00</t>
  </si>
  <si>
    <t>19:11:20+02:00</t>
  </si>
  <si>
    <t>19:00:41+02:00</t>
  </si>
  <si>
    <t>19:00:43+02:00</t>
  </si>
  <si>
    <t>19:02:23+02:00</t>
  </si>
  <si>
    <t>19:00:28+02:00</t>
  </si>
  <si>
    <t>19:00:36+02:00</t>
  </si>
  <si>
    <t>19:03:56+02:00</t>
  </si>
  <si>
    <t>19:00:54+02:00</t>
  </si>
  <si>
    <t>08:04:21+02:00</t>
  </si>
  <si>
    <t>19:04:33+02:00</t>
  </si>
  <si>
    <t>08:00:30+02:00</t>
  </si>
  <si>
    <t>08:00:24+02:00</t>
  </si>
  <si>
    <t>19:04:25+02:00</t>
  </si>
  <si>
    <t>19:01:45+02:00</t>
  </si>
  <si>
    <t>11:06:23+02:00</t>
  </si>
  <si>
    <t>19:00:42+02:00</t>
  </si>
  <si>
    <t>19:00:52+02:00</t>
  </si>
  <si>
    <t>19:02:58+02:00</t>
  </si>
  <si>
    <t>19:01:11+02:00</t>
  </si>
  <si>
    <t>19:04:47+02:00</t>
  </si>
  <si>
    <t>19:01:20+02:00</t>
  </si>
  <si>
    <t>19:02:01+02:00</t>
  </si>
  <si>
    <t>19:02:05+02:00</t>
  </si>
  <si>
    <t>19:01:58+02:00</t>
  </si>
  <si>
    <t>19:02:06+02:00</t>
  </si>
  <si>
    <t>19:02:24+02:00</t>
  </si>
  <si>
    <t>19:02:00+02:00</t>
  </si>
  <si>
    <t>08:00:52+02:00</t>
  </si>
  <si>
    <t>19:02:04+02:00</t>
  </si>
  <si>
    <t>09:00:28+02:00</t>
  </si>
  <si>
    <t>09:00:26+02:00</t>
  </si>
  <si>
    <t>09:01:50+02:00</t>
  </si>
  <si>
    <t>15:09:10+02:00</t>
  </si>
  <si>
    <t>09:02:41+02:00</t>
  </si>
  <si>
    <t>12:05:34+02:00</t>
  </si>
  <si>
    <t>09:04:30+02:00</t>
  </si>
  <si>
    <t>09:00:39+02:00</t>
  </si>
  <si>
    <t>09:00:18+02:00</t>
  </si>
  <si>
    <t>09:00:17+02:00</t>
  </si>
  <si>
    <t>09:01:01+02:00</t>
  </si>
  <si>
    <t>09:00:44+02:00</t>
  </si>
  <si>
    <t>09:00:51+02:00</t>
  </si>
  <si>
    <t>12:05:41+02:00</t>
  </si>
  <si>
    <t>09:00:45+02:00</t>
  </si>
  <si>
    <t>09:01:02+02:00</t>
  </si>
  <si>
    <t>09:04:16+02:00</t>
  </si>
  <si>
    <t>09:01:00+02:00</t>
  </si>
  <si>
    <t>09:02:22+02:00</t>
  </si>
  <si>
    <t>09:01:12+02:00</t>
  </si>
  <si>
    <t>09:01:05+02:00</t>
  </si>
  <si>
    <t>09:01:19+02:00</t>
  </si>
  <si>
    <t>09:01:36+02:00</t>
  </si>
  <si>
    <t>09:01:23+02:00</t>
  </si>
  <si>
    <t>09:03:23+02:00</t>
  </si>
  <si>
    <t>09:01:33+02:00</t>
  </si>
  <si>
    <t>09:04:40+02:00</t>
  </si>
  <si>
    <t>15:12:21+02:00</t>
  </si>
  <si>
    <t>12:06:30+02:00</t>
  </si>
  <si>
    <t>15:07:12+02:00</t>
  </si>
  <si>
    <t>09:03:28+02:00</t>
  </si>
  <si>
    <t>09:02:54+02:00</t>
  </si>
  <si>
    <t>09:04:00+02:00</t>
  </si>
  <si>
    <t>09:02:01+02:00</t>
  </si>
  <si>
    <t>09:02:02+02:00</t>
  </si>
  <si>
    <t>12:07:23+02:00</t>
  </si>
  <si>
    <t>09:02:26+02:00</t>
  </si>
  <si>
    <t>09:02:44+02:00</t>
  </si>
  <si>
    <t>09:03:35+02:00</t>
  </si>
  <si>
    <t>15:09:30+02:00</t>
  </si>
  <si>
    <t>12:08:17+02:00</t>
  </si>
  <si>
    <t>09:02:47+02:00</t>
  </si>
  <si>
    <t>13:00:23+02:00</t>
  </si>
  <si>
    <t>13:00:32+02:00</t>
  </si>
  <si>
    <t>13:00:39+02:00</t>
  </si>
  <si>
    <t>13:00:30+02:00</t>
  </si>
  <si>
    <t>13:00:37+02:00</t>
  </si>
  <si>
    <t>13:02:23+02:00</t>
  </si>
  <si>
    <t>13:04:41+02:00</t>
  </si>
  <si>
    <t>16:05:31+02:00</t>
  </si>
  <si>
    <t>13:02:39+02:00</t>
  </si>
  <si>
    <t>16:03:10+02:00</t>
  </si>
  <si>
    <t>16:05:27+02:00</t>
  </si>
  <si>
    <t>13:00:21+02:00</t>
  </si>
  <si>
    <t>13:02:45+02:00</t>
  </si>
  <si>
    <t>19:09:17+02:00</t>
  </si>
  <si>
    <t>13:00:34+02:00</t>
  </si>
  <si>
    <t>13:01:51+02:00</t>
  </si>
  <si>
    <t>13:02:47+02:00</t>
  </si>
  <si>
    <t>13:00:48+02:00</t>
  </si>
  <si>
    <t>13:00:58+02:00</t>
  </si>
  <si>
    <t>13:05:00+02:00</t>
  </si>
  <si>
    <t>16:06:15+02:00</t>
  </si>
  <si>
    <t>13:01:21+02:00</t>
  </si>
  <si>
    <t>13:01:32+02:00</t>
  </si>
  <si>
    <t>13:02:08+02:00</t>
  </si>
  <si>
    <t>13:01:41+02:00</t>
  </si>
  <si>
    <t>13:01:45+02:00</t>
  </si>
  <si>
    <t>16:05:55+02:00</t>
  </si>
  <si>
    <t>13:04:00+02:00</t>
  </si>
  <si>
    <t>13:04:02+02:00</t>
  </si>
  <si>
    <t>13:02:11+02:00</t>
  </si>
  <si>
    <t>13:02:25+02:00</t>
  </si>
  <si>
    <t>16:07:36+02:00</t>
  </si>
  <si>
    <t>13:02:30+02:00</t>
  </si>
  <si>
    <t>19:00:40+02:00</t>
  </si>
  <si>
    <t>11:07:18+02:00</t>
  </si>
  <si>
    <t>19:00:34+02:00</t>
  </si>
  <si>
    <t>19:00:49+02:00</t>
  </si>
  <si>
    <t>08:02:47+02:00</t>
  </si>
  <si>
    <t>19:01:27+02:00</t>
  </si>
  <si>
    <t>19:00:58+02:00</t>
  </si>
  <si>
    <t>11:03:02+02:00</t>
  </si>
  <si>
    <t>19:01:22+02:00</t>
  </si>
  <si>
    <t>08:00:22+02:00</t>
  </si>
  <si>
    <t>19:03:24+02:00</t>
  </si>
  <si>
    <t>19:01:30+02:00</t>
  </si>
  <si>
    <t>19:03:23+02:00</t>
  </si>
  <si>
    <t>19:01:49+02:00</t>
  </si>
  <si>
    <t>19:01:41+02:00</t>
  </si>
  <si>
    <t>19:01:55+02:00</t>
  </si>
  <si>
    <t>19:04:18+02:00</t>
  </si>
  <si>
    <t>08:00:27+02:00</t>
  </si>
  <si>
    <t>19:02:20+02:00</t>
  </si>
  <si>
    <t>08:00:38+02:00</t>
  </si>
  <si>
    <t>19:04:02+02:00</t>
  </si>
  <si>
    <t>19:02:42+02:00</t>
  </si>
  <si>
    <t>19:02:39+02:00</t>
  </si>
  <si>
    <t>19:02:40+02:00</t>
  </si>
  <si>
    <t>19:03:06+02:00</t>
  </si>
  <si>
    <t>19:02:47+02:00</t>
  </si>
  <si>
    <t>08:03:16+02:00</t>
  </si>
  <si>
    <t>19:02:53+02:00</t>
  </si>
  <si>
    <t>19:03:08+02:00</t>
  </si>
  <si>
    <t>19:05:32+02:00</t>
  </si>
  <si>
    <t>19:03:18+02:00</t>
  </si>
  <si>
    <t>19:03:48+02:00</t>
  </si>
  <si>
    <t>19:03:44+02:00</t>
  </si>
  <si>
    <t>19:05:37+02:00</t>
  </si>
  <si>
    <t>19:04:14+02:00</t>
  </si>
  <si>
    <t>19:04:21+02:00</t>
  </si>
  <si>
    <t>19:04:20+02:00</t>
  </si>
  <si>
    <t>19:04:17+02:00</t>
  </si>
  <si>
    <t>08:00:16+02:00</t>
  </si>
  <si>
    <t>19:04:35+02:00</t>
  </si>
  <si>
    <t>11:07:08+02:00</t>
  </si>
  <si>
    <t>19:04:46+02:00</t>
  </si>
  <si>
    <t>08:01:58+02:00</t>
  </si>
  <si>
    <t>19:06:34+02:00</t>
  </si>
  <si>
    <t>08:00:37+02:00</t>
  </si>
  <si>
    <t>19:04:48+02:00</t>
  </si>
  <si>
    <t>11:03:08+02:00</t>
  </si>
  <si>
    <t>19:05:05+02:00</t>
  </si>
  <si>
    <t>08:00:35+02:00</t>
  </si>
  <si>
    <t>19:05:11+02:00</t>
  </si>
  <si>
    <t>08:00:14+02:00</t>
  </si>
  <si>
    <t>19:05:25+02:00</t>
  </si>
  <si>
    <t>19:05:02+02:00</t>
  </si>
  <si>
    <t>19:05:21+02:00</t>
  </si>
  <si>
    <t>12:05:42+02:00</t>
  </si>
  <si>
    <t>09:00:46+02:00</t>
  </si>
  <si>
    <t>09:02:23+02:00</t>
  </si>
  <si>
    <t>09:00:38+02:00</t>
  </si>
  <si>
    <t>09:01:13+02:00</t>
  </si>
  <si>
    <t>09:00:48+02:00</t>
  </si>
  <si>
    <t>15:06:28+02:00</t>
  </si>
  <si>
    <t>15:08:20+02:00</t>
  </si>
  <si>
    <t>09:00:49+02:00</t>
  </si>
  <si>
    <t>12:03:16+02:00</t>
  </si>
  <si>
    <t>09:02:24+02:00</t>
  </si>
  <si>
    <t>09:03:56+02:00</t>
  </si>
  <si>
    <t>09:03:11+02:00</t>
  </si>
  <si>
    <t>15:11:14+02:00</t>
  </si>
  <si>
    <t>09:05:12+02:00</t>
  </si>
  <si>
    <t>09:01:16+02:00</t>
  </si>
  <si>
    <t>09:01:22+02:00</t>
  </si>
  <si>
    <t>09:01:15+02:00</t>
  </si>
  <si>
    <t>09:01:27+02:00</t>
  </si>
  <si>
    <t>09:01:28+02:00</t>
  </si>
  <si>
    <t>09:02:45+02:00</t>
  </si>
  <si>
    <t>09:03:19+02:00</t>
  </si>
  <si>
    <t>09:01:25+02:00</t>
  </si>
  <si>
    <t>09:02:50+02:00</t>
  </si>
  <si>
    <t>09:01:43+02:00</t>
  </si>
  <si>
    <t>COM_058</t>
  </si>
  <si>
    <t>COM_039</t>
  </si>
  <si>
    <t>COM_006</t>
  </si>
  <si>
    <t>COM_115</t>
  </si>
  <si>
    <t>12:07:27+02:00</t>
  </si>
  <si>
    <t>COM_064</t>
  </si>
  <si>
    <t>COM_051</t>
  </si>
  <si>
    <t>09:02:20+02:00</t>
  </si>
  <si>
    <t>COM_005</t>
  </si>
  <si>
    <t>10:00:00+02:00</t>
  </si>
  <si>
    <t>10:04:25+02:00</t>
  </si>
  <si>
    <t>16:07:12+02:00</t>
  </si>
  <si>
    <t>10:00:25+02:00</t>
  </si>
  <si>
    <t>13:07:13+02:00</t>
  </si>
  <si>
    <t>13:05:43+02:00</t>
  </si>
  <si>
    <t>COM_062</t>
  </si>
  <si>
    <t>10:02:33+02:00</t>
  </si>
  <si>
    <t>19:06:21+02:00</t>
  </si>
  <si>
    <t>19:08:27+02:00</t>
  </si>
  <si>
    <t>16:09:51+02:00</t>
  </si>
  <si>
    <t>13:00:53+02:00</t>
  </si>
  <si>
    <t>13:00:45+02:00</t>
  </si>
  <si>
    <t>13:00:54+02:00</t>
  </si>
  <si>
    <t>14:02:56+02:00</t>
  </si>
  <si>
    <t>14:04:50+02:00</t>
  </si>
  <si>
    <t>14:01:57+02:00</t>
  </si>
  <si>
    <t>14:00:37+02:00</t>
  </si>
  <si>
    <t>14:02:06+02:00</t>
  </si>
  <si>
    <t>14:04:35+02:00</t>
  </si>
  <si>
    <t>14:00:42+02:00</t>
  </si>
  <si>
    <t>14:00:52+02:00</t>
  </si>
  <si>
    <t>14:00:35+02:00</t>
  </si>
  <si>
    <t>16:04:18+02:00</t>
  </si>
  <si>
    <t>15:00:00+02:00</t>
  </si>
  <si>
    <t>18:03:25+02:00</t>
  </si>
  <si>
    <t>15:02:14+02:00</t>
  </si>
  <si>
    <t>15:00:25+02:00</t>
  </si>
  <si>
    <t>15:00:21+02:00</t>
  </si>
  <si>
    <t>18:06:37+02:00</t>
  </si>
  <si>
    <t>15:00:28+02:00</t>
  </si>
  <si>
    <t>15:02:44+02:00</t>
  </si>
  <si>
    <t>15:00:49+02:00</t>
  </si>
  <si>
    <t>15:00:23+02:00</t>
  </si>
  <si>
    <t>08:00:36+02:00</t>
  </si>
  <si>
    <t>LOC_017</t>
  </si>
  <si>
    <t>COM_114</t>
  </si>
  <si>
    <t>08:01:05+02:00</t>
  </si>
  <si>
    <t>11:05:17+02:00</t>
  </si>
  <si>
    <t>13:54:00+02:00</t>
  </si>
  <si>
    <t>13:54:41+02:00</t>
  </si>
  <si>
    <t>13:54:38+02:00</t>
  </si>
  <si>
    <t>13:54:40+02:00</t>
  </si>
  <si>
    <t>13:55:57+02:00</t>
  </si>
  <si>
    <t>13:56:04+02:00</t>
  </si>
  <si>
    <t>13:58:41+02:00</t>
  </si>
  <si>
    <t>13:56:00+02:00</t>
  </si>
  <si>
    <t>13:54:51+02:00</t>
  </si>
  <si>
    <t>20:03:47+02:00</t>
  </si>
  <si>
    <t>17:00:00+02:00</t>
  </si>
  <si>
    <t>20:08:20+02:00</t>
  </si>
  <si>
    <t>20:04:22+02:00</t>
  </si>
  <si>
    <t>17:00:20+02:00</t>
  </si>
  <si>
    <t>20:06:23+02:00</t>
  </si>
  <si>
    <t>20:05:49+02:00</t>
  </si>
  <si>
    <t>20:06:10+02:00</t>
  </si>
  <si>
    <t>17:00:27+02:00</t>
  </si>
  <si>
    <t>17:00:53+02:00</t>
  </si>
  <si>
    <t>20:03:27+02:00</t>
  </si>
  <si>
    <t>17:01:00+02:00</t>
  </si>
  <si>
    <t>19:02:02+02:00</t>
  </si>
  <si>
    <t>11:04:28+02:00</t>
  </si>
  <si>
    <t>19:02:34+02:00</t>
  </si>
  <si>
    <t>19:02:54+02:00</t>
  </si>
  <si>
    <t>09:41:00+02:00</t>
  </si>
  <si>
    <t>09:53:00+02:00</t>
  </si>
  <si>
    <t>09:53:33+02:00</t>
  </si>
  <si>
    <t>16:03:16+02:00</t>
  </si>
  <si>
    <t>12:56:29+02:00</t>
  </si>
  <si>
    <t>09:54:48+02:00</t>
  </si>
  <si>
    <t>12:58:34+02:00</t>
  </si>
  <si>
    <t>09:55:30+02:00</t>
  </si>
  <si>
    <t>09:53:30+02:00</t>
  </si>
  <si>
    <t>13:01:34+02:00</t>
  </si>
  <si>
    <t>13:04:42+02:00</t>
  </si>
  <si>
    <t>13:00:46+02:00</t>
  </si>
  <si>
    <t>16:07:10+02:00</t>
  </si>
  <si>
    <t>12:05:31+02:00</t>
  </si>
  <si>
    <t>09:02:17+02:00</t>
  </si>
  <si>
    <t>09:02:18+02:00</t>
  </si>
  <si>
    <t>09:04:59+02:00</t>
  </si>
  <si>
    <t>09:04:21+02:00</t>
  </si>
  <si>
    <t>13:02:29+02:00</t>
  </si>
  <si>
    <t>13:00:18+02:00</t>
  </si>
  <si>
    <t>13:00:35+02:00</t>
  </si>
  <si>
    <t>16:07:22+02:00</t>
  </si>
  <si>
    <t>19:09:23+02:00</t>
  </si>
  <si>
    <t>13:04:43+02:00</t>
  </si>
  <si>
    <t>19:01:17+02:00</t>
  </si>
  <si>
    <t>11:08:13+02:00</t>
  </si>
  <si>
    <t>08:00:50+02:00</t>
  </si>
  <si>
    <t>13:47:00+02:00</t>
  </si>
  <si>
    <t>13:51:18+02:00</t>
  </si>
  <si>
    <t>13:48:24+02:00</t>
  </si>
  <si>
    <t>13:48:21+02:00</t>
  </si>
  <si>
    <t>13:48:23+02:00</t>
  </si>
  <si>
    <t>13:48:15+02:00</t>
  </si>
  <si>
    <t>13:48:18+02:00</t>
  </si>
  <si>
    <t>13:48:30+02:00</t>
  </si>
  <si>
    <t>13:48:31+02:00</t>
  </si>
  <si>
    <t>16:53:36+02:00</t>
  </si>
  <si>
    <t>13:53:39+02:00</t>
  </si>
  <si>
    <t>10:19:00+02:00</t>
  </si>
  <si>
    <t>09:33:00+02:00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</si>
</sst>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4119"/>
  <sheetViews>
    <sheetView tabSelected="1" workbookViewId="0"/>
  </sheetViews>
  <sheetFormatPr defaultColWidth="12.6640625" defaultRowHeight="15.75" customHeight="1" x14ac:dyDescent="0.25"/>
  <cols>
    <col min="47" max="47" width="26.88671875" customWidth="1"/>
    <col min="48" max="48" width="26.44140625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s="1" t="str">
        <f>T("1941867800717629292")</f>
        <v>1941867800717629292</v>
      </c>
      <c r="B2" s="1" t="str">
        <f t="shared" ref="B2:B4" si="0">T("249919454454")</f>
        <v>249919454454</v>
      </c>
      <c r="C2" s="1" t="str">
        <f t="shared" ref="C2:C4" si="1">T("1941867474592990568")</f>
        <v>1941867474592990568</v>
      </c>
      <c r="D2" s="1" t="s">
        <v>58</v>
      </c>
      <c r="M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AA2" s="1">
        <v>1</v>
      </c>
      <c r="AB2" s="1">
        <v>1</v>
      </c>
      <c r="AO2" s="2">
        <v>46267</v>
      </c>
      <c r="AP2" s="1" t="s">
        <v>70</v>
      </c>
      <c r="AS2" s="1" t="s">
        <v>71</v>
      </c>
      <c r="AU2" s="1" t="s">
        <v>72</v>
      </c>
      <c r="AV2" s="1" t="s">
        <v>73</v>
      </c>
      <c r="AX2" s="1">
        <v>0</v>
      </c>
      <c r="BA2" s="1">
        <v>3</v>
      </c>
      <c r="BB2" s="1">
        <v>0</v>
      </c>
      <c r="BC2" s="1">
        <v>0</v>
      </c>
      <c r="BE2" s="1">
        <v>27173719</v>
      </c>
    </row>
    <row r="3" spans="1:58" x14ac:dyDescent="0.25">
      <c r="A3" s="1" t="str">
        <f>T("1941869235186375024")</f>
        <v>1941869235186375024</v>
      </c>
      <c r="B3" s="1" t="str">
        <f t="shared" si="0"/>
        <v>249919454454</v>
      </c>
      <c r="C3" s="1" t="str">
        <f t="shared" si="1"/>
        <v>1941867474592990568</v>
      </c>
      <c r="D3" s="1" t="s">
        <v>58</v>
      </c>
      <c r="M3" s="1" t="s">
        <v>59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U3" s="1" t="s">
        <v>65</v>
      </c>
      <c r="V3" s="1" t="s">
        <v>66</v>
      </c>
      <c r="W3" s="1" t="s">
        <v>67</v>
      </c>
      <c r="X3" s="1" t="s">
        <v>68</v>
      </c>
      <c r="Y3" s="1" t="s">
        <v>69</v>
      </c>
      <c r="AA3" s="1">
        <v>1</v>
      </c>
      <c r="AB3" s="1">
        <v>1</v>
      </c>
      <c r="AO3" s="2">
        <v>46267</v>
      </c>
      <c r="AP3" s="1" t="s">
        <v>74</v>
      </c>
      <c r="AS3" s="1" t="s">
        <v>71</v>
      </c>
      <c r="AU3" s="1" t="s">
        <v>72</v>
      </c>
      <c r="AV3" s="1" t="s">
        <v>73</v>
      </c>
      <c r="AX3" s="1">
        <v>0</v>
      </c>
      <c r="BA3" s="1">
        <v>3</v>
      </c>
      <c r="BB3" s="1">
        <v>0</v>
      </c>
      <c r="BC3" s="1">
        <v>0</v>
      </c>
      <c r="BE3" s="1">
        <v>27173723</v>
      </c>
    </row>
    <row r="4" spans="1:58" x14ac:dyDescent="0.25">
      <c r="A4" s="1" t="str">
        <f>T("1942176010750074176")</f>
        <v>1942176010750074176</v>
      </c>
      <c r="B4" s="1" t="str">
        <f t="shared" si="0"/>
        <v>249919454454</v>
      </c>
      <c r="C4" s="1" t="str">
        <f t="shared" si="1"/>
        <v>1941867474592990568</v>
      </c>
      <c r="D4" s="1" t="s">
        <v>58</v>
      </c>
      <c r="M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  <c r="AA4" s="1">
        <v>1</v>
      </c>
      <c r="AB4" s="1">
        <v>1</v>
      </c>
      <c r="AO4" s="2">
        <v>46268</v>
      </c>
      <c r="AP4" s="1" t="s">
        <v>76</v>
      </c>
      <c r="AQ4" s="2">
        <v>46268</v>
      </c>
      <c r="AR4" s="1" t="s">
        <v>77</v>
      </c>
      <c r="AS4" s="1" t="s">
        <v>71</v>
      </c>
      <c r="AU4" s="1" t="s">
        <v>78</v>
      </c>
      <c r="AV4" s="1" t="s">
        <v>80</v>
      </c>
      <c r="AW4" s="1">
        <v>256.62</v>
      </c>
      <c r="AX4" s="1">
        <v>0</v>
      </c>
      <c r="AZ4" s="1" t="s">
        <v>81</v>
      </c>
      <c r="BA4" s="1">
        <v>1</v>
      </c>
      <c r="BB4" s="1">
        <v>0</v>
      </c>
      <c r="BC4" s="1">
        <v>0</v>
      </c>
      <c r="BE4" s="1">
        <v>27175251</v>
      </c>
    </row>
    <row r="5" spans="1:58" x14ac:dyDescent="0.25">
      <c r="A5" s="1" t="str">
        <f>T("1942207970612548876")</f>
        <v>1942207970612548876</v>
      </c>
      <c r="B5" s="1" t="str">
        <f>T("249918823792")</f>
        <v>249918823792</v>
      </c>
      <c r="C5" s="1" t="str">
        <f>T("1942180031061036320")</f>
        <v>1942180031061036320</v>
      </c>
      <c r="D5" s="1" t="s">
        <v>82</v>
      </c>
      <c r="M5" s="1" t="s">
        <v>59</v>
      </c>
      <c r="O5" s="1" t="s">
        <v>65</v>
      </c>
      <c r="P5" s="1" t="s">
        <v>83</v>
      </c>
      <c r="Q5" s="1" t="s">
        <v>62</v>
      </c>
      <c r="R5" s="1" t="s">
        <v>84</v>
      </c>
      <c r="S5" s="1" t="s">
        <v>64</v>
      </c>
      <c r="U5" s="1" t="s">
        <v>65</v>
      </c>
      <c r="V5" s="1" t="s">
        <v>66</v>
      </c>
      <c r="W5" s="1" t="s">
        <v>67</v>
      </c>
      <c r="X5" s="1" t="s">
        <v>68</v>
      </c>
      <c r="Y5" s="1" t="s">
        <v>85</v>
      </c>
      <c r="AA5" s="1">
        <v>1</v>
      </c>
      <c r="AB5" s="1">
        <v>1</v>
      </c>
      <c r="AO5" s="2">
        <v>46268</v>
      </c>
      <c r="AP5" s="1" t="s">
        <v>86</v>
      </c>
      <c r="AQ5" s="2">
        <v>46268</v>
      </c>
      <c r="AR5" s="1" t="s">
        <v>87</v>
      </c>
      <c r="AS5" s="1" t="s">
        <v>71</v>
      </c>
      <c r="AU5" s="1" t="s">
        <v>79</v>
      </c>
      <c r="AV5" s="1" t="s">
        <v>80</v>
      </c>
      <c r="AW5" s="1">
        <v>102.62</v>
      </c>
      <c r="AX5" s="1">
        <v>0</v>
      </c>
      <c r="AZ5" s="1" t="s">
        <v>81</v>
      </c>
      <c r="BA5" s="1">
        <v>1</v>
      </c>
      <c r="BB5" s="1">
        <v>0</v>
      </c>
      <c r="BC5" s="1">
        <v>0</v>
      </c>
      <c r="BE5" s="1">
        <v>27175532</v>
      </c>
    </row>
    <row r="6" spans="1:58" x14ac:dyDescent="0.25">
      <c r="A6" s="1" t="str">
        <f>T("1942207970788711712")</f>
        <v>1942207970788711712</v>
      </c>
      <c r="B6" s="1" t="str">
        <f>T("249907650885")</f>
        <v>249907650885</v>
      </c>
      <c r="C6" s="1" t="str">
        <f>T("1942181093851530032")</f>
        <v>1942181093851530032</v>
      </c>
      <c r="D6" s="1" t="s">
        <v>88</v>
      </c>
      <c r="AA6" s="1">
        <v>1</v>
      </c>
      <c r="AO6" s="2">
        <v>46268</v>
      </c>
      <c r="AP6" s="1" t="s">
        <v>86</v>
      </c>
      <c r="AQ6" s="2">
        <v>46268</v>
      </c>
      <c r="AR6" s="1" t="s">
        <v>89</v>
      </c>
      <c r="AS6" s="1" t="s">
        <v>71</v>
      </c>
      <c r="AU6" s="1" t="s">
        <v>78</v>
      </c>
      <c r="AV6" s="1" t="s">
        <v>80</v>
      </c>
      <c r="AW6" s="1">
        <v>134.86000000000001</v>
      </c>
      <c r="AX6" s="1">
        <v>0</v>
      </c>
      <c r="AZ6" s="1" t="s">
        <v>81</v>
      </c>
      <c r="BA6" s="1">
        <v>2</v>
      </c>
      <c r="BB6" s="1">
        <v>0</v>
      </c>
      <c r="BC6" s="1">
        <v>0</v>
      </c>
      <c r="BE6" s="1">
        <v>27175532</v>
      </c>
    </row>
    <row r="7" spans="1:58" x14ac:dyDescent="0.25">
      <c r="A7" s="1" t="str">
        <f>T("1942207970889371804")</f>
        <v>1942207970889371804</v>
      </c>
      <c r="B7" s="1" t="str">
        <f>T("249904477660")</f>
        <v>249904477660</v>
      </c>
      <c r="C7" s="1" t="str">
        <f>T("1942181225749807908")</f>
        <v>1942181225749807908</v>
      </c>
      <c r="D7" s="1" t="s">
        <v>90</v>
      </c>
      <c r="M7" s="1" t="s">
        <v>59</v>
      </c>
      <c r="O7" s="1" t="s">
        <v>65</v>
      </c>
      <c r="P7" s="1" t="s">
        <v>91</v>
      </c>
      <c r="Q7" s="1" t="s">
        <v>92</v>
      </c>
      <c r="R7" s="1" t="s">
        <v>93</v>
      </c>
      <c r="S7" s="1" t="s">
        <v>94</v>
      </c>
      <c r="T7" s="1" t="s">
        <v>95</v>
      </c>
      <c r="U7" s="1" t="s">
        <v>60</v>
      </c>
      <c r="V7" s="1" t="s">
        <v>68</v>
      </c>
      <c r="W7" s="1" t="s">
        <v>67</v>
      </c>
      <c r="X7" s="1" t="s">
        <v>66</v>
      </c>
      <c r="Y7" s="1" t="s">
        <v>69</v>
      </c>
      <c r="AA7" s="1">
        <v>1</v>
      </c>
      <c r="AB7" s="1">
        <v>1</v>
      </c>
      <c r="AO7" s="2">
        <v>46268</v>
      </c>
      <c r="AP7" s="1" t="s">
        <v>86</v>
      </c>
      <c r="AQ7" s="2">
        <v>46268</v>
      </c>
      <c r="AR7" s="1" t="s">
        <v>96</v>
      </c>
      <c r="AS7" s="1" t="s">
        <v>71</v>
      </c>
      <c r="AU7" s="1" t="s">
        <v>78</v>
      </c>
      <c r="AV7" s="1" t="s">
        <v>80</v>
      </c>
      <c r="AW7" s="1">
        <v>220.4</v>
      </c>
      <c r="AX7" s="1">
        <v>0</v>
      </c>
      <c r="AZ7" s="1" t="s">
        <v>81</v>
      </c>
      <c r="BA7" s="1">
        <v>1</v>
      </c>
      <c r="BB7" s="1">
        <v>0</v>
      </c>
      <c r="BC7" s="1">
        <v>0</v>
      </c>
      <c r="BE7" s="1">
        <v>27175532</v>
      </c>
    </row>
    <row r="8" spans="1:58" x14ac:dyDescent="0.25">
      <c r="A8" s="1" t="str">
        <f>T("1942209723852594216")</f>
        <v>1942209723852594216</v>
      </c>
      <c r="B8" s="1" t="str">
        <f>T("249918823792")</f>
        <v>249918823792</v>
      </c>
      <c r="C8" s="1" t="str">
        <f>T("1942180031061036320")</f>
        <v>1942180031061036320</v>
      </c>
      <c r="D8" s="1" t="s">
        <v>82</v>
      </c>
      <c r="M8" s="1" t="s">
        <v>59</v>
      </c>
      <c r="O8" s="1" t="s">
        <v>65</v>
      </c>
      <c r="P8" s="1" t="s">
        <v>83</v>
      </c>
      <c r="Q8" s="1" t="s">
        <v>62</v>
      </c>
      <c r="R8" s="1" t="s">
        <v>84</v>
      </c>
      <c r="S8" s="1" t="s">
        <v>64</v>
      </c>
      <c r="U8" s="1" t="s">
        <v>65</v>
      </c>
      <c r="V8" s="1" t="s">
        <v>66</v>
      </c>
      <c r="W8" s="1" t="s">
        <v>67</v>
      </c>
      <c r="X8" s="1" t="s">
        <v>68</v>
      </c>
      <c r="Y8" s="1" t="s">
        <v>85</v>
      </c>
      <c r="AA8" s="1">
        <v>1</v>
      </c>
      <c r="AB8" s="1">
        <v>1</v>
      </c>
      <c r="AO8" s="2">
        <v>46268</v>
      </c>
      <c r="AP8" s="1" t="s">
        <v>97</v>
      </c>
      <c r="AQ8" s="2">
        <v>46268</v>
      </c>
      <c r="AR8" s="1" t="s">
        <v>98</v>
      </c>
      <c r="AS8" s="1" t="s">
        <v>71</v>
      </c>
      <c r="AU8" s="1" t="s">
        <v>78</v>
      </c>
      <c r="AV8" s="1" t="s">
        <v>80</v>
      </c>
      <c r="AW8" s="1">
        <v>200.18</v>
      </c>
      <c r="AX8" s="1">
        <v>0</v>
      </c>
      <c r="AZ8" s="1" t="s">
        <v>81</v>
      </c>
      <c r="BA8" s="1">
        <v>1</v>
      </c>
      <c r="BB8" s="1">
        <v>0</v>
      </c>
      <c r="BC8" s="1">
        <v>0</v>
      </c>
      <c r="BE8" s="1">
        <v>27175559</v>
      </c>
    </row>
    <row r="9" spans="1:58" x14ac:dyDescent="0.25">
      <c r="A9" s="1" t="str">
        <f>T("1942209724032946760")</f>
        <v>1942209724032946760</v>
      </c>
      <c r="B9" s="1" t="str">
        <f>T("249907650885")</f>
        <v>249907650885</v>
      </c>
      <c r="C9" s="1" t="str">
        <f>T("1942181093851530032")</f>
        <v>1942181093851530032</v>
      </c>
      <c r="D9" s="1" t="s">
        <v>88</v>
      </c>
      <c r="AA9" s="1">
        <v>1</v>
      </c>
      <c r="AO9" s="2">
        <v>46268</v>
      </c>
      <c r="AP9" s="1" t="s">
        <v>97</v>
      </c>
      <c r="AQ9" s="2">
        <v>46268</v>
      </c>
      <c r="AR9" s="1" t="s">
        <v>99</v>
      </c>
      <c r="AS9" s="1" t="s">
        <v>71</v>
      </c>
      <c r="AU9" s="1" t="s">
        <v>78</v>
      </c>
      <c r="AV9" s="1" t="s">
        <v>80</v>
      </c>
      <c r="AW9" s="1">
        <v>134.6</v>
      </c>
      <c r="AX9" s="1">
        <v>0</v>
      </c>
      <c r="AZ9" s="1" t="s">
        <v>81</v>
      </c>
      <c r="BA9" s="1">
        <v>1</v>
      </c>
      <c r="BB9" s="1">
        <v>0</v>
      </c>
      <c r="BC9" s="1">
        <v>0</v>
      </c>
      <c r="BE9" s="1">
        <v>27175559</v>
      </c>
    </row>
    <row r="10" spans="1:58" x14ac:dyDescent="0.25">
      <c r="A10" s="1" t="str">
        <f>T("1942209724091666772")</f>
        <v>1942209724091666772</v>
      </c>
      <c r="B10" s="1" t="str">
        <f>T("249904477660")</f>
        <v>249904477660</v>
      </c>
      <c r="C10" s="1" t="str">
        <f>T("1942181225749807908")</f>
        <v>1942181225749807908</v>
      </c>
      <c r="D10" s="1" t="s">
        <v>90</v>
      </c>
      <c r="M10" s="1" t="s">
        <v>59</v>
      </c>
      <c r="O10" s="1" t="s">
        <v>65</v>
      </c>
      <c r="P10" s="1" t="s">
        <v>91</v>
      </c>
      <c r="Q10" s="1" t="s">
        <v>92</v>
      </c>
      <c r="R10" s="1" t="s">
        <v>93</v>
      </c>
      <c r="S10" s="1" t="s">
        <v>94</v>
      </c>
      <c r="T10" s="1" t="s">
        <v>95</v>
      </c>
      <c r="U10" s="1" t="s">
        <v>60</v>
      </c>
      <c r="V10" s="1" t="s">
        <v>68</v>
      </c>
      <c r="W10" s="1" t="s">
        <v>67</v>
      </c>
      <c r="X10" s="1" t="s">
        <v>66</v>
      </c>
      <c r="Y10" s="1" t="s">
        <v>69</v>
      </c>
      <c r="AA10" s="1">
        <v>1</v>
      </c>
      <c r="AB10" s="1">
        <v>1</v>
      </c>
      <c r="AO10" s="2">
        <v>46268</v>
      </c>
      <c r="AP10" s="1" t="s">
        <v>97</v>
      </c>
      <c r="AQ10" s="2">
        <v>46268</v>
      </c>
      <c r="AR10" s="1" t="s">
        <v>100</v>
      </c>
      <c r="AS10" s="1" t="s">
        <v>71</v>
      </c>
      <c r="AU10" s="1" t="s">
        <v>78</v>
      </c>
      <c r="AV10" s="1" t="s">
        <v>80</v>
      </c>
      <c r="AW10" s="1">
        <v>249.36</v>
      </c>
      <c r="AX10" s="1">
        <v>0</v>
      </c>
      <c r="AZ10" s="1" t="s">
        <v>81</v>
      </c>
      <c r="BA10" s="1">
        <v>2</v>
      </c>
      <c r="BB10" s="1">
        <v>0</v>
      </c>
      <c r="BC10" s="1">
        <v>0</v>
      </c>
      <c r="BE10" s="1">
        <v>27175559</v>
      </c>
    </row>
    <row r="11" spans="1:58" x14ac:dyDescent="0.25">
      <c r="A11" s="1" t="str">
        <f>T("1943965293609686592")</f>
        <v>1943965293609686592</v>
      </c>
      <c r="B11" s="1" t="str">
        <f>T("249960910799")</f>
        <v>249960910799</v>
      </c>
      <c r="C11" s="1" t="str">
        <f>T("1941094470187485772")</f>
        <v>1941094470187485772</v>
      </c>
      <c r="M11" s="1" t="s">
        <v>59</v>
      </c>
      <c r="O11" s="1" t="s">
        <v>65</v>
      </c>
      <c r="P11" s="1" t="s">
        <v>83</v>
      </c>
      <c r="Q11" s="1" t="s">
        <v>101</v>
      </c>
      <c r="R11" s="1" t="s">
        <v>93</v>
      </c>
      <c r="T11" s="1" t="s">
        <v>95</v>
      </c>
      <c r="U11" s="1" t="s">
        <v>65</v>
      </c>
      <c r="V11" s="1" t="s">
        <v>102</v>
      </c>
      <c r="W11" s="1" t="s">
        <v>60</v>
      </c>
      <c r="X11" s="1" t="s">
        <v>103</v>
      </c>
      <c r="Y11" s="1" t="s">
        <v>69</v>
      </c>
      <c r="AA11" s="1">
        <v>1</v>
      </c>
      <c r="AB11" s="1">
        <v>1</v>
      </c>
      <c r="AC11" s="1" t="s">
        <v>104</v>
      </c>
      <c r="AD11" s="1" t="s">
        <v>105</v>
      </c>
      <c r="AE11" s="1" t="s">
        <v>106</v>
      </c>
      <c r="AF11" s="1" t="s">
        <v>107</v>
      </c>
      <c r="AG11" s="1">
        <v>32</v>
      </c>
      <c r="AO11" s="2">
        <v>46273</v>
      </c>
      <c r="AP11" s="1" t="s">
        <v>108</v>
      </c>
      <c r="AQ11" s="2">
        <v>46273</v>
      </c>
      <c r="AR11" s="1" t="s">
        <v>109</v>
      </c>
      <c r="AS11" s="1" t="s">
        <v>71</v>
      </c>
      <c r="AU11" s="1" t="s">
        <v>78</v>
      </c>
      <c r="AV11" s="1" t="s">
        <v>80</v>
      </c>
      <c r="AW11" s="1">
        <v>224.86</v>
      </c>
      <c r="AX11" s="1">
        <v>0</v>
      </c>
      <c r="AZ11" s="1" t="s">
        <v>81</v>
      </c>
      <c r="BA11" s="1">
        <v>1</v>
      </c>
      <c r="BB11" s="1">
        <v>0</v>
      </c>
      <c r="BC11" s="1">
        <v>0</v>
      </c>
      <c r="BE11" s="1">
        <v>27185411</v>
      </c>
    </row>
    <row r="12" spans="1:58" x14ac:dyDescent="0.25">
      <c r="A12" s="1" t="str">
        <f>T("1943965293806818868")</f>
        <v>1943965293806818868</v>
      </c>
      <c r="B12" s="1" t="str">
        <f>T("249908748253")</f>
        <v>249908748253</v>
      </c>
      <c r="C12" s="1" t="str">
        <f>T("1941094470195871788")</f>
        <v>1941094470195871788</v>
      </c>
      <c r="AA12" s="1">
        <v>1</v>
      </c>
      <c r="AC12" s="1" t="s">
        <v>104</v>
      </c>
      <c r="AD12" s="1" t="s">
        <v>105</v>
      </c>
      <c r="AE12" s="1" t="s">
        <v>106</v>
      </c>
      <c r="AF12" s="1" t="s">
        <v>107</v>
      </c>
      <c r="AG12" s="1">
        <v>56</v>
      </c>
      <c r="AO12" s="2">
        <v>46273</v>
      </c>
      <c r="AP12" s="1" t="s">
        <v>108</v>
      </c>
      <c r="AQ12" s="2">
        <v>46273</v>
      </c>
      <c r="AR12" s="1" t="s">
        <v>110</v>
      </c>
      <c r="AS12" s="1" t="s">
        <v>71</v>
      </c>
      <c r="AU12" s="1" t="s">
        <v>79</v>
      </c>
      <c r="AV12" s="1" t="s">
        <v>80</v>
      </c>
      <c r="AW12" s="1">
        <v>60.72</v>
      </c>
      <c r="AX12" s="1">
        <v>0</v>
      </c>
      <c r="AZ12" s="1" t="s">
        <v>81</v>
      </c>
      <c r="BA12" s="1">
        <v>2</v>
      </c>
      <c r="BB12" s="1">
        <v>0</v>
      </c>
      <c r="BC12" s="1">
        <v>0</v>
      </c>
      <c r="BE12" s="1">
        <v>27185411</v>
      </c>
    </row>
    <row r="13" spans="1:58" x14ac:dyDescent="0.25">
      <c r="A13" s="1" t="str">
        <f>T("1943965293857152864")</f>
        <v>1943965293857152864</v>
      </c>
      <c r="B13" s="1" t="str">
        <f>T("249969398420")</f>
        <v>249969398420</v>
      </c>
      <c r="C13" s="1" t="str">
        <f>T("1941094470195872588")</f>
        <v>1941094470195872588</v>
      </c>
      <c r="M13" s="1" t="s">
        <v>59</v>
      </c>
      <c r="O13" s="1" t="s">
        <v>65</v>
      </c>
      <c r="P13" s="1" t="s">
        <v>111</v>
      </c>
      <c r="Q13" s="1" t="s">
        <v>112</v>
      </c>
      <c r="R13" s="1" t="s">
        <v>84</v>
      </c>
      <c r="S13" s="1" t="s">
        <v>61</v>
      </c>
      <c r="U13" s="1" t="s">
        <v>60</v>
      </c>
      <c r="V13" s="1" t="s">
        <v>103</v>
      </c>
      <c r="W13" s="1" t="s">
        <v>67</v>
      </c>
      <c r="X13" s="1" t="s">
        <v>68</v>
      </c>
      <c r="Y13" s="1" t="s">
        <v>69</v>
      </c>
      <c r="AA13" s="1">
        <v>1</v>
      </c>
      <c r="AB13" s="1">
        <v>1</v>
      </c>
      <c r="AC13" s="1" t="s">
        <v>104</v>
      </c>
      <c r="AD13" s="1" t="s">
        <v>105</v>
      </c>
      <c r="AE13" s="1" t="s">
        <v>106</v>
      </c>
      <c r="AF13" s="1" t="s">
        <v>107</v>
      </c>
      <c r="AG13" s="1">
        <v>36</v>
      </c>
      <c r="AO13" s="2">
        <v>46273</v>
      </c>
      <c r="AP13" s="1" t="s">
        <v>108</v>
      </c>
      <c r="AQ13" s="2">
        <v>46273</v>
      </c>
      <c r="AR13" s="1" t="s">
        <v>113</v>
      </c>
      <c r="AS13" s="1" t="s">
        <v>71</v>
      </c>
      <c r="AU13" s="1" t="s">
        <v>78</v>
      </c>
      <c r="AV13" s="1" t="s">
        <v>80</v>
      </c>
      <c r="AW13" s="1">
        <v>214.14</v>
      </c>
      <c r="AX13" s="1">
        <v>0</v>
      </c>
      <c r="AZ13" s="1" t="s">
        <v>81</v>
      </c>
      <c r="BA13" s="1">
        <v>1</v>
      </c>
      <c r="BB13" s="1">
        <v>0</v>
      </c>
      <c r="BC13" s="1">
        <v>0</v>
      </c>
      <c r="BE13" s="1">
        <v>27185411</v>
      </c>
    </row>
    <row r="14" spans="1:58" x14ac:dyDescent="0.25">
      <c r="A14" s="1" t="str">
        <f>T("1943965293920065284")</f>
        <v>1943965293920065284</v>
      </c>
      <c r="B14" s="1" t="str">
        <f>T("249918078452")</f>
        <v>249918078452</v>
      </c>
      <c r="C14" s="1" t="str">
        <f>T("1941094470195873288")</f>
        <v>1941094470195873288</v>
      </c>
      <c r="AC14" s="1" t="s">
        <v>104</v>
      </c>
      <c r="AD14" s="1" t="s">
        <v>105</v>
      </c>
      <c r="AE14" s="1" t="s">
        <v>106</v>
      </c>
      <c r="AF14" s="1" t="s">
        <v>107</v>
      </c>
      <c r="AG14" s="1">
        <v>60</v>
      </c>
      <c r="AO14" s="2">
        <v>46273</v>
      </c>
      <c r="AP14" s="1" t="s">
        <v>108</v>
      </c>
      <c r="AQ14" s="2">
        <v>46273</v>
      </c>
      <c r="AR14" s="1" t="s">
        <v>114</v>
      </c>
      <c r="AS14" s="1" t="s">
        <v>71</v>
      </c>
      <c r="AU14" s="1" t="s">
        <v>79</v>
      </c>
      <c r="AV14" s="1" t="s">
        <v>80</v>
      </c>
      <c r="AW14" s="1">
        <v>22.4</v>
      </c>
      <c r="AX14" s="1">
        <v>0</v>
      </c>
      <c r="AZ14" s="1" t="s">
        <v>81</v>
      </c>
      <c r="BA14" s="1">
        <v>3</v>
      </c>
      <c r="BB14" s="1">
        <v>0</v>
      </c>
      <c r="BC14" s="1">
        <v>0</v>
      </c>
      <c r="BE14" s="1">
        <v>27185411</v>
      </c>
    </row>
    <row r="15" spans="1:58" x14ac:dyDescent="0.25">
      <c r="A15" s="1" t="str">
        <f>T("1943965293978786696")</f>
        <v>1943965293978786696</v>
      </c>
      <c r="B15" s="1" t="str">
        <f>T("249912945480")</f>
        <v>249912945480</v>
      </c>
      <c r="C15" s="1" t="str">
        <f>T("1941094470195873788")</f>
        <v>1941094470195873788</v>
      </c>
      <c r="AC15" s="1" t="s">
        <v>104</v>
      </c>
      <c r="AD15" s="1" t="s">
        <v>105</v>
      </c>
      <c r="AE15" s="1" t="s">
        <v>106</v>
      </c>
      <c r="AF15" s="1" t="s">
        <v>107</v>
      </c>
      <c r="AG15" s="1">
        <v>36</v>
      </c>
      <c r="AO15" s="2">
        <v>46273</v>
      </c>
      <c r="AP15" s="1" t="s">
        <v>108</v>
      </c>
      <c r="AS15" s="1" t="s">
        <v>71</v>
      </c>
      <c r="AU15" s="1" t="s">
        <v>72</v>
      </c>
      <c r="AV15" s="1" t="s">
        <v>115</v>
      </c>
      <c r="AX15" s="1">
        <v>0</v>
      </c>
      <c r="BA15" s="1">
        <v>3</v>
      </c>
      <c r="BB15" s="1">
        <v>0</v>
      </c>
      <c r="BC15" s="1">
        <v>0</v>
      </c>
      <c r="BE15" s="1">
        <v>27185411</v>
      </c>
    </row>
    <row r="16" spans="1:58" x14ac:dyDescent="0.25">
      <c r="A16" s="1" t="str">
        <f>T("1943965294041698716")</f>
        <v>1943965294041698716</v>
      </c>
      <c r="B16" s="1" t="str">
        <f>T("249929096012")</f>
        <v>249929096012</v>
      </c>
      <c r="C16" s="1" t="str">
        <f>T("1941094470195875588")</f>
        <v>1941094470195875588</v>
      </c>
      <c r="AC16" s="1" t="s">
        <v>104</v>
      </c>
      <c r="AD16" s="1" t="s">
        <v>105</v>
      </c>
      <c r="AE16" s="1" t="s">
        <v>106</v>
      </c>
      <c r="AF16" s="1" t="s">
        <v>107</v>
      </c>
      <c r="AG16" s="1">
        <v>46</v>
      </c>
      <c r="AO16" s="2">
        <v>46273</v>
      </c>
      <c r="AP16" s="1" t="s">
        <v>108</v>
      </c>
      <c r="AS16" s="1" t="s">
        <v>71</v>
      </c>
      <c r="AU16" s="1" t="s">
        <v>72</v>
      </c>
      <c r="AV16" s="1" t="s">
        <v>73</v>
      </c>
      <c r="AX16" s="1">
        <v>0</v>
      </c>
      <c r="BA16" s="1">
        <v>3</v>
      </c>
      <c r="BB16" s="1">
        <v>0</v>
      </c>
      <c r="BC16" s="1">
        <v>0</v>
      </c>
      <c r="BE16" s="1">
        <v>27185411</v>
      </c>
    </row>
    <row r="17" spans="1:57" x14ac:dyDescent="0.25">
      <c r="A17" s="1" t="str">
        <f>T("1943965294096225820")</f>
        <v>1943965294096225820</v>
      </c>
      <c r="B17" s="1" t="str">
        <f>T("249915803358")</f>
        <v>249915803358</v>
      </c>
      <c r="C17" s="1" t="str">
        <f>T("1941094470204262704")</f>
        <v>1941094470204262704</v>
      </c>
      <c r="AC17" s="1" t="s">
        <v>104</v>
      </c>
      <c r="AD17" s="1" t="s">
        <v>105</v>
      </c>
      <c r="AE17" s="1" t="s">
        <v>106</v>
      </c>
      <c r="AF17" s="1" t="s">
        <v>107</v>
      </c>
      <c r="AG17" s="1">
        <v>55</v>
      </c>
      <c r="AO17" s="2">
        <v>46273</v>
      </c>
      <c r="AP17" s="1" t="s">
        <v>108</v>
      </c>
      <c r="AQ17" s="2">
        <v>46273</v>
      </c>
      <c r="AR17" s="1" t="s">
        <v>116</v>
      </c>
      <c r="AS17" s="1" t="s">
        <v>71</v>
      </c>
      <c r="AU17" s="1" t="s">
        <v>79</v>
      </c>
      <c r="AV17" s="1" t="s">
        <v>80</v>
      </c>
      <c r="AW17" s="1">
        <v>16.5</v>
      </c>
      <c r="AX17" s="1">
        <v>0</v>
      </c>
      <c r="AZ17" s="1" t="s">
        <v>81</v>
      </c>
      <c r="BA17" s="1">
        <v>1</v>
      </c>
      <c r="BB17" s="1">
        <v>0</v>
      </c>
      <c r="BC17" s="1">
        <v>0</v>
      </c>
      <c r="BE17" s="1">
        <v>27185411</v>
      </c>
    </row>
    <row r="18" spans="1:57" x14ac:dyDescent="0.25">
      <c r="A18" s="1" t="str">
        <f>T("1943965294154948032")</f>
        <v>1943965294154948032</v>
      </c>
      <c r="B18" s="1" t="str">
        <f>T("249929096013")</f>
        <v>249929096013</v>
      </c>
      <c r="C18" s="1" t="str">
        <f>T("1941094470208456012")</f>
        <v>1941094470208456012</v>
      </c>
      <c r="AC18" s="1" t="s">
        <v>104</v>
      </c>
      <c r="AD18" s="1" t="s">
        <v>105</v>
      </c>
      <c r="AE18" s="1" t="s">
        <v>106</v>
      </c>
      <c r="AF18" s="1" t="s">
        <v>107</v>
      </c>
      <c r="AG18" s="1">
        <v>33</v>
      </c>
      <c r="AO18" s="2">
        <v>46273</v>
      </c>
      <c r="AP18" s="1" t="s">
        <v>108</v>
      </c>
      <c r="AS18" s="1" t="s">
        <v>71</v>
      </c>
      <c r="AU18" s="1" t="s">
        <v>72</v>
      </c>
      <c r="AV18" s="1" t="s">
        <v>73</v>
      </c>
      <c r="AX18" s="1">
        <v>0</v>
      </c>
      <c r="BA18" s="1">
        <v>3</v>
      </c>
      <c r="BB18" s="1">
        <v>0</v>
      </c>
      <c r="BC18" s="1">
        <v>0</v>
      </c>
      <c r="BE18" s="1">
        <v>27185411</v>
      </c>
    </row>
    <row r="19" spans="1:57" x14ac:dyDescent="0.25">
      <c r="A19" s="1" t="str">
        <f>T("1943965294234639984")</f>
        <v>1943965294234639984</v>
      </c>
      <c r="B19" s="1" t="str">
        <f>T("249908283003")</f>
        <v>249908283003</v>
      </c>
      <c r="C19" s="1" t="str">
        <f>T("1941094470208456912")</f>
        <v>1941094470208456912</v>
      </c>
      <c r="AC19" s="1" t="s">
        <v>104</v>
      </c>
      <c r="AD19" s="1" t="s">
        <v>105</v>
      </c>
      <c r="AE19" s="1" t="s">
        <v>106</v>
      </c>
      <c r="AF19" s="1" t="s">
        <v>107</v>
      </c>
      <c r="AG19" s="1">
        <v>53</v>
      </c>
      <c r="AO19" s="2">
        <v>46273</v>
      </c>
      <c r="AP19" s="1" t="s">
        <v>108</v>
      </c>
      <c r="AQ19" s="2">
        <v>46273</v>
      </c>
      <c r="AR19" s="1" t="s">
        <v>117</v>
      </c>
      <c r="AS19" s="1" t="s">
        <v>71</v>
      </c>
      <c r="AU19" s="1" t="s">
        <v>79</v>
      </c>
      <c r="AV19" s="1" t="s">
        <v>80</v>
      </c>
      <c r="AW19" s="1">
        <v>7.72</v>
      </c>
      <c r="AX19" s="1">
        <v>0</v>
      </c>
      <c r="AZ19" s="1" t="s">
        <v>81</v>
      </c>
      <c r="BA19" s="1">
        <v>1</v>
      </c>
      <c r="BB19" s="1">
        <v>0</v>
      </c>
      <c r="BC19" s="1">
        <v>0</v>
      </c>
      <c r="BE19" s="1">
        <v>27185411</v>
      </c>
    </row>
    <row r="20" spans="1:57" x14ac:dyDescent="0.25">
      <c r="A20" s="1" t="str">
        <f>T("1943965294297552404")</f>
        <v>1943965294297552404</v>
      </c>
      <c r="B20" s="1" t="str">
        <f>T("249912714510")</f>
        <v>249912714510</v>
      </c>
      <c r="C20" s="1" t="str">
        <f>T("1941094470208457512")</f>
        <v>1941094470208457512</v>
      </c>
      <c r="AC20" s="1" t="s">
        <v>104</v>
      </c>
      <c r="AD20" s="1" t="s">
        <v>105</v>
      </c>
      <c r="AE20" s="1" t="s">
        <v>106</v>
      </c>
      <c r="AF20" s="1" t="s">
        <v>107</v>
      </c>
      <c r="AG20" s="1">
        <v>52</v>
      </c>
      <c r="AO20" s="2">
        <v>46273</v>
      </c>
      <c r="AP20" s="1" t="s">
        <v>108</v>
      </c>
      <c r="AS20" s="1" t="s">
        <v>71</v>
      </c>
      <c r="AU20" s="1" t="s">
        <v>72</v>
      </c>
      <c r="AV20" s="1" t="s">
        <v>115</v>
      </c>
      <c r="AX20" s="1">
        <v>0</v>
      </c>
      <c r="BA20" s="1">
        <v>3</v>
      </c>
      <c r="BB20" s="1">
        <v>0</v>
      </c>
      <c r="BC20" s="1">
        <v>0</v>
      </c>
      <c r="BE20" s="1">
        <v>27185411</v>
      </c>
    </row>
    <row r="21" spans="1:57" x14ac:dyDescent="0.25">
      <c r="A21" s="1" t="str">
        <f>T("1943965294364662732")</f>
        <v>1943965294364662732</v>
      </c>
      <c r="B21" s="1" t="str">
        <f>T("249915024056")</f>
        <v>249915024056</v>
      </c>
      <c r="C21" s="1" t="str">
        <f>T("1941094470208458212")</f>
        <v>1941094470208458212</v>
      </c>
      <c r="AC21" s="1" t="s">
        <v>104</v>
      </c>
      <c r="AD21" s="1" t="s">
        <v>105</v>
      </c>
      <c r="AE21" s="1" t="s">
        <v>106</v>
      </c>
      <c r="AF21" s="1" t="s">
        <v>107</v>
      </c>
      <c r="AG21" s="1">
        <v>57</v>
      </c>
      <c r="AO21" s="2">
        <v>46273</v>
      </c>
      <c r="AP21" s="1" t="s">
        <v>108</v>
      </c>
      <c r="AQ21" s="2">
        <v>46273</v>
      </c>
      <c r="AR21" s="1" t="s">
        <v>118</v>
      </c>
      <c r="AS21" s="1" t="s">
        <v>71</v>
      </c>
      <c r="AU21" s="1" t="s">
        <v>79</v>
      </c>
      <c r="AV21" s="1" t="s">
        <v>80</v>
      </c>
      <c r="AW21" s="1">
        <v>13.34</v>
      </c>
      <c r="AX21" s="1">
        <v>0</v>
      </c>
      <c r="AZ21" s="1" t="s">
        <v>81</v>
      </c>
      <c r="BA21" s="1">
        <v>3</v>
      </c>
      <c r="BB21" s="1">
        <v>0</v>
      </c>
      <c r="BC21" s="1">
        <v>0</v>
      </c>
      <c r="BE21" s="1">
        <v>27185411</v>
      </c>
    </row>
    <row r="22" spans="1:57" x14ac:dyDescent="0.25">
      <c r="A22" s="1" t="str">
        <f>T("1943965294444355084")</f>
        <v>1943965294444355084</v>
      </c>
      <c r="B22" s="1" t="str">
        <f>T("249903526585")</f>
        <v>249903526585</v>
      </c>
      <c r="C22" s="1" t="str">
        <f>T("1941094470212649120")</f>
        <v>1941094470212649120</v>
      </c>
      <c r="M22" s="1" t="s">
        <v>59</v>
      </c>
      <c r="O22" s="1" t="s">
        <v>60</v>
      </c>
      <c r="P22" s="1" t="s">
        <v>83</v>
      </c>
      <c r="Q22" s="1" t="s">
        <v>112</v>
      </c>
      <c r="R22" s="1" t="s">
        <v>93</v>
      </c>
      <c r="T22" s="1" t="s">
        <v>119</v>
      </c>
      <c r="U22" s="1" t="s">
        <v>65</v>
      </c>
      <c r="V22" s="1" t="s">
        <v>103</v>
      </c>
      <c r="W22" s="1" t="s">
        <v>60</v>
      </c>
      <c r="X22" s="1" t="s">
        <v>103</v>
      </c>
      <c r="Y22" s="1" t="s">
        <v>69</v>
      </c>
      <c r="AA22" s="1">
        <v>1</v>
      </c>
      <c r="AB22" s="1">
        <v>1</v>
      </c>
      <c r="AC22" s="1" t="s">
        <v>104</v>
      </c>
      <c r="AD22" s="1" t="s">
        <v>105</v>
      </c>
      <c r="AE22" s="1" t="s">
        <v>106</v>
      </c>
      <c r="AF22" s="1" t="s">
        <v>107</v>
      </c>
      <c r="AG22" s="1">
        <v>62</v>
      </c>
      <c r="AO22" s="2">
        <v>46273</v>
      </c>
      <c r="AP22" s="1" t="s">
        <v>108</v>
      </c>
      <c r="AQ22" s="2">
        <v>46273</v>
      </c>
      <c r="AR22" s="1" t="s">
        <v>120</v>
      </c>
      <c r="AS22" s="1" t="s">
        <v>71</v>
      </c>
      <c r="AU22" s="1" t="s">
        <v>78</v>
      </c>
      <c r="AV22" s="1" t="s">
        <v>80</v>
      </c>
      <c r="AW22" s="1">
        <v>202.26</v>
      </c>
      <c r="AX22" s="1">
        <v>0</v>
      </c>
      <c r="AZ22" s="1" t="s">
        <v>81</v>
      </c>
      <c r="BA22" s="1">
        <v>1</v>
      </c>
      <c r="BB22" s="1">
        <v>0</v>
      </c>
      <c r="BC22" s="1">
        <v>0</v>
      </c>
      <c r="BE22" s="1">
        <v>27185411</v>
      </c>
    </row>
    <row r="23" spans="1:57" x14ac:dyDescent="0.25">
      <c r="A23" s="1" t="str">
        <f>T("1943965294507267004")</f>
        <v>1943965294507267004</v>
      </c>
      <c r="B23" s="1" t="str">
        <f>T("249912220675")</f>
        <v>249912220675</v>
      </c>
      <c r="C23" s="1" t="str">
        <f>T("1941094470212651920")</f>
        <v>1941094470212651920</v>
      </c>
      <c r="AA23" s="1">
        <v>1</v>
      </c>
      <c r="AC23" s="1" t="s">
        <v>104</v>
      </c>
      <c r="AD23" s="1" t="s">
        <v>105</v>
      </c>
      <c r="AE23" s="1" t="s">
        <v>106</v>
      </c>
      <c r="AF23" s="1" t="s">
        <v>107</v>
      </c>
      <c r="AG23" s="1">
        <v>55</v>
      </c>
      <c r="AO23" s="2">
        <v>46273</v>
      </c>
      <c r="AP23" s="1" t="s">
        <v>108</v>
      </c>
      <c r="AQ23" s="2">
        <v>46273</v>
      </c>
      <c r="AR23" s="1" t="s">
        <v>116</v>
      </c>
      <c r="AS23" s="1" t="s">
        <v>71</v>
      </c>
      <c r="AU23" s="1" t="s">
        <v>79</v>
      </c>
      <c r="AV23" s="1" t="s">
        <v>80</v>
      </c>
      <c r="AW23" s="1">
        <v>80.02</v>
      </c>
      <c r="AX23" s="1">
        <v>0</v>
      </c>
      <c r="AZ23" s="1" t="s">
        <v>81</v>
      </c>
      <c r="BA23" s="1">
        <v>1</v>
      </c>
      <c r="BB23" s="1">
        <v>0</v>
      </c>
      <c r="BC23" s="1">
        <v>0</v>
      </c>
      <c r="BE23" s="1">
        <v>27185411</v>
      </c>
    </row>
    <row r="24" spans="1:57" x14ac:dyDescent="0.25">
      <c r="A24" s="1" t="str">
        <f>T("1943965294561793408")</f>
        <v>1943965294561793408</v>
      </c>
      <c r="B24" s="1" t="str">
        <f>T("249960504994")</f>
        <v>249960504994</v>
      </c>
      <c r="C24" s="1" t="str">
        <f>T("1941094470216844128")</f>
        <v>1941094470216844128</v>
      </c>
      <c r="AC24" s="1" t="s">
        <v>104</v>
      </c>
      <c r="AD24" s="1" t="s">
        <v>105</v>
      </c>
      <c r="AE24" s="1" t="s">
        <v>106</v>
      </c>
      <c r="AF24" s="1" t="s">
        <v>107</v>
      </c>
      <c r="AG24" s="1">
        <v>28</v>
      </c>
      <c r="AO24" s="2">
        <v>46273</v>
      </c>
      <c r="AP24" s="1" t="s">
        <v>108</v>
      </c>
      <c r="AQ24" s="2">
        <v>46273</v>
      </c>
      <c r="AR24" s="1" t="s">
        <v>121</v>
      </c>
      <c r="AS24" s="1" t="s">
        <v>71</v>
      </c>
      <c r="AU24" s="1" t="s">
        <v>79</v>
      </c>
      <c r="AV24" s="1" t="s">
        <v>80</v>
      </c>
      <c r="AW24" s="1">
        <v>22.52</v>
      </c>
      <c r="AX24" s="1">
        <v>0</v>
      </c>
      <c r="AZ24" s="1" t="s">
        <v>81</v>
      </c>
      <c r="BA24" s="1">
        <v>1</v>
      </c>
      <c r="BB24" s="1">
        <v>0</v>
      </c>
      <c r="BC24" s="1">
        <v>0</v>
      </c>
      <c r="BE24" s="1">
        <v>27185411</v>
      </c>
    </row>
    <row r="25" spans="1:57" x14ac:dyDescent="0.25">
      <c r="A25" s="1" t="str">
        <f>T("1943965294612124004")</f>
        <v>1943965294612124004</v>
      </c>
      <c r="B25" s="1" t="str">
        <f>T("249915281907")</f>
        <v>249915281907</v>
      </c>
      <c r="C25" s="1" t="str">
        <f>T("1941094470216844828")</f>
        <v>1941094470216844828</v>
      </c>
      <c r="AA25" s="1">
        <v>1</v>
      </c>
      <c r="AC25" s="1" t="s">
        <v>104</v>
      </c>
      <c r="AD25" s="1" t="s">
        <v>105</v>
      </c>
      <c r="AE25" s="1" t="s">
        <v>106</v>
      </c>
      <c r="AF25" s="1" t="s">
        <v>107</v>
      </c>
      <c r="AG25" s="1">
        <v>61</v>
      </c>
      <c r="AO25" s="2">
        <v>46273</v>
      </c>
      <c r="AP25" s="1" t="s">
        <v>108</v>
      </c>
      <c r="AQ25" s="2">
        <v>46273</v>
      </c>
      <c r="AR25" s="1" t="s">
        <v>120</v>
      </c>
      <c r="AS25" s="1" t="s">
        <v>71</v>
      </c>
      <c r="AU25" s="1" t="s">
        <v>79</v>
      </c>
      <c r="AV25" s="1" t="s">
        <v>80</v>
      </c>
      <c r="AW25" s="1">
        <v>69.2</v>
      </c>
      <c r="AX25" s="1">
        <v>0</v>
      </c>
      <c r="AZ25" s="1" t="s">
        <v>81</v>
      </c>
      <c r="BA25" s="1">
        <v>1</v>
      </c>
      <c r="BB25" s="1">
        <v>0</v>
      </c>
      <c r="BC25" s="1">
        <v>0</v>
      </c>
      <c r="BE25" s="1">
        <v>27185411</v>
      </c>
    </row>
    <row r="26" spans="1:57" x14ac:dyDescent="0.25">
      <c r="A26" s="1" t="str">
        <f>T("1943965294679233532")</f>
        <v>1943965294679233532</v>
      </c>
      <c r="B26" s="1" t="str">
        <f>T("249915133133")</f>
        <v>249915133133</v>
      </c>
      <c r="C26" s="1" t="str">
        <f>T("1941094470216845428")</f>
        <v>1941094470216845428</v>
      </c>
      <c r="AC26" s="1" t="s">
        <v>104</v>
      </c>
      <c r="AD26" s="1" t="s">
        <v>105</v>
      </c>
      <c r="AE26" s="1" t="s">
        <v>106</v>
      </c>
      <c r="AF26" s="1" t="s">
        <v>107</v>
      </c>
      <c r="AG26" s="1">
        <v>33</v>
      </c>
      <c r="AO26" s="2">
        <v>46273</v>
      </c>
      <c r="AP26" s="1" t="s">
        <v>108</v>
      </c>
      <c r="AQ26" s="2">
        <v>46273</v>
      </c>
      <c r="AR26" s="1" t="s">
        <v>122</v>
      </c>
      <c r="AS26" s="1" t="s">
        <v>71</v>
      </c>
      <c r="AU26" s="1" t="s">
        <v>79</v>
      </c>
      <c r="AV26" s="1" t="s">
        <v>80</v>
      </c>
      <c r="AW26" s="1">
        <v>8.6199999999999992</v>
      </c>
      <c r="AX26" s="1">
        <v>0</v>
      </c>
      <c r="AZ26" s="1" t="s">
        <v>81</v>
      </c>
      <c r="BA26" s="1">
        <v>1</v>
      </c>
      <c r="BB26" s="1">
        <v>0</v>
      </c>
      <c r="BC26" s="1">
        <v>0</v>
      </c>
      <c r="BE26" s="1">
        <v>27185411</v>
      </c>
    </row>
    <row r="27" spans="1:57" x14ac:dyDescent="0.25">
      <c r="A27" s="1" t="str">
        <f>T("1943965294746343060")</f>
        <v>1943965294746343060</v>
      </c>
      <c r="B27" s="1" t="str">
        <f>T("249918068363")</f>
        <v>249918068363</v>
      </c>
      <c r="C27" s="1" t="str">
        <f>T("1941094470216846128")</f>
        <v>1941094470216846128</v>
      </c>
      <c r="AC27" s="1" t="s">
        <v>104</v>
      </c>
      <c r="AD27" s="1" t="s">
        <v>105</v>
      </c>
      <c r="AE27" s="1" t="s">
        <v>106</v>
      </c>
      <c r="AF27" s="1" t="s">
        <v>107</v>
      </c>
      <c r="AG27" s="1" t="s">
        <v>123</v>
      </c>
      <c r="AO27" s="2">
        <v>46273</v>
      </c>
      <c r="AP27" s="1" t="s">
        <v>108</v>
      </c>
      <c r="AS27" s="1" t="s">
        <v>71</v>
      </c>
      <c r="AU27" s="1" t="s">
        <v>72</v>
      </c>
      <c r="AV27" s="1" t="s">
        <v>73</v>
      </c>
      <c r="AX27" s="1">
        <v>0</v>
      </c>
      <c r="BA27" s="1">
        <v>3</v>
      </c>
      <c r="BB27" s="1">
        <v>0</v>
      </c>
      <c r="BC27" s="1">
        <v>0</v>
      </c>
      <c r="BE27" s="1">
        <v>27185411</v>
      </c>
    </row>
    <row r="28" spans="1:57" x14ac:dyDescent="0.25">
      <c r="A28" s="1" t="str">
        <f>T("1943965294800869064")</f>
        <v>1943965294800869064</v>
      </c>
      <c r="B28" s="1" t="str">
        <f>T("249919703344")</f>
        <v>249919703344</v>
      </c>
      <c r="C28" s="1" t="str">
        <f>T("1941094470229426852")</f>
        <v>1941094470229426852</v>
      </c>
      <c r="AC28" s="1" t="s">
        <v>104</v>
      </c>
      <c r="AD28" s="1" t="s">
        <v>105</v>
      </c>
      <c r="AE28" s="1" t="s">
        <v>106</v>
      </c>
      <c r="AF28" s="1" t="s">
        <v>107</v>
      </c>
      <c r="AG28" s="1">
        <v>44</v>
      </c>
      <c r="AO28" s="2">
        <v>46273</v>
      </c>
      <c r="AP28" s="1" t="s">
        <v>108</v>
      </c>
      <c r="AS28" s="1" t="s">
        <v>71</v>
      </c>
      <c r="AU28" s="1" t="s">
        <v>72</v>
      </c>
      <c r="AV28" s="1" t="s">
        <v>73</v>
      </c>
      <c r="AX28" s="1">
        <v>0</v>
      </c>
      <c r="BA28" s="1">
        <v>3</v>
      </c>
      <c r="BB28" s="1">
        <v>0</v>
      </c>
      <c r="BC28" s="1">
        <v>0</v>
      </c>
      <c r="BE28" s="1">
        <v>27185411</v>
      </c>
    </row>
    <row r="29" spans="1:57" x14ac:dyDescent="0.25">
      <c r="A29" s="1" t="str">
        <f>T("1943965294876366008")</f>
        <v>1943965294876366008</v>
      </c>
      <c r="B29" s="1" t="str">
        <f>T("249912997238")</f>
        <v>249912997238</v>
      </c>
      <c r="C29" s="1" t="str">
        <f>T("1941094470229427852")</f>
        <v>1941094470229427852</v>
      </c>
      <c r="AC29" s="1" t="s">
        <v>104</v>
      </c>
      <c r="AD29" s="1" t="s">
        <v>105</v>
      </c>
      <c r="AE29" s="1" t="s">
        <v>106</v>
      </c>
      <c r="AF29" s="1" t="s">
        <v>107</v>
      </c>
      <c r="AG29" s="1">
        <v>66</v>
      </c>
      <c r="AO29" s="2">
        <v>46273</v>
      </c>
      <c r="AP29" s="1" t="s">
        <v>108</v>
      </c>
      <c r="AQ29" s="2">
        <v>46273</v>
      </c>
      <c r="AR29" s="1" t="s">
        <v>124</v>
      </c>
      <c r="AS29" s="1" t="s">
        <v>71</v>
      </c>
      <c r="AU29" s="1" t="s">
        <v>79</v>
      </c>
      <c r="AV29" s="1" t="s">
        <v>80</v>
      </c>
      <c r="AW29" s="1">
        <v>35.6</v>
      </c>
      <c r="AX29" s="1">
        <v>0</v>
      </c>
      <c r="AZ29" s="1" t="s">
        <v>81</v>
      </c>
      <c r="BA29" s="1">
        <v>2</v>
      </c>
      <c r="BB29" s="1">
        <v>0</v>
      </c>
      <c r="BC29" s="1">
        <v>0</v>
      </c>
      <c r="BE29" s="1">
        <v>27185411</v>
      </c>
    </row>
    <row r="30" spans="1:57" x14ac:dyDescent="0.25">
      <c r="A30" s="1" t="str">
        <f>T("1943965294951862352")</f>
        <v>1943965294951862352</v>
      </c>
      <c r="B30" s="1" t="str">
        <f>T("249903526858")</f>
        <v>249903526858</v>
      </c>
      <c r="C30" s="1" t="str">
        <f>T("1941094470229428452")</f>
        <v>1941094470229428452</v>
      </c>
      <c r="AC30" s="1" t="s">
        <v>104</v>
      </c>
      <c r="AD30" s="1" t="s">
        <v>105</v>
      </c>
      <c r="AE30" s="1" t="s">
        <v>106</v>
      </c>
      <c r="AF30" s="1" t="s">
        <v>107</v>
      </c>
      <c r="AG30" s="1">
        <v>27</v>
      </c>
      <c r="AO30" s="2">
        <v>46273</v>
      </c>
      <c r="AP30" s="1" t="s">
        <v>108</v>
      </c>
      <c r="AS30" s="1" t="s">
        <v>71</v>
      </c>
      <c r="AU30" s="1" t="s">
        <v>72</v>
      </c>
      <c r="AV30" s="1" t="s">
        <v>115</v>
      </c>
      <c r="AX30" s="1">
        <v>0</v>
      </c>
      <c r="BA30" s="1">
        <v>3</v>
      </c>
      <c r="BB30" s="1">
        <v>0</v>
      </c>
      <c r="BC30" s="1">
        <v>0</v>
      </c>
      <c r="BE30" s="1">
        <v>27185411</v>
      </c>
    </row>
    <row r="31" spans="1:57" x14ac:dyDescent="0.25">
      <c r="A31" s="1" t="str">
        <f>T("1943965294998001940")</f>
        <v>1943965294998001940</v>
      </c>
      <c r="B31" s="1" t="str">
        <f>T("249911656930")</f>
        <v>249911656930</v>
      </c>
      <c r="C31" s="1" t="str">
        <f>T("1941094470229430252")</f>
        <v>1941094470229430252</v>
      </c>
      <c r="M31" s="1" t="s">
        <v>59</v>
      </c>
      <c r="O31" s="1" t="s">
        <v>60</v>
      </c>
      <c r="P31" s="1" t="s">
        <v>83</v>
      </c>
      <c r="Q31" s="1" t="s">
        <v>112</v>
      </c>
      <c r="R31" s="1" t="s">
        <v>84</v>
      </c>
      <c r="S31" s="1" t="s">
        <v>94</v>
      </c>
      <c r="U31" s="1" t="s">
        <v>60</v>
      </c>
      <c r="V31" s="1" t="s">
        <v>103</v>
      </c>
      <c r="W31" s="1" t="s">
        <v>67</v>
      </c>
      <c r="X31" s="1" t="s">
        <v>68</v>
      </c>
      <c r="Y31" s="1" t="s">
        <v>69</v>
      </c>
      <c r="AA31" s="1">
        <v>1</v>
      </c>
      <c r="AB31" s="1">
        <v>1</v>
      </c>
      <c r="AC31" s="1" t="s">
        <v>104</v>
      </c>
      <c r="AD31" s="1" t="s">
        <v>105</v>
      </c>
      <c r="AE31" s="1" t="s">
        <v>106</v>
      </c>
      <c r="AF31" s="1" t="s">
        <v>107</v>
      </c>
      <c r="AG31" s="1">
        <v>36</v>
      </c>
      <c r="AO31" s="2">
        <v>46273</v>
      </c>
      <c r="AP31" s="1" t="s">
        <v>108</v>
      </c>
      <c r="AQ31" s="2">
        <v>46273</v>
      </c>
      <c r="AR31" s="1" t="s">
        <v>125</v>
      </c>
      <c r="AS31" s="1" t="s">
        <v>71</v>
      </c>
      <c r="AU31" s="1" t="s">
        <v>78</v>
      </c>
      <c r="AV31" s="1" t="s">
        <v>80</v>
      </c>
      <c r="AW31" s="1">
        <v>184.18</v>
      </c>
      <c r="AX31" s="1">
        <v>0</v>
      </c>
      <c r="AZ31" s="1" t="s">
        <v>81</v>
      </c>
      <c r="BA31" s="1">
        <v>1</v>
      </c>
      <c r="BB31" s="1">
        <v>0</v>
      </c>
      <c r="BC31" s="1">
        <v>0</v>
      </c>
      <c r="BE31" s="1">
        <v>27185411</v>
      </c>
    </row>
    <row r="32" spans="1:57" x14ac:dyDescent="0.25">
      <c r="A32" s="1" t="str">
        <f>T("1943965295006392156")</f>
        <v>1943965295006392156</v>
      </c>
      <c r="B32" s="1" t="str">
        <f>T("24991263364")</f>
        <v>24991263364</v>
      </c>
      <c r="C32" s="1" t="str">
        <f>T("1941094470229429752")</f>
        <v>1941094470229429752</v>
      </c>
      <c r="AC32" s="1" t="s">
        <v>104</v>
      </c>
      <c r="AD32" s="1" t="s">
        <v>105</v>
      </c>
      <c r="AE32" s="1" t="s">
        <v>106</v>
      </c>
      <c r="AF32" s="1" t="s">
        <v>107</v>
      </c>
      <c r="AG32" s="1">
        <v>46</v>
      </c>
      <c r="AO32" s="2">
        <v>46273</v>
      </c>
      <c r="AP32" s="1" t="s">
        <v>108</v>
      </c>
      <c r="AS32" s="1" t="s">
        <v>71</v>
      </c>
      <c r="AU32" s="1" t="s">
        <v>72</v>
      </c>
      <c r="AV32" s="1" t="s">
        <v>126</v>
      </c>
      <c r="AX32" s="1">
        <v>0</v>
      </c>
      <c r="BA32" s="1">
        <v>3</v>
      </c>
      <c r="BB32" s="1">
        <v>0</v>
      </c>
      <c r="BC32" s="1">
        <v>0</v>
      </c>
      <c r="BE32" s="1">
        <v>27185411</v>
      </c>
    </row>
    <row r="33" spans="1:57" x14ac:dyDescent="0.25">
      <c r="A33" s="1" t="str">
        <f>T("1943965295010584564")</f>
        <v>1943965295010584564</v>
      </c>
      <c r="B33" s="1" t="str">
        <f>T("249909947009")</f>
        <v>249909947009</v>
      </c>
      <c r="C33" s="1" t="str">
        <f>T("1941094470229429052")</f>
        <v>1941094470229429052</v>
      </c>
      <c r="AA33" s="1">
        <v>1</v>
      </c>
      <c r="AC33" s="1" t="s">
        <v>104</v>
      </c>
      <c r="AD33" s="1" t="s">
        <v>105</v>
      </c>
      <c r="AE33" s="1" t="s">
        <v>106</v>
      </c>
      <c r="AF33" s="1" t="s">
        <v>107</v>
      </c>
      <c r="AG33" s="1">
        <v>56</v>
      </c>
      <c r="AO33" s="2">
        <v>46273</v>
      </c>
      <c r="AP33" s="1" t="s">
        <v>108</v>
      </c>
      <c r="AQ33" s="2">
        <v>46273</v>
      </c>
      <c r="AR33" s="1" t="s">
        <v>117</v>
      </c>
      <c r="AS33" s="1" t="s">
        <v>71</v>
      </c>
      <c r="AU33" s="1" t="s">
        <v>79</v>
      </c>
      <c r="AV33" s="1" t="s">
        <v>80</v>
      </c>
      <c r="AW33" s="1">
        <v>71.98</v>
      </c>
      <c r="AX33" s="1">
        <v>0</v>
      </c>
      <c r="AZ33" s="1" t="s">
        <v>81</v>
      </c>
      <c r="BA33" s="1">
        <v>1</v>
      </c>
      <c r="BB33" s="1">
        <v>0</v>
      </c>
      <c r="BC33" s="1">
        <v>0</v>
      </c>
      <c r="BE33" s="1">
        <v>27185411</v>
      </c>
    </row>
    <row r="34" spans="1:57" x14ac:dyDescent="0.25">
      <c r="A34" s="1" t="str">
        <f>T("1943965295018974880")</f>
        <v>1943965295018974880</v>
      </c>
      <c r="B34" s="1" t="str">
        <f>T("249918082830")</f>
        <v>249918082830</v>
      </c>
      <c r="C34" s="1" t="str">
        <f>T("1941094470233620960")</f>
        <v>1941094470233620960</v>
      </c>
      <c r="AC34" s="1" t="s">
        <v>104</v>
      </c>
      <c r="AD34" s="1" t="s">
        <v>105</v>
      </c>
      <c r="AE34" s="1" t="s">
        <v>106</v>
      </c>
      <c r="AF34" s="1" t="s">
        <v>107</v>
      </c>
      <c r="AG34" s="1">
        <v>46</v>
      </c>
      <c r="AO34" s="2">
        <v>46273</v>
      </c>
      <c r="AP34" s="1" t="s">
        <v>108</v>
      </c>
      <c r="AS34" s="1" t="s">
        <v>71</v>
      </c>
      <c r="AU34" s="1" t="s">
        <v>72</v>
      </c>
      <c r="AV34" s="1" t="s">
        <v>73</v>
      </c>
      <c r="AX34" s="1">
        <v>0</v>
      </c>
      <c r="BA34" s="1">
        <v>3</v>
      </c>
      <c r="BB34" s="1">
        <v>0</v>
      </c>
      <c r="BC34" s="1">
        <v>0</v>
      </c>
      <c r="BE34" s="1">
        <v>27185411</v>
      </c>
    </row>
    <row r="35" spans="1:57" x14ac:dyDescent="0.25">
      <c r="A35" s="1" t="str">
        <f>T("1943965295090276816")</f>
        <v>1943965295090276816</v>
      </c>
      <c r="B35" s="1" t="str">
        <f>T("249928028866")</f>
        <v>249928028866</v>
      </c>
      <c r="C35" s="1" t="str">
        <f>T("1941094470233621460")</f>
        <v>1941094470233621460</v>
      </c>
      <c r="AA35" s="1">
        <v>1</v>
      </c>
      <c r="AC35" s="1" t="s">
        <v>104</v>
      </c>
      <c r="AD35" s="1" t="s">
        <v>105</v>
      </c>
      <c r="AE35" s="1" t="s">
        <v>106</v>
      </c>
      <c r="AF35" s="1" t="s">
        <v>107</v>
      </c>
      <c r="AG35" s="1">
        <v>42</v>
      </c>
      <c r="AO35" s="2">
        <v>46273</v>
      </c>
      <c r="AP35" s="1" t="s">
        <v>108</v>
      </c>
      <c r="AQ35" s="2">
        <v>46273</v>
      </c>
      <c r="AR35" s="1" t="s">
        <v>127</v>
      </c>
      <c r="AS35" s="1" t="s">
        <v>71</v>
      </c>
      <c r="AU35" s="1" t="s">
        <v>75</v>
      </c>
      <c r="AV35" s="1" t="s">
        <v>80</v>
      </c>
      <c r="AW35" s="1">
        <v>0.12</v>
      </c>
      <c r="AX35" s="1">
        <v>0</v>
      </c>
      <c r="AZ35" s="1" t="s">
        <v>81</v>
      </c>
      <c r="BA35" s="1">
        <v>2</v>
      </c>
      <c r="BB35" s="1">
        <v>0</v>
      </c>
      <c r="BC35" s="1">
        <v>0</v>
      </c>
      <c r="BE35" s="1">
        <v>27185411</v>
      </c>
    </row>
    <row r="36" spans="1:57" x14ac:dyDescent="0.25">
      <c r="A36" s="1" t="str">
        <f>T("1943965295090277916")</f>
        <v>1943965295090277916</v>
      </c>
      <c r="B36" s="1" t="str">
        <f>T("249905959525")</f>
        <v>249905959525</v>
      </c>
      <c r="C36" s="1" t="str">
        <f>T("1941094470233621960")</f>
        <v>1941094470233621960</v>
      </c>
      <c r="M36" s="1" t="s">
        <v>59</v>
      </c>
      <c r="AA36" s="1">
        <v>1</v>
      </c>
      <c r="AC36" s="1" t="s">
        <v>104</v>
      </c>
      <c r="AD36" s="1" t="s">
        <v>105</v>
      </c>
      <c r="AE36" s="1" t="s">
        <v>106</v>
      </c>
      <c r="AF36" s="1" t="s">
        <v>107</v>
      </c>
      <c r="AG36" s="1">
        <v>25</v>
      </c>
      <c r="AO36" s="2">
        <v>46273</v>
      </c>
      <c r="AP36" s="1" t="s">
        <v>108</v>
      </c>
      <c r="AQ36" s="2">
        <v>46273</v>
      </c>
      <c r="AR36" s="1" t="s">
        <v>117</v>
      </c>
      <c r="AS36" s="1" t="s">
        <v>71</v>
      </c>
      <c r="AU36" s="1" t="s">
        <v>79</v>
      </c>
      <c r="AV36" s="1" t="s">
        <v>80</v>
      </c>
      <c r="AW36" s="1">
        <v>63.08</v>
      </c>
      <c r="AX36" s="1">
        <v>0</v>
      </c>
      <c r="AZ36" s="1" t="s">
        <v>81</v>
      </c>
      <c r="BA36" s="1">
        <v>1</v>
      </c>
      <c r="BB36" s="1">
        <v>0</v>
      </c>
      <c r="BC36" s="1">
        <v>0</v>
      </c>
      <c r="BE36" s="1">
        <v>27185411</v>
      </c>
    </row>
    <row r="37" spans="1:57" x14ac:dyDescent="0.25">
      <c r="A37" s="1" t="str">
        <f>T("1943965295098664732")</f>
        <v>1943965295098664732</v>
      </c>
      <c r="B37" s="1" t="str">
        <f>T("249910012324")</f>
        <v>249910012324</v>
      </c>
      <c r="C37" s="1" t="str">
        <f>T("1941094470233622360")</f>
        <v>1941094470233622360</v>
      </c>
      <c r="AC37" s="1" t="s">
        <v>104</v>
      </c>
      <c r="AD37" s="1" t="s">
        <v>105</v>
      </c>
      <c r="AE37" s="1" t="s">
        <v>106</v>
      </c>
      <c r="AF37" s="1" t="s">
        <v>107</v>
      </c>
      <c r="AG37" s="1">
        <v>31</v>
      </c>
      <c r="AO37" s="2">
        <v>46273</v>
      </c>
      <c r="AP37" s="1" t="s">
        <v>108</v>
      </c>
      <c r="AS37" s="1" t="s">
        <v>71</v>
      </c>
      <c r="AU37" s="1" t="s">
        <v>72</v>
      </c>
      <c r="AV37" s="1" t="s">
        <v>73</v>
      </c>
      <c r="AX37" s="1">
        <v>0</v>
      </c>
      <c r="BA37" s="1">
        <v>3</v>
      </c>
      <c r="BB37" s="1">
        <v>0</v>
      </c>
      <c r="BC37" s="1">
        <v>0</v>
      </c>
      <c r="BE37" s="1">
        <v>27185411</v>
      </c>
    </row>
    <row r="38" spans="1:57" x14ac:dyDescent="0.25">
      <c r="A38" s="1" t="str">
        <f>T("1943965295102860040")</f>
        <v>1943965295102860040</v>
      </c>
      <c r="B38" s="1" t="str">
        <f>T("249912794469")</f>
        <v>249912794469</v>
      </c>
      <c r="C38" s="1" t="str">
        <f>T("1941094470233622860")</f>
        <v>1941094470233622860</v>
      </c>
      <c r="AA38" s="1">
        <v>1</v>
      </c>
      <c r="AC38" s="1" t="s">
        <v>104</v>
      </c>
      <c r="AD38" s="1" t="s">
        <v>105</v>
      </c>
      <c r="AE38" s="1" t="s">
        <v>106</v>
      </c>
      <c r="AF38" s="1" t="s">
        <v>107</v>
      </c>
      <c r="AG38" s="1">
        <v>53</v>
      </c>
      <c r="AO38" s="2">
        <v>46273</v>
      </c>
      <c r="AP38" s="1" t="s">
        <v>108</v>
      </c>
      <c r="AQ38" s="2">
        <v>46273</v>
      </c>
      <c r="AR38" s="1" t="s">
        <v>128</v>
      </c>
      <c r="AS38" s="1" t="s">
        <v>71</v>
      </c>
      <c r="AU38" s="1" t="s">
        <v>79</v>
      </c>
      <c r="AV38" s="1" t="s">
        <v>80</v>
      </c>
      <c r="AW38" s="1">
        <v>71.38</v>
      </c>
      <c r="AX38" s="1">
        <v>0</v>
      </c>
      <c r="AZ38" s="1" t="s">
        <v>81</v>
      </c>
      <c r="BA38" s="1">
        <v>1</v>
      </c>
      <c r="BB38" s="1">
        <v>0</v>
      </c>
      <c r="BC38" s="1">
        <v>0</v>
      </c>
      <c r="BE38" s="1">
        <v>27185411</v>
      </c>
    </row>
    <row r="39" spans="1:57" x14ac:dyDescent="0.25">
      <c r="A39" s="1" t="str">
        <f>T("1943965295153192736")</f>
        <v>1943965295153192736</v>
      </c>
      <c r="B39" s="1" t="str">
        <f>T("249116526795")</f>
        <v>249116526795</v>
      </c>
      <c r="C39" s="1" t="str">
        <f>T("1941094470233623360")</f>
        <v>1941094470233623360</v>
      </c>
      <c r="AC39" s="1" t="s">
        <v>104</v>
      </c>
      <c r="AD39" s="1" t="s">
        <v>105</v>
      </c>
      <c r="AE39" s="1" t="s">
        <v>106</v>
      </c>
      <c r="AF39" s="1" t="s">
        <v>107</v>
      </c>
      <c r="AG39" s="1">
        <v>54</v>
      </c>
      <c r="AO39" s="2">
        <v>46273</v>
      </c>
      <c r="AP39" s="1" t="s">
        <v>108</v>
      </c>
      <c r="AS39" s="1" t="s">
        <v>71</v>
      </c>
      <c r="AU39" s="1" t="s">
        <v>72</v>
      </c>
      <c r="AV39" s="1" t="s">
        <v>73</v>
      </c>
      <c r="AX39" s="1">
        <v>0</v>
      </c>
      <c r="BA39" s="1">
        <v>3</v>
      </c>
      <c r="BB39" s="1">
        <v>0</v>
      </c>
      <c r="BC39" s="1">
        <v>0</v>
      </c>
      <c r="BE39" s="1">
        <v>27185411</v>
      </c>
    </row>
    <row r="40" spans="1:57" x14ac:dyDescent="0.25">
      <c r="A40" s="1" t="str">
        <f>T("1943965295157383344")</f>
        <v>1943965295157383344</v>
      </c>
      <c r="B40" s="1" t="str">
        <f>T("249912820702")</f>
        <v>249912820702</v>
      </c>
      <c r="C40" s="1" t="str">
        <f>T("1941094470233623960")</f>
        <v>1941094470233623960</v>
      </c>
      <c r="AA40" s="1">
        <v>1</v>
      </c>
      <c r="AC40" s="1" t="s">
        <v>104</v>
      </c>
      <c r="AD40" s="1" t="s">
        <v>105</v>
      </c>
      <c r="AE40" s="1" t="s">
        <v>106</v>
      </c>
      <c r="AF40" s="1" t="s">
        <v>107</v>
      </c>
      <c r="AG40" s="1">
        <v>39</v>
      </c>
      <c r="AO40" s="2">
        <v>46273</v>
      </c>
      <c r="AP40" s="1" t="s">
        <v>108</v>
      </c>
      <c r="AQ40" s="2">
        <v>46273</v>
      </c>
      <c r="AR40" s="1" t="s">
        <v>129</v>
      </c>
      <c r="AS40" s="1" t="s">
        <v>71</v>
      </c>
      <c r="AU40" s="1" t="s">
        <v>79</v>
      </c>
      <c r="AV40" s="1" t="s">
        <v>80</v>
      </c>
      <c r="AW40" s="1">
        <v>115.26</v>
      </c>
      <c r="AX40" s="1">
        <v>0</v>
      </c>
      <c r="AZ40" s="1" t="s">
        <v>81</v>
      </c>
      <c r="BA40" s="1">
        <v>1</v>
      </c>
      <c r="BB40" s="1">
        <v>0</v>
      </c>
      <c r="BC40" s="1">
        <v>0</v>
      </c>
      <c r="BE40" s="1">
        <v>27185411</v>
      </c>
    </row>
    <row r="41" spans="1:57" x14ac:dyDescent="0.25">
      <c r="A41" s="1" t="str">
        <f>T("1943965295161579852")</f>
        <v>1943965295161579852</v>
      </c>
      <c r="B41" s="1" t="str">
        <f>T("24912945480")</f>
        <v>24912945480</v>
      </c>
      <c r="C41" s="1" t="str">
        <f>T("1941094470233624560")</f>
        <v>1941094470233624560</v>
      </c>
      <c r="AC41" s="1" t="s">
        <v>104</v>
      </c>
      <c r="AD41" s="1" t="s">
        <v>105</v>
      </c>
      <c r="AE41" s="1" t="s">
        <v>106</v>
      </c>
      <c r="AF41" s="1" t="s">
        <v>107</v>
      </c>
      <c r="AG41" s="1">
        <v>38</v>
      </c>
      <c r="AO41" s="2">
        <v>46273</v>
      </c>
      <c r="AP41" s="1" t="s">
        <v>108</v>
      </c>
      <c r="AS41" s="1" t="s">
        <v>71</v>
      </c>
      <c r="AU41" s="1" t="s">
        <v>72</v>
      </c>
      <c r="AV41" s="1" t="s">
        <v>126</v>
      </c>
      <c r="AX41" s="1">
        <v>0</v>
      </c>
      <c r="BA41" s="1">
        <v>3</v>
      </c>
      <c r="BB41" s="1">
        <v>0</v>
      </c>
      <c r="BC41" s="1">
        <v>0</v>
      </c>
      <c r="BE41" s="1">
        <v>27185411</v>
      </c>
    </row>
    <row r="42" spans="1:57" x14ac:dyDescent="0.25">
      <c r="A42" s="1" t="str">
        <f>T("1943965295165775460")</f>
        <v>1943965295165775460</v>
      </c>
      <c r="B42" s="1" t="str">
        <f>T("249923778733")</f>
        <v>249923778733</v>
      </c>
      <c r="C42" s="1" t="str">
        <f>T("1941094470237815368")</f>
        <v>1941094470237815368</v>
      </c>
      <c r="AC42" s="1" t="s">
        <v>104</v>
      </c>
      <c r="AD42" s="1" t="s">
        <v>105</v>
      </c>
      <c r="AE42" s="1" t="s">
        <v>106</v>
      </c>
      <c r="AF42" s="1" t="s">
        <v>107</v>
      </c>
      <c r="AG42" s="1">
        <v>41</v>
      </c>
      <c r="AO42" s="2">
        <v>46273</v>
      </c>
      <c r="AP42" s="1" t="s">
        <v>108</v>
      </c>
      <c r="AQ42" s="2">
        <v>46273</v>
      </c>
      <c r="AR42" s="1" t="s">
        <v>130</v>
      </c>
      <c r="AS42" s="1" t="s">
        <v>71</v>
      </c>
      <c r="AU42" s="1" t="s">
        <v>75</v>
      </c>
      <c r="AV42" s="1" t="s">
        <v>80</v>
      </c>
      <c r="AW42" s="1">
        <v>0.1</v>
      </c>
      <c r="AX42" s="1">
        <v>0</v>
      </c>
      <c r="AZ42" s="1" t="s">
        <v>81</v>
      </c>
      <c r="BA42" s="1">
        <v>2</v>
      </c>
      <c r="BB42" s="1">
        <v>0</v>
      </c>
      <c r="BC42" s="1">
        <v>0</v>
      </c>
      <c r="BE42" s="1">
        <v>27185411</v>
      </c>
    </row>
    <row r="43" spans="1:57" x14ac:dyDescent="0.25">
      <c r="A43" s="1" t="str">
        <f>T("1943965295211910748")</f>
        <v>1943965295211910748</v>
      </c>
      <c r="B43" s="1" t="str">
        <f>T("249965448180")</f>
        <v>249965448180</v>
      </c>
      <c r="C43" s="1" t="str">
        <f>T("1941094470237815768")</f>
        <v>1941094470237815768</v>
      </c>
      <c r="AC43" s="1" t="s">
        <v>104</v>
      </c>
      <c r="AD43" s="1" t="s">
        <v>105</v>
      </c>
      <c r="AE43" s="1" t="s">
        <v>106</v>
      </c>
      <c r="AF43" s="1" t="s">
        <v>107</v>
      </c>
      <c r="AG43" s="1">
        <v>27</v>
      </c>
      <c r="AO43" s="2">
        <v>46273</v>
      </c>
      <c r="AP43" s="1" t="s">
        <v>108</v>
      </c>
      <c r="AS43" s="1" t="s">
        <v>71</v>
      </c>
      <c r="AU43" s="1" t="s">
        <v>72</v>
      </c>
      <c r="AV43" s="1" t="s">
        <v>131</v>
      </c>
      <c r="AX43" s="1">
        <v>0</v>
      </c>
      <c r="BA43" s="1">
        <v>3</v>
      </c>
      <c r="BB43" s="1">
        <v>0</v>
      </c>
      <c r="BC43" s="1">
        <v>0</v>
      </c>
      <c r="BE43" s="1">
        <v>27185411</v>
      </c>
    </row>
    <row r="44" spans="1:57" x14ac:dyDescent="0.25">
      <c r="A44" s="1" t="str">
        <f>T("1943965295220300664")</f>
        <v>1943965295220300664</v>
      </c>
      <c r="B44" s="1" t="str">
        <f>T("24999655354")</f>
        <v>24999655354</v>
      </c>
      <c r="C44" s="1" t="str">
        <f>T("1941094470237816168")</f>
        <v>1941094470237816168</v>
      </c>
      <c r="AC44" s="1" t="s">
        <v>104</v>
      </c>
      <c r="AD44" s="1" t="s">
        <v>105</v>
      </c>
      <c r="AE44" s="1" t="s">
        <v>106</v>
      </c>
      <c r="AF44" s="1" t="s">
        <v>107</v>
      </c>
      <c r="AG44" s="1">
        <v>44</v>
      </c>
      <c r="AO44" s="2">
        <v>46273</v>
      </c>
      <c r="AP44" s="1" t="s">
        <v>108</v>
      </c>
      <c r="AS44" s="1" t="s">
        <v>71</v>
      </c>
      <c r="AU44" s="1" t="s">
        <v>72</v>
      </c>
      <c r="AV44" s="1" t="s">
        <v>73</v>
      </c>
      <c r="AX44" s="1">
        <v>0</v>
      </c>
      <c r="BA44" s="1">
        <v>3</v>
      </c>
      <c r="BB44" s="1">
        <v>0</v>
      </c>
      <c r="BC44" s="1">
        <v>0</v>
      </c>
      <c r="BE44" s="1">
        <v>27185411</v>
      </c>
    </row>
    <row r="45" spans="1:57" x14ac:dyDescent="0.25">
      <c r="A45" s="1" t="str">
        <f>T("1943965295224492872")</f>
        <v>1943965295224492872</v>
      </c>
      <c r="B45" s="1" t="str">
        <f>T("249912410168")</f>
        <v>249912410168</v>
      </c>
      <c r="C45" s="1" t="str">
        <f>T("1941094470237817068")</f>
        <v>1941094470237817068</v>
      </c>
      <c r="AA45" s="1">
        <v>1</v>
      </c>
      <c r="AC45" s="1" t="s">
        <v>104</v>
      </c>
      <c r="AD45" s="1" t="s">
        <v>105</v>
      </c>
      <c r="AE45" s="1" t="s">
        <v>106</v>
      </c>
      <c r="AF45" s="1" t="s">
        <v>107</v>
      </c>
      <c r="AG45" s="1">
        <v>38</v>
      </c>
      <c r="AO45" s="2">
        <v>46273</v>
      </c>
      <c r="AP45" s="1" t="s">
        <v>108</v>
      </c>
      <c r="AQ45" s="2">
        <v>46273</v>
      </c>
      <c r="AR45" s="1" t="s">
        <v>130</v>
      </c>
      <c r="AS45" s="1" t="s">
        <v>71</v>
      </c>
      <c r="AU45" s="1" t="s">
        <v>75</v>
      </c>
      <c r="AV45" s="1" t="s">
        <v>80</v>
      </c>
      <c r="AW45" s="1">
        <v>0.12</v>
      </c>
      <c r="AX45" s="1">
        <v>0</v>
      </c>
      <c r="AZ45" s="1" t="s">
        <v>81</v>
      </c>
      <c r="BA45" s="1">
        <v>2</v>
      </c>
      <c r="BB45" s="1">
        <v>0</v>
      </c>
      <c r="BC45" s="1">
        <v>0</v>
      </c>
      <c r="BE45" s="1">
        <v>27185411</v>
      </c>
    </row>
    <row r="46" spans="1:57" x14ac:dyDescent="0.25">
      <c r="A46" s="1" t="str">
        <f>T("1943965295224494372")</f>
        <v>1943965295224494372</v>
      </c>
      <c r="B46" s="1" t="str">
        <f>T("249905504751")</f>
        <v>249905504751</v>
      </c>
      <c r="C46" s="1" t="str">
        <f>T("1941094470237816568")</f>
        <v>1941094470237816568</v>
      </c>
      <c r="AC46" s="1" t="s">
        <v>104</v>
      </c>
      <c r="AD46" s="1" t="s">
        <v>105</v>
      </c>
      <c r="AE46" s="1" t="s">
        <v>106</v>
      </c>
      <c r="AF46" s="1" t="s">
        <v>107</v>
      </c>
      <c r="AG46" s="1">
        <v>23</v>
      </c>
      <c r="AO46" s="2">
        <v>46273</v>
      </c>
      <c r="AP46" s="1" t="s">
        <v>108</v>
      </c>
      <c r="AS46" s="1" t="s">
        <v>71</v>
      </c>
      <c r="AU46" s="1" t="s">
        <v>72</v>
      </c>
      <c r="AV46" s="1" t="s">
        <v>73</v>
      </c>
      <c r="AX46" s="1">
        <v>0</v>
      </c>
      <c r="BA46" s="1">
        <v>3</v>
      </c>
      <c r="BB46" s="1">
        <v>0</v>
      </c>
      <c r="BC46" s="1">
        <v>0</v>
      </c>
      <c r="BE46" s="1">
        <v>27185411</v>
      </c>
    </row>
    <row r="47" spans="1:57" x14ac:dyDescent="0.25">
      <c r="A47" s="1" t="str">
        <f>T("1943965295270632660")</f>
        <v>1943965295270632660</v>
      </c>
      <c r="B47" s="1" t="str">
        <f>T("249911131416")</f>
        <v>249911131416</v>
      </c>
      <c r="C47" s="1" t="str">
        <f>T("1941094470237817568")</f>
        <v>1941094470237817568</v>
      </c>
      <c r="M47" s="1" t="s">
        <v>59</v>
      </c>
      <c r="O47" s="1" t="s">
        <v>60</v>
      </c>
      <c r="P47" s="1" t="s">
        <v>83</v>
      </c>
      <c r="Q47" s="1" t="s">
        <v>112</v>
      </c>
      <c r="R47" s="1" t="s">
        <v>63</v>
      </c>
      <c r="S47" s="1" t="s">
        <v>94</v>
      </c>
      <c r="U47" s="1" t="s">
        <v>60</v>
      </c>
      <c r="V47" s="1" t="s">
        <v>103</v>
      </c>
      <c r="W47" s="1" t="s">
        <v>60</v>
      </c>
      <c r="X47" s="1" t="s">
        <v>102</v>
      </c>
      <c r="Y47" s="1" t="s">
        <v>69</v>
      </c>
      <c r="AA47" s="1">
        <v>1</v>
      </c>
      <c r="AB47" s="1">
        <v>1</v>
      </c>
      <c r="AC47" s="1" t="s">
        <v>104</v>
      </c>
      <c r="AD47" s="1" t="s">
        <v>105</v>
      </c>
      <c r="AE47" s="1" t="s">
        <v>106</v>
      </c>
      <c r="AF47" s="1" t="s">
        <v>107</v>
      </c>
      <c r="AG47" s="1">
        <v>68</v>
      </c>
      <c r="AO47" s="2">
        <v>46273</v>
      </c>
      <c r="AP47" s="1" t="s">
        <v>108</v>
      </c>
      <c r="AQ47" s="2">
        <v>46273</v>
      </c>
      <c r="AR47" s="1" t="s">
        <v>132</v>
      </c>
      <c r="AS47" s="1" t="s">
        <v>71</v>
      </c>
      <c r="AU47" s="1" t="s">
        <v>78</v>
      </c>
      <c r="AV47" s="1" t="s">
        <v>80</v>
      </c>
      <c r="AW47" s="1">
        <v>229</v>
      </c>
      <c r="AX47" s="1">
        <v>0</v>
      </c>
      <c r="AZ47" s="1" t="s">
        <v>81</v>
      </c>
      <c r="BA47" s="1">
        <v>3</v>
      </c>
      <c r="BB47" s="1">
        <v>0</v>
      </c>
      <c r="BC47" s="1">
        <v>0</v>
      </c>
      <c r="BE47" s="1">
        <v>27185411</v>
      </c>
    </row>
    <row r="48" spans="1:57" x14ac:dyDescent="0.25">
      <c r="A48" s="1" t="str">
        <f>T("1943965295274823768")</f>
        <v>1943965295274823768</v>
      </c>
      <c r="B48" s="1" t="str">
        <f>T("249923611718")</f>
        <v>249923611718</v>
      </c>
      <c r="C48" s="1" t="str">
        <f>T("1941094470237818068")</f>
        <v>1941094470237818068</v>
      </c>
      <c r="M48" s="1" t="s">
        <v>133</v>
      </c>
      <c r="AA48" s="1">
        <v>1</v>
      </c>
      <c r="AC48" s="1" t="s">
        <v>104</v>
      </c>
      <c r="AD48" s="1" t="s">
        <v>105</v>
      </c>
      <c r="AE48" s="1" t="s">
        <v>106</v>
      </c>
      <c r="AF48" s="1" t="s">
        <v>107</v>
      </c>
      <c r="AG48" s="1">
        <v>28</v>
      </c>
      <c r="AO48" s="2">
        <v>46273</v>
      </c>
      <c r="AP48" s="1" t="s">
        <v>108</v>
      </c>
      <c r="AQ48" s="2">
        <v>46273</v>
      </c>
      <c r="AR48" s="1" t="s">
        <v>134</v>
      </c>
      <c r="AS48" s="1" t="s">
        <v>71</v>
      </c>
      <c r="AU48" s="1" t="s">
        <v>75</v>
      </c>
      <c r="AV48" s="1" t="s">
        <v>80</v>
      </c>
      <c r="AW48" s="1">
        <v>0.1</v>
      </c>
      <c r="AX48" s="1">
        <v>0</v>
      </c>
      <c r="AZ48" s="1" t="s">
        <v>81</v>
      </c>
      <c r="BA48" s="1">
        <v>2</v>
      </c>
      <c r="BB48" s="1">
        <v>0</v>
      </c>
      <c r="BC48" s="1">
        <v>0</v>
      </c>
      <c r="BE48" s="1">
        <v>27185411</v>
      </c>
    </row>
    <row r="49" spans="1:57" x14ac:dyDescent="0.25">
      <c r="A49" s="1" t="str">
        <f>T("1943965295279019476")</f>
        <v>1943965295279019476</v>
      </c>
      <c r="B49" s="1" t="str">
        <f>T("249912595140")</f>
        <v>249912595140</v>
      </c>
      <c r="C49" s="1" t="str">
        <f>T("1941094470237818568")</f>
        <v>1941094470237818568</v>
      </c>
      <c r="AC49" s="1" t="s">
        <v>104</v>
      </c>
      <c r="AD49" s="1" t="s">
        <v>105</v>
      </c>
      <c r="AE49" s="1" t="s">
        <v>106</v>
      </c>
      <c r="AF49" s="1" t="s">
        <v>107</v>
      </c>
      <c r="AG49" s="1">
        <v>46</v>
      </c>
      <c r="AO49" s="2">
        <v>46273</v>
      </c>
      <c r="AP49" s="1" t="s">
        <v>108</v>
      </c>
      <c r="AS49" s="1" t="s">
        <v>71</v>
      </c>
      <c r="AU49" s="1" t="s">
        <v>72</v>
      </c>
      <c r="AV49" s="1" t="s">
        <v>131</v>
      </c>
      <c r="AX49" s="1">
        <v>0</v>
      </c>
      <c r="BA49" s="1">
        <v>3</v>
      </c>
      <c r="BB49" s="1">
        <v>0</v>
      </c>
      <c r="BC49" s="1">
        <v>0</v>
      </c>
      <c r="BE49" s="1">
        <v>27185411</v>
      </c>
    </row>
    <row r="50" spans="1:57" x14ac:dyDescent="0.25">
      <c r="A50" s="1" t="str">
        <f>T("1943965295295796808")</f>
        <v>1943965295295796808</v>
      </c>
      <c r="B50" s="1" t="str">
        <f>T("249913789533")</f>
        <v>249913789533</v>
      </c>
      <c r="C50" s="1" t="str">
        <f>T("1941094470242009276")</f>
        <v>1941094470242009276</v>
      </c>
      <c r="AA50" s="1">
        <v>1</v>
      </c>
      <c r="AC50" s="1" t="s">
        <v>104</v>
      </c>
      <c r="AD50" s="1" t="s">
        <v>105</v>
      </c>
      <c r="AE50" s="1" t="s">
        <v>106</v>
      </c>
      <c r="AF50" s="1" t="s">
        <v>107</v>
      </c>
      <c r="AG50" s="1">
        <v>38</v>
      </c>
      <c r="AO50" s="2">
        <v>46273</v>
      </c>
      <c r="AP50" s="1" t="s">
        <v>108</v>
      </c>
      <c r="AQ50" s="2">
        <v>46273</v>
      </c>
      <c r="AR50" s="1" t="s">
        <v>135</v>
      </c>
      <c r="AS50" s="1" t="s">
        <v>71</v>
      </c>
      <c r="AU50" s="1" t="s">
        <v>75</v>
      </c>
      <c r="AV50" s="1" t="s">
        <v>80</v>
      </c>
      <c r="AW50" s="1">
        <v>0.12</v>
      </c>
      <c r="AX50" s="1">
        <v>0</v>
      </c>
      <c r="AZ50" s="1" t="s">
        <v>81</v>
      </c>
      <c r="BA50" s="1">
        <v>2</v>
      </c>
      <c r="BB50" s="1">
        <v>0</v>
      </c>
      <c r="BC50" s="1">
        <v>0</v>
      </c>
      <c r="BE50" s="1">
        <v>27185411</v>
      </c>
    </row>
    <row r="51" spans="1:57" x14ac:dyDescent="0.25">
      <c r="A51" s="1" t="str">
        <f>T("1943965295337740288")</f>
        <v>1943965295337740288</v>
      </c>
      <c r="B51" s="1" t="str">
        <f>T("249910070340")</f>
        <v>249910070340</v>
      </c>
      <c r="C51" s="1" t="str">
        <f>T("1941094470242009676")</f>
        <v>1941094470242009676</v>
      </c>
      <c r="AC51" s="1" t="s">
        <v>104</v>
      </c>
      <c r="AD51" s="1" t="s">
        <v>105</v>
      </c>
      <c r="AE51" s="1" t="s">
        <v>106</v>
      </c>
      <c r="AF51" s="1" t="s">
        <v>107</v>
      </c>
      <c r="AG51" s="1">
        <v>34</v>
      </c>
      <c r="AO51" s="2">
        <v>46273</v>
      </c>
      <c r="AP51" s="1" t="s">
        <v>108</v>
      </c>
      <c r="AS51" s="1" t="s">
        <v>71</v>
      </c>
      <c r="AU51" s="1" t="s">
        <v>72</v>
      </c>
      <c r="AV51" s="1" t="s">
        <v>131</v>
      </c>
      <c r="AX51" s="1">
        <v>0</v>
      </c>
      <c r="BA51" s="1">
        <v>3</v>
      </c>
      <c r="BB51" s="1">
        <v>0</v>
      </c>
      <c r="BC51" s="1">
        <v>0</v>
      </c>
      <c r="BE51" s="1">
        <v>27185411</v>
      </c>
    </row>
    <row r="52" spans="1:57" x14ac:dyDescent="0.25">
      <c r="A52" s="1" t="str">
        <f>T("1943965295337741788")</f>
        <v>1943965295337741788</v>
      </c>
      <c r="B52" s="1" t="str">
        <f>T("249918764585")</f>
        <v>249918764585</v>
      </c>
      <c r="C52" s="1" t="str">
        <f>T("1941094470242009976")</f>
        <v>1941094470242009976</v>
      </c>
      <c r="AC52" s="1" t="s">
        <v>104</v>
      </c>
      <c r="AD52" s="1" t="s">
        <v>105</v>
      </c>
      <c r="AE52" s="1" t="s">
        <v>106</v>
      </c>
      <c r="AF52" s="1" t="s">
        <v>107</v>
      </c>
      <c r="AG52" s="1">
        <v>48</v>
      </c>
      <c r="AO52" s="2">
        <v>46273</v>
      </c>
      <c r="AP52" s="1" t="s">
        <v>108</v>
      </c>
      <c r="AQ52" s="2">
        <v>46273</v>
      </c>
      <c r="AR52" s="1" t="s">
        <v>136</v>
      </c>
      <c r="AS52" s="1" t="s">
        <v>71</v>
      </c>
      <c r="AU52" s="1" t="s">
        <v>75</v>
      </c>
      <c r="AV52" s="1" t="s">
        <v>80</v>
      </c>
      <c r="AW52" s="1">
        <v>0.1</v>
      </c>
      <c r="AX52" s="1">
        <v>0</v>
      </c>
      <c r="AZ52" s="1" t="s">
        <v>81</v>
      </c>
      <c r="BA52" s="1">
        <v>2</v>
      </c>
      <c r="BB52" s="1">
        <v>0</v>
      </c>
      <c r="BC52" s="1">
        <v>0</v>
      </c>
      <c r="BE52" s="1">
        <v>27185411</v>
      </c>
    </row>
    <row r="53" spans="1:57" x14ac:dyDescent="0.25">
      <c r="A53" s="1" t="str">
        <f>T("1943965295341932896")</f>
        <v>1943965295341932896</v>
      </c>
      <c r="B53" s="1" t="str">
        <f>T("249961065044")</f>
        <v>249961065044</v>
      </c>
      <c r="C53" s="1" t="str">
        <f>T("1941094470242010376")</f>
        <v>1941094470242010376</v>
      </c>
      <c r="AC53" s="1" t="s">
        <v>104</v>
      </c>
      <c r="AD53" s="1" t="s">
        <v>105</v>
      </c>
      <c r="AE53" s="1" t="s">
        <v>106</v>
      </c>
      <c r="AF53" s="1" t="s">
        <v>107</v>
      </c>
      <c r="AG53" s="1">
        <v>67</v>
      </c>
      <c r="AO53" s="2">
        <v>46273</v>
      </c>
      <c r="AP53" s="1" t="s">
        <v>108</v>
      </c>
      <c r="AS53" s="1" t="s">
        <v>71</v>
      </c>
      <c r="AU53" s="1" t="s">
        <v>72</v>
      </c>
      <c r="AV53" s="1" t="s">
        <v>73</v>
      </c>
      <c r="AX53" s="1">
        <v>0</v>
      </c>
      <c r="BA53" s="1">
        <v>3</v>
      </c>
      <c r="BB53" s="1">
        <v>0</v>
      </c>
      <c r="BC53" s="1">
        <v>0</v>
      </c>
      <c r="BE53" s="1">
        <v>27185411</v>
      </c>
    </row>
    <row r="54" spans="1:57" x14ac:dyDescent="0.25">
      <c r="A54" s="1" t="str">
        <f>T("1943965295350324712")</f>
        <v>1943965295350324712</v>
      </c>
      <c r="B54" s="1" t="str">
        <f>T("249918181311")</f>
        <v>249918181311</v>
      </c>
      <c r="C54" s="1" t="str">
        <f>T("1941094470242010876")</f>
        <v>1941094470242010876</v>
      </c>
      <c r="M54" s="1" t="s">
        <v>59</v>
      </c>
      <c r="O54" s="1" t="s">
        <v>60</v>
      </c>
      <c r="P54" s="1" t="s">
        <v>83</v>
      </c>
      <c r="Q54" s="1" t="s">
        <v>112</v>
      </c>
      <c r="R54" s="1" t="s">
        <v>93</v>
      </c>
      <c r="T54" s="1" t="s">
        <v>95</v>
      </c>
      <c r="U54" s="1" t="s">
        <v>65</v>
      </c>
      <c r="V54" s="1" t="s">
        <v>66</v>
      </c>
      <c r="W54" s="1" t="s">
        <v>60</v>
      </c>
      <c r="X54" s="1" t="s">
        <v>66</v>
      </c>
      <c r="Y54" s="1" t="s">
        <v>69</v>
      </c>
      <c r="AA54" s="1">
        <v>1</v>
      </c>
      <c r="AB54" s="1">
        <v>1</v>
      </c>
      <c r="AC54" s="1" t="s">
        <v>104</v>
      </c>
      <c r="AD54" s="1" t="s">
        <v>105</v>
      </c>
      <c r="AE54" s="1" t="s">
        <v>106</v>
      </c>
      <c r="AF54" s="1" t="s">
        <v>107</v>
      </c>
      <c r="AG54" s="1">
        <v>73</v>
      </c>
      <c r="AO54" s="2">
        <v>46273</v>
      </c>
      <c r="AP54" s="1" t="s">
        <v>108</v>
      </c>
      <c r="AQ54" s="2">
        <v>46273</v>
      </c>
      <c r="AR54" s="1" t="s">
        <v>137</v>
      </c>
      <c r="AS54" s="1" t="s">
        <v>71</v>
      </c>
      <c r="AU54" s="1" t="s">
        <v>75</v>
      </c>
      <c r="AV54" s="1" t="s">
        <v>80</v>
      </c>
      <c r="AW54" s="1">
        <v>0.12</v>
      </c>
      <c r="AX54" s="1">
        <v>0</v>
      </c>
      <c r="AZ54" s="1" t="s">
        <v>81</v>
      </c>
      <c r="BA54" s="1">
        <v>2</v>
      </c>
      <c r="BB54" s="1">
        <v>0</v>
      </c>
      <c r="BC54" s="1">
        <v>0</v>
      </c>
      <c r="BE54" s="1">
        <v>27185411</v>
      </c>
    </row>
    <row r="55" spans="1:57" x14ac:dyDescent="0.25">
      <c r="A55" s="1" t="str">
        <f>T("1943965295388071384")</f>
        <v>1943965295388071384</v>
      </c>
      <c r="B55" s="1" t="str">
        <f>T("249918760362")</f>
        <v>249918760362</v>
      </c>
      <c r="C55" s="1" t="str">
        <f>T("1941094470242011376")</f>
        <v>1941094470242011376</v>
      </c>
      <c r="AA55" s="1">
        <v>1</v>
      </c>
      <c r="AC55" s="1" t="s">
        <v>104</v>
      </c>
      <c r="AD55" s="1" t="s">
        <v>105</v>
      </c>
      <c r="AE55" s="1" t="s">
        <v>106</v>
      </c>
      <c r="AF55" s="1" t="s">
        <v>107</v>
      </c>
      <c r="AG55" s="1">
        <v>62</v>
      </c>
      <c r="AO55" s="2">
        <v>46273</v>
      </c>
      <c r="AP55" s="1" t="s">
        <v>108</v>
      </c>
      <c r="AQ55" s="2">
        <v>46273</v>
      </c>
      <c r="AR55" s="1" t="s">
        <v>138</v>
      </c>
      <c r="AS55" s="1" t="s">
        <v>71</v>
      </c>
      <c r="AU55" s="1" t="s">
        <v>75</v>
      </c>
      <c r="AV55" s="1" t="s">
        <v>80</v>
      </c>
      <c r="AW55" s="1">
        <v>0.1</v>
      </c>
      <c r="AX55" s="1">
        <v>0</v>
      </c>
      <c r="AZ55" s="1" t="s">
        <v>81</v>
      </c>
      <c r="BA55" s="1">
        <v>2</v>
      </c>
      <c r="BB55" s="1">
        <v>0</v>
      </c>
      <c r="BC55" s="1">
        <v>0</v>
      </c>
      <c r="BE55" s="1">
        <v>27185411</v>
      </c>
    </row>
    <row r="56" spans="1:57" x14ac:dyDescent="0.25">
      <c r="A56" s="1" t="str">
        <f>T("1943965295392266992")</f>
        <v>1943965295392266992</v>
      </c>
      <c r="B56" s="1" t="str">
        <f>T("249924667489")</f>
        <v>249924667489</v>
      </c>
      <c r="C56" s="1" t="str">
        <f>T("1941094470242011776")</f>
        <v>1941094470242011776</v>
      </c>
      <c r="AC56" s="1" t="s">
        <v>104</v>
      </c>
      <c r="AD56" s="1" t="s">
        <v>105</v>
      </c>
      <c r="AE56" s="1" t="s">
        <v>106</v>
      </c>
      <c r="AF56" s="1" t="s">
        <v>107</v>
      </c>
      <c r="AG56" s="1">
        <v>39</v>
      </c>
      <c r="AO56" s="2">
        <v>46273</v>
      </c>
      <c r="AP56" s="1" t="s">
        <v>108</v>
      </c>
      <c r="AS56" s="1" t="s">
        <v>71</v>
      </c>
      <c r="AU56" s="1" t="s">
        <v>72</v>
      </c>
      <c r="AV56" s="1" t="s">
        <v>73</v>
      </c>
      <c r="AX56" s="1">
        <v>0</v>
      </c>
      <c r="BA56" s="1">
        <v>3</v>
      </c>
      <c r="BB56" s="1">
        <v>0</v>
      </c>
      <c r="BC56" s="1">
        <v>0</v>
      </c>
      <c r="BE56" s="1">
        <v>27185411</v>
      </c>
    </row>
    <row r="57" spans="1:57" x14ac:dyDescent="0.25">
      <c r="A57" s="1" t="str">
        <f>T("1943965295400654908")</f>
        <v>1943965295400654908</v>
      </c>
      <c r="B57" s="1" t="str">
        <f>T("249916523985")</f>
        <v>249916523985</v>
      </c>
      <c r="C57" s="1" t="str">
        <f>T("1941094470242012076")</f>
        <v>1941094470242012076</v>
      </c>
      <c r="AC57" s="1" t="s">
        <v>104</v>
      </c>
      <c r="AD57" s="1" t="s">
        <v>105</v>
      </c>
      <c r="AE57" s="1" t="s">
        <v>106</v>
      </c>
      <c r="AF57" s="1" t="s">
        <v>107</v>
      </c>
      <c r="AG57" s="1">
        <v>40</v>
      </c>
      <c r="AO57" s="2">
        <v>46273</v>
      </c>
      <c r="AP57" s="1" t="s">
        <v>108</v>
      </c>
      <c r="AS57" s="1" t="s">
        <v>71</v>
      </c>
      <c r="AU57" s="1" t="s">
        <v>72</v>
      </c>
      <c r="AV57" s="1" t="s">
        <v>139</v>
      </c>
      <c r="AX57" s="1">
        <v>0</v>
      </c>
      <c r="BA57" s="1">
        <v>3</v>
      </c>
      <c r="BB57" s="1">
        <v>0</v>
      </c>
      <c r="BC57" s="1">
        <v>0</v>
      </c>
      <c r="BE57" s="1">
        <v>27185411</v>
      </c>
    </row>
    <row r="58" spans="1:57" x14ac:dyDescent="0.25">
      <c r="A58" s="1" t="str">
        <f>T("1943965295413236932")</f>
        <v>1943965295413236932</v>
      </c>
      <c r="B58" s="1" t="str">
        <f>T("249913164162")</f>
        <v>249913164162</v>
      </c>
      <c r="C58" s="1" t="str">
        <f>T("1941094470242012576")</f>
        <v>1941094470242012576</v>
      </c>
      <c r="AA58" s="1">
        <v>1</v>
      </c>
      <c r="AC58" s="1" t="s">
        <v>104</v>
      </c>
      <c r="AD58" s="1" t="s">
        <v>105</v>
      </c>
      <c r="AE58" s="1" t="s">
        <v>106</v>
      </c>
      <c r="AF58" s="1" t="s">
        <v>107</v>
      </c>
      <c r="AG58" s="1">
        <v>48</v>
      </c>
      <c r="AO58" s="2">
        <v>46273</v>
      </c>
      <c r="AP58" s="1" t="s">
        <v>108</v>
      </c>
      <c r="AQ58" s="2">
        <v>46273</v>
      </c>
      <c r="AR58" s="1" t="s">
        <v>140</v>
      </c>
      <c r="AS58" s="1" t="s">
        <v>71</v>
      </c>
      <c r="AU58" s="1" t="s">
        <v>75</v>
      </c>
      <c r="AV58" s="1" t="s">
        <v>80</v>
      </c>
      <c r="AW58" s="1">
        <v>0.12</v>
      </c>
      <c r="AX58" s="1">
        <v>0</v>
      </c>
      <c r="AZ58" s="1" t="s">
        <v>81</v>
      </c>
      <c r="BA58" s="1">
        <v>2</v>
      </c>
      <c r="BB58" s="1">
        <v>0</v>
      </c>
      <c r="BC58" s="1">
        <v>0</v>
      </c>
      <c r="BE58" s="1">
        <v>27185411</v>
      </c>
    </row>
    <row r="59" spans="1:57" x14ac:dyDescent="0.25">
      <c r="A59" s="1" t="str">
        <f>T("1943965295438405280")</f>
        <v>1943965295438405280</v>
      </c>
      <c r="B59" s="1" t="str">
        <f>T("249917215599")</f>
        <v>249917215599</v>
      </c>
      <c r="C59" s="1" t="str">
        <f>T("1941094470246204384")</f>
        <v>1941094470246204384</v>
      </c>
      <c r="AC59" s="1" t="s">
        <v>104</v>
      </c>
      <c r="AD59" s="1" t="s">
        <v>141</v>
      </c>
      <c r="AE59" s="1" t="s">
        <v>142</v>
      </c>
      <c r="AF59" s="1" t="s">
        <v>107</v>
      </c>
      <c r="AG59" s="1">
        <v>63</v>
      </c>
      <c r="AO59" s="2">
        <v>46273</v>
      </c>
      <c r="AP59" s="1" t="s">
        <v>108</v>
      </c>
      <c r="AS59" s="1" t="s">
        <v>71</v>
      </c>
      <c r="AU59" s="1" t="s">
        <v>72</v>
      </c>
      <c r="AV59" s="1" t="s">
        <v>73</v>
      </c>
      <c r="AX59" s="1">
        <v>0</v>
      </c>
      <c r="BA59" s="1">
        <v>3</v>
      </c>
      <c r="BB59" s="1">
        <v>0</v>
      </c>
      <c r="BC59" s="1">
        <v>0</v>
      </c>
      <c r="BE59" s="1">
        <v>27185411</v>
      </c>
    </row>
    <row r="60" spans="1:57" x14ac:dyDescent="0.25">
      <c r="A60" s="1" t="str">
        <f>T("1943965295442599588")</f>
        <v>1943965295442599588</v>
      </c>
      <c r="B60" s="1" t="str">
        <f>T("249918183827")</f>
        <v>249918183827</v>
      </c>
      <c r="C60" s="1" t="str">
        <f>T("1941094470246203684")</f>
        <v>1941094470246203684</v>
      </c>
      <c r="AC60" s="1" t="s">
        <v>104</v>
      </c>
      <c r="AD60" s="1" t="s">
        <v>105</v>
      </c>
      <c r="AE60" s="1" t="s">
        <v>106</v>
      </c>
      <c r="AF60" s="1" t="s">
        <v>107</v>
      </c>
      <c r="AG60" s="1">
        <v>55</v>
      </c>
      <c r="AO60" s="2">
        <v>46273</v>
      </c>
      <c r="AP60" s="1" t="s">
        <v>108</v>
      </c>
      <c r="AQ60" s="2">
        <v>46273</v>
      </c>
      <c r="AR60" s="1" t="s">
        <v>130</v>
      </c>
      <c r="AS60" s="1" t="s">
        <v>71</v>
      </c>
      <c r="AU60" s="1" t="s">
        <v>75</v>
      </c>
      <c r="AV60" s="1" t="s">
        <v>80</v>
      </c>
      <c r="AW60" s="1">
        <v>0.1</v>
      </c>
      <c r="AX60" s="1">
        <v>0</v>
      </c>
      <c r="AZ60" s="1" t="s">
        <v>81</v>
      </c>
      <c r="BA60" s="1">
        <v>2</v>
      </c>
      <c r="BB60" s="1">
        <v>0</v>
      </c>
      <c r="BC60" s="1">
        <v>0</v>
      </c>
      <c r="BE60" s="1">
        <v>27185411</v>
      </c>
    </row>
    <row r="61" spans="1:57" x14ac:dyDescent="0.25">
      <c r="A61" s="1" t="str">
        <f>T("1943965295455180512")</f>
        <v>1943965295455180512</v>
      </c>
      <c r="B61" s="1" t="str">
        <f>T("249126787731")</f>
        <v>249126787731</v>
      </c>
      <c r="C61" s="1" t="str">
        <f>T("1941094470250398792")</f>
        <v>1941094470250398792</v>
      </c>
      <c r="AA61" s="1">
        <v>1</v>
      </c>
      <c r="AC61" s="1" t="s">
        <v>104</v>
      </c>
      <c r="AD61" s="1" t="s">
        <v>141</v>
      </c>
      <c r="AE61" s="1" t="s">
        <v>142</v>
      </c>
      <c r="AF61" s="1" t="s">
        <v>107</v>
      </c>
      <c r="AG61" s="1">
        <v>60</v>
      </c>
      <c r="AO61" s="2">
        <v>46273</v>
      </c>
      <c r="AP61" s="1" t="s">
        <v>108</v>
      </c>
      <c r="AQ61" s="2">
        <v>46273</v>
      </c>
      <c r="AR61" s="1" t="s">
        <v>143</v>
      </c>
      <c r="AS61" s="1" t="s">
        <v>71</v>
      </c>
      <c r="AU61" s="1" t="s">
        <v>79</v>
      </c>
      <c r="AV61" s="1" t="s">
        <v>80</v>
      </c>
      <c r="AW61" s="1">
        <v>43.26</v>
      </c>
      <c r="AX61" s="1">
        <v>0</v>
      </c>
      <c r="AZ61" s="1" t="s">
        <v>81</v>
      </c>
      <c r="BA61" s="1">
        <v>3</v>
      </c>
      <c r="BB61" s="1">
        <v>0</v>
      </c>
      <c r="BC61" s="1">
        <v>0</v>
      </c>
      <c r="BE61" s="1">
        <v>27185411</v>
      </c>
    </row>
    <row r="62" spans="1:57" x14ac:dyDescent="0.25">
      <c r="A62" s="1" t="str">
        <f>T("1943965295484540568")</f>
        <v>1943965295484540568</v>
      </c>
      <c r="B62" s="1" t="str">
        <f>T("249907711310")</f>
        <v>249907711310</v>
      </c>
      <c r="C62" s="1" t="str">
        <f>T("1941094470250401292")</f>
        <v>1941094470250401292</v>
      </c>
      <c r="AC62" s="1" t="s">
        <v>104</v>
      </c>
      <c r="AD62" s="1" t="s">
        <v>141</v>
      </c>
      <c r="AE62" s="1" t="s">
        <v>142</v>
      </c>
      <c r="AF62" s="1" t="s">
        <v>144</v>
      </c>
      <c r="AG62" s="1">
        <v>47</v>
      </c>
      <c r="AO62" s="2">
        <v>46273</v>
      </c>
      <c r="AP62" s="1" t="s">
        <v>108</v>
      </c>
      <c r="AS62" s="1" t="s">
        <v>71</v>
      </c>
      <c r="AU62" s="1" t="s">
        <v>72</v>
      </c>
      <c r="AV62" s="1" t="s">
        <v>73</v>
      </c>
      <c r="AX62" s="1">
        <v>0</v>
      </c>
      <c r="BA62" s="1">
        <v>3</v>
      </c>
      <c r="BB62" s="1">
        <v>0</v>
      </c>
      <c r="BC62" s="1">
        <v>0</v>
      </c>
      <c r="BE62" s="1">
        <v>27185411</v>
      </c>
    </row>
    <row r="63" spans="1:57" x14ac:dyDescent="0.25">
      <c r="A63" s="1" t="str">
        <f>T("1943965295497121892")</f>
        <v>1943965295497121892</v>
      </c>
      <c r="B63" s="1" t="str">
        <f>T("249118444430")</f>
        <v>249118444430</v>
      </c>
      <c r="C63" s="1" t="str">
        <f>T("1941094470254592900")</f>
        <v>1941094470254592900</v>
      </c>
      <c r="AC63" s="1" t="s">
        <v>104</v>
      </c>
      <c r="AD63" s="1" t="s">
        <v>141</v>
      </c>
      <c r="AE63" s="1" t="s">
        <v>142</v>
      </c>
      <c r="AF63" s="1" t="s">
        <v>107</v>
      </c>
      <c r="AG63" s="1">
        <v>57</v>
      </c>
      <c r="AO63" s="2">
        <v>46273</v>
      </c>
      <c r="AP63" s="1" t="s">
        <v>108</v>
      </c>
      <c r="AQ63" s="2">
        <v>46273</v>
      </c>
      <c r="AR63" s="1" t="s">
        <v>145</v>
      </c>
      <c r="AS63" s="1" t="s">
        <v>71</v>
      </c>
      <c r="AU63" s="1" t="s">
        <v>79</v>
      </c>
      <c r="AV63" s="1" t="s">
        <v>80</v>
      </c>
      <c r="AW63" s="1">
        <v>4.9400000000000004</v>
      </c>
      <c r="AX63" s="1">
        <v>0</v>
      </c>
      <c r="AZ63" s="1" t="s">
        <v>81</v>
      </c>
      <c r="BA63" s="1">
        <v>3</v>
      </c>
      <c r="BB63" s="1">
        <v>0</v>
      </c>
      <c r="BC63" s="1">
        <v>0</v>
      </c>
      <c r="BE63" s="1">
        <v>27185411</v>
      </c>
    </row>
    <row r="64" spans="1:57" x14ac:dyDescent="0.25">
      <c r="A64" s="1" t="str">
        <f>T("1943965295505510408")</f>
        <v>1943965295505510408</v>
      </c>
      <c r="B64" s="1" t="str">
        <f>T("249122937190")</f>
        <v>249122937190</v>
      </c>
      <c r="C64" s="1" t="str">
        <f>T("1941094470254593600")</f>
        <v>1941094470254593600</v>
      </c>
      <c r="AC64" s="1" t="s">
        <v>104</v>
      </c>
      <c r="AD64" s="1" t="s">
        <v>141</v>
      </c>
      <c r="AE64" s="1" t="s">
        <v>142</v>
      </c>
      <c r="AF64" s="1" t="s">
        <v>144</v>
      </c>
      <c r="AG64" s="1">
        <v>45</v>
      </c>
      <c r="AO64" s="2">
        <v>46273</v>
      </c>
      <c r="AP64" s="1" t="s">
        <v>108</v>
      </c>
      <c r="AS64" s="1" t="s">
        <v>71</v>
      </c>
      <c r="AU64" s="1" t="s">
        <v>72</v>
      </c>
      <c r="AV64" s="1" t="s">
        <v>73</v>
      </c>
      <c r="AX64" s="1">
        <v>0</v>
      </c>
      <c r="BA64" s="1">
        <v>3</v>
      </c>
      <c r="BB64" s="1">
        <v>0</v>
      </c>
      <c r="BC64" s="1">
        <v>0</v>
      </c>
      <c r="BE64" s="1">
        <v>27185411</v>
      </c>
    </row>
    <row r="65" spans="1:57" x14ac:dyDescent="0.25">
      <c r="A65" s="1" t="str">
        <f>T("1943965295509706916")</f>
        <v>1943965295509706916</v>
      </c>
      <c r="B65" s="1" t="str">
        <f>T("249995410641")</f>
        <v>249995410641</v>
      </c>
      <c r="C65" s="1" t="str">
        <f>T("1941094470254594200")</f>
        <v>1941094470254594200</v>
      </c>
      <c r="AC65" s="1" t="s">
        <v>104</v>
      </c>
      <c r="AD65" s="1" t="s">
        <v>141</v>
      </c>
      <c r="AE65" s="1" t="s">
        <v>142</v>
      </c>
      <c r="AF65" s="1" t="s">
        <v>107</v>
      </c>
      <c r="AG65" s="1">
        <v>54</v>
      </c>
      <c r="AO65" s="2">
        <v>46273</v>
      </c>
      <c r="AP65" s="1" t="s">
        <v>108</v>
      </c>
      <c r="AS65" s="1" t="s">
        <v>71</v>
      </c>
      <c r="AU65" s="1" t="s">
        <v>72</v>
      </c>
      <c r="AV65" s="1" t="s">
        <v>131</v>
      </c>
      <c r="AX65" s="1">
        <v>0</v>
      </c>
      <c r="BA65" s="1">
        <v>3</v>
      </c>
      <c r="BB65" s="1">
        <v>0</v>
      </c>
      <c r="BC65" s="1">
        <v>0</v>
      </c>
      <c r="BE65" s="1">
        <v>27185411</v>
      </c>
    </row>
    <row r="66" spans="1:57" x14ac:dyDescent="0.25">
      <c r="A66" s="1" t="str">
        <f>T("1943965295530680056")</f>
        <v>1943965295530680056</v>
      </c>
      <c r="B66" s="1" t="str">
        <f>T("249113119050")</f>
        <v>249113119050</v>
      </c>
      <c r="C66" s="1" t="str">
        <f>T("1941094470254594700")</f>
        <v>1941094470254594700</v>
      </c>
      <c r="AC66" s="1" t="s">
        <v>104</v>
      </c>
      <c r="AD66" s="1" t="s">
        <v>141</v>
      </c>
      <c r="AE66" s="1" t="s">
        <v>142</v>
      </c>
      <c r="AF66" s="1" t="s">
        <v>144</v>
      </c>
      <c r="AG66" s="1">
        <v>48</v>
      </c>
      <c r="AO66" s="2">
        <v>46273</v>
      </c>
      <c r="AP66" s="1" t="s">
        <v>108</v>
      </c>
      <c r="AQ66" s="2">
        <v>46273</v>
      </c>
      <c r="AR66" s="1" t="s">
        <v>146</v>
      </c>
      <c r="AS66" s="1" t="s">
        <v>71</v>
      </c>
      <c r="AU66" s="1" t="s">
        <v>79</v>
      </c>
      <c r="AV66" s="1" t="s">
        <v>80</v>
      </c>
      <c r="AW66" s="1">
        <v>14.24</v>
      </c>
      <c r="AX66" s="1">
        <v>0</v>
      </c>
      <c r="AZ66" s="1" t="s">
        <v>81</v>
      </c>
      <c r="BA66" s="1">
        <v>3</v>
      </c>
      <c r="BB66" s="1">
        <v>0</v>
      </c>
      <c r="BC66" s="1">
        <v>0</v>
      </c>
      <c r="BE66" s="1">
        <v>27185411</v>
      </c>
    </row>
    <row r="67" spans="1:57" x14ac:dyDescent="0.25">
      <c r="A67" s="1" t="str">
        <f>T("1943965295539067872")</f>
        <v>1943965295539067872</v>
      </c>
      <c r="B67" s="1" t="str">
        <f>T("249999762962")</f>
        <v>249999762962</v>
      </c>
      <c r="C67" s="1" t="str">
        <f>T("1941094470254596000")</f>
        <v>1941094470254596000</v>
      </c>
      <c r="AC67" s="1" t="s">
        <v>104</v>
      </c>
      <c r="AD67" s="1" t="s">
        <v>141</v>
      </c>
      <c r="AE67" s="1" t="s">
        <v>142</v>
      </c>
      <c r="AF67" s="1" t="s">
        <v>107</v>
      </c>
      <c r="AG67" s="1">
        <v>75</v>
      </c>
      <c r="AO67" s="2">
        <v>46273</v>
      </c>
      <c r="AP67" s="1" t="s">
        <v>108</v>
      </c>
      <c r="AS67" s="1" t="s">
        <v>71</v>
      </c>
      <c r="AU67" s="1" t="s">
        <v>72</v>
      </c>
      <c r="AV67" s="1" t="s">
        <v>73</v>
      </c>
      <c r="AX67" s="1">
        <v>0</v>
      </c>
      <c r="BA67" s="1">
        <v>3</v>
      </c>
      <c r="BB67" s="1">
        <v>0</v>
      </c>
      <c r="BC67" s="1">
        <v>0</v>
      </c>
      <c r="BE67" s="1">
        <v>27185411</v>
      </c>
    </row>
    <row r="68" spans="1:57" x14ac:dyDescent="0.25">
      <c r="A68" s="1" t="str">
        <f>T("1943965295547453588")</f>
        <v>1943965295547453588</v>
      </c>
      <c r="B68" s="1" t="str">
        <f>T("249125271749")</f>
        <v>249125271749</v>
      </c>
      <c r="C68" s="1" t="str">
        <f>T("1941094470258786808")</f>
        <v>1941094470258786808</v>
      </c>
      <c r="AC68" s="1" t="s">
        <v>104</v>
      </c>
      <c r="AD68" s="1" t="s">
        <v>141</v>
      </c>
      <c r="AE68" s="1" t="s">
        <v>142</v>
      </c>
      <c r="AF68" s="1" t="s">
        <v>107</v>
      </c>
      <c r="AG68" s="1">
        <v>45</v>
      </c>
      <c r="AO68" s="2">
        <v>46273</v>
      </c>
      <c r="AP68" s="1" t="s">
        <v>108</v>
      </c>
      <c r="AQ68" s="2">
        <v>46273</v>
      </c>
      <c r="AR68" s="1" t="s">
        <v>147</v>
      </c>
      <c r="AS68" s="1" t="s">
        <v>71</v>
      </c>
      <c r="AU68" s="1" t="s">
        <v>75</v>
      </c>
      <c r="AV68" s="1" t="s">
        <v>80</v>
      </c>
      <c r="AW68" s="1">
        <v>0.12</v>
      </c>
      <c r="AX68" s="1">
        <v>0</v>
      </c>
      <c r="AZ68" s="1" t="s">
        <v>81</v>
      </c>
      <c r="BA68" s="1">
        <v>2</v>
      </c>
      <c r="BB68" s="1">
        <v>0</v>
      </c>
      <c r="BC68" s="1">
        <v>0</v>
      </c>
      <c r="BE68" s="1">
        <v>27185411</v>
      </c>
    </row>
    <row r="69" spans="1:57" x14ac:dyDescent="0.25">
      <c r="A69" s="1" t="str">
        <f>T("1943965295551647796")</f>
        <v>1943965295551647796</v>
      </c>
      <c r="B69" s="1" t="str">
        <f>T("249124989270")</f>
        <v>249124989270</v>
      </c>
      <c r="C69" s="1" t="str">
        <f>T("1941094470258787408")</f>
        <v>1941094470258787408</v>
      </c>
      <c r="AC69" s="1" t="s">
        <v>104</v>
      </c>
      <c r="AD69" s="1" t="s">
        <v>141</v>
      </c>
      <c r="AE69" s="1" t="s">
        <v>142</v>
      </c>
      <c r="AF69" s="1" t="s">
        <v>144</v>
      </c>
      <c r="AG69" s="1">
        <v>54</v>
      </c>
      <c r="AO69" s="2">
        <v>46273</v>
      </c>
      <c r="AP69" s="1" t="s">
        <v>108</v>
      </c>
      <c r="AS69" s="1" t="s">
        <v>71</v>
      </c>
      <c r="AU69" s="1" t="s">
        <v>72</v>
      </c>
      <c r="AV69" s="1" t="s">
        <v>131</v>
      </c>
      <c r="AX69" s="1">
        <v>0</v>
      </c>
      <c r="BA69" s="1">
        <v>3</v>
      </c>
      <c r="BB69" s="1">
        <v>0</v>
      </c>
      <c r="BC69" s="1">
        <v>0</v>
      </c>
      <c r="BE69" s="1">
        <v>27185411</v>
      </c>
    </row>
    <row r="70" spans="1:57" x14ac:dyDescent="0.25">
      <c r="A70" s="1" t="str">
        <f>T("1943965295576817644")</f>
        <v>1943965295576817644</v>
      </c>
      <c r="B70" s="1" t="str">
        <f>T("249117219955")</f>
        <v>249117219955</v>
      </c>
      <c r="C70" s="1" t="str">
        <f>T("1941094470258788008")</f>
        <v>1941094470258788008</v>
      </c>
      <c r="M70" s="1" t="s">
        <v>148</v>
      </c>
      <c r="AA70" s="1">
        <v>1</v>
      </c>
      <c r="AC70" s="1" t="s">
        <v>104</v>
      </c>
      <c r="AD70" s="1" t="s">
        <v>141</v>
      </c>
      <c r="AE70" s="1" t="s">
        <v>142</v>
      </c>
      <c r="AF70" s="1" t="s">
        <v>107</v>
      </c>
      <c r="AG70" s="1">
        <v>27</v>
      </c>
      <c r="AO70" s="2">
        <v>46273</v>
      </c>
      <c r="AP70" s="1" t="s">
        <v>108</v>
      </c>
      <c r="AQ70" s="2">
        <v>46273</v>
      </c>
      <c r="AR70" s="1" t="s">
        <v>149</v>
      </c>
      <c r="AS70" s="1" t="s">
        <v>71</v>
      </c>
      <c r="AU70" s="1" t="s">
        <v>79</v>
      </c>
      <c r="AV70" s="1" t="s">
        <v>80</v>
      </c>
      <c r="AW70" s="1">
        <v>89.3</v>
      </c>
      <c r="AX70" s="1">
        <v>0</v>
      </c>
      <c r="AZ70" s="1" t="s">
        <v>81</v>
      </c>
      <c r="BA70" s="1">
        <v>3</v>
      </c>
      <c r="BB70" s="1">
        <v>0</v>
      </c>
      <c r="BC70" s="1">
        <v>0</v>
      </c>
      <c r="BE70" s="1">
        <v>27185411</v>
      </c>
    </row>
    <row r="71" spans="1:57" x14ac:dyDescent="0.25">
      <c r="A71" s="1" t="str">
        <f>T("1943965295589396868")</f>
        <v>1943965295589396868</v>
      </c>
      <c r="B71" s="1" t="str">
        <f>T("249914708264")</f>
        <v>249914708264</v>
      </c>
      <c r="C71" s="1" t="str">
        <f>T("1941094470262980916")</f>
        <v>1941094470262980916</v>
      </c>
      <c r="AA71" s="1">
        <v>1</v>
      </c>
      <c r="AC71" s="1" t="s">
        <v>104</v>
      </c>
      <c r="AD71" s="1" t="s">
        <v>141</v>
      </c>
      <c r="AE71" s="1" t="s">
        <v>142</v>
      </c>
      <c r="AF71" s="1" t="s">
        <v>144</v>
      </c>
      <c r="AG71" s="1">
        <v>48</v>
      </c>
      <c r="AO71" s="2">
        <v>46273</v>
      </c>
      <c r="AP71" s="1" t="s">
        <v>108</v>
      </c>
      <c r="AQ71" s="2">
        <v>46273</v>
      </c>
      <c r="AR71" s="1" t="s">
        <v>150</v>
      </c>
      <c r="AS71" s="1" t="s">
        <v>71</v>
      </c>
      <c r="AU71" s="1" t="s">
        <v>79</v>
      </c>
      <c r="AV71" s="1" t="s">
        <v>80</v>
      </c>
      <c r="AW71" s="1">
        <v>66.02</v>
      </c>
      <c r="AX71" s="1">
        <v>0</v>
      </c>
      <c r="AZ71" s="1" t="s">
        <v>81</v>
      </c>
      <c r="BA71" s="1">
        <v>3</v>
      </c>
      <c r="BB71" s="1">
        <v>0</v>
      </c>
      <c r="BC71" s="1">
        <v>0</v>
      </c>
      <c r="BE71" s="1">
        <v>27185411</v>
      </c>
    </row>
    <row r="72" spans="1:57" x14ac:dyDescent="0.25">
      <c r="A72" s="1" t="str">
        <f>T("1943965295593591576")</f>
        <v>1943965295593591576</v>
      </c>
      <c r="B72" s="1" t="str">
        <f>T("249127882588")</f>
        <v>249127882588</v>
      </c>
      <c r="C72" s="1" t="str">
        <f>T("1941094470262981616")</f>
        <v>1941094470262981616</v>
      </c>
      <c r="M72" s="1" t="s">
        <v>59</v>
      </c>
      <c r="O72" s="1" t="s">
        <v>60</v>
      </c>
      <c r="P72" s="1" t="s">
        <v>111</v>
      </c>
      <c r="Q72" s="1" t="s">
        <v>112</v>
      </c>
      <c r="R72" s="1" t="s">
        <v>84</v>
      </c>
      <c r="S72" s="1" t="s">
        <v>61</v>
      </c>
      <c r="U72" s="1" t="s">
        <v>65</v>
      </c>
      <c r="V72" s="1" t="s">
        <v>66</v>
      </c>
      <c r="AA72" s="1">
        <v>1</v>
      </c>
      <c r="AC72" s="1" t="s">
        <v>104</v>
      </c>
      <c r="AD72" s="1" t="s">
        <v>141</v>
      </c>
      <c r="AE72" s="1" t="s">
        <v>142</v>
      </c>
      <c r="AF72" s="1" t="s">
        <v>144</v>
      </c>
      <c r="AG72" s="1">
        <v>42</v>
      </c>
      <c r="AO72" s="2">
        <v>46273</v>
      </c>
      <c r="AP72" s="1" t="s">
        <v>108</v>
      </c>
      <c r="AQ72" s="2">
        <v>46273</v>
      </c>
      <c r="AR72" s="1" t="s">
        <v>150</v>
      </c>
      <c r="AS72" s="1" t="s">
        <v>71</v>
      </c>
      <c r="AU72" s="1" t="s">
        <v>79</v>
      </c>
      <c r="AV72" s="1" t="s">
        <v>80</v>
      </c>
      <c r="AW72" s="1">
        <v>240.24</v>
      </c>
      <c r="AX72" s="1">
        <v>0</v>
      </c>
      <c r="AZ72" s="1" t="s">
        <v>81</v>
      </c>
      <c r="BA72" s="1">
        <v>3</v>
      </c>
      <c r="BB72" s="1">
        <v>0</v>
      </c>
      <c r="BC72" s="1">
        <v>0</v>
      </c>
      <c r="BE72" s="1">
        <v>27185411</v>
      </c>
    </row>
    <row r="73" spans="1:57" x14ac:dyDescent="0.25">
      <c r="A73" s="1" t="str">
        <f>T("1943965295597787384")</f>
        <v>1943965295597787384</v>
      </c>
      <c r="B73" s="1" t="str">
        <f>T("249927583270")</f>
        <v>249927583270</v>
      </c>
      <c r="C73" s="1" t="str">
        <f>T("1941094470262983416")</f>
        <v>1941094470262983416</v>
      </c>
      <c r="AC73" s="1" t="s">
        <v>104</v>
      </c>
      <c r="AD73" s="1" t="s">
        <v>151</v>
      </c>
      <c r="AE73" s="1" t="s">
        <v>152</v>
      </c>
      <c r="AF73" s="1" t="s">
        <v>107</v>
      </c>
      <c r="AG73" s="1">
        <v>22</v>
      </c>
      <c r="AO73" s="2">
        <v>46273</v>
      </c>
      <c r="AP73" s="1" t="s">
        <v>108</v>
      </c>
      <c r="AQ73" s="2">
        <v>46273</v>
      </c>
      <c r="AR73" s="1" t="s">
        <v>153</v>
      </c>
      <c r="AS73" s="1" t="s">
        <v>71</v>
      </c>
      <c r="AU73" s="1" t="s">
        <v>79</v>
      </c>
      <c r="AV73" s="1" t="s">
        <v>80</v>
      </c>
      <c r="AW73" s="1">
        <v>26.24</v>
      </c>
      <c r="AX73" s="1">
        <v>0</v>
      </c>
      <c r="AZ73" s="1" t="s">
        <v>81</v>
      </c>
      <c r="BA73" s="1">
        <v>3</v>
      </c>
      <c r="BB73" s="1">
        <v>0</v>
      </c>
      <c r="BC73" s="1">
        <v>0</v>
      </c>
      <c r="BE73" s="1">
        <v>27185411</v>
      </c>
    </row>
    <row r="74" spans="1:57" x14ac:dyDescent="0.25">
      <c r="A74" s="1" t="str">
        <f>T("1943965295622954632")</f>
        <v>1943965295622954632</v>
      </c>
      <c r="B74" s="1" t="str">
        <f>T("249998462256")</f>
        <v>249998462256</v>
      </c>
      <c r="C74" s="1" t="str">
        <f>T("1941094470262984116")</f>
        <v>1941094470262984116</v>
      </c>
      <c r="M74" s="1" t="s">
        <v>59</v>
      </c>
      <c r="O74" s="1" t="s">
        <v>65</v>
      </c>
      <c r="P74" s="1" t="s">
        <v>83</v>
      </c>
      <c r="Q74" s="1" t="s">
        <v>112</v>
      </c>
      <c r="R74" s="1" t="s">
        <v>93</v>
      </c>
      <c r="T74" s="1" t="s">
        <v>95</v>
      </c>
      <c r="U74" s="1" t="s">
        <v>65</v>
      </c>
      <c r="V74" s="1" t="s">
        <v>103</v>
      </c>
      <c r="W74" s="1" t="s">
        <v>60</v>
      </c>
      <c r="X74" s="1" t="s">
        <v>102</v>
      </c>
      <c r="Y74" s="1" t="s">
        <v>69</v>
      </c>
      <c r="AA74" s="1">
        <v>1</v>
      </c>
      <c r="AB74" s="1">
        <v>1</v>
      </c>
      <c r="AC74" s="1" t="s">
        <v>104</v>
      </c>
      <c r="AD74" s="1" t="s">
        <v>151</v>
      </c>
      <c r="AE74" s="1" t="s">
        <v>152</v>
      </c>
      <c r="AF74" s="1" t="s">
        <v>107</v>
      </c>
      <c r="AG74" s="1">
        <v>28</v>
      </c>
      <c r="AO74" s="2">
        <v>46273</v>
      </c>
      <c r="AP74" s="1" t="s">
        <v>108</v>
      </c>
      <c r="AQ74" s="2">
        <v>46273</v>
      </c>
      <c r="AR74" s="1" t="s">
        <v>153</v>
      </c>
      <c r="AS74" s="1" t="s">
        <v>71</v>
      </c>
      <c r="AU74" s="1" t="s">
        <v>78</v>
      </c>
      <c r="AV74" s="1" t="s">
        <v>80</v>
      </c>
      <c r="AW74" s="1">
        <v>231.54</v>
      </c>
      <c r="AX74" s="1">
        <v>0</v>
      </c>
      <c r="AZ74" s="1" t="s">
        <v>81</v>
      </c>
      <c r="BA74" s="1">
        <v>3</v>
      </c>
      <c r="BB74" s="1">
        <v>0</v>
      </c>
      <c r="BC74" s="1">
        <v>0</v>
      </c>
      <c r="BE74" s="1">
        <v>27185411</v>
      </c>
    </row>
    <row r="75" spans="1:57" x14ac:dyDescent="0.25">
      <c r="A75" s="1" t="str">
        <f>T("1943965295631343548")</f>
        <v>1943965295631343548</v>
      </c>
      <c r="B75" s="1" t="str">
        <f>T("249929104576")</f>
        <v>249929104576</v>
      </c>
      <c r="C75" s="1" t="str">
        <f>T("1941094470262984616")</f>
        <v>1941094470262984616</v>
      </c>
      <c r="AC75" s="1" t="s">
        <v>104</v>
      </c>
      <c r="AD75" s="1" t="s">
        <v>151</v>
      </c>
      <c r="AE75" s="1" t="s">
        <v>152</v>
      </c>
      <c r="AF75" s="1" t="s">
        <v>107</v>
      </c>
      <c r="AG75" s="1">
        <v>26</v>
      </c>
      <c r="AO75" s="2">
        <v>46273</v>
      </c>
      <c r="AP75" s="1" t="s">
        <v>108</v>
      </c>
      <c r="AS75" s="1" t="s">
        <v>71</v>
      </c>
      <c r="AU75" s="1" t="s">
        <v>72</v>
      </c>
      <c r="AV75" s="1" t="s">
        <v>73</v>
      </c>
      <c r="AX75" s="1">
        <v>0</v>
      </c>
      <c r="BA75" s="1">
        <v>3</v>
      </c>
      <c r="BB75" s="1">
        <v>0</v>
      </c>
      <c r="BC75" s="1">
        <v>0</v>
      </c>
      <c r="BE75" s="1">
        <v>27185411</v>
      </c>
    </row>
    <row r="76" spans="1:57" x14ac:dyDescent="0.25">
      <c r="A76" s="1" t="str">
        <f>T("1943965295635536256")</f>
        <v>1943965295635536256</v>
      </c>
      <c r="B76" s="1" t="str">
        <f>T("249996413889")</f>
        <v>249996413889</v>
      </c>
      <c r="C76" s="1" t="str">
        <f>T("1941094470267176324")</f>
        <v>1941094470267176324</v>
      </c>
      <c r="AA76" s="1">
        <v>1</v>
      </c>
      <c r="AC76" s="1" t="s">
        <v>104</v>
      </c>
      <c r="AD76" s="1" t="s">
        <v>151</v>
      </c>
      <c r="AE76" s="1" t="s">
        <v>152</v>
      </c>
      <c r="AF76" s="1" t="s">
        <v>107</v>
      </c>
      <c r="AG76" s="1">
        <v>18</v>
      </c>
      <c r="AO76" s="2">
        <v>46273</v>
      </c>
      <c r="AP76" s="1" t="s">
        <v>108</v>
      </c>
      <c r="AS76" s="1" t="s">
        <v>71</v>
      </c>
      <c r="AU76" s="1" t="s">
        <v>72</v>
      </c>
      <c r="AV76" s="1" t="s">
        <v>131</v>
      </c>
      <c r="AX76" s="1">
        <v>0</v>
      </c>
      <c r="BA76" s="1">
        <v>3</v>
      </c>
      <c r="BB76" s="1">
        <v>0</v>
      </c>
      <c r="BC76" s="1">
        <v>0</v>
      </c>
      <c r="BE76" s="1">
        <v>27185411</v>
      </c>
    </row>
    <row r="77" spans="1:57" x14ac:dyDescent="0.25">
      <c r="A77" s="1" t="str">
        <f>T("1943965295643925472")</f>
        <v>1943965295643925472</v>
      </c>
      <c r="B77" s="1" t="str">
        <f>T("249920167507")</f>
        <v>249920167507</v>
      </c>
      <c r="C77" s="1" t="str">
        <f>T("1941094470267176924")</f>
        <v>1941094470267176924</v>
      </c>
      <c r="AA77" s="1">
        <v>1</v>
      </c>
      <c r="AC77" s="1" t="s">
        <v>104</v>
      </c>
      <c r="AD77" s="1" t="s">
        <v>151</v>
      </c>
      <c r="AE77" s="1" t="s">
        <v>152</v>
      </c>
      <c r="AF77" s="1" t="s">
        <v>107</v>
      </c>
      <c r="AG77" s="1">
        <v>26</v>
      </c>
      <c r="AO77" s="2">
        <v>46273</v>
      </c>
      <c r="AP77" s="1" t="s">
        <v>108</v>
      </c>
      <c r="AQ77" s="2">
        <v>46273</v>
      </c>
      <c r="AR77" s="1" t="s">
        <v>154</v>
      </c>
      <c r="AS77" s="1" t="s">
        <v>71</v>
      </c>
      <c r="AU77" s="1" t="s">
        <v>79</v>
      </c>
      <c r="AV77" s="1" t="s">
        <v>80</v>
      </c>
      <c r="AW77" s="1">
        <v>50.44</v>
      </c>
      <c r="AX77" s="1">
        <v>0</v>
      </c>
      <c r="AZ77" s="1" t="s">
        <v>81</v>
      </c>
      <c r="BA77" s="1">
        <v>3</v>
      </c>
      <c r="BB77" s="1">
        <v>0</v>
      </c>
      <c r="BC77" s="1">
        <v>0</v>
      </c>
      <c r="BE77" s="1">
        <v>27185411</v>
      </c>
    </row>
    <row r="78" spans="1:57" x14ac:dyDescent="0.25">
      <c r="A78" s="1" t="str">
        <f>T("1943965295677478836")</f>
        <v>1943965295677478836</v>
      </c>
      <c r="B78" s="1" t="str">
        <f>T("249996844097")</f>
        <v>249996844097</v>
      </c>
      <c r="C78" s="1" t="str">
        <f>T("1941094470267177424")</f>
        <v>1941094470267177424</v>
      </c>
      <c r="AA78" s="1">
        <v>1</v>
      </c>
      <c r="AC78" s="1" t="s">
        <v>104</v>
      </c>
      <c r="AD78" s="1" t="s">
        <v>151</v>
      </c>
      <c r="AE78" s="1" t="s">
        <v>152</v>
      </c>
      <c r="AF78" s="1" t="s">
        <v>107</v>
      </c>
      <c r="AG78" s="1">
        <v>27</v>
      </c>
      <c r="AO78" s="2">
        <v>46273</v>
      </c>
      <c r="AP78" s="1" t="s">
        <v>108</v>
      </c>
      <c r="AQ78" s="2">
        <v>46273</v>
      </c>
      <c r="AR78" s="1" t="s">
        <v>130</v>
      </c>
      <c r="AS78" s="1" t="s">
        <v>71</v>
      </c>
      <c r="AU78" s="1" t="s">
        <v>75</v>
      </c>
      <c r="AV78" s="1" t="s">
        <v>80</v>
      </c>
      <c r="AW78" s="1">
        <v>0.08</v>
      </c>
      <c r="AX78" s="1">
        <v>0</v>
      </c>
      <c r="AZ78" s="1" t="s">
        <v>81</v>
      </c>
      <c r="BA78" s="1">
        <v>2</v>
      </c>
      <c r="BB78" s="1">
        <v>0</v>
      </c>
      <c r="BC78" s="1">
        <v>0</v>
      </c>
      <c r="BE78" s="1">
        <v>27185411</v>
      </c>
    </row>
    <row r="79" spans="1:57" x14ac:dyDescent="0.25">
      <c r="A79" s="1" t="str">
        <f>T("1943965295681674444")</f>
        <v>1943965295681674444</v>
      </c>
      <c r="B79" s="1" t="str">
        <f>T("249925188585")</f>
        <v>249925188585</v>
      </c>
      <c r="C79" s="1" t="str">
        <f>T("1941094470267177824")</f>
        <v>1941094470267177824</v>
      </c>
      <c r="AC79" s="1" t="s">
        <v>104</v>
      </c>
      <c r="AD79" s="1" t="s">
        <v>151</v>
      </c>
      <c r="AE79" s="1" t="s">
        <v>152</v>
      </c>
      <c r="AF79" s="1" t="s">
        <v>107</v>
      </c>
      <c r="AG79" s="1">
        <v>21</v>
      </c>
      <c r="AO79" s="2">
        <v>46273</v>
      </c>
      <c r="AP79" s="1" t="s">
        <v>108</v>
      </c>
      <c r="AS79" s="1" t="s">
        <v>71</v>
      </c>
      <c r="AU79" s="1" t="s">
        <v>72</v>
      </c>
      <c r="AV79" s="1" t="s">
        <v>73</v>
      </c>
      <c r="AX79" s="1">
        <v>0</v>
      </c>
      <c r="BA79" s="1">
        <v>3</v>
      </c>
      <c r="BB79" s="1">
        <v>0</v>
      </c>
      <c r="BC79" s="1">
        <v>0</v>
      </c>
      <c r="BE79" s="1">
        <v>27185411</v>
      </c>
    </row>
    <row r="80" spans="1:57" x14ac:dyDescent="0.25">
      <c r="A80" s="1" t="str">
        <f>T("1943965295690063560")</f>
        <v>1943965295690063560</v>
      </c>
      <c r="B80" s="1" t="str">
        <f>T("249990355418")</f>
        <v>249990355418</v>
      </c>
      <c r="C80" s="1" t="str">
        <f>T("1941094470271370232")</f>
        <v>1941094470271370232</v>
      </c>
      <c r="AC80" s="1" t="s">
        <v>104</v>
      </c>
      <c r="AD80" s="1" t="s">
        <v>151</v>
      </c>
      <c r="AE80" s="1" t="s">
        <v>152</v>
      </c>
      <c r="AF80" s="1" t="s">
        <v>107</v>
      </c>
      <c r="AG80" s="1">
        <v>42</v>
      </c>
      <c r="AO80" s="2">
        <v>46273</v>
      </c>
      <c r="AP80" s="1" t="s">
        <v>108</v>
      </c>
      <c r="AQ80" s="2">
        <v>46273</v>
      </c>
      <c r="AR80" s="1" t="s">
        <v>155</v>
      </c>
      <c r="AS80" s="1" t="s">
        <v>71</v>
      </c>
      <c r="AU80" s="1" t="s">
        <v>75</v>
      </c>
      <c r="AV80" s="1" t="s">
        <v>80</v>
      </c>
      <c r="AW80" s="1">
        <v>0.12</v>
      </c>
      <c r="AX80" s="1">
        <v>0</v>
      </c>
      <c r="AZ80" s="1" t="s">
        <v>81</v>
      </c>
      <c r="BA80" s="1">
        <v>2</v>
      </c>
      <c r="BB80" s="1">
        <v>0</v>
      </c>
      <c r="BC80" s="1">
        <v>0</v>
      </c>
      <c r="BE80" s="1">
        <v>27185411</v>
      </c>
    </row>
    <row r="81" spans="1:57" x14ac:dyDescent="0.25">
      <c r="A81" s="1" t="str">
        <f>T("1943965295694257668")</f>
        <v>1943965295694257668</v>
      </c>
      <c r="B81" s="1" t="str">
        <f>T("249993568311")</f>
        <v>249993568311</v>
      </c>
      <c r="C81" s="1" t="str">
        <f>T("1941094470271371932")</f>
        <v>1941094470271371932</v>
      </c>
      <c r="AA81" s="1">
        <v>1</v>
      </c>
      <c r="AC81" s="1" t="s">
        <v>104</v>
      </c>
      <c r="AD81" s="1" t="s">
        <v>151</v>
      </c>
      <c r="AE81" s="1" t="s">
        <v>152</v>
      </c>
      <c r="AF81" s="1" t="s">
        <v>107</v>
      </c>
      <c r="AG81" s="1">
        <v>22</v>
      </c>
      <c r="AO81" s="2">
        <v>46273</v>
      </c>
      <c r="AP81" s="1" t="s">
        <v>108</v>
      </c>
      <c r="AQ81" s="2">
        <v>46273</v>
      </c>
      <c r="AR81" s="1" t="s">
        <v>156</v>
      </c>
      <c r="AS81" s="1" t="s">
        <v>71</v>
      </c>
      <c r="AU81" s="1" t="s">
        <v>79</v>
      </c>
      <c r="AV81" s="1" t="s">
        <v>80</v>
      </c>
      <c r="AW81" s="1">
        <v>49.46</v>
      </c>
      <c r="AX81" s="1">
        <v>0</v>
      </c>
      <c r="AZ81" s="1" t="s">
        <v>81</v>
      </c>
      <c r="BA81" s="1">
        <v>3</v>
      </c>
      <c r="BB81" s="1">
        <v>0</v>
      </c>
      <c r="BC81" s="1">
        <v>0</v>
      </c>
      <c r="BE81" s="1">
        <v>27185411</v>
      </c>
    </row>
    <row r="82" spans="1:57" x14ac:dyDescent="0.25">
      <c r="A82" s="1" t="str">
        <f>T("1943965295727810632")</f>
        <v>1943965295727810632</v>
      </c>
      <c r="B82" s="1" t="str">
        <f>T("249928611659")</f>
        <v>249928611659</v>
      </c>
      <c r="C82" s="1" t="str">
        <f>T("1941094470271372932")</f>
        <v>1941094470271372932</v>
      </c>
      <c r="AC82" s="1" t="s">
        <v>104</v>
      </c>
      <c r="AD82" s="1" t="s">
        <v>151</v>
      </c>
      <c r="AE82" s="1" t="s">
        <v>152</v>
      </c>
      <c r="AF82" s="1" t="s">
        <v>107</v>
      </c>
      <c r="AG82" s="1">
        <v>37</v>
      </c>
      <c r="AO82" s="2">
        <v>46273</v>
      </c>
      <c r="AP82" s="1" t="s">
        <v>108</v>
      </c>
      <c r="AS82" s="1" t="s">
        <v>71</v>
      </c>
      <c r="AU82" s="1" t="s">
        <v>72</v>
      </c>
      <c r="AV82" s="1" t="s">
        <v>73</v>
      </c>
      <c r="AX82" s="1">
        <v>0</v>
      </c>
      <c r="BA82" s="1">
        <v>3</v>
      </c>
      <c r="BB82" s="1">
        <v>0</v>
      </c>
      <c r="BC82" s="1">
        <v>0</v>
      </c>
      <c r="BE82" s="1">
        <v>27185411</v>
      </c>
    </row>
    <row r="83" spans="1:57" x14ac:dyDescent="0.25">
      <c r="A83" s="1" t="str">
        <f>T("1943965295732005140")</f>
        <v>1943965295732005140</v>
      </c>
      <c r="B83" s="1" t="str">
        <f>T("249902026588")</f>
        <v>249902026588</v>
      </c>
      <c r="C83" s="1" t="str">
        <f>T("1941094470275564240")</f>
        <v>1941094470275564240</v>
      </c>
      <c r="AC83" s="1" t="s">
        <v>104</v>
      </c>
      <c r="AD83" s="1" t="s">
        <v>151</v>
      </c>
      <c r="AE83" s="1" t="s">
        <v>152</v>
      </c>
      <c r="AF83" s="1" t="s">
        <v>107</v>
      </c>
      <c r="AG83" s="1">
        <v>39</v>
      </c>
      <c r="AO83" s="2">
        <v>46273</v>
      </c>
      <c r="AP83" s="1" t="s">
        <v>108</v>
      </c>
      <c r="AS83" s="1" t="s">
        <v>71</v>
      </c>
      <c r="AU83" s="1" t="s">
        <v>72</v>
      </c>
      <c r="AV83" s="1" t="s">
        <v>80</v>
      </c>
      <c r="AX83" s="1">
        <v>0</v>
      </c>
      <c r="BA83" s="1">
        <v>3</v>
      </c>
      <c r="BB83" s="1">
        <v>0</v>
      </c>
      <c r="BC83" s="1">
        <v>0</v>
      </c>
      <c r="BE83" s="1">
        <v>27185411</v>
      </c>
    </row>
    <row r="84" spans="1:57" x14ac:dyDescent="0.25">
      <c r="A84" s="1" t="str">
        <f>T("1943965295740393156")</f>
        <v>1943965295740393156</v>
      </c>
      <c r="B84" s="1" t="str">
        <f>T("249925550522")</f>
        <v>249925550522</v>
      </c>
      <c r="C84" s="1" t="str">
        <f>T("1941094470275566440")</f>
        <v>1941094470275566440</v>
      </c>
      <c r="M84" s="1" t="s">
        <v>133</v>
      </c>
      <c r="N84" s="1" t="s">
        <v>60</v>
      </c>
      <c r="O84" s="1" t="s">
        <v>65</v>
      </c>
      <c r="P84" s="1" t="s">
        <v>83</v>
      </c>
      <c r="Q84" s="1" t="s">
        <v>112</v>
      </c>
      <c r="R84" s="1" t="s">
        <v>93</v>
      </c>
      <c r="T84" s="1" t="s">
        <v>95</v>
      </c>
      <c r="U84" s="1" t="s">
        <v>65</v>
      </c>
      <c r="V84" s="1" t="s">
        <v>66</v>
      </c>
      <c r="W84" s="1" t="s">
        <v>60</v>
      </c>
      <c r="X84" s="1" t="s">
        <v>66</v>
      </c>
      <c r="Y84" s="1" t="s">
        <v>85</v>
      </c>
      <c r="AA84" s="1">
        <v>1</v>
      </c>
      <c r="AB84" s="1">
        <v>1</v>
      </c>
      <c r="AC84" s="1" t="s">
        <v>104</v>
      </c>
      <c r="AD84" s="1" t="s">
        <v>151</v>
      </c>
      <c r="AE84" s="1" t="s">
        <v>152</v>
      </c>
      <c r="AF84" s="1" t="s">
        <v>107</v>
      </c>
      <c r="AG84" s="1">
        <v>35</v>
      </c>
      <c r="AO84" s="2">
        <v>46273</v>
      </c>
      <c r="AP84" s="1" t="s">
        <v>108</v>
      </c>
      <c r="AS84" s="1" t="s">
        <v>71</v>
      </c>
      <c r="AU84" s="1" t="s">
        <v>72</v>
      </c>
      <c r="AV84" s="1" t="s">
        <v>80</v>
      </c>
      <c r="AX84" s="1">
        <v>0</v>
      </c>
      <c r="BA84" s="1">
        <v>3</v>
      </c>
      <c r="BB84" s="1">
        <v>0</v>
      </c>
      <c r="BC84" s="1">
        <v>0</v>
      </c>
      <c r="BE84" s="1">
        <v>27185411</v>
      </c>
    </row>
    <row r="85" spans="1:57" x14ac:dyDescent="0.25">
      <c r="A85" s="1" t="str">
        <f>T("1943965295740393256")</f>
        <v>1943965295740393256</v>
      </c>
      <c r="B85" s="1" t="str">
        <f>T("249965088045")</f>
        <v>249965088045</v>
      </c>
      <c r="C85" s="1" t="str">
        <f>T("1941094470279759248")</f>
        <v>1941094470279759248</v>
      </c>
      <c r="M85" s="1" t="s">
        <v>59</v>
      </c>
      <c r="AA85" s="1">
        <v>1</v>
      </c>
      <c r="AC85" s="1" t="s">
        <v>104</v>
      </c>
      <c r="AD85" s="1" t="s">
        <v>151</v>
      </c>
      <c r="AE85" s="1" t="s">
        <v>152</v>
      </c>
      <c r="AF85" s="1" t="s">
        <v>107</v>
      </c>
      <c r="AG85" s="1">
        <v>20</v>
      </c>
      <c r="AO85" s="2">
        <v>46273</v>
      </c>
      <c r="AP85" s="1" t="s">
        <v>108</v>
      </c>
      <c r="AS85" s="1" t="s">
        <v>71</v>
      </c>
      <c r="AU85" s="1" t="s">
        <v>72</v>
      </c>
      <c r="AV85" s="1" t="s">
        <v>131</v>
      </c>
      <c r="AX85" s="1">
        <v>0</v>
      </c>
      <c r="BA85" s="1">
        <v>3</v>
      </c>
      <c r="BB85" s="1">
        <v>0</v>
      </c>
      <c r="BC85" s="1">
        <v>0</v>
      </c>
      <c r="BE85" s="1">
        <v>27185411</v>
      </c>
    </row>
    <row r="86" spans="1:57" x14ac:dyDescent="0.25">
      <c r="A86" s="1" t="str">
        <f>T("1943965295778140528")</f>
        <v>1943965295778140528</v>
      </c>
      <c r="B86" s="1" t="str">
        <f>T("249929351248")</f>
        <v>249929351248</v>
      </c>
      <c r="C86" s="1" t="str">
        <f>T("1941094470279759748")</f>
        <v>1941094470279759748</v>
      </c>
      <c r="AC86" s="1" t="s">
        <v>104</v>
      </c>
      <c r="AD86" s="1" t="s">
        <v>151</v>
      </c>
      <c r="AE86" s="1" t="s">
        <v>152</v>
      </c>
      <c r="AF86" s="1" t="s">
        <v>107</v>
      </c>
      <c r="AG86" s="1">
        <v>32</v>
      </c>
      <c r="AO86" s="2">
        <v>46273</v>
      </c>
      <c r="AP86" s="1" t="s">
        <v>108</v>
      </c>
      <c r="AS86" s="1" t="s">
        <v>71</v>
      </c>
      <c r="AU86" s="1" t="s">
        <v>72</v>
      </c>
      <c r="AV86" s="1" t="s">
        <v>80</v>
      </c>
      <c r="AX86" s="1">
        <v>0</v>
      </c>
      <c r="BA86" s="1">
        <v>3</v>
      </c>
      <c r="BB86" s="1">
        <v>0</v>
      </c>
      <c r="BC86" s="1">
        <v>0</v>
      </c>
      <c r="BE86" s="1">
        <v>27185411</v>
      </c>
    </row>
    <row r="87" spans="1:57" x14ac:dyDescent="0.25">
      <c r="A87" s="1" t="str">
        <f>T("1943965295782334936")</f>
        <v>1943965295782334936</v>
      </c>
      <c r="B87" s="1" t="str">
        <f>T("249910202438")</f>
        <v>249910202438</v>
      </c>
      <c r="C87" s="1" t="str">
        <f>T("1941094470279760548")</f>
        <v>1941094470279760548</v>
      </c>
      <c r="AC87" s="1" t="s">
        <v>104</v>
      </c>
      <c r="AD87" s="1" t="s">
        <v>151</v>
      </c>
      <c r="AE87" s="1" t="s">
        <v>152</v>
      </c>
      <c r="AF87" s="1" t="s">
        <v>107</v>
      </c>
      <c r="AG87" s="1">
        <v>17</v>
      </c>
      <c r="AO87" s="2">
        <v>46273</v>
      </c>
      <c r="AP87" s="1" t="s">
        <v>108</v>
      </c>
      <c r="AS87" s="1" t="s">
        <v>71</v>
      </c>
      <c r="AU87" s="1" t="s">
        <v>72</v>
      </c>
      <c r="AV87" s="1" t="s">
        <v>80</v>
      </c>
      <c r="AX87" s="1">
        <v>0</v>
      </c>
      <c r="BA87" s="1">
        <v>3</v>
      </c>
      <c r="BB87" s="1">
        <v>0</v>
      </c>
      <c r="BC87" s="1">
        <v>0</v>
      </c>
      <c r="BE87" s="1">
        <v>27185411</v>
      </c>
    </row>
    <row r="88" spans="1:57" x14ac:dyDescent="0.25">
      <c r="A88" s="1" t="str">
        <f>T("1943965295786529944")</f>
        <v>1943965295786529944</v>
      </c>
      <c r="B88" s="1" t="str">
        <f>T("249920187427")</f>
        <v>249920187427</v>
      </c>
      <c r="C88" s="1" t="str">
        <f>T("1941094470283952156")</f>
        <v>1941094470283952156</v>
      </c>
      <c r="AA88" s="1">
        <v>1</v>
      </c>
      <c r="AC88" s="1" t="s">
        <v>104</v>
      </c>
      <c r="AD88" s="1" t="s">
        <v>151</v>
      </c>
      <c r="AE88" s="1" t="s">
        <v>152</v>
      </c>
      <c r="AF88" s="1" t="s">
        <v>107</v>
      </c>
      <c r="AG88" s="1">
        <v>23</v>
      </c>
      <c r="AO88" s="2">
        <v>46273</v>
      </c>
      <c r="AP88" s="1" t="s">
        <v>108</v>
      </c>
      <c r="AS88" s="1" t="s">
        <v>71</v>
      </c>
      <c r="AU88" s="1" t="s">
        <v>72</v>
      </c>
      <c r="AV88" s="1" t="s">
        <v>80</v>
      </c>
      <c r="AX88" s="1">
        <v>0</v>
      </c>
      <c r="BA88" s="1">
        <v>3</v>
      </c>
      <c r="BB88" s="1">
        <v>0</v>
      </c>
      <c r="BC88" s="1">
        <v>0</v>
      </c>
      <c r="BE88" s="1">
        <v>27185411</v>
      </c>
    </row>
    <row r="89" spans="1:57" x14ac:dyDescent="0.25">
      <c r="A89" s="1" t="str">
        <f>T("1943965295786530644")</f>
        <v>1943965295786530644</v>
      </c>
      <c r="B89" s="1" t="str">
        <f>T("249998923344")</f>
        <v>249998923344</v>
      </c>
      <c r="C89" s="1" t="str">
        <f>T("1941094470279761348")</f>
        <v>1941094470279761348</v>
      </c>
      <c r="AA89" s="1">
        <v>1</v>
      </c>
      <c r="AC89" s="1" t="s">
        <v>104</v>
      </c>
      <c r="AD89" s="1" t="s">
        <v>151</v>
      </c>
      <c r="AE89" s="1" t="s">
        <v>152</v>
      </c>
      <c r="AF89" s="1" t="s">
        <v>107</v>
      </c>
      <c r="AG89" s="1">
        <v>70</v>
      </c>
      <c r="AO89" s="2">
        <v>46273</v>
      </c>
      <c r="AP89" s="1" t="s">
        <v>108</v>
      </c>
      <c r="AS89" s="1" t="s">
        <v>71</v>
      </c>
      <c r="AU89" s="1" t="s">
        <v>72</v>
      </c>
      <c r="AV89" s="1" t="s">
        <v>80</v>
      </c>
      <c r="AX89" s="1">
        <v>0</v>
      </c>
      <c r="BA89" s="1">
        <v>3</v>
      </c>
      <c r="BB89" s="1">
        <v>0</v>
      </c>
      <c r="BC89" s="1">
        <v>0</v>
      </c>
      <c r="BE89" s="1">
        <v>27185411</v>
      </c>
    </row>
    <row r="90" spans="1:57" x14ac:dyDescent="0.25">
      <c r="A90" s="1" t="str">
        <f>T("1943965295820085808")</f>
        <v>1943965295820085808</v>
      </c>
      <c r="B90" s="1" t="str">
        <f>T("249927999062")</f>
        <v>249927999062</v>
      </c>
      <c r="C90" s="1" t="str">
        <f>T("1941094470283952556")</f>
        <v>1941094470283952556</v>
      </c>
      <c r="AC90" s="1" t="s">
        <v>104</v>
      </c>
      <c r="AD90" s="1" t="s">
        <v>151</v>
      </c>
      <c r="AE90" s="1" t="s">
        <v>152</v>
      </c>
      <c r="AF90" s="1" t="s">
        <v>107</v>
      </c>
      <c r="AG90" s="1">
        <v>46</v>
      </c>
      <c r="AO90" s="2">
        <v>46273</v>
      </c>
      <c r="AP90" s="1" t="s">
        <v>108</v>
      </c>
      <c r="AS90" s="1" t="s">
        <v>71</v>
      </c>
      <c r="AU90" s="1" t="s">
        <v>72</v>
      </c>
      <c r="AV90" s="1" t="s">
        <v>80</v>
      </c>
      <c r="AX90" s="1">
        <v>0</v>
      </c>
      <c r="BA90" s="1">
        <v>3</v>
      </c>
      <c r="BB90" s="1">
        <v>0</v>
      </c>
      <c r="BC90" s="1">
        <v>0</v>
      </c>
      <c r="BE90" s="1">
        <v>27185411</v>
      </c>
    </row>
    <row r="91" spans="1:57" x14ac:dyDescent="0.25">
      <c r="A91" s="1" t="str">
        <f>T("1943965295824281516")</f>
        <v>1943965295824281516</v>
      </c>
      <c r="B91" s="1" t="str">
        <f>T("249928978130")</f>
        <v>249928978130</v>
      </c>
      <c r="C91" s="1" t="str">
        <f>T("1941094470283953156")</f>
        <v>1941094470283953156</v>
      </c>
      <c r="AA91" s="1">
        <v>1</v>
      </c>
      <c r="AC91" s="1" t="s">
        <v>104</v>
      </c>
      <c r="AD91" s="1" t="s">
        <v>151</v>
      </c>
      <c r="AE91" s="1" t="s">
        <v>152</v>
      </c>
      <c r="AF91" s="1" t="s">
        <v>107</v>
      </c>
      <c r="AG91" s="1">
        <v>49</v>
      </c>
      <c r="AO91" s="2">
        <v>46273</v>
      </c>
      <c r="AP91" s="1" t="s">
        <v>108</v>
      </c>
      <c r="AS91" s="1" t="s">
        <v>71</v>
      </c>
      <c r="AU91" s="1" t="s">
        <v>72</v>
      </c>
      <c r="AV91" s="1" t="s">
        <v>80</v>
      </c>
      <c r="AX91" s="1">
        <v>0</v>
      </c>
      <c r="BA91" s="1">
        <v>3</v>
      </c>
      <c r="BB91" s="1">
        <v>0</v>
      </c>
      <c r="BC91" s="1">
        <v>0</v>
      </c>
      <c r="BE91" s="1">
        <v>27185411</v>
      </c>
    </row>
    <row r="92" spans="1:57" x14ac:dyDescent="0.25">
      <c r="A92" s="1" t="str">
        <f>T("1943965295832666132")</f>
        <v>1943965295832666132</v>
      </c>
      <c r="B92" s="1" t="str">
        <f>T("249924476334")</f>
        <v>249924476334</v>
      </c>
      <c r="C92" s="1" t="str">
        <f>T("1941094470283953556")</f>
        <v>1941094470283953556</v>
      </c>
      <c r="M92" s="1" t="s">
        <v>59</v>
      </c>
      <c r="O92" s="1" t="s">
        <v>60</v>
      </c>
      <c r="P92" s="1" t="s">
        <v>83</v>
      </c>
      <c r="Q92" s="1" t="s">
        <v>101</v>
      </c>
      <c r="R92" s="1" t="s">
        <v>84</v>
      </c>
      <c r="S92" s="1" t="s">
        <v>94</v>
      </c>
      <c r="U92" s="1" t="s">
        <v>65</v>
      </c>
      <c r="V92" s="1" t="s">
        <v>68</v>
      </c>
      <c r="W92" s="1" t="s">
        <v>60</v>
      </c>
      <c r="X92" s="1" t="s">
        <v>102</v>
      </c>
      <c r="Y92" s="1" t="s">
        <v>69</v>
      </c>
      <c r="AA92" s="1">
        <v>1</v>
      </c>
      <c r="AB92" s="1">
        <v>1</v>
      </c>
      <c r="AC92" s="1" t="s">
        <v>104</v>
      </c>
      <c r="AD92" s="1" t="s">
        <v>151</v>
      </c>
      <c r="AE92" s="1" t="s">
        <v>152</v>
      </c>
      <c r="AF92" s="1" t="s">
        <v>107</v>
      </c>
      <c r="AG92" s="1">
        <v>41</v>
      </c>
      <c r="AO92" s="2">
        <v>46273</v>
      </c>
      <c r="AP92" s="1" t="s">
        <v>108</v>
      </c>
      <c r="AS92" s="1" t="s">
        <v>71</v>
      </c>
      <c r="AU92" s="1" t="s">
        <v>72</v>
      </c>
      <c r="AV92" s="1" t="s">
        <v>80</v>
      </c>
      <c r="AX92" s="1">
        <v>0</v>
      </c>
      <c r="BA92" s="1">
        <v>3</v>
      </c>
      <c r="BB92" s="1">
        <v>0</v>
      </c>
      <c r="BC92" s="1">
        <v>0</v>
      </c>
      <c r="BE92" s="1">
        <v>27185411</v>
      </c>
    </row>
    <row r="93" spans="1:57" x14ac:dyDescent="0.25">
      <c r="A93" s="1" t="str">
        <f>T("1943965295832668032")</f>
        <v>1943965295832668032</v>
      </c>
      <c r="B93" s="1" t="str">
        <f>T("249990346343")</f>
        <v>249990346343</v>
      </c>
      <c r="C93" s="1" t="str">
        <f>T("1941094470283954056")</f>
        <v>1941094470283954056</v>
      </c>
      <c r="AC93" s="1" t="s">
        <v>104</v>
      </c>
      <c r="AD93" s="1" t="s">
        <v>151</v>
      </c>
      <c r="AE93" s="1" t="s">
        <v>152</v>
      </c>
      <c r="AF93" s="1" t="s">
        <v>107</v>
      </c>
      <c r="AG93" s="1">
        <v>70</v>
      </c>
      <c r="AO93" s="2">
        <v>46273</v>
      </c>
      <c r="AP93" s="1" t="s">
        <v>108</v>
      </c>
      <c r="AS93" s="1" t="s">
        <v>71</v>
      </c>
      <c r="AU93" s="1" t="s">
        <v>72</v>
      </c>
      <c r="AV93" s="1" t="s">
        <v>80</v>
      </c>
      <c r="AX93" s="1">
        <v>0</v>
      </c>
      <c r="BA93" s="1">
        <v>3</v>
      </c>
      <c r="BB93" s="1">
        <v>0</v>
      </c>
      <c r="BC93" s="1">
        <v>0</v>
      </c>
      <c r="BE93" s="1">
        <v>27185411</v>
      </c>
    </row>
    <row r="94" spans="1:57" x14ac:dyDescent="0.25">
      <c r="A94" s="1" t="str">
        <f>T("1943965295866222996")</f>
        <v>1943965295866222996</v>
      </c>
      <c r="B94" s="1" t="str">
        <f>T("249924403629")</f>
        <v>249924403629</v>
      </c>
      <c r="C94" s="1" t="str">
        <f>T("1941094470288147364")</f>
        <v>1941094470288147364</v>
      </c>
      <c r="AC94" s="1" t="s">
        <v>104</v>
      </c>
      <c r="AD94" s="1" t="s">
        <v>151</v>
      </c>
      <c r="AE94" s="1" t="s">
        <v>152</v>
      </c>
      <c r="AF94" s="1" t="s">
        <v>107</v>
      </c>
      <c r="AG94" s="1">
        <v>50</v>
      </c>
      <c r="AO94" s="2">
        <v>46273</v>
      </c>
      <c r="AP94" s="1" t="s">
        <v>108</v>
      </c>
      <c r="AS94" s="1" t="s">
        <v>71</v>
      </c>
      <c r="AU94" s="1" t="s">
        <v>72</v>
      </c>
      <c r="AV94" s="1" t="s">
        <v>80</v>
      </c>
      <c r="AX94" s="1">
        <v>0</v>
      </c>
      <c r="BA94" s="1">
        <v>3</v>
      </c>
      <c r="BB94" s="1">
        <v>0</v>
      </c>
      <c r="BC94" s="1">
        <v>0</v>
      </c>
      <c r="BE94" s="1">
        <v>27185411</v>
      </c>
    </row>
    <row r="95" spans="1:57" x14ac:dyDescent="0.25">
      <c r="A95" s="1" t="str">
        <f>T("1943965295874610512")</f>
        <v>1943965295874610512</v>
      </c>
      <c r="B95" s="1" t="str">
        <f>T("249991255929")</f>
        <v>249991255929</v>
      </c>
      <c r="C95" s="1" t="str">
        <f>T("1941094470283954456")</f>
        <v>1941094470283954456</v>
      </c>
      <c r="AC95" s="1" t="s">
        <v>104</v>
      </c>
      <c r="AD95" s="1" t="s">
        <v>151</v>
      </c>
      <c r="AE95" s="1" t="s">
        <v>152</v>
      </c>
      <c r="AF95" s="1" t="s">
        <v>107</v>
      </c>
      <c r="AG95" s="1">
        <v>40</v>
      </c>
      <c r="AO95" s="2">
        <v>46273</v>
      </c>
      <c r="AP95" s="1" t="s">
        <v>108</v>
      </c>
      <c r="AS95" s="1" t="s">
        <v>71</v>
      </c>
      <c r="AU95" s="1" t="s">
        <v>72</v>
      </c>
      <c r="AV95" s="1" t="s">
        <v>80</v>
      </c>
      <c r="AX95" s="1">
        <v>0</v>
      </c>
      <c r="BA95" s="1">
        <v>3</v>
      </c>
      <c r="BB95" s="1">
        <v>0</v>
      </c>
      <c r="BC95" s="1">
        <v>0</v>
      </c>
      <c r="BE95" s="1">
        <v>27185411</v>
      </c>
    </row>
    <row r="96" spans="1:57" x14ac:dyDescent="0.25">
      <c r="A96" s="1" t="str">
        <f>T("1943965295878803720")</f>
        <v>1943965295878803720</v>
      </c>
      <c r="B96" s="1" t="str">
        <f>T("249904947760")</f>
        <v>249904947760</v>
      </c>
      <c r="C96" s="1" t="str">
        <f>T("1941094470288148164")</f>
        <v>1941094470288148164</v>
      </c>
      <c r="AC96" s="1" t="s">
        <v>104</v>
      </c>
      <c r="AD96" s="1" t="s">
        <v>151</v>
      </c>
      <c r="AE96" s="1" t="s">
        <v>152</v>
      </c>
      <c r="AF96" s="1" t="s">
        <v>107</v>
      </c>
      <c r="AG96" s="1">
        <v>26</v>
      </c>
      <c r="AO96" s="2">
        <v>46273</v>
      </c>
      <c r="AP96" s="1" t="s">
        <v>108</v>
      </c>
      <c r="AS96" s="1" t="s">
        <v>71</v>
      </c>
      <c r="AU96" s="1" t="s">
        <v>72</v>
      </c>
      <c r="AV96" s="1" t="s">
        <v>80</v>
      </c>
      <c r="AX96" s="1">
        <v>0</v>
      </c>
      <c r="BA96" s="1">
        <v>3</v>
      </c>
      <c r="BB96" s="1">
        <v>0</v>
      </c>
      <c r="BC96" s="1">
        <v>0</v>
      </c>
      <c r="BE96" s="1">
        <v>27185411</v>
      </c>
    </row>
    <row r="97" spans="1:57" x14ac:dyDescent="0.25">
      <c r="A97" s="1" t="str">
        <f>T("1943965295882998128")</f>
        <v>1943965295882998128</v>
      </c>
      <c r="B97" s="1" t="str">
        <f>T("249995508503")</f>
        <v>249995508503</v>
      </c>
      <c r="C97" s="1" t="str">
        <f>T("1941094470288148564")</f>
        <v>1941094470288148564</v>
      </c>
      <c r="AC97" s="1" t="s">
        <v>104</v>
      </c>
      <c r="AD97" s="1" t="s">
        <v>151</v>
      </c>
      <c r="AE97" s="1" t="s">
        <v>152</v>
      </c>
      <c r="AF97" s="1" t="s">
        <v>107</v>
      </c>
      <c r="AG97" s="1">
        <v>39</v>
      </c>
      <c r="AO97" s="2">
        <v>46273</v>
      </c>
      <c r="AP97" s="1" t="s">
        <v>108</v>
      </c>
      <c r="AS97" s="1" t="s">
        <v>71</v>
      </c>
      <c r="AU97" s="1" t="s">
        <v>72</v>
      </c>
      <c r="AV97" s="1" t="s">
        <v>73</v>
      </c>
      <c r="AX97" s="1">
        <v>0</v>
      </c>
      <c r="BA97" s="1">
        <v>3</v>
      </c>
      <c r="BB97" s="1">
        <v>0</v>
      </c>
      <c r="BC97" s="1">
        <v>0</v>
      </c>
      <c r="BE97" s="1">
        <v>27185411</v>
      </c>
    </row>
    <row r="98" spans="1:57" x14ac:dyDescent="0.25">
      <c r="A98" s="1" t="str">
        <f>T("1943965295912360184")</f>
        <v>1943965295912360184</v>
      </c>
      <c r="B98" s="1" t="str">
        <f>T("249926531630")</f>
        <v>249926531630</v>
      </c>
      <c r="C98" s="1" t="str">
        <f>T("1941094470288149064")</f>
        <v>1941094470288149064</v>
      </c>
      <c r="AA98" s="1">
        <v>1</v>
      </c>
      <c r="AC98" s="1" t="s">
        <v>104</v>
      </c>
      <c r="AD98" s="1" t="s">
        <v>151</v>
      </c>
      <c r="AE98" s="1" t="s">
        <v>152</v>
      </c>
      <c r="AF98" s="1" t="s">
        <v>107</v>
      </c>
      <c r="AG98" s="1">
        <v>26</v>
      </c>
      <c r="AO98" s="2">
        <v>46273</v>
      </c>
      <c r="AP98" s="1" t="s">
        <v>108</v>
      </c>
      <c r="AS98" s="1" t="s">
        <v>71</v>
      </c>
      <c r="AU98" s="1" t="s">
        <v>72</v>
      </c>
      <c r="AV98" s="1" t="s">
        <v>80</v>
      </c>
      <c r="AX98" s="1">
        <v>0</v>
      </c>
      <c r="BA98" s="1">
        <v>3</v>
      </c>
      <c r="BB98" s="1">
        <v>0</v>
      </c>
      <c r="BC98" s="1">
        <v>0</v>
      </c>
      <c r="BE98" s="1">
        <v>27185411</v>
      </c>
    </row>
    <row r="99" spans="1:57" x14ac:dyDescent="0.25">
      <c r="A99" s="1" t="str">
        <f>T("1943965295933332924")</f>
        <v>1943965295933332924</v>
      </c>
      <c r="B99" s="1" t="str">
        <f>T("249991090990")</f>
        <v>249991090990</v>
      </c>
      <c r="C99" s="1" t="str">
        <f>T("1941094470288150064")</f>
        <v>1941094470288150064</v>
      </c>
      <c r="AC99" s="1" t="s">
        <v>104</v>
      </c>
      <c r="AD99" s="1" t="s">
        <v>151</v>
      </c>
      <c r="AE99" s="1" t="s">
        <v>152</v>
      </c>
      <c r="AF99" s="1" t="s">
        <v>107</v>
      </c>
      <c r="AG99" s="1">
        <v>32</v>
      </c>
      <c r="AO99" s="2">
        <v>46273</v>
      </c>
      <c r="AP99" s="1" t="s">
        <v>108</v>
      </c>
      <c r="AS99" s="1" t="s">
        <v>71</v>
      </c>
      <c r="AU99" s="1" t="s">
        <v>72</v>
      </c>
      <c r="AV99" s="1" t="s">
        <v>126</v>
      </c>
      <c r="AX99" s="1">
        <v>0</v>
      </c>
      <c r="BA99" s="1">
        <v>3</v>
      </c>
      <c r="BB99" s="1">
        <v>0</v>
      </c>
      <c r="BC99" s="1">
        <v>0</v>
      </c>
      <c r="BE99" s="1">
        <v>27185411</v>
      </c>
    </row>
    <row r="100" spans="1:57" x14ac:dyDescent="0.25">
      <c r="A100" s="1" t="str">
        <f>T("1943965295937525032")</f>
        <v>1943965295937525032</v>
      </c>
      <c r="B100" s="1" t="str">
        <f>T("24992025152")</f>
        <v>24992025152</v>
      </c>
      <c r="C100" s="1" t="str">
        <f>T("1941094470288149464")</f>
        <v>1941094470288149464</v>
      </c>
      <c r="AC100" s="1" t="s">
        <v>104</v>
      </c>
      <c r="AD100" s="1" t="s">
        <v>151</v>
      </c>
      <c r="AE100" s="1" t="s">
        <v>152</v>
      </c>
      <c r="AF100" s="1" t="s">
        <v>107</v>
      </c>
      <c r="AG100" s="1">
        <v>29</v>
      </c>
      <c r="AO100" s="2">
        <v>46273</v>
      </c>
      <c r="AP100" s="1" t="s">
        <v>108</v>
      </c>
      <c r="AS100" s="1" t="s">
        <v>71</v>
      </c>
      <c r="AU100" s="1" t="s">
        <v>72</v>
      </c>
      <c r="AV100" s="1" t="s">
        <v>126</v>
      </c>
      <c r="AX100" s="1">
        <v>0</v>
      </c>
      <c r="BA100" s="1">
        <v>3</v>
      </c>
      <c r="BB100" s="1">
        <v>0</v>
      </c>
      <c r="BC100" s="1">
        <v>0</v>
      </c>
      <c r="BE100" s="1">
        <v>27185411</v>
      </c>
    </row>
    <row r="101" spans="1:57" x14ac:dyDescent="0.25">
      <c r="A101" s="1" t="str">
        <f>T("1943965295941721140")</f>
        <v>1943965295941721140</v>
      </c>
      <c r="B101" s="1" t="str">
        <f>T("249927658409")</f>
        <v>249927658409</v>
      </c>
      <c r="C101" s="1" t="str">
        <f>T("1941094470292340872")</f>
        <v>1941094470292340872</v>
      </c>
      <c r="AC101" s="1" t="s">
        <v>104</v>
      </c>
      <c r="AD101" s="1" t="s">
        <v>151</v>
      </c>
      <c r="AE101" s="1" t="s">
        <v>152</v>
      </c>
      <c r="AF101" s="1" t="s">
        <v>107</v>
      </c>
      <c r="AG101" s="1">
        <v>68</v>
      </c>
      <c r="AO101" s="2">
        <v>46273</v>
      </c>
      <c r="AP101" s="1" t="s">
        <v>108</v>
      </c>
      <c r="AS101" s="1" t="s">
        <v>71</v>
      </c>
      <c r="AU101" s="1" t="s">
        <v>72</v>
      </c>
      <c r="AV101" s="1" t="s">
        <v>126</v>
      </c>
      <c r="AX101" s="1">
        <v>0</v>
      </c>
      <c r="BA101" s="1">
        <v>3</v>
      </c>
      <c r="BB101" s="1">
        <v>0</v>
      </c>
      <c r="BC101" s="1">
        <v>0</v>
      </c>
      <c r="BE101" s="1">
        <v>27185411</v>
      </c>
    </row>
    <row r="102" spans="1:57" x14ac:dyDescent="0.25">
      <c r="A102" s="1" t="str">
        <f>T("1943965295954301564")</f>
        <v>1943965295954301564</v>
      </c>
      <c r="B102" s="1" t="str">
        <f>T("249991233383")</f>
        <v>249991233383</v>
      </c>
      <c r="C102" s="1" t="str">
        <f>T("1941094470292341272")</f>
        <v>1941094470292341272</v>
      </c>
      <c r="AC102" s="1" t="s">
        <v>104</v>
      </c>
      <c r="AD102" s="1" t="s">
        <v>151</v>
      </c>
      <c r="AE102" s="1" t="s">
        <v>152</v>
      </c>
      <c r="AF102" s="1" t="s">
        <v>107</v>
      </c>
      <c r="AG102" s="1">
        <v>52</v>
      </c>
      <c r="AO102" s="2">
        <v>46273</v>
      </c>
      <c r="AP102" s="1" t="s">
        <v>108</v>
      </c>
      <c r="AS102" s="1" t="s">
        <v>71</v>
      </c>
      <c r="AU102" s="1" t="s">
        <v>72</v>
      </c>
      <c r="AV102" s="1" t="s">
        <v>126</v>
      </c>
      <c r="AX102" s="1">
        <v>0</v>
      </c>
      <c r="BA102" s="1">
        <v>3</v>
      </c>
      <c r="BB102" s="1">
        <v>0</v>
      </c>
      <c r="BC102" s="1">
        <v>0</v>
      </c>
      <c r="BE102" s="1">
        <v>27185411</v>
      </c>
    </row>
    <row r="103" spans="1:57" x14ac:dyDescent="0.25">
      <c r="A103" s="1" t="str">
        <f>T("1943965295975273304")</f>
        <v>1943965295975273304</v>
      </c>
      <c r="B103" s="1" t="str">
        <f>T("249911205503")</f>
        <v>249911205503</v>
      </c>
      <c r="C103" s="1" t="str">
        <f>T("1941094470292341872")</f>
        <v>1941094470292341872</v>
      </c>
      <c r="AC103" s="1" t="s">
        <v>104</v>
      </c>
      <c r="AD103" s="1" t="s">
        <v>151</v>
      </c>
      <c r="AE103" s="1" t="s">
        <v>152</v>
      </c>
      <c r="AF103" s="1" t="s">
        <v>107</v>
      </c>
      <c r="AG103" s="1">
        <v>43</v>
      </c>
      <c r="AO103" s="2">
        <v>46273</v>
      </c>
      <c r="AP103" s="1" t="s">
        <v>108</v>
      </c>
      <c r="AS103" s="1" t="s">
        <v>71</v>
      </c>
      <c r="AU103" s="1" t="s">
        <v>72</v>
      </c>
      <c r="AV103" s="1" t="s">
        <v>126</v>
      </c>
      <c r="AX103" s="1">
        <v>0</v>
      </c>
      <c r="BA103" s="1">
        <v>3</v>
      </c>
      <c r="BB103" s="1">
        <v>0</v>
      </c>
      <c r="BC103" s="1">
        <v>0</v>
      </c>
      <c r="BE103" s="1">
        <v>27185411</v>
      </c>
    </row>
    <row r="104" spans="1:57" x14ac:dyDescent="0.25">
      <c r="A104" s="1" t="str">
        <f>T("1943965295983662720")</f>
        <v>1943965295983662720</v>
      </c>
      <c r="B104" s="1" t="str">
        <f>T("249922135663")</f>
        <v>249922135663</v>
      </c>
      <c r="C104" s="1" t="str">
        <f>T("1941094470292342672")</f>
        <v>1941094470292342672</v>
      </c>
      <c r="AA104" s="1">
        <v>1</v>
      </c>
      <c r="AC104" s="1" t="s">
        <v>104</v>
      </c>
      <c r="AD104" s="1" t="s">
        <v>151</v>
      </c>
      <c r="AE104" s="1" t="s">
        <v>152</v>
      </c>
      <c r="AF104" s="1" t="s">
        <v>107</v>
      </c>
      <c r="AG104" s="1">
        <v>23</v>
      </c>
      <c r="AO104" s="2">
        <v>46273</v>
      </c>
      <c r="AP104" s="1" t="s">
        <v>108</v>
      </c>
      <c r="AS104" s="1" t="s">
        <v>71</v>
      </c>
      <c r="AU104" s="1" t="s">
        <v>72</v>
      </c>
      <c r="AV104" s="1" t="s">
        <v>126</v>
      </c>
      <c r="AX104" s="1">
        <v>0</v>
      </c>
      <c r="BA104" s="1">
        <v>3</v>
      </c>
      <c r="BB104" s="1">
        <v>0</v>
      </c>
      <c r="BC104" s="1">
        <v>0</v>
      </c>
      <c r="BE104" s="1">
        <v>27185411</v>
      </c>
    </row>
    <row r="105" spans="1:57" x14ac:dyDescent="0.25">
      <c r="A105" s="1" t="str">
        <f>T("1943965295987859128")</f>
        <v>1943965295987859128</v>
      </c>
      <c r="B105" s="1" t="str">
        <f>T("249923825909")</f>
        <v>249923825909</v>
      </c>
      <c r="C105" s="1" t="str">
        <f>T("1941094470292343172")</f>
        <v>1941094470292343172</v>
      </c>
      <c r="AC105" s="1" t="s">
        <v>104</v>
      </c>
      <c r="AD105" s="1" t="s">
        <v>151</v>
      </c>
      <c r="AE105" s="1" t="s">
        <v>152</v>
      </c>
      <c r="AF105" s="1" t="s">
        <v>107</v>
      </c>
      <c r="AG105" s="1">
        <v>22</v>
      </c>
      <c r="AO105" s="2">
        <v>46273</v>
      </c>
      <c r="AP105" s="1" t="s">
        <v>108</v>
      </c>
      <c r="AS105" s="1" t="s">
        <v>71</v>
      </c>
      <c r="AU105" s="1" t="s">
        <v>72</v>
      </c>
      <c r="AV105" s="1" t="s">
        <v>126</v>
      </c>
      <c r="AX105" s="1">
        <v>0</v>
      </c>
      <c r="BA105" s="1">
        <v>3</v>
      </c>
      <c r="BB105" s="1">
        <v>0</v>
      </c>
      <c r="BC105" s="1">
        <v>0</v>
      </c>
      <c r="BE105" s="1">
        <v>27185411</v>
      </c>
    </row>
    <row r="106" spans="1:57" x14ac:dyDescent="0.25">
      <c r="A106" s="1" t="str">
        <f>T("1943965296000439952")</f>
        <v>1943965296000439952</v>
      </c>
      <c r="B106" s="1" t="str">
        <f>T("249927071650")</f>
        <v>249927071650</v>
      </c>
      <c r="C106" s="1" t="str">
        <f>T("1941094470292343772")</f>
        <v>1941094470292343772</v>
      </c>
      <c r="AC106" s="1" t="s">
        <v>104</v>
      </c>
      <c r="AD106" s="1" t="s">
        <v>151</v>
      </c>
      <c r="AE106" s="1" t="s">
        <v>152</v>
      </c>
      <c r="AF106" s="1" t="s">
        <v>107</v>
      </c>
      <c r="AG106" s="1">
        <v>48</v>
      </c>
      <c r="AO106" s="2">
        <v>46273</v>
      </c>
      <c r="AP106" s="1" t="s">
        <v>108</v>
      </c>
      <c r="AS106" s="1" t="s">
        <v>71</v>
      </c>
      <c r="AU106" s="1" t="s">
        <v>72</v>
      </c>
      <c r="AV106" s="1" t="s">
        <v>126</v>
      </c>
      <c r="AX106" s="1">
        <v>0</v>
      </c>
      <c r="BA106" s="1">
        <v>3</v>
      </c>
      <c r="BB106" s="1">
        <v>0</v>
      </c>
      <c r="BC106" s="1">
        <v>0</v>
      </c>
      <c r="BE106" s="1">
        <v>27185411</v>
      </c>
    </row>
    <row r="107" spans="1:57" x14ac:dyDescent="0.25">
      <c r="A107" s="1" t="str">
        <f>T("1943965296013025276")</f>
        <v>1943965296013025276</v>
      </c>
      <c r="B107" s="1" t="str">
        <f>T("249928862025")</f>
        <v>249928862025</v>
      </c>
      <c r="C107" s="1" t="str">
        <f>T("1941094470292344372")</f>
        <v>1941094470292344372</v>
      </c>
      <c r="AC107" s="1" t="s">
        <v>104</v>
      </c>
      <c r="AD107" s="1" t="s">
        <v>151</v>
      </c>
      <c r="AE107" s="1" t="s">
        <v>152</v>
      </c>
      <c r="AF107" s="1" t="s">
        <v>107</v>
      </c>
      <c r="AG107" s="1">
        <v>35</v>
      </c>
      <c r="AO107" s="2">
        <v>46273</v>
      </c>
      <c r="AP107" s="1" t="s">
        <v>108</v>
      </c>
      <c r="AS107" s="1" t="s">
        <v>71</v>
      </c>
      <c r="AU107" s="1" t="s">
        <v>72</v>
      </c>
      <c r="AV107" s="1" t="s">
        <v>126</v>
      </c>
      <c r="AX107" s="1">
        <v>0</v>
      </c>
      <c r="BA107" s="1">
        <v>3</v>
      </c>
      <c r="BB107" s="1">
        <v>0</v>
      </c>
      <c r="BC107" s="1">
        <v>0</v>
      </c>
      <c r="BE107" s="1">
        <v>27185411</v>
      </c>
    </row>
    <row r="108" spans="1:57" x14ac:dyDescent="0.25">
      <c r="A108" s="1" t="str">
        <f>T("1943965296075939596")</f>
        <v>1943965296075939596</v>
      </c>
      <c r="B108" s="1" t="str">
        <f>T("249920706569")</f>
        <v>249920706569</v>
      </c>
      <c r="C108" s="1" t="str">
        <f>T("1941094470296535180")</f>
        <v>1941094470296535180</v>
      </c>
      <c r="AC108" s="1" t="s">
        <v>104</v>
      </c>
      <c r="AD108" s="1" t="s">
        <v>151</v>
      </c>
      <c r="AE108" s="1" t="s">
        <v>152</v>
      </c>
      <c r="AF108" s="1" t="s">
        <v>107</v>
      </c>
      <c r="AG108" s="1">
        <v>30</v>
      </c>
      <c r="AO108" s="2">
        <v>46273</v>
      </c>
      <c r="AP108" s="1" t="s">
        <v>108</v>
      </c>
      <c r="AS108" s="1" t="s">
        <v>71</v>
      </c>
      <c r="AU108" s="1" t="s">
        <v>72</v>
      </c>
      <c r="AV108" s="1" t="s">
        <v>126</v>
      </c>
      <c r="AX108" s="1">
        <v>0</v>
      </c>
      <c r="BA108" s="1">
        <v>3</v>
      </c>
      <c r="BB108" s="1">
        <v>0</v>
      </c>
      <c r="BC108" s="1">
        <v>0</v>
      </c>
      <c r="BE108" s="1">
        <v>27185411</v>
      </c>
    </row>
    <row r="109" spans="1:57" x14ac:dyDescent="0.25">
      <c r="A109" s="1" t="str">
        <f>T("1943965296084325012")</f>
        <v>1943965296084325012</v>
      </c>
      <c r="B109" s="1" t="str">
        <f>T("249929189020")</f>
        <v>249929189020</v>
      </c>
      <c r="C109" s="1" t="str">
        <f>T("1941094470296535580")</f>
        <v>1941094470296535580</v>
      </c>
      <c r="AC109" s="1" t="s">
        <v>104</v>
      </c>
      <c r="AD109" s="1" t="s">
        <v>151</v>
      </c>
      <c r="AE109" s="1" t="s">
        <v>152</v>
      </c>
      <c r="AF109" s="1" t="s">
        <v>107</v>
      </c>
      <c r="AG109" s="1">
        <v>17</v>
      </c>
      <c r="AO109" s="2">
        <v>46273</v>
      </c>
      <c r="AP109" s="1" t="s">
        <v>108</v>
      </c>
      <c r="AS109" s="1" t="s">
        <v>71</v>
      </c>
      <c r="AU109" s="1" t="s">
        <v>72</v>
      </c>
      <c r="AV109" s="1" t="s">
        <v>126</v>
      </c>
      <c r="AX109" s="1">
        <v>0</v>
      </c>
      <c r="BA109" s="1">
        <v>3</v>
      </c>
      <c r="BB109" s="1">
        <v>0</v>
      </c>
      <c r="BC109" s="1">
        <v>0</v>
      </c>
      <c r="BE109" s="1">
        <v>27185411</v>
      </c>
    </row>
    <row r="110" spans="1:57" x14ac:dyDescent="0.25">
      <c r="A110" s="1" t="str">
        <f>T("1944022169110123900")</f>
        <v>1944022169110123900</v>
      </c>
      <c r="B110" s="1" t="str">
        <f>T("249991241017")</f>
        <v>249991241017</v>
      </c>
      <c r="C110" s="1" t="str">
        <f>T("1941094470296536380")</f>
        <v>1941094470296536380</v>
      </c>
      <c r="AC110" s="1" t="s">
        <v>104</v>
      </c>
      <c r="AD110" s="1" t="s">
        <v>151</v>
      </c>
      <c r="AE110" s="1" t="s">
        <v>152</v>
      </c>
      <c r="AF110" s="1" t="s">
        <v>107</v>
      </c>
      <c r="AG110" s="1">
        <v>16</v>
      </c>
      <c r="AO110" s="2">
        <v>46273</v>
      </c>
      <c r="AP110" s="1" t="s">
        <v>157</v>
      </c>
      <c r="AS110" s="1" t="s">
        <v>71</v>
      </c>
      <c r="AU110" s="1" t="s">
        <v>72</v>
      </c>
      <c r="AV110" s="1" t="s">
        <v>73</v>
      </c>
      <c r="AX110" s="1">
        <v>0</v>
      </c>
      <c r="BA110" s="1">
        <v>3</v>
      </c>
      <c r="BB110" s="1">
        <v>0</v>
      </c>
      <c r="BC110" s="1">
        <v>0</v>
      </c>
      <c r="BE110" s="1">
        <v>27185413</v>
      </c>
    </row>
    <row r="111" spans="1:57" x14ac:dyDescent="0.25">
      <c r="A111" s="1" t="str">
        <f>T("1944022169114318808")</f>
        <v>1944022169114318808</v>
      </c>
      <c r="B111" s="1" t="str">
        <f>T("249929371272")</f>
        <v>249929371272</v>
      </c>
      <c r="C111" s="1" t="str">
        <f>T("1941094470300729488")</f>
        <v>1941094470300729488</v>
      </c>
      <c r="AC111" s="1" t="s">
        <v>104</v>
      </c>
      <c r="AD111" s="1" t="s">
        <v>151</v>
      </c>
      <c r="AE111" s="1" t="s">
        <v>152</v>
      </c>
      <c r="AF111" s="1" t="s">
        <v>107</v>
      </c>
      <c r="AG111" s="1">
        <v>17</v>
      </c>
      <c r="AO111" s="2">
        <v>46273</v>
      </c>
      <c r="AP111" s="1" t="s">
        <v>157</v>
      </c>
      <c r="AQ111" s="2">
        <v>46273</v>
      </c>
      <c r="AR111" s="1" t="s">
        <v>158</v>
      </c>
      <c r="AS111" s="1" t="s">
        <v>71</v>
      </c>
      <c r="AU111" s="1" t="s">
        <v>79</v>
      </c>
      <c r="AV111" s="1" t="s">
        <v>80</v>
      </c>
      <c r="AW111" s="1">
        <v>23.66</v>
      </c>
      <c r="AX111" s="1">
        <v>0</v>
      </c>
      <c r="AZ111" s="1" t="s">
        <v>81</v>
      </c>
      <c r="BA111" s="1">
        <v>1</v>
      </c>
      <c r="BB111" s="1">
        <v>0</v>
      </c>
      <c r="BC111" s="1">
        <v>0</v>
      </c>
      <c r="BE111" s="1">
        <v>27185413</v>
      </c>
    </row>
    <row r="112" spans="1:57" x14ac:dyDescent="0.25">
      <c r="A112" s="1" t="str">
        <f>T("1944022169131095840")</f>
        <v>1944022169131095840</v>
      </c>
      <c r="B112" s="1" t="str">
        <f>T("249926306258")</f>
        <v>249926306258</v>
      </c>
      <c r="C112" s="1" t="str">
        <f>T("1941094470300730188")</f>
        <v>1941094470300730188</v>
      </c>
      <c r="AC112" s="1" t="s">
        <v>104</v>
      </c>
      <c r="AD112" s="1" t="s">
        <v>151</v>
      </c>
      <c r="AE112" s="1" t="s">
        <v>152</v>
      </c>
      <c r="AF112" s="1" t="s">
        <v>107</v>
      </c>
      <c r="AG112" s="1">
        <v>22</v>
      </c>
      <c r="AO112" s="2">
        <v>46273</v>
      </c>
      <c r="AP112" s="1" t="s">
        <v>157</v>
      </c>
      <c r="AS112" s="1" t="s">
        <v>71</v>
      </c>
      <c r="AU112" s="1" t="s">
        <v>72</v>
      </c>
      <c r="AV112" s="1" t="s">
        <v>80</v>
      </c>
      <c r="AX112" s="1">
        <v>0</v>
      </c>
      <c r="BA112" s="1">
        <v>3</v>
      </c>
      <c r="BB112" s="1">
        <v>0</v>
      </c>
      <c r="BC112" s="1">
        <v>0</v>
      </c>
      <c r="BE112" s="1">
        <v>27185413</v>
      </c>
    </row>
    <row r="113" spans="1:57" x14ac:dyDescent="0.25">
      <c r="A113" s="1" t="str">
        <f>T("1944022169235952740")</f>
        <v>1944022169235952740</v>
      </c>
      <c r="B113" s="1" t="str">
        <f>T("249920716214")</f>
        <v>249920716214</v>
      </c>
      <c r="C113" s="1" t="str">
        <f>T("1941094470300730688")</f>
        <v>1941094470300730688</v>
      </c>
      <c r="AC113" s="1" t="s">
        <v>104</v>
      </c>
      <c r="AD113" s="1" t="s">
        <v>151</v>
      </c>
      <c r="AE113" s="1" t="s">
        <v>152</v>
      </c>
      <c r="AF113" s="1" t="s">
        <v>107</v>
      </c>
      <c r="AG113" s="1">
        <v>33</v>
      </c>
      <c r="AO113" s="2">
        <v>46273</v>
      </c>
      <c r="AP113" s="1" t="s">
        <v>157</v>
      </c>
      <c r="AS113" s="1" t="s">
        <v>71</v>
      </c>
      <c r="AU113" s="1" t="s">
        <v>72</v>
      </c>
      <c r="AV113" s="1" t="s">
        <v>73</v>
      </c>
      <c r="AX113" s="1">
        <v>0</v>
      </c>
      <c r="BA113" s="1">
        <v>3</v>
      </c>
      <c r="BB113" s="1">
        <v>0</v>
      </c>
      <c r="BC113" s="1">
        <v>0</v>
      </c>
      <c r="BE113" s="1">
        <v>27185413</v>
      </c>
    </row>
    <row r="114" spans="1:57" x14ac:dyDescent="0.25">
      <c r="A114" s="1" t="str">
        <f>T("1944022169252729572")</f>
        <v>1944022169252729572</v>
      </c>
      <c r="B114" s="1" t="str">
        <f>T("249927069145")</f>
        <v>249927069145</v>
      </c>
      <c r="C114" s="1" t="str">
        <f>T("1941094470300731188")</f>
        <v>1941094470300731188</v>
      </c>
      <c r="M114" s="1" t="s">
        <v>59</v>
      </c>
      <c r="O114" s="1" t="s">
        <v>65</v>
      </c>
      <c r="P114" s="1" t="s">
        <v>83</v>
      </c>
      <c r="Q114" s="1" t="s">
        <v>112</v>
      </c>
      <c r="R114" s="1" t="s">
        <v>84</v>
      </c>
      <c r="S114" s="1" t="s">
        <v>159</v>
      </c>
      <c r="U114" s="1" t="s">
        <v>60</v>
      </c>
      <c r="V114" s="1" t="s">
        <v>103</v>
      </c>
      <c r="W114" s="1" t="s">
        <v>60</v>
      </c>
      <c r="X114" s="1" t="s">
        <v>102</v>
      </c>
      <c r="Y114" s="1" t="s">
        <v>160</v>
      </c>
      <c r="AA114" s="1">
        <v>1</v>
      </c>
      <c r="AB114" s="1">
        <v>1</v>
      </c>
      <c r="AC114" s="1" t="s">
        <v>104</v>
      </c>
      <c r="AD114" s="1" t="s">
        <v>151</v>
      </c>
      <c r="AE114" s="1" t="s">
        <v>152</v>
      </c>
      <c r="AF114" s="1" t="s">
        <v>107</v>
      </c>
      <c r="AG114" s="1">
        <v>30</v>
      </c>
      <c r="AO114" s="2">
        <v>46273</v>
      </c>
      <c r="AP114" s="1" t="s">
        <v>157</v>
      </c>
      <c r="AQ114" s="2">
        <v>46273</v>
      </c>
      <c r="AR114" s="1" t="s">
        <v>161</v>
      </c>
      <c r="AS114" s="1" t="s">
        <v>71</v>
      </c>
      <c r="AU114" s="1" t="s">
        <v>78</v>
      </c>
      <c r="AV114" s="1" t="s">
        <v>80</v>
      </c>
      <c r="AW114" s="1">
        <v>167.66</v>
      </c>
      <c r="AX114" s="1">
        <v>0</v>
      </c>
      <c r="AZ114" s="1" t="s">
        <v>81</v>
      </c>
      <c r="BA114" s="1">
        <v>1</v>
      </c>
      <c r="BB114" s="1">
        <v>0</v>
      </c>
      <c r="BC114" s="1">
        <v>0</v>
      </c>
      <c r="BE114" s="1">
        <v>27185413</v>
      </c>
    </row>
    <row r="115" spans="1:57" x14ac:dyDescent="0.25">
      <c r="A115" s="1" t="str">
        <f>T("1944022169256925280")</f>
        <v>1944022169256925280</v>
      </c>
      <c r="B115" s="1" t="str">
        <f>T("249923228220")</f>
        <v>249923228220</v>
      </c>
      <c r="C115" s="1" t="str">
        <f>T("1941094470300731688")</f>
        <v>1941094470300731688</v>
      </c>
      <c r="AC115" s="1" t="s">
        <v>104</v>
      </c>
      <c r="AD115" s="1" t="s">
        <v>151</v>
      </c>
      <c r="AE115" s="1" t="s">
        <v>152</v>
      </c>
      <c r="AF115" s="1" t="s">
        <v>107</v>
      </c>
      <c r="AG115" s="1">
        <v>41</v>
      </c>
      <c r="AO115" s="2">
        <v>46273</v>
      </c>
      <c r="AP115" s="1" t="s">
        <v>157</v>
      </c>
      <c r="AQ115" s="2">
        <v>46273</v>
      </c>
      <c r="AR115" s="1" t="s">
        <v>162</v>
      </c>
      <c r="AS115" s="1" t="s">
        <v>71</v>
      </c>
      <c r="AU115" s="1" t="s">
        <v>79</v>
      </c>
      <c r="AV115" s="1" t="s">
        <v>80</v>
      </c>
      <c r="AW115" s="1">
        <v>12.1</v>
      </c>
      <c r="AX115" s="1">
        <v>0</v>
      </c>
      <c r="AZ115" s="1" t="s">
        <v>81</v>
      </c>
      <c r="BA115" s="1">
        <v>1</v>
      </c>
      <c r="BB115" s="1">
        <v>0</v>
      </c>
      <c r="BC115" s="1">
        <v>0</v>
      </c>
      <c r="BE115" s="1">
        <v>27185413</v>
      </c>
    </row>
    <row r="116" spans="1:57" x14ac:dyDescent="0.25">
      <c r="A116" s="1" t="str">
        <f>T("1944022169303063868")</f>
        <v>1944022169303063868</v>
      </c>
      <c r="B116" s="1" t="str">
        <f>T("249997550478")</f>
        <v>249997550478</v>
      </c>
      <c r="C116" s="1" t="str">
        <f>T("1941094470300732188")</f>
        <v>1941094470300732188</v>
      </c>
      <c r="AC116" s="1" t="s">
        <v>104</v>
      </c>
      <c r="AD116" s="1" t="s">
        <v>151</v>
      </c>
      <c r="AE116" s="1" t="s">
        <v>152</v>
      </c>
      <c r="AF116" s="1" t="s">
        <v>107</v>
      </c>
      <c r="AG116" s="1">
        <v>25</v>
      </c>
      <c r="AO116" s="2">
        <v>46273</v>
      </c>
      <c r="AP116" s="1" t="s">
        <v>157</v>
      </c>
      <c r="AS116" s="1" t="s">
        <v>71</v>
      </c>
      <c r="AU116" s="1" t="s">
        <v>72</v>
      </c>
      <c r="AV116" s="1" t="s">
        <v>80</v>
      </c>
      <c r="AX116" s="1">
        <v>0</v>
      </c>
      <c r="BA116" s="1">
        <v>3</v>
      </c>
      <c r="BB116" s="1">
        <v>0</v>
      </c>
      <c r="BC116" s="1">
        <v>0</v>
      </c>
      <c r="BE116" s="1">
        <v>27185413</v>
      </c>
    </row>
    <row r="117" spans="1:57" x14ac:dyDescent="0.25">
      <c r="A117" s="1" t="str">
        <f>T("1944022169307257676")</f>
        <v>1944022169307257676</v>
      </c>
      <c r="B117" s="1" t="str">
        <f>T("249923179356")</f>
        <v>249923179356</v>
      </c>
      <c r="C117" s="1" t="str">
        <f>T("1941094470300733388")</f>
        <v>1941094470300733388</v>
      </c>
      <c r="AC117" s="1" t="s">
        <v>104</v>
      </c>
      <c r="AD117" s="1" t="s">
        <v>151</v>
      </c>
      <c r="AE117" s="1" t="s">
        <v>152</v>
      </c>
      <c r="AF117" s="1" t="s">
        <v>107</v>
      </c>
      <c r="AG117" s="1">
        <v>39</v>
      </c>
      <c r="AO117" s="2">
        <v>46273</v>
      </c>
      <c r="AP117" s="1" t="s">
        <v>157</v>
      </c>
      <c r="AS117" s="1" t="s">
        <v>71</v>
      </c>
      <c r="AU117" s="1" t="s">
        <v>72</v>
      </c>
      <c r="AV117" s="1" t="s">
        <v>131</v>
      </c>
      <c r="AX117" s="1">
        <v>0</v>
      </c>
      <c r="BA117" s="1">
        <v>3</v>
      </c>
      <c r="BB117" s="1">
        <v>0</v>
      </c>
      <c r="BC117" s="1">
        <v>0</v>
      </c>
      <c r="BE117" s="1">
        <v>27185413</v>
      </c>
    </row>
    <row r="118" spans="1:57" x14ac:dyDescent="0.25">
      <c r="A118" s="1" t="str">
        <f>T("1944022169324035108")</f>
        <v>1944022169324035108</v>
      </c>
      <c r="B118" s="1" t="str">
        <f>T("249927737648")</f>
        <v>249927737648</v>
      </c>
      <c r="C118" s="1" t="str">
        <f>T("1941094470304923996")</f>
        <v>1941094470304923996</v>
      </c>
      <c r="M118" s="1" t="s">
        <v>59</v>
      </c>
      <c r="O118" s="1" t="s">
        <v>65</v>
      </c>
      <c r="P118" s="1" t="s">
        <v>83</v>
      </c>
      <c r="AA118" s="1">
        <v>1</v>
      </c>
      <c r="AC118" s="1" t="s">
        <v>104</v>
      </c>
      <c r="AD118" s="1" t="s">
        <v>151</v>
      </c>
      <c r="AE118" s="1" t="s">
        <v>152</v>
      </c>
      <c r="AF118" s="1" t="s">
        <v>107</v>
      </c>
      <c r="AG118" s="1">
        <v>41</v>
      </c>
      <c r="AO118" s="2">
        <v>46273</v>
      </c>
      <c r="AP118" s="1" t="s">
        <v>157</v>
      </c>
      <c r="AQ118" s="2">
        <v>46273</v>
      </c>
      <c r="AR118" s="1" t="s">
        <v>163</v>
      </c>
      <c r="AS118" s="1" t="s">
        <v>71</v>
      </c>
      <c r="AU118" s="1" t="s">
        <v>79</v>
      </c>
      <c r="AV118" s="1" t="s">
        <v>80</v>
      </c>
      <c r="AW118" s="1">
        <v>183.42</v>
      </c>
      <c r="AX118" s="1">
        <v>0</v>
      </c>
      <c r="AZ118" s="1" t="s">
        <v>81</v>
      </c>
      <c r="BA118" s="1">
        <v>1</v>
      </c>
      <c r="BB118" s="1">
        <v>0</v>
      </c>
      <c r="BC118" s="1">
        <v>0</v>
      </c>
      <c r="BE118" s="1">
        <v>27185413</v>
      </c>
    </row>
    <row r="119" spans="1:57" x14ac:dyDescent="0.25">
      <c r="A119" s="1" t="str">
        <f>T("1944022169382754520")</f>
        <v>1944022169382754520</v>
      </c>
      <c r="B119" s="1" t="str">
        <f>T("24990469893")</f>
        <v>24990469893</v>
      </c>
      <c r="C119" s="1" t="str">
        <f>T("1941094470304925396")</f>
        <v>1941094470304925396</v>
      </c>
      <c r="AC119" s="1" t="s">
        <v>104</v>
      </c>
      <c r="AD119" s="1" t="s">
        <v>151</v>
      </c>
      <c r="AE119" s="1" t="s">
        <v>152</v>
      </c>
      <c r="AF119" s="1" t="s">
        <v>107</v>
      </c>
      <c r="AG119" s="1">
        <v>38</v>
      </c>
      <c r="AO119" s="2">
        <v>46273</v>
      </c>
      <c r="AP119" s="1" t="s">
        <v>157</v>
      </c>
      <c r="AS119" s="1" t="s">
        <v>71</v>
      </c>
      <c r="AU119" s="1" t="s">
        <v>72</v>
      </c>
      <c r="AV119" s="1" t="s">
        <v>73</v>
      </c>
      <c r="AX119" s="1">
        <v>0</v>
      </c>
      <c r="BA119" s="1">
        <v>3</v>
      </c>
      <c r="BB119" s="1">
        <v>0</v>
      </c>
      <c r="BC119" s="1">
        <v>0</v>
      </c>
      <c r="BE119" s="1">
        <v>27185413</v>
      </c>
    </row>
    <row r="120" spans="1:57" x14ac:dyDescent="0.25">
      <c r="A120" s="1" t="str">
        <f>T("1944022169382756120")</f>
        <v>1944022169382756120</v>
      </c>
      <c r="B120" s="1" t="str">
        <f>T("249923189093")</f>
        <v>249923189093</v>
      </c>
      <c r="C120" s="1" t="str">
        <f>T("1941094470304924496")</f>
        <v>1941094470304924496</v>
      </c>
      <c r="AA120" s="1">
        <v>1</v>
      </c>
      <c r="AC120" s="1" t="s">
        <v>104</v>
      </c>
      <c r="AD120" s="1" t="s">
        <v>151</v>
      </c>
      <c r="AE120" s="1" t="s">
        <v>152</v>
      </c>
      <c r="AF120" s="1" t="s">
        <v>107</v>
      </c>
      <c r="AG120" s="1">
        <v>36</v>
      </c>
      <c r="AO120" s="2">
        <v>46273</v>
      </c>
      <c r="AP120" s="1" t="s">
        <v>157</v>
      </c>
      <c r="AQ120" s="2">
        <v>46273</v>
      </c>
      <c r="AR120" s="1" t="s">
        <v>164</v>
      </c>
      <c r="AS120" s="1" t="s">
        <v>71</v>
      </c>
      <c r="AU120" s="1" t="s">
        <v>79</v>
      </c>
      <c r="AV120" s="1" t="s">
        <v>80</v>
      </c>
      <c r="AW120" s="1">
        <v>59.06</v>
      </c>
      <c r="AX120" s="1">
        <v>0</v>
      </c>
      <c r="AZ120" s="1" t="s">
        <v>81</v>
      </c>
      <c r="BA120" s="1">
        <v>1</v>
      </c>
      <c r="BB120" s="1">
        <v>0</v>
      </c>
      <c r="BC120" s="1">
        <v>0</v>
      </c>
      <c r="BE120" s="1">
        <v>27185413</v>
      </c>
    </row>
    <row r="121" spans="1:57" x14ac:dyDescent="0.25">
      <c r="A121" s="1" t="str">
        <f>T("1944022169428892008")</f>
        <v>1944022169428892008</v>
      </c>
      <c r="B121" s="1" t="str">
        <f>T("249991595863")</f>
        <v>249991595863</v>
      </c>
      <c r="C121" s="1" t="str">
        <f>T("1941094470304926096")</f>
        <v>1941094470304926096</v>
      </c>
      <c r="AC121" s="1" t="s">
        <v>104</v>
      </c>
      <c r="AD121" s="1" t="s">
        <v>151</v>
      </c>
      <c r="AE121" s="1" t="s">
        <v>152</v>
      </c>
      <c r="AF121" s="1" t="s">
        <v>107</v>
      </c>
      <c r="AG121" s="1">
        <v>42</v>
      </c>
      <c r="AO121" s="2">
        <v>46273</v>
      </c>
      <c r="AP121" s="1" t="s">
        <v>157</v>
      </c>
      <c r="AS121" s="1" t="s">
        <v>71</v>
      </c>
      <c r="AU121" s="1" t="s">
        <v>72</v>
      </c>
      <c r="AV121" s="1" t="s">
        <v>80</v>
      </c>
      <c r="AX121" s="1">
        <v>0</v>
      </c>
      <c r="BA121" s="1">
        <v>3</v>
      </c>
      <c r="BB121" s="1">
        <v>0</v>
      </c>
      <c r="BC121" s="1">
        <v>0</v>
      </c>
      <c r="BE121" s="1">
        <v>27185413</v>
      </c>
    </row>
    <row r="122" spans="1:57" x14ac:dyDescent="0.25">
      <c r="A122" s="1" t="str">
        <f>T("1944022169441475132")</f>
        <v>1944022169441475132</v>
      </c>
      <c r="B122" s="1" t="str">
        <f>T("249926240645")</f>
        <v>249926240645</v>
      </c>
      <c r="C122" s="1" t="str">
        <f>T("1941094470304926596")</f>
        <v>1941094470304926596</v>
      </c>
      <c r="AA122" s="1">
        <v>1</v>
      </c>
      <c r="AC122" s="1" t="s">
        <v>104</v>
      </c>
      <c r="AD122" s="1" t="s">
        <v>151</v>
      </c>
      <c r="AE122" s="1" t="s">
        <v>152</v>
      </c>
      <c r="AF122" s="1" t="s">
        <v>107</v>
      </c>
      <c r="AG122" s="1">
        <v>28</v>
      </c>
      <c r="AO122" s="2">
        <v>46273</v>
      </c>
      <c r="AP122" s="1" t="s">
        <v>157</v>
      </c>
      <c r="AS122" s="1" t="s">
        <v>71</v>
      </c>
      <c r="AU122" s="1" t="s">
        <v>72</v>
      </c>
      <c r="AV122" s="1" t="s">
        <v>73</v>
      </c>
      <c r="AX122" s="1">
        <v>0</v>
      </c>
      <c r="BA122" s="1">
        <v>3</v>
      </c>
      <c r="BB122" s="1">
        <v>0</v>
      </c>
      <c r="BC122" s="1">
        <v>0</v>
      </c>
      <c r="BE122" s="1">
        <v>27185413</v>
      </c>
    </row>
    <row r="123" spans="1:57" x14ac:dyDescent="0.25">
      <c r="A123" s="1" t="str">
        <f>T("1944022169454056456")</f>
        <v>1944022169454056456</v>
      </c>
      <c r="B123" s="1" t="str">
        <f>T("249926612538")</f>
        <v>249926612538</v>
      </c>
      <c r="C123" s="1" t="str">
        <f>T("1941094470304927196")</f>
        <v>1941094470304927196</v>
      </c>
      <c r="AC123" s="1" t="s">
        <v>104</v>
      </c>
      <c r="AD123" s="1" t="s">
        <v>151</v>
      </c>
      <c r="AE123" s="1" t="s">
        <v>152</v>
      </c>
      <c r="AF123" s="1" t="s">
        <v>107</v>
      </c>
      <c r="AG123" s="1">
        <v>30</v>
      </c>
      <c r="AO123" s="2">
        <v>46273</v>
      </c>
      <c r="AP123" s="1" t="s">
        <v>157</v>
      </c>
      <c r="AS123" s="1" t="s">
        <v>71</v>
      </c>
      <c r="AU123" s="1" t="s">
        <v>72</v>
      </c>
      <c r="AV123" s="1" t="s">
        <v>73</v>
      </c>
      <c r="AX123" s="1">
        <v>0</v>
      </c>
      <c r="BA123" s="1">
        <v>3</v>
      </c>
      <c r="BB123" s="1">
        <v>0</v>
      </c>
      <c r="BC123" s="1">
        <v>0</v>
      </c>
      <c r="BE123" s="1">
        <v>27185413</v>
      </c>
    </row>
    <row r="124" spans="1:57" x14ac:dyDescent="0.25">
      <c r="A124" s="1" t="str">
        <f>T("1944022169496000036")</f>
        <v>1944022169496000036</v>
      </c>
      <c r="B124" s="1" t="str">
        <f>T("249995499102")</f>
        <v>249995499102</v>
      </c>
      <c r="C124" s="1" t="str">
        <f>T("1941094470304927696")</f>
        <v>1941094470304927696</v>
      </c>
      <c r="M124" s="1" t="s">
        <v>148</v>
      </c>
      <c r="AA124" s="1">
        <v>1</v>
      </c>
      <c r="AC124" s="1" t="s">
        <v>104</v>
      </c>
      <c r="AD124" s="1" t="s">
        <v>151</v>
      </c>
      <c r="AE124" s="1" t="s">
        <v>152</v>
      </c>
      <c r="AF124" s="1" t="s">
        <v>107</v>
      </c>
      <c r="AG124" s="1">
        <v>36</v>
      </c>
      <c r="AO124" s="2">
        <v>46273</v>
      </c>
      <c r="AP124" s="1" t="s">
        <v>157</v>
      </c>
      <c r="AQ124" s="2">
        <v>46273</v>
      </c>
      <c r="AR124" s="1" t="s">
        <v>158</v>
      </c>
      <c r="AS124" s="1" t="s">
        <v>71</v>
      </c>
      <c r="AU124" s="1" t="s">
        <v>79</v>
      </c>
      <c r="AV124" s="1" t="s">
        <v>80</v>
      </c>
      <c r="AW124" s="1">
        <v>80.92</v>
      </c>
      <c r="AX124" s="1">
        <v>0</v>
      </c>
      <c r="AZ124" s="1" t="s">
        <v>81</v>
      </c>
      <c r="BA124" s="1">
        <v>1</v>
      </c>
      <c r="BB124" s="1">
        <v>0</v>
      </c>
      <c r="BC124" s="1">
        <v>0</v>
      </c>
      <c r="BE124" s="1">
        <v>27185413</v>
      </c>
    </row>
    <row r="125" spans="1:57" x14ac:dyDescent="0.25">
      <c r="A125" s="1" t="str">
        <f>T("1944022169504390752")</f>
        <v>1944022169504390752</v>
      </c>
      <c r="B125" s="1" t="str">
        <f>T("249999966971")</f>
        <v>249999966971</v>
      </c>
      <c r="C125" s="1" t="str">
        <f>T("1941094470309118404")</f>
        <v>1941094470309118404</v>
      </c>
      <c r="AA125" s="1">
        <v>1</v>
      </c>
      <c r="AC125" s="1" t="s">
        <v>104</v>
      </c>
      <c r="AD125" s="1" t="s">
        <v>151</v>
      </c>
      <c r="AE125" s="1" t="s">
        <v>152</v>
      </c>
      <c r="AF125" s="1" t="s">
        <v>107</v>
      </c>
      <c r="AG125" s="1">
        <v>50</v>
      </c>
      <c r="AO125" s="2">
        <v>46273</v>
      </c>
      <c r="AP125" s="1" t="s">
        <v>157</v>
      </c>
      <c r="AQ125" s="2">
        <v>46273</v>
      </c>
      <c r="AR125" s="1" t="s">
        <v>165</v>
      </c>
      <c r="AS125" s="1" t="s">
        <v>71</v>
      </c>
      <c r="AU125" s="1" t="s">
        <v>79</v>
      </c>
      <c r="AV125" s="1" t="s">
        <v>80</v>
      </c>
      <c r="AW125" s="1">
        <v>61.78</v>
      </c>
      <c r="AX125" s="1">
        <v>0</v>
      </c>
      <c r="AZ125" s="1" t="s">
        <v>81</v>
      </c>
      <c r="BA125" s="1">
        <v>1</v>
      </c>
      <c r="BB125" s="1">
        <v>0</v>
      </c>
      <c r="BC125" s="1">
        <v>0</v>
      </c>
      <c r="BE125" s="1">
        <v>27185413</v>
      </c>
    </row>
    <row r="126" spans="1:57" x14ac:dyDescent="0.25">
      <c r="A126" s="1" t="str">
        <f>T("1944022169512777368")</f>
        <v>1944022169512777368</v>
      </c>
      <c r="B126" s="1" t="str">
        <f>T("249927274960")</f>
        <v>249927274960</v>
      </c>
      <c r="C126" s="1" t="str">
        <f>T("1941094470309118804")</f>
        <v>1941094470309118804</v>
      </c>
      <c r="AC126" s="1" t="s">
        <v>104</v>
      </c>
      <c r="AD126" s="1" t="s">
        <v>151</v>
      </c>
      <c r="AE126" s="1" t="s">
        <v>152</v>
      </c>
      <c r="AF126" s="1" t="s">
        <v>107</v>
      </c>
      <c r="AG126" s="1">
        <v>26</v>
      </c>
      <c r="AO126" s="2">
        <v>46273</v>
      </c>
      <c r="AP126" s="1" t="s">
        <v>157</v>
      </c>
      <c r="AQ126" s="2">
        <v>46273</v>
      </c>
      <c r="AR126" s="1" t="s">
        <v>166</v>
      </c>
      <c r="AS126" s="1" t="s">
        <v>71</v>
      </c>
      <c r="AU126" s="1" t="s">
        <v>79</v>
      </c>
      <c r="AV126" s="1" t="s">
        <v>80</v>
      </c>
      <c r="AW126" s="1">
        <v>10.4</v>
      </c>
      <c r="AX126" s="1">
        <v>0</v>
      </c>
      <c r="AZ126" s="1" t="s">
        <v>81</v>
      </c>
      <c r="BA126" s="1">
        <v>1</v>
      </c>
      <c r="BB126" s="1">
        <v>0</v>
      </c>
      <c r="BC126" s="1">
        <v>0</v>
      </c>
      <c r="BE126" s="1">
        <v>27185413</v>
      </c>
    </row>
    <row r="127" spans="1:57" x14ac:dyDescent="0.25">
      <c r="A127" s="1" t="str">
        <f>T("1944022169542136424")</f>
        <v>1944022169542136424</v>
      </c>
      <c r="B127" s="1" t="str">
        <f>T("249924073910")</f>
        <v>249924073910</v>
      </c>
      <c r="C127" s="1" t="str">
        <f>T("1941094470309119204")</f>
        <v>1941094470309119204</v>
      </c>
      <c r="AC127" s="1" t="s">
        <v>104</v>
      </c>
      <c r="AD127" s="1" t="s">
        <v>151</v>
      </c>
      <c r="AE127" s="1" t="s">
        <v>152</v>
      </c>
      <c r="AF127" s="1" t="s">
        <v>107</v>
      </c>
      <c r="AG127" s="1">
        <v>53</v>
      </c>
      <c r="AO127" s="2">
        <v>46273</v>
      </c>
      <c r="AP127" s="1" t="s">
        <v>157</v>
      </c>
      <c r="AS127" s="1" t="s">
        <v>71</v>
      </c>
      <c r="AU127" s="1" t="s">
        <v>72</v>
      </c>
      <c r="AV127" s="1" t="s">
        <v>73</v>
      </c>
      <c r="AX127" s="1">
        <v>0</v>
      </c>
      <c r="BA127" s="1">
        <v>3</v>
      </c>
      <c r="BB127" s="1">
        <v>0</v>
      </c>
      <c r="BC127" s="1">
        <v>0</v>
      </c>
      <c r="BE127" s="1">
        <v>27185413</v>
      </c>
    </row>
    <row r="128" spans="1:57" x14ac:dyDescent="0.25">
      <c r="A128" s="1" t="str">
        <f>T("1944022169558915256")</f>
        <v>1944022169558915256</v>
      </c>
      <c r="B128" s="1" t="str">
        <f>T("249918201566")</f>
        <v>249918201566</v>
      </c>
      <c r="C128" s="1" t="str">
        <f>T("1941094470309120004")</f>
        <v>1941094470309120004</v>
      </c>
      <c r="AC128" s="1" t="s">
        <v>104</v>
      </c>
      <c r="AD128" s="1" t="s">
        <v>151</v>
      </c>
      <c r="AE128" s="1" t="s">
        <v>152</v>
      </c>
      <c r="AF128" s="1" t="s">
        <v>107</v>
      </c>
      <c r="AG128" s="1">
        <v>27</v>
      </c>
      <c r="AO128" s="2">
        <v>46273</v>
      </c>
      <c r="AP128" s="1" t="s">
        <v>157</v>
      </c>
      <c r="AS128" s="1" t="s">
        <v>71</v>
      </c>
      <c r="AU128" s="1" t="s">
        <v>72</v>
      </c>
      <c r="AV128" s="1" t="s">
        <v>73</v>
      </c>
      <c r="AX128" s="1">
        <v>0</v>
      </c>
      <c r="BA128" s="1">
        <v>3</v>
      </c>
      <c r="BB128" s="1">
        <v>0</v>
      </c>
      <c r="BC128" s="1">
        <v>0</v>
      </c>
      <c r="BE128" s="1">
        <v>27185413</v>
      </c>
    </row>
    <row r="129" spans="1:57" x14ac:dyDescent="0.25">
      <c r="A129" s="1" t="str">
        <f>T("1944022169563109764")</f>
        <v>1944022169563109764</v>
      </c>
      <c r="B129" s="1" t="str">
        <f>T("249919193322")</f>
        <v>249919193322</v>
      </c>
      <c r="C129" s="1" t="str">
        <f>T("1941094470309120704")</f>
        <v>1941094470309120704</v>
      </c>
      <c r="AA129" s="1">
        <v>1</v>
      </c>
      <c r="AC129" s="1" t="s">
        <v>104</v>
      </c>
      <c r="AD129" s="1" t="s">
        <v>151</v>
      </c>
      <c r="AE129" s="1" t="s">
        <v>152</v>
      </c>
      <c r="AF129" s="1" t="s">
        <v>107</v>
      </c>
      <c r="AG129" s="1">
        <v>43</v>
      </c>
      <c r="AO129" s="2">
        <v>46273</v>
      </c>
      <c r="AP129" s="1" t="s">
        <v>157</v>
      </c>
      <c r="AQ129" s="2">
        <v>46273</v>
      </c>
      <c r="AR129" s="1" t="s">
        <v>167</v>
      </c>
      <c r="AS129" s="1" t="s">
        <v>71</v>
      </c>
      <c r="AU129" s="1" t="s">
        <v>79</v>
      </c>
      <c r="AV129" s="1" t="s">
        <v>80</v>
      </c>
      <c r="AW129" s="1">
        <v>43.94</v>
      </c>
      <c r="AX129" s="1">
        <v>0</v>
      </c>
      <c r="AZ129" s="1" t="s">
        <v>81</v>
      </c>
      <c r="BA129" s="1">
        <v>1</v>
      </c>
      <c r="BB129" s="1">
        <v>0</v>
      </c>
      <c r="BC129" s="1">
        <v>0</v>
      </c>
      <c r="BE129" s="1">
        <v>27185413</v>
      </c>
    </row>
    <row r="130" spans="1:57" x14ac:dyDescent="0.25">
      <c r="A130" s="1" t="str">
        <f>T("1944022169605053744")</f>
        <v>1944022169605053744</v>
      </c>
      <c r="B130" s="1" t="str">
        <f>T("249920021139")</f>
        <v>249920021139</v>
      </c>
      <c r="C130" s="1" t="str">
        <f>T("1941094470309121404")</f>
        <v>1941094470309121404</v>
      </c>
      <c r="AC130" s="1" t="s">
        <v>104</v>
      </c>
      <c r="AD130" s="1" t="s">
        <v>151</v>
      </c>
      <c r="AE130" s="1" t="s">
        <v>152</v>
      </c>
      <c r="AF130" s="1" t="s">
        <v>107</v>
      </c>
      <c r="AG130" s="1">
        <v>35</v>
      </c>
      <c r="AO130" s="2">
        <v>46273</v>
      </c>
      <c r="AP130" s="1" t="s">
        <v>157</v>
      </c>
      <c r="AQ130" s="2">
        <v>46273</v>
      </c>
      <c r="AR130" s="1" t="s">
        <v>168</v>
      </c>
      <c r="AS130" s="1" t="s">
        <v>71</v>
      </c>
      <c r="AU130" s="1" t="s">
        <v>79</v>
      </c>
      <c r="AV130" s="1" t="s">
        <v>80</v>
      </c>
      <c r="AW130" s="1">
        <v>29.02</v>
      </c>
      <c r="AX130" s="1">
        <v>0</v>
      </c>
      <c r="AZ130" s="1" t="s">
        <v>81</v>
      </c>
      <c r="BA130" s="1">
        <v>2</v>
      </c>
      <c r="BB130" s="1">
        <v>0</v>
      </c>
      <c r="BC130" s="1">
        <v>0</v>
      </c>
      <c r="BE130" s="1">
        <v>27185413</v>
      </c>
    </row>
    <row r="131" spans="1:57" x14ac:dyDescent="0.25">
      <c r="A131" s="1" t="str">
        <f>T("1944022169613443060")</f>
        <v>1944022169613443060</v>
      </c>
      <c r="B131" s="1" t="str">
        <f>T("249910041121")</f>
        <v>249910041121</v>
      </c>
      <c r="C131" s="1" t="str">
        <f>T("1941094470309121804")</f>
        <v>1941094470309121804</v>
      </c>
      <c r="AA131" s="1">
        <v>1</v>
      </c>
      <c r="AC131" s="1" t="s">
        <v>104</v>
      </c>
      <c r="AD131" s="1" t="s">
        <v>151</v>
      </c>
      <c r="AE131" s="1" t="s">
        <v>152</v>
      </c>
      <c r="AF131" s="1" t="s">
        <v>107</v>
      </c>
      <c r="AG131" s="1">
        <v>36</v>
      </c>
      <c r="AO131" s="2">
        <v>46273</v>
      </c>
      <c r="AP131" s="1" t="s">
        <v>157</v>
      </c>
      <c r="AS131" s="1" t="s">
        <v>71</v>
      </c>
      <c r="AU131" s="1" t="s">
        <v>72</v>
      </c>
      <c r="AV131" s="1" t="s">
        <v>131</v>
      </c>
      <c r="AX131" s="1">
        <v>0</v>
      </c>
      <c r="BA131" s="1">
        <v>3</v>
      </c>
      <c r="BB131" s="1">
        <v>0</v>
      </c>
      <c r="BC131" s="1">
        <v>0</v>
      </c>
      <c r="BE131" s="1">
        <v>27185413</v>
      </c>
    </row>
    <row r="132" spans="1:57" x14ac:dyDescent="0.25">
      <c r="A132" s="1" t="str">
        <f>T("1944022169630216992")</f>
        <v>1944022169630216992</v>
      </c>
      <c r="B132" s="1" t="str">
        <f>T("249925091779")</f>
        <v>249925091779</v>
      </c>
      <c r="C132" s="1" t="str">
        <f>T("1941094470313312412")</f>
        <v>1941094470313312412</v>
      </c>
      <c r="AA132" s="1">
        <v>1</v>
      </c>
      <c r="AC132" s="1" t="s">
        <v>104</v>
      </c>
      <c r="AD132" s="1" t="s">
        <v>151</v>
      </c>
      <c r="AE132" s="1" t="s">
        <v>152</v>
      </c>
      <c r="AF132" s="1" t="s">
        <v>107</v>
      </c>
      <c r="AG132" s="1">
        <v>29</v>
      </c>
      <c r="AO132" s="2">
        <v>46273</v>
      </c>
      <c r="AP132" s="1" t="s">
        <v>157</v>
      </c>
      <c r="AQ132" s="2">
        <v>46273</v>
      </c>
      <c r="AR132" s="1" t="s">
        <v>169</v>
      </c>
      <c r="AS132" s="1" t="s">
        <v>71</v>
      </c>
      <c r="AU132" s="1" t="s">
        <v>79</v>
      </c>
      <c r="AV132" s="1" t="s">
        <v>80</v>
      </c>
      <c r="AW132" s="1">
        <v>50.02</v>
      </c>
      <c r="AX132" s="1">
        <v>0</v>
      </c>
      <c r="AZ132" s="1" t="s">
        <v>81</v>
      </c>
      <c r="BA132" s="1">
        <v>1</v>
      </c>
      <c r="BB132" s="1">
        <v>0</v>
      </c>
      <c r="BC132" s="1">
        <v>0</v>
      </c>
      <c r="BE132" s="1">
        <v>27185413</v>
      </c>
    </row>
    <row r="133" spans="1:57" x14ac:dyDescent="0.25">
      <c r="A133" s="1" t="str">
        <f>T("1944022169663771456")</f>
        <v>1944022169663771456</v>
      </c>
      <c r="B133" s="1" t="str">
        <f>T("249923968755")</f>
        <v>249923968755</v>
      </c>
      <c r="C133" s="1" t="str">
        <f>T("1941094470313312912")</f>
        <v>1941094470313312912</v>
      </c>
      <c r="AC133" s="1" t="s">
        <v>104</v>
      </c>
      <c r="AD133" s="1" t="s">
        <v>151</v>
      </c>
      <c r="AE133" s="1" t="s">
        <v>152</v>
      </c>
      <c r="AF133" s="1" t="s">
        <v>107</v>
      </c>
      <c r="AG133" s="1">
        <v>16</v>
      </c>
      <c r="AO133" s="2">
        <v>46273</v>
      </c>
      <c r="AP133" s="1" t="s">
        <v>157</v>
      </c>
      <c r="AQ133" s="2">
        <v>46273</v>
      </c>
      <c r="AR133" s="1" t="s">
        <v>170</v>
      </c>
      <c r="AS133" s="1" t="s">
        <v>71</v>
      </c>
      <c r="AU133" s="1" t="s">
        <v>79</v>
      </c>
      <c r="AV133" s="1" t="s">
        <v>80</v>
      </c>
      <c r="AW133" s="1">
        <v>26.56</v>
      </c>
      <c r="AX133" s="1">
        <v>0</v>
      </c>
      <c r="AZ133" s="1" t="s">
        <v>81</v>
      </c>
      <c r="BA133" s="1">
        <v>2</v>
      </c>
      <c r="BB133" s="1">
        <v>0</v>
      </c>
      <c r="BC133" s="1">
        <v>0</v>
      </c>
      <c r="BE133" s="1">
        <v>27185413</v>
      </c>
    </row>
    <row r="134" spans="1:57" x14ac:dyDescent="0.25">
      <c r="A134" s="1" t="str">
        <f>T("1944022169663772956")</f>
        <v>1944022169663772956</v>
      </c>
      <c r="B134" s="1" t="str">
        <f>T("249927662346")</f>
        <v>249927662346</v>
      </c>
      <c r="C134" s="1" t="str">
        <f>T("1941094470313313312")</f>
        <v>1941094470313313312</v>
      </c>
      <c r="AC134" s="1" t="s">
        <v>104</v>
      </c>
      <c r="AD134" s="1" t="s">
        <v>151</v>
      </c>
      <c r="AE134" s="1" t="s">
        <v>152</v>
      </c>
      <c r="AF134" s="1" t="s">
        <v>107</v>
      </c>
      <c r="AG134" s="1">
        <v>32</v>
      </c>
      <c r="AO134" s="2">
        <v>46273</v>
      </c>
      <c r="AP134" s="1" t="s">
        <v>157</v>
      </c>
      <c r="AS134" s="1" t="s">
        <v>71</v>
      </c>
      <c r="AU134" s="1" t="s">
        <v>72</v>
      </c>
      <c r="AV134" s="1" t="s">
        <v>80</v>
      </c>
      <c r="AX134" s="1">
        <v>0</v>
      </c>
      <c r="BA134" s="1">
        <v>3</v>
      </c>
      <c r="BB134" s="1">
        <v>0</v>
      </c>
      <c r="BC134" s="1">
        <v>0</v>
      </c>
      <c r="BE134" s="1">
        <v>27185413</v>
      </c>
    </row>
    <row r="135" spans="1:57" x14ac:dyDescent="0.25">
      <c r="A135" s="1" t="str">
        <f>T("1944022169688940504")</f>
        <v>1944022169688940504</v>
      </c>
      <c r="B135" s="1" t="str">
        <f>T("249900500676")</f>
        <v>249900500676</v>
      </c>
      <c r="C135" s="1" t="str">
        <f>T("1941094470313313712")</f>
        <v>1941094470313313712</v>
      </c>
      <c r="M135" s="1" t="s">
        <v>59</v>
      </c>
      <c r="O135" s="1" t="s">
        <v>60</v>
      </c>
      <c r="P135" s="1" t="s">
        <v>83</v>
      </c>
      <c r="Q135" s="1" t="s">
        <v>112</v>
      </c>
      <c r="R135" s="1" t="s">
        <v>93</v>
      </c>
      <c r="T135" s="1" t="s">
        <v>95</v>
      </c>
      <c r="AA135" s="1">
        <v>1</v>
      </c>
      <c r="AC135" s="1" t="s">
        <v>104</v>
      </c>
      <c r="AD135" s="1" t="s">
        <v>151</v>
      </c>
      <c r="AE135" s="1" t="s">
        <v>152</v>
      </c>
      <c r="AF135" s="1" t="s">
        <v>107</v>
      </c>
      <c r="AG135" s="1">
        <v>44</v>
      </c>
      <c r="AO135" s="2">
        <v>46273</v>
      </c>
      <c r="AP135" s="1" t="s">
        <v>157</v>
      </c>
      <c r="AS135" s="1" t="s">
        <v>71</v>
      </c>
      <c r="AU135" s="1" t="s">
        <v>72</v>
      </c>
      <c r="AV135" s="1" t="s">
        <v>131</v>
      </c>
      <c r="AX135" s="1">
        <v>0</v>
      </c>
      <c r="BA135" s="1">
        <v>3</v>
      </c>
      <c r="BB135" s="1">
        <v>0</v>
      </c>
      <c r="BC135" s="1">
        <v>0</v>
      </c>
      <c r="BE135" s="1">
        <v>27185413</v>
      </c>
    </row>
    <row r="136" spans="1:57" x14ac:dyDescent="0.25">
      <c r="A136" s="1" t="str">
        <f>T("1944022169709911044")</f>
        <v>1944022169709911044</v>
      </c>
      <c r="B136" s="1" t="str">
        <f>T("249927627247")</f>
        <v>249927627247</v>
      </c>
      <c r="C136" s="1" t="str">
        <f>T("1941094470313314212")</f>
        <v>1941094470313314212</v>
      </c>
      <c r="M136" s="1" t="s">
        <v>59</v>
      </c>
      <c r="AA136" s="1">
        <v>1</v>
      </c>
      <c r="AC136" s="1" t="s">
        <v>104</v>
      </c>
      <c r="AD136" s="1" t="s">
        <v>151</v>
      </c>
      <c r="AE136" s="1" t="s">
        <v>152</v>
      </c>
      <c r="AF136" s="1" t="s">
        <v>107</v>
      </c>
      <c r="AG136" s="1">
        <v>37</v>
      </c>
      <c r="AO136" s="2">
        <v>46273</v>
      </c>
      <c r="AP136" s="1" t="s">
        <v>157</v>
      </c>
      <c r="AQ136" s="2">
        <v>46273</v>
      </c>
      <c r="AR136" s="1" t="s">
        <v>171</v>
      </c>
      <c r="AS136" s="1" t="s">
        <v>71</v>
      </c>
      <c r="AU136" s="1" t="s">
        <v>79</v>
      </c>
      <c r="AV136" s="1" t="s">
        <v>80</v>
      </c>
      <c r="AW136" s="1">
        <v>51.36</v>
      </c>
      <c r="AX136" s="1">
        <v>0</v>
      </c>
      <c r="AZ136" s="1" t="s">
        <v>81</v>
      </c>
      <c r="BA136" s="1">
        <v>1</v>
      </c>
      <c r="BB136" s="1">
        <v>0</v>
      </c>
      <c r="BC136" s="1">
        <v>0</v>
      </c>
      <c r="BE136" s="1">
        <v>27185413</v>
      </c>
    </row>
    <row r="137" spans="1:57" x14ac:dyDescent="0.25">
      <c r="A137" s="1" t="str">
        <f>T("1944022169714106252")</f>
        <v>1944022169714106252</v>
      </c>
      <c r="B137" s="1" t="str">
        <f>T("249927851561")</f>
        <v>249927851561</v>
      </c>
      <c r="C137" s="1" t="str">
        <f>T("1941094470313314712")</f>
        <v>1941094470313314712</v>
      </c>
      <c r="AA137" s="1">
        <v>1</v>
      </c>
      <c r="AC137" s="1" t="s">
        <v>104</v>
      </c>
      <c r="AD137" s="1" t="s">
        <v>151</v>
      </c>
      <c r="AE137" s="1" t="s">
        <v>152</v>
      </c>
      <c r="AF137" s="1" t="s">
        <v>107</v>
      </c>
      <c r="AG137" s="1">
        <v>45</v>
      </c>
      <c r="AO137" s="2">
        <v>46273</v>
      </c>
      <c r="AP137" s="1" t="s">
        <v>157</v>
      </c>
      <c r="AQ137" s="2">
        <v>46273</v>
      </c>
      <c r="AR137" s="1" t="s">
        <v>169</v>
      </c>
      <c r="AS137" s="1" t="s">
        <v>71</v>
      </c>
      <c r="AU137" s="1" t="s">
        <v>79</v>
      </c>
      <c r="AV137" s="1" t="s">
        <v>80</v>
      </c>
      <c r="AW137" s="1">
        <v>73.760000000000005</v>
      </c>
      <c r="AX137" s="1">
        <v>0</v>
      </c>
      <c r="AZ137" s="1" t="s">
        <v>81</v>
      </c>
      <c r="BA137" s="1">
        <v>1</v>
      </c>
      <c r="BB137" s="1">
        <v>0</v>
      </c>
      <c r="BC137" s="1">
        <v>0</v>
      </c>
      <c r="BE137" s="1">
        <v>27185413</v>
      </c>
    </row>
    <row r="138" spans="1:57" x14ac:dyDescent="0.25">
      <c r="A138" s="1" t="str">
        <f>T("1944022169756049232")</f>
        <v>1944022169756049232</v>
      </c>
      <c r="B138" s="1" t="str">
        <f>T("249929311980")</f>
        <v>249929311980</v>
      </c>
      <c r="C138" s="1" t="str">
        <f>T("1941094470313315112")</f>
        <v>1941094470313315112</v>
      </c>
      <c r="AC138" s="1" t="s">
        <v>104</v>
      </c>
      <c r="AD138" s="1" t="s">
        <v>151</v>
      </c>
      <c r="AE138" s="1" t="s">
        <v>152</v>
      </c>
      <c r="AF138" s="1" t="s">
        <v>107</v>
      </c>
      <c r="AG138" s="1">
        <v>49</v>
      </c>
      <c r="AO138" s="2">
        <v>46273</v>
      </c>
      <c r="AP138" s="1" t="s">
        <v>157</v>
      </c>
      <c r="AS138" s="1" t="s">
        <v>71</v>
      </c>
      <c r="AU138" s="1" t="s">
        <v>72</v>
      </c>
      <c r="AV138" s="1" t="s">
        <v>80</v>
      </c>
      <c r="AX138" s="1">
        <v>0</v>
      </c>
      <c r="BA138" s="1">
        <v>3</v>
      </c>
      <c r="BB138" s="1">
        <v>0</v>
      </c>
      <c r="BC138" s="1">
        <v>0</v>
      </c>
      <c r="BE138" s="1">
        <v>27185413</v>
      </c>
    </row>
    <row r="139" spans="1:57" x14ac:dyDescent="0.25">
      <c r="A139" s="1" t="str">
        <f>T("1944022169768630056")</f>
        <v>1944022169768630056</v>
      </c>
      <c r="B139" s="1" t="str">
        <f>T("249995176060")</f>
        <v>249995176060</v>
      </c>
      <c r="C139" s="1" t="str">
        <f>T("1941094470313315612")</f>
        <v>1941094470313315612</v>
      </c>
      <c r="AC139" s="1" t="s">
        <v>104</v>
      </c>
      <c r="AD139" s="1" t="s">
        <v>151</v>
      </c>
      <c r="AE139" s="1" t="s">
        <v>152</v>
      </c>
      <c r="AF139" s="1" t="s">
        <v>107</v>
      </c>
      <c r="AG139" s="1">
        <v>42</v>
      </c>
      <c r="AO139" s="2">
        <v>46273</v>
      </c>
      <c r="AP139" s="1" t="s">
        <v>157</v>
      </c>
      <c r="AS139" s="1" t="s">
        <v>71</v>
      </c>
      <c r="AU139" s="1" t="s">
        <v>72</v>
      </c>
      <c r="AV139" s="1" t="s">
        <v>80</v>
      </c>
      <c r="AX139" s="1">
        <v>0</v>
      </c>
      <c r="BA139" s="1">
        <v>3</v>
      </c>
      <c r="BB139" s="1">
        <v>0</v>
      </c>
      <c r="BC139" s="1">
        <v>0</v>
      </c>
      <c r="BE139" s="1">
        <v>27185413</v>
      </c>
    </row>
    <row r="140" spans="1:57" x14ac:dyDescent="0.25">
      <c r="A140" s="1" t="str">
        <f>T("1944022169772823464")</f>
        <v>1944022169772823464</v>
      </c>
      <c r="B140" s="1" t="str">
        <f>T("249925261181")</f>
        <v>249925261181</v>
      </c>
      <c r="C140" s="1" t="str">
        <f>T("1941094470313316112")</f>
        <v>1941094470313316112</v>
      </c>
      <c r="AC140" s="1" t="s">
        <v>104</v>
      </c>
      <c r="AD140" s="1" t="s">
        <v>151</v>
      </c>
      <c r="AE140" s="1" t="s">
        <v>152</v>
      </c>
      <c r="AF140" s="1" t="s">
        <v>107</v>
      </c>
      <c r="AG140" s="1">
        <v>60</v>
      </c>
      <c r="AO140" s="2">
        <v>46273</v>
      </c>
      <c r="AP140" s="1" t="s">
        <v>157</v>
      </c>
      <c r="AS140" s="1" t="s">
        <v>71</v>
      </c>
      <c r="AU140" s="1" t="s">
        <v>72</v>
      </c>
      <c r="AV140" s="1" t="s">
        <v>80</v>
      </c>
      <c r="AX140" s="1">
        <v>0</v>
      </c>
      <c r="BA140" s="1">
        <v>3</v>
      </c>
      <c r="BB140" s="1">
        <v>0</v>
      </c>
      <c r="BC140" s="1">
        <v>0</v>
      </c>
      <c r="BE140" s="1">
        <v>27185413</v>
      </c>
    </row>
    <row r="141" spans="1:57" x14ac:dyDescent="0.25">
      <c r="A141" s="1" t="str">
        <f>T("1944022169814767644")</f>
        <v>1944022169814767644</v>
      </c>
      <c r="B141" s="1" t="str">
        <f>T("24992881033")</f>
        <v>24992881033</v>
      </c>
      <c r="C141" s="1" t="str">
        <f>T("1941094470317506920")</f>
        <v>1941094470317506920</v>
      </c>
      <c r="AC141" s="1" t="s">
        <v>104</v>
      </c>
      <c r="AD141" s="1" t="s">
        <v>151</v>
      </c>
      <c r="AE141" s="1" t="s">
        <v>152</v>
      </c>
      <c r="AF141" s="1" t="s">
        <v>107</v>
      </c>
      <c r="AG141" s="1">
        <v>57</v>
      </c>
      <c r="AO141" s="2">
        <v>46273</v>
      </c>
      <c r="AP141" s="1" t="s">
        <v>157</v>
      </c>
      <c r="AS141" s="1" t="s">
        <v>71</v>
      </c>
      <c r="AU141" s="1" t="s">
        <v>72</v>
      </c>
      <c r="AV141" s="1" t="s">
        <v>126</v>
      </c>
      <c r="AX141" s="1">
        <v>0</v>
      </c>
      <c r="BA141" s="1">
        <v>3</v>
      </c>
      <c r="BB141" s="1">
        <v>0</v>
      </c>
      <c r="BC141" s="1">
        <v>0</v>
      </c>
      <c r="BE141" s="1">
        <v>27185413</v>
      </c>
    </row>
    <row r="142" spans="1:57" x14ac:dyDescent="0.25">
      <c r="A142" s="1" t="str">
        <f>T("1944022169827350568")</f>
        <v>1944022169827350568</v>
      </c>
      <c r="B142" s="1" t="str">
        <f>T("249929392703")</f>
        <v>249929392703</v>
      </c>
      <c r="C142" s="1" t="str">
        <f>T("1941094470317507420")</f>
        <v>1941094470317507420</v>
      </c>
      <c r="M142" s="1" t="s">
        <v>59</v>
      </c>
      <c r="O142" s="1" t="s">
        <v>60</v>
      </c>
      <c r="AA142" s="1">
        <v>1</v>
      </c>
      <c r="AC142" s="1" t="s">
        <v>104</v>
      </c>
      <c r="AD142" s="1" t="s">
        <v>151</v>
      </c>
      <c r="AE142" s="1" t="s">
        <v>152</v>
      </c>
      <c r="AF142" s="1" t="s">
        <v>107</v>
      </c>
      <c r="AG142" s="1">
        <v>40</v>
      </c>
      <c r="AO142" s="2">
        <v>46273</v>
      </c>
      <c r="AP142" s="1" t="s">
        <v>157</v>
      </c>
      <c r="AQ142" s="2">
        <v>46273</v>
      </c>
      <c r="AR142" s="1" t="s">
        <v>172</v>
      </c>
      <c r="AS142" s="1" t="s">
        <v>71</v>
      </c>
      <c r="AU142" s="1" t="s">
        <v>79</v>
      </c>
      <c r="AV142" s="1" t="s">
        <v>80</v>
      </c>
      <c r="AW142" s="1">
        <v>124.4</v>
      </c>
      <c r="AX142" s="1">
        <v>0</v>
      </c>
      <c r="AZ142" s="1" t="s">
        <v>81</v>
      </c>
      <c r="BA142" s="1">
        <v>2</v>
      </c>
      <c r="BB142" s="1">
        <v>0</v>
      </c>
      <c r="BC142" s="1">
        <v>0</v>
      </c>
      <c r="BE142" s="1">
        <v>27185413</v>
      </c>
    </row>
    <row r="143" spans="1:57" x14ac:dyDescent="0.25">
      <c r="A143" s="1" t="str">
        <f>T("1944022169831544676")</f>
        <v>1944022169831544676</v>
      </c>
      <c r="B143" s="1" t="str">
        <f>T("24999398045")</f>
        <v>24999398045</v>
      </c>
      <c r="C143" s="1" t="str">
        <f>T("1941094470317507920")</f>
        <v>1941094470317507920</v>
      </c>
      <c r="AC143" s="1" t="s">
        <v>104</v>
      </c>
      <c r="AD143" s="1" t="s">
        <v>151</v>
      </c>
      <c r="AE143" s="1" t="s">
        <v>152</v>
      </c>
      <c r="AF143" s="1" t="s">
        <v>107</v>
      </c>
      <c r="AG143" s="1">
        <v>38</v>
      </c>
      <c r="AO143" s="2">
        <v>46273</v>
      </c>
      <c r="AP143" s="1" t="s">
        <v>157</v>
      </c>
      <c r="AS143" s="1" t="s">
        <v>71</v>
      </c>
      <c r="AU143" s="1" t="s">
        <v>72</v>
      </c>
      <c r="AV143" s="1" t="s">
        <v>126</v>
      </c>
      <c r="AX143" s="1">
        <v>0</v>
      </c>
      <c r="BA143" s="1">
        <v>3</v>
      </c>
      <c r="BB143" s="1">
        <v>0</v>
      </c>
      <c r="BC143" s="1">
        <v>0</v>
      </c>
      <c r="BE143" s="1">
        <v>27185413</v>
      </c>
    </row>
    <row r="144" spans="1:57" x14ac:dyDescent="0.25">
      <c r="A144" s="1" t="str">
        <f>T("1944022169869293148")</f>
        <v>1944022169869293148</v>
      </c>
      <c r="B144" s="1" t="str">
        <f>T("249995515881")</f>
        <v>249995515881</v>
      </c>
      <c r="C144" s="1" t="str">
        <f>T("1941094470317508420")</f>
        <v>1941094470317508420</v>
      </c>
      <c r="AA144" s="1">
        <v>1</v>
      </c>
      <c r="AC144" s="1" t="s">
        <v>104</v>
      </c>
      <c r="AD144" s="1" t="s">
        <v>151</v>
      </c>
      <c r="AE144" s="1" t="s">
        <v>152</v>
      </c>
      <c r="AF144" s="1" t="s">
        <v>107</v>
      </c>
      <c r="AG144" s="1">
        <v>37</v>
      </c>
      <c r="AO144" s="2">
        <v>46273</v>
      </c>
      <c r="AP144" s="1" t="s">
        <v>157</v>
      </c>
      <c r="AQ144" s="2">
        <v>46273</v>
      </c>
      <c r="AR144" s="1" t="s">
        <v>173</v>
      </c>
      <c r="AS144" s="1" t="s">
        <v>71</v>
      </c>
      <c r="AU144" s="1" t="s">
        <v>78</v>
      </c>
      <c r="AV144" s="1" t="s">
        <v>80</v>
      </c>
      <c r="AW144" s="1">
        <v>134.58000000000001</v>
      </c>
      <c r="AX144" s="1">
        <v>0</v>
      </c>
      <c r="AZ144" s="1" t="s">
        <v>81</v>
      </c>
      <c r="BA144" s="1">
        <v>2</v>
      </c>
      <c r="BB144" s="1">
        <v>0</v>
      </c>
      <c r="BC144" s="1">
        <v>0</v>
      </c>
      <c r="BE144" s="1">
        <v>27185413</v>
      </c>
    </row>
    <row r="145" spans="1:57" x14ac:dyDescent="0.25">
      <c r="A145" s="1" t="str">
        <f>T("1944022169881874972")</f>
        <v>1944022169881874972</v>
      </c>
      <c r="B145" s="1" t="str">
        <f>T("249999019758")</f>
        <v>249999019758</v>
      </c>
      <c r="C145" s="1" t="str">
        <f>T("1941094470317508820")</f>
        <v>1941094470317508820</v>
      </c>
      <c r="AC145" s="1" t="s">
        <v>104</v>
      </c>
      <c r="AD145" s="1" t="s">
        <v>151</v>
      </c>
      <c r="AE145" s="1" t="s">
        <v>152</v>
      </c>
      <c r="AF145" s="1" t="s">
        <v>107</v>
      </c>
      <c r="AG145" s="1">
        <v>66</v>
      </c>
      <c r="AO145" s="2">
        <v>46273</v>
      </c>
      <c r="AP145" s="1" t="s">
        <v>157</v>
      </c>
      <c r="AQ145" s="2">
        <v>46273</v>
      </c>
      <c r="AR145" s="1" t="s">
        <v>174</v>
      </c>
      <c r="AS145" s="1" t="s">
        <v>71</v>
      </c>
      <c r="AU145" s="1" t="s">
        <v>79</v>
      </c>
      <c r="AV145" s="1" t="s">
        <v>80</v>
      </c>
      <c r="AW145" s="1">
        <v>14.7</v>
      </c>
      <c r="AX145" s="1">
        <v>0</v>
      </c>
      <c r="AZ145" s="1" t="s">
        <v>81</v>
      </c>
      <c r="BA145" s="1">
        <v>2</v>
      </c>
      <c r="BB145" s="1">
        <v>0</v>
      </c>
      <c r="BC145" s="1">
        <v>0</v>
      </c>
      <c r="BE145" s="1">
        <v>27185413</v>
      </c>
    </row>
    <row r="146" spans="1:57" x14ac:dyDescent="0.25">
      <c r="A146" s="1" t="str">
        <f>T("1944022169886069280")</f>
        <v>1944022169886069280</v>
      </c>
      <c r="B146" s="1" t="str">
        <f>T("249925188515")</f>
        <v>249925188515</v>
      </c>
      <c r="C146" s="1" t="str">
        <f>T("1941094470317509220")</f>
        <v>1941094470317509220</v>
      </c>
      <c r="AC146" s="1" t="s">
        <v>104</v>
      </c>
      <c r="AD146" s="1" t="s">
        <v>151</v>
      </c>
      <c r="AE146" s="1" t="s">
        <v>152</v>
      </c>
      <c r="AF146" s="1" t="s">
        <v>107</v>
      </c>
      <c r="AG146" s="1">
        <v>49</v>
      </c>
      <c r="AO146" s="2">
        <v>46273</v>
      </c>
      <c r="AP146" s="1" t="s">
        <v>157</v>
      </c>
      <c r="AS146" s="1" t="s">
        <v>71</v>
      </c>
      <c r="AU146" s="1" t="s">
        <v>72</v>
      </c>
      <c r="AV146" s="1" t="s">
        <v>80</v>
      </c>
      <c r="AX146" s="1">
        <v>0</v>
      </c>
      <c r="BA146" s="1">
        <v>3</v>
      </c>
      <c r="BB146" s="1">
        <v>0</v>
      </c>
      <c r="BC146" s="1">
        <v>0</v>
      </c>
      <c r="BE146" s="1">
        <v>27185413</v>
      </c>
    </row>
    <row r="147" spans="1:57" x14ac:dyDescent="0.25">
      <c r="A147" s="1" t="str">
        <f>T("1944022169919625444")</f>
        <v>1944022169919625444</v>
      </c>
      <c r="B147" s="1" t="str">
        <f>T("249999223835")</f>
        <v>249999223835</v>
      </c>
      <c r="C147" s="1" t="str">
        <f>T("1941094470317509820")</f>
        <v>1941094470317509820</v>
      </c>
      <c r="AA147" s="1">
        <v>1</v>
      </c>
      <c r="AC147" s="1" t="s">
        <v>104</v>
      </c>
      <c r="AD147" s="1" t="s">
        <v>151</v>
      </c>
      <c r="AE147" s="1" t="s">
        <v>152</v>
      </c>
      <c r="AF147" s="1" t="s">
        <v>107</v>
      </c>
      <c r="AG147" s="1">
        <v>29</v>
      </c>
      <c r="AO147" s="2">
        <v>46273</v>
      </c>
      <c r="AP147" s="1" t="s">
        <v>157</v>
      </c>
      <c r="AQ147" s="2">
        <v>46273</v>
      </c>
      <c r="AR147" s="1" t="s">
        <v>175</v>
      </c>
      <c r="AS147" s="1" t="s">
        <v>71</v>
      </c>
      <c r="AU147" s="1" t="s">
        <v>78</v>
      </c>
      <c r="AV147" s="1" t="s">
        <v>80</v>
      </c>
      <c r="AW147" s="1">
        <v>134.58000000000001</v>
      </c>
      <c r="AX147" s="1">
        <v>0</v>
      </c>
      <c r="AZ147" s="1" t="s">
        <v>81</v>
      </c>
      <c r="BA147" s="1">
        <v>2</v>
      </c>
      <c r="BB147" s="1">
        <v>0</v>
      </c>
      <c r="BC147" s="1">
        <v>0</v>
      </c>
      <c r="BE147" s="1">
        <v>27185413</v>
      </c>
    </row>
    <row r="148" spans="1:57" x14ac:dyDescent="0.25">
      <c r="A148" s="1" t="str">
        <f>T("1944022169932208368")</f>
        <v>1944022169932208368</v>
      </c>
      <c r="B148" s="1" t="str">
        <f>T("249926322477")</f>
        <v>249926322477</v>
      </c>
      <c r="C148" s="1" t="str">
        <f>T("1941094470317510420")</f>
        <v>1941094470317510420</v>
      </c>
      <c r="AC148" s="1" t="s">
        <v>104</v>
      </c>
      <c r="AD148" s="1" t="s">
        <v>151</v>
      </c>
      <c r="AE148" s="1" t="s">
        <v>152</v>
      </c>
      <c r="AF148" s="1" t="s">
        <v>107</v>
      </c>
      <c r="AG148" s="1">
        <v>47</v>
      </c>
      <c r="AO148" s="2">
        <v>46273</v>
      </c>
      <c r="AP148" s="1" t="s">
        <v>157</v>
      </c>
      <c r="AS148" s="1" t="s">
        <v>71</v>
      </c>
      <c r="AU148" s="1" t="s">
        <v>72</v>
      </c>
      <c r="AV148" s="1" t="s">
        <v>80</v>
      </c>
      <c r="AX148" s="1">
        <v>0</v>
      </c>
      <c r="BA148" s="1">
        <v>3</v>
      </c>
      <c r="BB148" s="1">
        <v>0</v>
      </c>
      <c r="BC148" s="1">
        <v>0</v>
      </c>
      <c r="BE148" s="1">
        <v>27185413</v>
      </c>
    </row>
    <row r="149" spans="1:57" x14ac:dyDescent="0.25">
      <c r="A149" s="1" t="str">
        <f>T("1944022169936403376")</f>
        <v>1944022169936403376</v>
      </c>
      <c r="B149" s="1" t="str">
        <f>T("249990503246")</f>
        <v>249990503246</v>
      </c>
      <c r="C149" s="1" t="str">
        <f>T("1941094470321701128")</f>
        <v>1941094470321701128</v>
      </c>
      <c r="AC149" s="1" t="s">
        <v>104</v>
      </c>
      <c r="AD149" s="1" t="s">
        <v>151</v>
      </c>
      <c r="AE149" s="1" t="s">
        <v>152</v>
      </c>
      <c r="AF149" s="1" t="s">
        <v>107</v>
      </c>
      <c r="AG149" s="1">
        <v>30</v>
      </c>
      <c r="AO149" s="2">
        <v>46273</v>
      </c>
      <c r="AP149" s="1" t="s">
        <v>157</v>
      </c>
      <c r="AS149" s="1" t="s">
        <v>71</v>
      </c>
      <c r="AU149" s="1" t="s">
        <v>72</v>
      </c>
      <c r="AV149" s="1" t="s">
        <v>80</v>
      </c>
      <c r="AX149" s="1">
        <v>0</v>
      </c>
      <c r="BA149" s="1">
        <v>3</v>
      </c>
      <c r="BB149" s="1">
        <v>0</v>
      </c>
      <c r="BC149" s="1">
        <v>0</v>
      </c>
      <c r="BE149" s="1">
        <v>27185413</v>
      </c>
    </row>
    <row r="150" spans="1:57" x14ac:dyDescent="0.25">
      <c r="A150" s="1" t="str">
        <f>T("1944022169965763132")</f>
        <v>1944022169965763132</v>
      </c>
      <c r="B150" s="1" t="str">
        <f>T("249993312795")</f>
        <v>249993312795</v>
      </c>
      <c r="C150" s="1" t="str">
        <f>T("1941094470321702428")</f>
        <v>1941094470321702428</v>
      </c>
      <c r="M150" s="1" t="s">
        <v>59</v>
      </c>
      <c r="O150" s="1" t="s">
        <v>65</v>
      </c>
      <c r="P150" s="1" t="s">
        <v>91</v>
      </c>
      <c r="Q150" s="1" t="s">
        <v>112</v>
      </c>
      <c r="AA150" s="1">
        <v>1</v>
      </c>
      <c r="AC150" s="1" t="s">
        <v>104</v>
      </c>
      <c r="AD150" s="1" t="s">
        <v>151</v>
      </c>
      <c r="AE150" s="1" t="s">
        <v>152</v>
      </c>
      <c r="AF150" s="1" t="s">
        <v>107</v>
      </c>
      <c r="AG150" s="1">
        <v>38</v>
      </c>
      <c r="AO150" s="2">
        <v>46273</v>
      </c>
      <c r="AP150" s="1" t="s">
        <v>157</v>
      </c>
      <c r="AS150" s="1" t="s">
        <v>71</v>
      </c>
      <c r="AU150" s="1" t="s">
        <v>72</v>
      </c>
      <c r="AV150" s="1" t="s">
        <v>80</v>
      </c>
      <c r="AX150" s="1">
        <v>0</v>
      </c>
      <c r="BA150" s="1">
        <v>3</v>
      </c>
      <c r="BB150" s="1">
        <v>0</v>
      </c>
      <c r="BC150" s="1">
        <v>0</v>
      </c>
      <c r="BE150" s="1">
        <v>27185413</v>
      </c>
    </row>
    <row r="151" spans="1:57" x14ac:dyDescent="0.25">
      <c r="A151" s="1" t="str">
        <f>T("1944022169982539364")</f>
        <v>1944022169982539364</v>
      </c>
      <c r="B151" s="1" t="str">
        <f>T("249926662191")</f>
        <v>249926662191</v>
      </c>
      <c r="C151" s="1" t="str">
        <f>T("1941094470321702928")</f>
        <v>1941094470321702928</v>
      </c>
      <c r="AA151" s="1">
        <v>1</v>
      </c>
      <c r="AC151" s="1" t="s">
        <v>104</v>
      </c>
      <c r="AD151" s="1" t="s">
        <v>151</v>
      </c>
      <c r="AE151" s="1" t="s">
        <v>152</v>
      </c>
      <c r="AF151" s="1" t="s">
        <v>107</v>
      </c>
      <c r="AG151" s="1">
        <v>37</v>
      </c>
      <c r="AO151" s="2">
        <v>46273</v>
      </c>
      <c r="AP151" s="1" t="s">
        <v>157</v>
      </c>
      <c r="AQ151" s="2">
        <v>46273</v>
      </c>
      <c r="AR151" s="1" t="s">
        <v>176</v>
      </c>
      <c r="AS151" s="1" t="s">
        <v>71</v>
      </c>
      <c r="AU151" s="1" t="s">
        <v>79</v>
      </c>
      <c r="AV151" s="1" t="s">
        <v>80</v>
      </c>
      <c r="AW151" s="1">
        <v>65.2</v>
      </c>
      <c r="AX151" s="1">
        <v>0</v>
      </c>
      <c r="AZ151" s="1" t="s">
        <v>81</v>
      </c>
      <c r="BA151" s="1">
        <v>2</v>
      </c>
      <c r="BB151" s="1">
        <v>0</v>
      </c>
      <c r="BC151" s="1">
        <v>0</v>
      </c>
      <c r="BE151" s="1">
        <v>27185413</v>
      </c>
    </row>
    <row r="152" spans="1:57" x14ac:dyDescent="0.25">
      <c r="A152" s="1" t="str">
        <f>T("1944022169990927980")</f>
        <v>1944022169990927980</v>
      </c>
      <c r="B152" s="1" t="str">
        <f>T("249998667631")</f>
        <v>249998667631</v>
      </c>
      <c r="C152" s="1" t="str">
        <f>T("1941094470321703528")</f>
        <v>1941094470321703528</v>
      </c>
      <c r="AA152" s="1">
        <v>1</v>
      </c>
      <c r="AC152" s="1" t="s">
        <v>104</v>
      </c>
      <c r="AD152" s="1" t="s">
        <v>151</v>
      </c>
      <c r="AE152" s="1" t="s">
        <v>152</v>
      </c>
      <c r="AF152" s="1" t="s">
        <v>107</v>
      </c>
      <c r="AG152" s="1">
        <v>31</v>
      </c>
      <c r="AO152" s="2">
        <v>46273</v>
      </c>
      <c r="AP152" s="1" t="s">
        <v>157</v>
      </c>
      <c r="AQ152" s="2">
        <v>46273</v>
      </c>
      <c r="AR152" s="1" t="s">
        <v>177</v>
      </c>
      <c r="AS152" s="1" t="s">
        <v>71</v>
      </c>
      <c r="AU152" s="1" t="s">
        <v>79</v>
      </c>
      <c r="AV152" s="1" t="s">
        <v>80</v>
      </c>
      <c r="AW152" s="1">
        <v>109.26</v>
      </c>
      <c r="AX152" s="1">
        <v>0</v>
      </c>
      <c r="AZ152" s="1" t="s">
        <v>81</v>
      </c>
      <c r="BA152" s="1">
        <v>2</v>
      </c>
      <c r="BB152" s="1">
        <v>0</v>
      </c>
      <c r="BC152" s="1">
        <v>0</v>
      </c>
      <c r="BE152" s="1">
        <v>27185413</v>
      </c>
    </row>
    <row r="153" spans="1:57" x14ac:dyDescent="0.25">
      <c r="A153" s="1" t="str">
        <f>T("1944022170016092928")</f>
        <v>1944022170016092928</v>
      </c>
      <c r="B153" s="1" t="str">
        <f>T("249122638902")</f>
        <v>249122638902</v>
      </c>
      <c r="C153" s="1" t="str">
        <f>T("1941094470321704128")</f>
        <v>1941094470321704128</v>
      </c>
      <c r="AC153" s="1" t="s">
        <v>104</v>
      </c>
      <c r="AD153" s="1" t="s">
        <v>151</v>
      </c>
      <c r="AE153" s="1" t="s">
        <v>152</v>
      </c>
      <c r="AF153" s="1" t="s">
        <v>107</v>
      </c>
      <c r="AG153" s="1">
        <v>45</v>
      </c>
      <c r="AO153" s="2">
        <v>46273</v>
      </c>
      <c r="AP153" s="1" t="s">
        <v>157</v>
      </c>
      <c r="AS153" s="1" t="s">
        <v>71</v>
      </c>
      <c r="AU153" s="1" t="s">
        <v>72</v>
      </c>
      <c r="AV153" s="1" t="s">
        <v>80</v>
      </c>
      <c r="AX153" s="1">
        <v>0</v>
      </c>
      <c r="BA153" s="1">
        <v>3</v>
      </c>
      <c r="BB153" s="1">
        <v>0</v>
      </c>
      <c r="BC153" s="1">
        <v>0</v>
      </c>
      <c r="BE153" s="1">
        <v>27185413</v>
      </c>
    </row>
    <row r="154" spans="1:57" x14ac:dyDescent="0.25">
      <c r="A154" s="1" t="str">
        <f>T("1944022170028678352")</f>
        <v>1944022170028678352</v>
      </c>
      <c r="B154" s="1" t="str">
        <f>T("24999386947")</f>
        <v>24999386947</v>
      </c>
      <c r="C154" s="1" t="str">
        <f>T("1941094470321704528")</f>
        <v>1941094470321704528</v>
      </c>
      <c r="AC154" s="1" t="s">
        <v>104</v>
      </c>
      <c r="AD154" s="1" t="s">
        <v>151</v>
      </c>
      <c r="AE154" s="1" t="s">
        <v>152</v>
      </c>
      <c r="AF154" s="1" t="s">
        <v>107</v>
      </c>
      <c r="AG154" s="1">
        <v>40</v>
      </c>
      <c r="AO154" s="2">
        <v>46273</v>
      </c>
      <c r="AP154" s="1" t="s">
        <v>157</v>
      </c>
      <c r="AS154" s="1" t="s">
        <v>71</v>
      </c>
      <c r="AU154" s="1" t="s">
        <v>72</v>
      </c>
      <c r="AV154" s="1" t="s">
        <v>80</v>
      </c>
      <c r="AX154" s="1">
        <v>0</v>
      </c>
      <c r="BA154" s="1">
        <v>3</v>
      </c>
      <c r="BB154" s="1">
        <v>0</v>
      </c>
      <c r="BC154" s="1">
        <v>0</v>
      </c>
      <c r="BE154" s="1">
        <v>27185413</v>
      </c>
    </row>
    <row r="155" spans="1:57" x14ac:dyDescent="0.25">
      <c r="A155" s="1" t="str">
        <f>T("1944022170037067468")</f>
        <v>1944022170037067468</v>
      </c>
      <c r="B155" s="1" t="str">
        <f>T("249928577011")</f>
        <v>249928577011</v>
      </c>
      <c r="C155" s="1" t="str">
        <f>T("1941094470325895336")</f>
        <v>1941094470325895336</v>
      </c>
      <c r="AC155" s="1" t="s">
        <v>104</v>
      </c>
      <c r="AD155" s="1" t="s">
        <v>151</v>
      </c>
      <c r="AE155" s="1" t="s">
        <v>152</v>
      </c>
      <c r="AF155" s="1" t="s">
        <v>107</v>
      </c>
      <c r="AG155" s="1">
        <v>43</v>
      </c>
      <c r="AO155" s="2">
        <v>46273</v>
      </c>
      <c r="AP155" s="1" t="s">
        <v>157</v>
      </c>
      <c r="AS155" s="1" t="s">
        <v>71</v>
      </c>
      <c r="AU155" s="1" t="s">
        <v>72</v>
      </c>
      <c r="AV155" s="1" t="s">
        <v>73</v>
      </c>
      <c r="AX155" s="1">
        <v>0</v>
      </c>
      <c r="BA155" s="1">
        <v>3</v>
      </c>
      <c r="BB155" s="1">
        <v>0</v>
      </c>
      <c r="BC155" s="1">
        <v>0</v>
      </c>
      <c r="BE155" s="1">
        <v>27185413</v>
      </c>
    </row>
    <row r="156" spans="1:57" x14ac:dyDescent="0.25">
      <c r="A156" s="1" t="str">
        <f>T("1944022170062233116")</f>
        <v>1944022170062233116</v>
      </c>
      <c r="B156" s="1" t="str">
        <f>T("249995980765")</f>
        <v>249995980765</v>
      </c>
      <c r="C156" s="1" t="str">
        <f>T("1941094470325895736")</f>
        <v>1941094470325895736</v>
      </c>
      <c r="AC156" s="1" t="s">
        <v>104</v>
      </c>
      <c r="AD156" s="1" t="s">
        <v>151</v>
      </c>
      <c r="AE156" s="1" t="s">
        <v>152</v>
      </c>
      <c r="AF156" s="1" t="s">
        <v>107</v>
      </c>
      <c r="AG156" s="1">
        <v>35</v>
      </c>
      <c r="AO156" s="2">
        <v>46273</v>
      </c>
      <c r="AP156" s="1" t="s">
        <v>157</v>
      </c>
      <c r="AS156" s="1" t="s">
        <v>71</v>
      </c>
      <c r="AU156" s="1" t="s">
        <v>72</v>
      </c>
      <c r="AV156" s="1" t="s">
        <v>80</v>
      </c>
      <c r="AX156" s="1">
        <v>0</v>
      </c>
      <c r="BA156" s="1">
        <v>3</v>
      </c>
      <c r="BB156" s="1">
        <v>0</v>
      </c>
      <c r="BC156" s="1">
        <v>0</v>
      </c>
      <c r="BE156" s="1">
        <v>27185413</v>
      </c>
    </row>
    <row r="157" spans="1:57" x14ac:dyDescent="0.25">
      <c r="A157" s="1" t="str">
        <f>T("1944022170087396064")</f>
        <v>1944022170087396064</v>
      </c>
      <c r="B157" s="1" t="str">
        <f>T("249928893365")</f>
        <v>249928893365</v>
      </c>
      <c r="C157" s="1" t="str">
        <f>T("1941094470325896136")</f>
        <v>1941094470325896136</v>
      </c>
      <c r="AA157" s="1">
        <v>1</v>
      </c>
      <c r="AC157" s="1" t="s">
        <v>104</v>
      </c>
      <c r="AD157" s="1" t="s">
        <v>151</v>
      </c>
      <c r="AE157" s="1" t="s">
        <v>152</v>
      </c>
      <c r="AF157" s="1" t="s">
        <v>107</v>
      </c>
      <c r="AG157" s="1">
        <v>42</v>
      </c>
      <c r="AO157" s="2">
        <v>46273</v>
      </c>
      <c r="AP157" s="1" t="s">
        <v>157</v>
      </c>
      <c r="AQ157" s="2">
        <v>46273</v>
      </c>
      <c r="AR157" s="1" t="s">
        <v>178</v>
      </c>
      <c r="AS157" s="1" t="s">
        <v>71</v>
      </c>
      <c r="AU157" s="1" t="s">
        <v>79</v>
      </c>
      <c r="AV157" s="1" t="s">
        <v>80</v>
      </c>
      <c r="AW157" s="1">
        <v>55.08</v>
      </c>
      <c r="AX157" s="1">
        <v>0</v>
      </c>
      <c r="AZ157" s="1" t="s">
        <v>81</v>
      </c>
      <c r="BA157" s="1">
        <v>2</v>
      </c>
      <c r="BB157" s="1">
        <v>0</v>
      </c>
      <c r="BC157" s="1">
        <v>0</v>
      </c>
      <c r="BE157" s="1">
        <v>27185413</v>
      </c>
    </row>
    <row r="158" spans="1:57" x14ac:dyDescent="0.25">
      <c r="A158" s="1" t="str">
        <f>T("1944022170091591772")</f>
        <v>1944022170091591772</v>
      </c>
      <c r="B158" s="1" t="str">
        <f>T("249925392552")</f>
        <v>249925392552</v>
      </c>
      <c r="C158" s="1" t="str">
        <f>T("1941094470325896536")</f>
        <v>1941094470325896536</v>
      </c>
      <c r="AC158" s="1" t="s">
        <v>104</v>
      </c>
      <c r="AD158" s="1" t="s">
        <v>151</v>
      </c>
      <c r="AE158" s="1" t="s">
        <v>152</v>
      </c>
      <c r="AF158" s="1" t="s">
        <v>107</v>
      </c>
      <c r="AG158" s="1">
        <v>57</v>
      </c>
      <c r="AO158" s="2">
        <v>46273</v>
      </c>
      <c r="AP158" s="1" t="s">
        <v>157</v>
      </c>
      <c r="AQ158" s="2">
        <v>46273</v>
      </c>
      <c r="AR158" s="1" t="s">
        <v>179</v>
      </c>
      <c r="AS158" s="1" t="s">
        <v>71</v>
      </c>
      <c r="AU158" s="1" t="s">
        <v>79</v>
      </c>
      <c r="AV158" s="1" t="s">
        <v>80</v>
      </c>
      <c r="AW158" s="1">
        <v>20.96</v>
      </c>
      <c r="AX158" s="1">
        <v>0</v>
      </c>
      <c r="AZ158" s="1" t="s">
        <v>81</v>
      </c>
      <c r="BA158" s="1">
        <v>2</v>
      </c>
      <c r="BB158" s="1">
        <v>0</v>
      </c>
      <c r="BC158" s="1">
        <v>0</v>
      </c>
      <c r="BE158" s="1">
        <v>27185413</v>
      </c>
    </row>
    <row r="159" spans="1:57" x14ac:dyDescent="0.25">
      <c r="A159" s="1" t="str">
        <f>T("1944022170112563512")</f>
        <v>1944022170112563512</v>
      </c>
      <c r="B159" s="1" t="str">
        <f>T("249995754047")</f>
        <v>249995754047</v>
      </c>
      <c r="C159" s="1" t="str">
        <f>T("1941094470325896936")</f>
        <v>1941094470325896936</v>
      </c>
      <c r="AA159" s="1">
        <v>1</v>
      </c>
      <c r="AC159" s="1" t="s">
        <v>104</v>
      </c>
      <c r="AD159" s="1" t="s">
        <v>151</v>
      </c>
      <c r="AE159" s="1" t="s">
        <v>152</v>
      </c>
      <c r="AF159" s="1" t="s">
        <v>107</v>
      </c>
      <c r="AG159" s="1">
        <v>58</v>
      </c>
      <c r="AO159" s="2">
        <v>46273</v>
      </c>
      <c r="AP159" s="1" t="s">
        <v>157</v>
      </c>
      <c r="AQ159" s="2">
        <v>46273</v>
      </c>
      <c r="AR159" s="1" t="s">
        <v>180</v>
      </c>
      <c r="AS159" s="1" t="s">
        <v>71</v>
      </c>
      <c r="AU159" s="1" t="s">
        <v>79</v>
      </c>
      <c r="AV159" s="1" t="s">
        <v>80</v>
      </c>
      <c r="AW159" s="1">
        <v>59.54</v>
      </c>
      <c r="AX159" s="1">
        <v>0</v>
      </c>
      <c r="AZ159" s="1" t="s">
        <v>81</v>
      </c>
      <c r="BA159" s="1">
        <v>2</v>
      </c>
      <c r="BB159" s="1">
        <v>0</v>
      </c>
      <c r="BC159" s="1">
        <v>0</v>
      </c>
      <c r="BE159" s="1">
        <v>27185413</v>
      </c>
    </row>
    <row r="160" spans="1:57" x14ac:dyDescent="0.25">
      <c r="A160" s="1" t="str">
        <f>T("1944022170137728160")</f>
        <v>1944022170137728160</v>
      </c>
      <c r="B160" s="1" t="str">
        <f>T("249921322137")</f>
        <v>249921322137</v>
      </c>
      <c r="C160" s="1" t="str">
        <f>T("1941094470325897736")</f>
        <v>1941094470325897736</v>
      </c>
      <c r="AC160" s="1" t="s">
        <v>104</v>
      </c>
      <c r="AD160" s="1" t="s">
        <v>151</v>
      </c>
      <c r="AE160" s="1" t="s">
        <v>152</v>
      </c>
      <c r="AF160" s="1" t="s">
        <v>107</v>
      </c>
      <c r="AG160" s="1">
        <v>36</v>
      </c>
      <c r="AO160" s="2">
        <v>46273</v>
      </c>
      <c r="AP160" s="1" t="s">
        <v>157</v>
      </c>
      <c r="AS160" s="1" t="s">
        <v>71</v>
      </c>
      <c r="AU160" s="1" t="s">
        <v>72</v>
      </c>
      <c r="AV160" s="1" t="s">
        <v>126</v>
      </c>
      <c r="AX160" s="1">
        <v>0</v>
      </c>
      <c r="BA160" s="1">
        <v>3</v>
      </c>
      <c r="BB160" s="1">
        <v>0</v>
      </c>
      <c r="BC160" s="1">
        <v>0</v>
      </c>
      <c r="BE160" s="1">
        <v>27185413</v>
      </c>
    </row>
    <row r="161" spans="1:57" x14ac:dyDescent="0.25">
      <c r="A161" s="1" t="str">
        <f>T("1944022170146119376")</f>
        <v>1944022170146119376</v>
      </c>
      <c r="B161" s="1" t="str">
        <f>T("249999688615")</f>
        <v>249999688615</v>
      </c>
      <c r="C161" s="1" t="str">
        <f>T("1941094470325898136")</f>
        <v>1941094470325898136</v>
      </c>
      <c r="AC161" s="1" t="s">
        <v>104</v>
      </c>
      <c r="AD161" s="1" t="s">
        <v>151</v>
      </c>
      <c r="AE161" s="1" t="s">
        <v>152</v>
      </c>
      <c r="AF161" s="1" t="s">
        <v>107</v>
      </c>
      <c r="AG161" s="1">
        <v>27</v>
      </c>
      <c r="AO161" s="2">
        <v>46273</v>
      </c>
      <c r="AP161" s="1" t="s">
        <v>157</v>
      </c>
      <c r="AS161" s="1" t="s">
        <v>71</v>
      </c>
      <c r="AU161" s="1" t="s">
        <v>72</v>
      </c>
      <c r="AV161" s="1" t="s">
        <v>80</v>
      </c>
      <c r="AX161" s="1">
        <v>0</v>
      </c>
      <c r="BA161" s="1">
        <v>3</v>
      </c>
      <c r="BB161" s="1">
        <v>0</v>
      </c>
      <c r="BC161" s="1">
        <v>0</v>
      </c>
      <c r="BE161" s="1">
        <v>27185413</v>
      </c>
    </row>
    <row r="162" spans="1:57" x14ac:dyDescent="0.25">
      <c r="A162" s="1" t="str">
        <f>T("1944022170167091016")</f>
        <v>1944022170167091016</v>
      </c>
      <c r="B162" s="1" t="str">
        <f>T("249926146009")</f>
        <v>249926146009</v>
      </c>
      <c r="C162" s="1" t="str">
        <f>T("1941094470325898736")</f>
        <v>1941094470325898736</v>
      </c>
      <c r="AA162" s="1">
        <v>1</v>
      </c>
      <c r="AC162" s="1" t="s">
        <v>104</v>
      </c>
      <c r="AD162" s="1" t="s">
        <v>151</v>
      </c>
      <c r="AE162" s="1" t="s">
        <v>152</v>
      </c>
      <c r="AF162" s="1" t="s">
        <v>107</v>
      </c>
      <c r="AG162" s="1">
        <v>30</v>
      </c>
      <c r="AO162" s="2">
        <v>46273</v>
      </c>
      <c r="AP162" s="1" t="s">
        <v>157</v>
      </c>
      <c r="AS162" s="1" t="s">
        <v>71</v>
      </c>
      <c r="AU162" s="1" t="s">
        <v>72</v>
      </c>
      <c r="AV162" s="1" t="s">
        <v>131</v>
      </c>
      <c r="AX162" s="1">
        <v>0</v>
      </c>
      <c r="BA162" s="1">
        <v>3</v>
      </c>
      <c r="BB162" s="1">
        <v>0</v>
      </c>
      <c r="BC162" s="1">
        <v>0</v>
      </c>
      <c r="BE162" s="1">
        <v>27185413</v>
      </c>
    </row>
    <row r="163" spans="1:57" x14ac:dyDescent="0.25">
      <c r="A163" s="1" t="str">
        <f>T("1944022170188058756")</f>
        <v>1944022170188058756</v>
      </c>
      <c r="B163" s="1" t="str">
        <f>T("249912697841")</f>
        <v>249912697841</v>
      </c>
      <c r="C163" s="1" t="str">
        <f>T("1941094470325899236")</f>
        <v>1941094470325899236</v>
      </c>
      <c r="AC163" s="1" t="s">
        <v>104</v>
      </c>
      <c r="AD163" s="1" t="s">
        <v>151</v>
      </c>
      <c r="AE163" s="1" t="s">
        <v>152</v>
      </c>
      <c r="AF163" s="1" t="s">
        <v>107</v>
      </c>
      <c r="AG163" s="1">
        <v>62</v>
      </c>
      <c r="AO163" s="2">
        <v>46273</v>
      </c>
      <c r="AP163" s="1" t="s">
        <v>157</v>
      </c>
      <c r="AQ163" s="2">
        <v>46273</v>
      </c>
      <c r="AR163" s="1" t="s">
        <v>181</v>
      </c>
      <c r="AS163" s="1" t="s">
        <v>71</v>
      </c>
      <c r="AU163" s="1" t="s">
        <v>79</v>
      </c>
      <c r="AV163" s="1" t="s">
        <v>80</v>
      </c>
      <c r="AW163" s="1">
        <v>34.04</v>
      </c>
      <c r="AX163" s="1">
        <v>0</v>
      </c>
      <c r="AZ163" s="1" t="s">
        <v>81</v>
      </c>
      <c r="BA163" s="1">
        <v>3</v>
      </c>
      <c r="BB163" s="1">
        <v>0</v>
      </c>
      <c r="BC163" s="1">
        <v>0</v>
      </c>
      <c r="BE163" s="1">
        <v>27185413</v>
      </c>
    </row>
    <row r="164" spans="1:57" x14ac:dyDescent="0.25">
      <c r="A164" s="1" t="str">
        <f>T("1944022170192253764")</f>
        <v>1944022170192253764</v>
      </c>
      <c r="B164" s="1" t="str">
        <f>T("249993462130")</f>
        <v>249993462130</v>
      </c>
      <c r="C164" s="1" t="str">
        <f>T("1941094470330089844")</f>
        <v>1941094470330089844</v>
      </c>
      <c r="AC164" s="1" t="s">
        <v>104</v>
      </c>
      <c r="AD164" s="1" t="s">
        <v>151</v>
      </c>
      <c r="AE164" s="1" t="s">
        <v>152</v>
      </c>
      <c r="AF164" s="1" t="s">
        <v>107</v>
      </c>
      <c r="AG164" s="1">
        <v>55</v>
      </c>
      <c r="AO164" s="2">
        <v>46273</v>
      </c>
      <c r="AP164" s="1" t="s">
        <v>157</v>
      </c>
      <c r="AQ164" s="2">
        <v>46273</v>
      </c>
      <c r="AR164" s="1" t="s">
        <v>182</v>
      </c>
      <c r="AS164" s="1" t="s">
        <v>71</v>
      </c>
      <c r="AU164" s="1" t="s">
        <v>79</v>
      </c>
      <c r="AV164" s="1" t="s">
        <v>80</v>
      </c>
      <c r="AW164" s="1">
        <v>21.72</v>
      </c>
      <c r="AX164" s="1">
        <v>0</v>
      </c>
      <c r="AZ164" s="1" t="s">
        <v>81</v>
      </c>
      <c r="BA164" s="1">
        <v>3</v>
      </c>
      <c r="BB164" s="1">
        <v>0</v>
      </c>
      <c r="BC164" s="1">
        <v>0</v>
      </c>
      <c r="BE164" s="1">
        <v>27185413</v>
      </c>
    </row>
    <row r="165" spans="1:57" x14ac:dyDescent="0.25">
      <c r="A165" s="1" t="str">
        <f>T("1944022170213224904")</f>
        <v>1944022170213224904</v>
      </c>
      <c r="B165" s="1" t="str">
        <f>T("249997174922")</f>
        <v>249997174922</v>
      </c>
      <c r="C165" s="1" t="str">
        <f>T("1941094470330090344")</f>
        <v>1941094470330090344</v>
      </c>
      <c r="AA165" s="1">
        <v>1</v>
      </c>
      <c r="AC165" s="1" t="s">
        <v>104</v>
      </c>
      <c r="AD165" s="1" t="s">
        <v>151</v>
      </c>
      <c r="AE165" s="1" t="s">
        <v>152</v>
      </c>
      <c r="AF165" s="1" t="s">
        <v>107</v>
      </c>
      <c r="AG165" s="1">
        <v>70</v>
      </c>
      <c r="AO165" s="2">
        <v>46273</v>
      </c>
      <c r="AP165" s="1" t="s">
        <v>157</v>
      </c>
      <c r="AQ165" s="2">
        <v>46273</v>
      </c>
      <c r="AR165" s="1" t="s">
        <v>183</v>
      </c>
      <c r="AS165" s="1" t="s">
        <v>71</v>
      </c>
      <c r="AU165" s="1" t="s">
        <v>79</v>
      </c>
      <c r="AV165" s="1" t="s">
        <v>80</v>
      </c>
      <c r="AW165" s="1">
        <v>88.74</v>
      </c>
      <c r="AX165" s="1">
        <v>0</v>
      </c>
      <c r="AZ165" s="1" t="s">
        <v>81</v>
      </c>
      <c r="BA165" s="1">
        <v>3</v>
      </c>
      <c r="BB165" s="1">
        <v>0</v>
      </c>
      <c r="BC165" s="1">
        <v>0</v>
      </c>
      <c r="BE165" s="1">
        <v>27185413</v>
      </c>
    </row>
    <row r="166" spans="1:57" x14ac:dyDescent="0.25">
      <c r="A166" s="1" t="str">
        <f>T("1944022170234196944")</f>
        <v>1944022170234196944</v>
      </c>
      <c r="B166" s="1" t="str">
        <f>T("249997987107")</f>
        <v>249997987107</v>
      </c>
      <c r="C166" s="1" t="str">
        <f>T("1941094470330090844")</f>
        <v>1941094470330090844</v>
      </c>
      <c r="AC166" s="1" t="s">
        <v>104</v>
      </c>
      <c r="AD166" s="1" t="s">
        <v>151</v>
      </c>
      <c r="AE166" s="1" t="s">
        <v>152</v>
      </c>
      <c r="AF166" s="1" t="s">
        <v>107</v>
      </c>
      <c r="AG166" s="1" t="s">
        <v>184</v>
      </c>
      <c r="AO166" s="2">
        <v>46273</v>
      </c>
      <c r="AP166" s="1" t="s">
        <v>157</v>
      </c>
      <c r="AS166" s="1" t="s">
        <v>71</v>
      </c>
      <c r="AU166" s="1" t="s">
        <v>72</v>
      </c>
      <c r="AV166" s="1" t="s">
        <v>73</v>
      </c>
      <c r="AX166" s="1">
        <v>0</v>
      </c>
      <c r="BA166" s="1">
        <v>3</v>
      </c>
      <c r="BB166" s="1">
        <v>0</v>
      </c>
      <c r="BC166" s="1">
        <v>0</v>
      </c>
      <c r="BE166" s="1">
        <v>27185413</v>
      </c>
    </row>
    <row r="167" spans="1:57" x14ac:dyDescent="0.25">
      <c r="A167" s="1" t="str">
        <f>T("1944022170242587060")</f>
        <v>1944022170242587060</v>
      </c>
      <c r="B167" s="1" t="str">
        <f>T("249922785268")</f>
        <v>249922785268</v>
      </c>
      <c r="C167" s="1" t="str">
        <f>T("1941094470330091844")</f>
        <v>1941094470330091844</v>
      </c>
      <c r="AC167" s="1" t="s">
        <v>104</v>
      </c>
      <c r="AD167" s="1" t="s">
        <v>151</v>
      </c>
      <c r="AE167" s="1" t="s">
        <v>152</v>
      </c>
      <c r="AF167" s="1" t="s">
        <v>107</v>
      </c>
      <c r="AG167" s="1">
        <v>35</v>
      </c>
      <c r="AO167" s="2">
        <v>46273</v>
      </c>
      <c r="AP167" s="1" t="s">
        <v>157</v>
      </c>
      <c r="AS167" s="1" t="s">
        <v>71</v>
      </c>
      <c r="AU167" s="1" t="s">
        <v>72</v>
      </c>
      <c r="AV167" s="1" t="s">
        <v>73</v>
      </c>
      <c r="AX167" s="1">
        <v>0</v>
      </c>
      <c r="BA167" s="1">
        <v>3</v>
      </c>
      <c r="BB167" s="1">
        <v>0</v>
      </c>
      <c r="BC167" s="1">
        <v>0</v>
      </c>
      <c r="BE167" s="1">
        <v>27185413</v>
      </c>
    </row>
    <row r="168" spans="1:57" x14ac:dyDescent="0.25">
      <c r="A168" s="1" t="str">
        <f>T("1944022170259361992")</f>
        <v>1944022170259361992</v>
      </c>
      <c r="B168" s="1" t="str">
        <f>T("249912497011")</f>
        <v>249912497011</v>
      </c>
      <c r="C168" s="1" t="str">
        <f>T("1941094470330092244")</f>
        <v>1941094470330092244</v>
      </c>
      <c r="M168" s="1" t="s">
        <v>148</v>
      </c>
      <c r="N168" s="1" t="s">
        <v>60</v>
      </c>
      <c r="O168" s="1" t="s">
        <v>65</v>
      </c>
      <c r="P168" s="1" t="s">
        <v>61</v>
      </c>
      <c r="Q168" s="1" t="s">
        <v>101</v>
      </c>
      <c r="R168" s="1" t="s">
        <v>93</v>
      </c>
      <c r="T168" s="1" t="s">
        <v>95</v>
      </c>
      <c r="U168" s="1" t="s">
        <v>65</v>
      </c>
      <c r="V168" s="1" t="s">
        <v>102</v>
      </c>
      <c r="W168" s="1" t="s">
        <v>67</v>
      </c>
      <c r="X168" s="1" t="s">
        <v>103</v>
      </c>
      <c r="Y168" s="1" t="s">
        <v>69</v>
      </c>
      <c r="AA168" s="1">
        <v>1</v>
      </c>
      <c r="AB168" s="1">
        <v>1</v>
      </c>
      <c r="AC168" s="1" t="s">
        <v>104</v>
      </c>
      <c r="AD168" s="1" t="s">
        <v>151</v>
      </c>
      <c r="AE168" s="1" t="s">
        <v>152</v>
      </c>
      <c r="AF168" s="1" t="s">
        <v>107</v>
      </c>
      <c r="AG168" s="1">
        <v>28</v>
      </c>
      <c r="AO168" s="2">
        <v>46273</v>
      </c>
      <c r="AP168" s="1" t="s">
        <v>157</v>
      </c>
      <c r="AQ168" s="2">
        <v>46273</v>
      </c>
      <c r="AR168" s="1" t="s">
        <v>185</v>
      </c>
      <c r="AS168" s="1" t="s">
        <v>71</v>
      </c>
      <c r="AU168" s="1" t="s">
        <v>78</v>
      </c>
      <c r="AV168" s="1" t="s">
        <v>80</v>
      </c>
      <c r="AW168" s="1">
        <v>243.38</v>
      </c>
      <c r="AX168" s="1">
        <v>0</v>
      </c>
      <c r="AZ168" s="1" t="s">
        <v>81</v>
      </c>
      <c r="BA168" s="1">
        <v>3</v>
      </c>
      <c r="BB168" s="1">
        <v>0</v>
      </c>
      <c r="BC168" s="1">
        <v>0</v>
      </c>
      <c r="BE168" s="1">
        <v>27185413</v>
      </c>
    </row>
    <row r="169" spans="1:57" x14ac:dyDescent="0.25">
      <c r="A169" s="1" t="str">
        <f>T("1944022170284530740")</f>
        <v>1944022170284530740</v>
      </c>
      <c r="B169" s="1" t="str">
        <f>T("249923283792")</f>
        <v>249923283792</v>
      </c>
      <c r="C169" s="1" t="str">
        <f>T("1941094470330092844")</f>
        <v>1941094470330092844</v>
      </c>
      <c r="AA169" s="1">
        <v>1</v>
      </c>
      <c r="AC169" s="1" t="s">
        <v>104</v>
      </c>
      <c r="AD169" s="1" t="s">
        <v>151</v>
      </c>
      <c r="AE169" s="1" t="s">
        <v>152</v>
      </c>
      <c r="AF169" s="1" t="s">
        <v>107</v>
      </c>
      <c r="AG169" s="1">
        <v>40</v>
      </c>
      <c r="AO169" s="2">
        <v>46273</v>
      </c>
      <c r="AP169" s="1" t="s">
        <v>157</v>
      </c>
      <c r="AS169" s="1" t="s">
        <v>71</v>
      </c>
      <c r="AU169" s="1" t="s">
        <v>72</v>
      </c>
      <c r="AV169" s="1" t="s">
        <v>131</v>
      </c>
      <c r="AX169" s="1">
        <v>0</v>
      </c>
      <c r="BA169" s="1">
        <v>3</v>
      </c>
      <c r="BB169" s="1">
        <v>0</v>
      </c>
      <c r="BC169" s="1">
        <v>0</v>
      </c>
      <c r="BE169" s="1">
        <v>27185413</v>
      </c>
    </row>
    <row r="170" spans="1:57" x14ac:dyDescent="0.25">
      <c r="A170" s="1" t="str">
        <f>T("1944022170297112764")</f>
        <v>1944022170297112764</v>
      </c>
      <c r="B170" s="1" t="str">
        <f>T("249916108660")</f>
        <v>249916108660</v>
      </c>
      <c r="C170" s="1" t="str">
        <f>T("1941094470330093244")</f>
        <v>1941094470330093244</v>
      </c>
      <c r="AA170" s="1">
        <v>1</v>
      </c>
      <c r="AC170" s="1" t="s">
        <v>104</v>
      </c>
      <c r="AD170" s="1" t="s">
        <v>151</v>
      </c>
      <c r="AE170" s="1" t="s">
        <v>152</v>
      </c>
      <c r="AF170" s="1" t="s">
        <v>107</v>
      </c>
      <c r="AG170" s="1">
        <v>38</v>
      </c>
      <c r="AO170" s="2">
        <v>46273</v>
      </c>
      <c r="AP170" s="1" t="s">
        <v>157</v>
      </c>
      <c r="AQ170" s="2">
        <v>46273</v>
      </c>
      <c r="AR170" s="1" t="s">
        <v>186</v>
      </c>
      <c r="AS170" s="1" t="s">
        <v>71</v>
      </c>
      <c r="AU170" s="1" t="s">
        <v>79</v>
      </c>
      <c r="AV170" s="1" t="s">
        <v>80</v>
      </c>
      <c r="AW170" s="1">
        <v>110.32</v>
      </c>
      <c r="AX170" s="1">
        <v>0</v>
      </c>
      <c r="AZ170" s="1" t="s">
        <v>81</v>
      </c>
      <c r="BA170" s="1">
        <v>3</v>
      </c>
      <c r="BB170" s="1">
        <v>0</v>
      </c>
      <c r="BC170" s="1">
        <v>0</v>
      </c>
      <c r="BE170" s="1">
        <v>27185413</v>
      </c>
    </row>
    <row r="171" spans="1:57" x14ac:dyDescent="0.25">
      <c r="A171" s="1" t="str">
        <f>T("1944022170301308672")</f>
        <v>1944022170301308672</v>
      </c>
      <c r="B171" s="1" t="str">
        <f>T("249995515815")</f>
        <v>249995515815</v>
      </c>
      <c r="C171" s="1" t="str">
        <f>T("1941094470334283952")</f>
        <v>1941094470334283952</v>
      </c>
      <c r="AC171" s="1" t="s">
        <v>104</v>
      </c>
      <c r="AD171" s="1" t="s">
        <v>151</v>
      </c>
      <c r="AE171" s="1" t="s">
        <v>152</v>
      </c>
      <c r="AF171" s="1" t="s">
        <v>107</v>
      </c>
      <c r="AG171" s="1">
        <v>35</v>
      </c>
      <c r="AO171" s="2">
        <v>46273</v>
      </c>
      <c r="AP171" s="1" t="s">
        <v>157</v>
      </c>
      <c r="AS171" s="1" t="s">
        <v>71</v>
      </c>
      <c r="AU171" s="1" t="s">
        <v>72</v>
      </c>
      <c r="AV171" s="1" t="s">
        <v>73</v>
      </c>
      <c r="AX171" s="1">
        <v>0</v>
      </c>
      <c r="BA171" s="1">
        <v>3</v>
      </c>
      <c r="BB171" s="1">
        <v>0</v>
      </c>
      <c r="BC171" s="1">
        <v>0</v>
      </c>
      <c r="BE171" s="1">
        <v>27185413</v>
      </c>
    </row>
    <row r="172" spans="1:57" x14ac:dyDescent="0.25">
      <c r="A172" s="1" t="str">
        <f>T("1944022170339055544")</f>
        <v>1944022170339055544</v>
      </c>
      <c r="B172" s="1" t="str">
        <f>T("249995129209")</f>
        <v>249995129209</v>
      </c>
      <c r="C172" s="1" t="str">
        <f>T("1941094470334284452")</f>
        <v>1941094470334284452</v>
      </c>
      <c r="AC172" s="1" t="s">
        <v>104</v>
      </c>
      <c r="AD172" s="1" t="s">
        <v>151</v>
      </c>
      <c r="AE172" s="1" t="s">
        <v>152</v>
      </c>
      <c r="AF172" s="1" t="s">
        <v>107</v>
      </c>
      <c r="AG172" s="1">
        <v>50</v>
      </c>
      <c r="AO172" s="2">
        <v>46273</v>
      </c>
      <c r="AP172" s="1" t="s">
        <v>157</v>
      </c>
      <c r="AQ172" s="2">
        <v>46273</v>
      </c>
      <c r="AR172" s="1" t="s">
        <v>187</v>
      </c>
      <c r="AS172" s="1" t="s">
        <v>71</v>
      </c>
      <c r="AU172" s="1" t="s">
        <v>79</v>
      </c>
      <c r="AV172" s="1" t="s">
        <v>80</v>
      </c>
      <c r="AW172" s="1">
        <v>12.96</v>
      </c>
      <c r="AX172" s="1">
        <v>0</v>
      </c>
      <c r="AZ172" s="1" t="s">
        <v>81</v>
      </c>
      <c r="BA172" s="1">
        <v>3</v>
      </c>
      <c r="BB172" s="1">
        <v>0</v>
      </c>
      <c r="BC172" s="1">
        <v>0</v>
      </c>
      <c r="BE172" s="1">
        <v>27185413</v>
      </c>
    </row>
    <row r="173" spans="1:57" x14ac:dyDescent="0.25">
      <c r="A173" s="1" t="str">
        <f>T("1944022170343250052")</f>
        <v>1944022170343250052</v>
      </c>
      <c r="B173" s="1" t="str">
        <f>T("249926670157")</f>
        <v>249926670157</v>
      </c>
      <c r="C173" s="1" t="str">
        <f>T("1941094470334284852")</f>
        <v>1941094470334284852</v>
      </c>
      <c r="AA173" s="1">
        <v>1</v>
      </c>
      <c r="AC173" s="1" t="s">
        <v>104</v>
      </c>
      <c r="AD173" s="1" t="s">
        <v>151</v>
      </c>
      <c r="AE173" s="1" t="s">
        <v>152</v>
      </c>
      <c r="AF173" s="1" t="s">
        <v>107</v>
      </c>
      <c r="AG173" s="1">
        <v>48</v>
      </c>
      <c r="AO173" s="2">
        <v>46273</v>
      </c>
      <c r="AP173" s="1" t="s">
        <v>157</v>
      </c>
      <c r="AQ173" s="2">
        <v>46273</v>
      </c>
      <c r="AR173" s="1" t="s">
        <v>188</v>
      </c>
      <c r="AS173" s="1" t="s">
        <v>71</v>
      </c>
      <c r="AU173" s="1" t="s">
        <v>79</v>
      </c>
      <c r="AV173" s="1" t="s">
        <v>80</v>
      </c>
      <c r="AW173" s="1">
        <v>38.74</v>
      </c>
      <c r="AX173" s="1">
        <v>0</v>
      </c>
      <c r="AZ173" s="1" t="s">
        <v>81</v>
      </c>
      <c r="BA173" s="1">
        <v>3</v>
      </c>
      <c r="BB173" s="1">
        <v>0</v>
      </c>
      <c r="BC173" s="1">
        <v>0</v>
      </c>
      <c r="BE173" s="1">
        <v>27185413</v>
      </c>
    </row>
    <row r="174" spans="1:57" x14ac:dyDescent="0.25">
      <c r="A174" s="1" t="str">
        <f>T("1944022170347444360")</f>
        <v>1944022170347444360</v>
      </c>
      <c r="B174" s="1" t="str">
        <f>T("249999629085")</f>
        <v>249999629085</v>
      </c>
      <c r="C174" s="1" t="str">
        <f>T("1941094470334285352")</f>
        <v>1941094470334285352</v>
      </c>
      <c r="AA174" s="1">
        <v>1</v>
      </c>
      <c r="AC174" s="1" t="s">
        <v>104</v>
      </c>
      <c r="AD174" s="1" t="s">
        <v>151</v>
      </c>
      <c r="AE174" s="1" t="s">
        <v>152</v>
      </c>
      <c r="AF174" s="1" t="s">
        <v>107</v>
      </c>
      <c r="AG174" s="1">
        <v>30</v>
      </c>
      <c r="AO174" s="2">
        <v>46273</v>
      </c>
      <c r="AP174" s="1" t="s">
        <v>157</v>
      </c>
      <c r="AQ174" s="2">
        <v>46273</v>
      </c>
      <c r="AR174" s="1" t="s">
        <v>189</v>
      </c>
      <c r="AS174" s="1" t="s">
        <v>71</v>
      </c>
      <c r="AU174" s="1" t="s">
        <v>79</v>
      </c>
      <c r="AV174" s="1" t="s">
        <v>80</v>
      </c>
      <c r="AW174" s="1">
        <v>95.44</v>
      </c>
      <c r="AX174" s="1">
        <v>0</v>
      </c>
      <c r="AZ174" s="1" t="s">
        <v>81</v>
      </c>
      <c r="BA174" s="1">
        <v>3</v>
      </c>
      <c r="BB174" s="1">
        <v>0</v>
      </c>
      <c r="BC174" s="1">
        <v>0</v>
      </c>
      <c r="BE174" s="1">
        <v>27185413</v>
      </c>
    </row>
    <row r="175" spans="1:57" x14ac:dyDescent="0.25">
      <c r="A175" s="1" t="str">
        <f>T("1944022170393579748")</f>
        <v>1944022170393579748</v>
      </c>
      <c r="B175" s="1" t="str">
        <f>T("249992128010")</f>
        <v>249992128010</v>
      </c>
      <c r="C175" s="1" t="str">
        <f>T("1941094470334286352")</f>
        <v>1941094470334286352</v>
      </c>
      <c r="AC175" s="1" t="s">
        <v>104</v>
      </c>
      <c r="AD175" s="1" t="s">
        <v>151</v>
      </c>
      <c r="AE175" s="1" t="s">
        <v>152</v>
      </c>
      <c r="AF175" s="1" t="s">
        <v>107</v>
      </c>
      <c r="AG175" s="1">
        <v>70</v>
      </c>
      <c r="AO175" s="2">
        <v>46273</v>
      </c>
      <c r="AP175" s="1" t="s">
        <v>157</v>
      </c>
      <c r="AS175" s="1" t="s">
        <v>71</v>
      </c>
      <c r="AU175" s="1" t="s">
        <v>72</v>
      </c>
      <c r="AV175" s="1" t="s">
        <v>80</v>
      </c>
      <c r="AX175" s="1">
        <v>0</v>
      </c>
      <c r="BA175" s="1">
        <v>3</v>
      </c>
      <c r="BB175" s="1">
        <v>0</v>
      </c>
      <c r="BC175" s="1">
        <v>0</v>
      </c>
      <c r="BE175" s="1">
        <v>27185413</v>
      </c>
    </row>
    <row r="176" spans="1:57" x14ac:dyDescent="0.25">
      <c r="A176" s="1" t="str">
        <f>T("1944022170393583248")</f>
        <v>1944022170393583248</v>
      </c>
      <c r="B176" s="1" t="str">
        <f>T("249923969358")</f>
        <v>249923969358</v>
      </c>
      <c r="C176" s="1" t="str">
        <f>T("1941094470334285852")</f>
        <v>1941094470334285852</v>
      </c>
      <c r="AA176" s="1">
        <v>1</v>
      </c>
      <c r="AC176" s="1" t="s">
        <v>104</v>
      </c>
      <c r="AD176" s="1" t="s">
        <v>151</v>
      </c>
      <c r="AE176" s="1" t="s">
        <v>152</v>
      </c>
      <c r="AF176" s="1" t="s">
        <v>107</v>
      </c>
      <c r="AG176" s="1">
        <v>20</v>
      </c>
      <c r="AO176" s="2">
        <v>46273</v>
      </c>
      <c r="AP176" s="1" t="s">
        <v>157</v>
      </c>
      <c r="AS176" s="1" t="s">
        <v>71</v>
      </c>
      <c r="AU176" s="1" t="s">
        <v>72</v>
      </c>
      <c r="AV176" s="1" t="s">
        <v>80</v>
      </c>
      <c r="AX176" s="1">
        <v>0</v>
      </c>
      <c r="BA176" s="1">
        <v>3</v>
      </c>
      <c r="BB176" s="1">
        <v>0</v>
      </c>
      <c r="BC176" s="1">
        <v>0</v>
      </c>
      <c r="BE176" s="1">
        <v>27185413</v>
      </c>
    </row>
    <row r="177" spans="1:57" x14ac:dyDescent="0.25">
      <c r="A177" s="1" t="str">
        <f>T("1944022170397774956")</f>
        <v>1944022170397774956</v>
      </c>
      <c r="B177" s="1" t="str">
        <f>T("249916383276")</f>
        <v>249916383276</v>
      </c>
      <c r="C177" s="1" t="str">
        <f>T("1941094470334286952")</f>
        <v>1941094470334286952</v>
      </c>
      <c r="AA177" s="1">
        <v>1</v>
      </c>
      <c r="AC177" s="1" t="s">
        <v>190</v>
      </c>
      <c r="AD177" s="1" t="s">
        <v>191</v>
      </c>
      <c r="AE177" s="1" t="s">
        <v>192</v>
      </c>
      <c r="AF177" s="1" t="s">
        <v>107</v>
      </c>
      <c r="AG177" s="1">
        <v>58</v>
      </c>
      <c r="AO177" s="2">
        <v>46273</v>
      </c>
      <c r="AP177" s="1" t="s">
        <v>157</v>
      </c>
      <c r="AS177" s="1" t="s">
        <v>71</v>
      </c>
      <c r="AU177" s="1" t="s">
        <v>72</v>
      </c>
      <c r="AV177" s="1" t="s">
        <v>80</v>
      </c>
      <c r="AX177" s="1">
        <v>0</v>
      </c>
      <c r="BA177" s="1">
        <v>3</v>
      </c>
      <c r="BB177" s="1">
        <v>0</v>
      </c>
      <c r="BC177" s="1">
        <v>0</v>
      </c>
      <c r="BE177" s="1">
        <v>27185413</v>
      </c>
    </row>
    <row r="178" spans="1:57" x14ac:dyDescent="0.25">
      <c r="A178" s="1" t="str">
        <f>T("1944022170414552588")</f>
        <v>1944022170414552588</v>
      </c>
      <c r="B178" s="1" t="str">
        <f>T("249900442351")</f>
        <v>249900442351</v>
      </c>
      <c r="C178" s="1" t="str">
        <f>T("1941094470334287452")</f>
        <v>1941094470334287452</v>
      </c>
      <c r="AC178" s="1" t="s">
        <v>190</v>
      </c>
      <c r="AD178" s="1" t="s">
        <v>191</v>
      </c>
      <c r="AE178" s="1" t="s">
        <v>192</v>
      </c>
      <c r="AF178" s="1" t="s">
        <v>107</v>
      </c>
      <c r="AG178" s="1">
        <v>55</v>
      </c>
      <c r="AO178" s="2">
        <v>46273</v>
      </c>
      <c r="AP178" s="1" t="s">
        <v>157</v>
      </c>
      <c r="AS178" s="1" t="s">
        <v>71</v>
      </c>
      <c r="AU178" s="1" t="s">
        <v>72</v>
      </c>
      <c r="AV178" s="1" t="s">
        <v>80</v>
      </c>
      <c r="AX178" s="1">
        <v>0</v>
      </c>
      <c r="BA178" s="1">
        <v>3</v>
      </c>
      <c r="BB178" s="1">
        <v>0</v>
      </c>
      <c r="BC178" s="1">
        <v>0</v>
      </c>
      <c r="BE178" s="1">
        <v>27185413</v>
      </c>
    </row>
    <row r="179" spans="1:57" x14ac:dyDescent="0.25">
      <c r="A179" s="1" t="str">
        <f>T("1944022170469078292")</f>
        <v>1944022170469078292</v>
      </c>
      <c r="B179" s="1" t="str">
        <f>T("249914918942")</f>
        <v>249914918942</v>
      </c>
      <c r="C179" s="1" t="str">
        <f>T("1941094470338478260")</f>
        <v>1941094470338478260</v>
      </c>
      <c r="AA179" s="1">
        <v>1</v>
      </c>
      <c r="AC179" s="1" t="s">
        <v>190</v>
      </c>
      <c r="AD179" s="1" t="s">
        <v>191</v>
      </c>
      <c r="AE179" s="1" t="s">
        <v>192</v>
      </c>
      <c r="AF179" s="1" t="s">
        <v>107</v>
      </c>
      <c r="AG179" s="1">
        <v>61</v>
      </c>
      <c r="AO179" s="2">
        <v>46273</v>
      </c>
      <c r="AP179" s="1" t="s">
        <v>157</v>
      </c>
      <c r="AS179" s="1" t="s">
        <v>71</v>
      </c>
      <c r="AU179" s="1" t="s">
        <v>72</v>
      </c>
      <c r="AV179" s="1" t="s">
        <v>80</v>
      </c>
      <c r="AX179" s="1">
        <v>0</v>
      </c>
      <c r="BA179" s="1">
        <v>3</v>
      </c>
      <c r="BB179" s="1">
        <v>0</v>
      </c>
      <c r="BC179" s="1">
        <v>0</v>
      </c>
      <c r="BE179" s="1">
        <v>27185413</v>
      </c>
    </row>
    <row r="180" spans="1:57" x14ac:dyDescent="0.25">
      <c r="A180" s="1" t="str">
        <f>T("1944022170473275200")</f>
        <v>1944022170473275200</v>
      </c>
      <c r="B180" s="1" t="str">
        <f>T("249919641993")</f>
        <v>249919641993</v>
      </c>
      <c r="C180" s="1" t="str">
        <f>T("1941094470338478760")</f>
        <v>1941094470338478760</v>
      </c>
      <c r="AA180" s="1">
        <v>1</v>
      </c>
      <c r="AC180" s="1" t="s">
        <v>190</v>
      </c>
      <c r="AD180" s="1" t="s">
        <v>191</v>
      </c>
      <c r="AE180" s="1" t="s">
        <v>192</v>
      </c>
      <c r="AF180" s="1" t="s">
        <v>107</v>
      </c>
      <c r="AG180" s="1">
        <v>58</v>
      </c>
      <c r="AO180" s="2">
        <v>46273</v>
      </c>
      <c r="AP180" s="1" t="s">
        <v>157</v>
      </c>
      <c r="AQ180" s="2">
        <v>46273</v>
      </c>
      <c r="AR180" s="1" t="s">
        <v>193</v>
      </c>
      <c r="AS180" s="1" t="s">
        <v>71</v>
      </c>
      <c r="AU180" s="1" t="s">
        <v>79</v>
      </c>
      <c r="AV180" s="1" t="s">
        <v>80</v>
      </c>
      <c r="AW180" s="1">
        <v>105.46</v>
      </c>
      <c r="AX180" s="1">
        <v>0</v>
      </c>
      <c r="AZ180" s="1" t="s">
        <v>81</v>
      </c>
      <c r="BA180" s="1">
        <v>3</v>
      </c>
      <c r="BB180" s="1">
        <v>0</v>
      </c>
      <c r="BC180" s="1">
        <v>0</v>
      </c>
      <c r="BE180" s="1">
        <v>27185413</v>
      </c>
    </row>
    <row r="181" spans="1:57" x14ac:dyDescent="0.25">
      <c r="A181" s="1" t="str">
        <f>T("1944022170515214380")</f>
        <v>1944022170515214380</v>
      </c>
      <c r="B181" s="1" t="str">
        <f>T("249909246801")</f>
        <v>249909246801</v>
      </c>
      <c r="C181" s="1" t="str">
        <f>T("1941094470338479660")</f>
        <v>1941094470338479660</v>
      </c>
      <c r="AC181" s="1" t="s">
        <v>190</v>
      </c>
      <c r="AD181" s="1" t="s">
        <v>191</v>
      </c>
      <c r="AE181" s="1" t="s">
        <v>192</v>
      </c>
      <c r="AF181" s="1" t="s">
        <v>107</v>
      </c>
      <c r="AG181" s="1">
        <v>54</v>
      </c>
      <c r="AO181" s="2">
        <v>46273</v>
      </c>
      <c r="AP181" s="1" t="s">
        <v>157</v>
      </c>
      <c r="AS181" s="1" t="s">
        <v>71</v>
      </c>
      <c r="AU181" s="1" t="s">
        <v>72</v>
      </c>
      <c r="AV181" s="1" t="s">
        <v>80</v>
      </c>
      <c r="AX181" s="1">
        <v>0</v>
      </c>
      <c r="BA181" s="1">
        <v>3</v>
      </c>
      <c r="BB181" s="1">
        <v>0</v>
      </c>
      <c r="BC181" s="1">
        <v>0</v>
      </c>
      <c r="BE181" s="1">
        <v>27185413</v>
      </c>
    </row>
    <row r="182" spans="1:57" x14ac:dyDescent="0.25">
      <c r="A182" s="1" t="str">
        <f>T("1944022170527797304")</f>
        <v>1944022170527797304</v>
      </c>
      <c r="B182" s="1" t="str">
        <f>T("249918519030")</f>
        <v>249918519030</v>
      </c>
      <c r="C182" s="1" t="str">
        <f>T("1941094470338480360")</f>
        <v>1941094470338480360</v>
      </c>
      <c r="AC182" s="1" t="s">
        <v>190</v>
      </c>
      <c r="AD182" s="1" t="s">
        <v>191</v>
      </c>
      <c r="AE182" s="1" t="s">
        <v>192</v>
      </c>
      <c r="AF182" s="1" t="s">
        <v>107</v>
      </c>
      <c r="AG182" s="1">
        <v>67</v>
      </c>
      <c r="AO182" s="2">
        <v>46273</v>
      </c>
      <c r="AP182" s="1" t="s">
        <v>157</v>
      </c>
      <c r="AS182" s="1" t="s">
        <v>71</v>
      </c>
      <c r="AU182" s="1" t="s">
        <v>72</v>
      </c>
      <c r="AV182" s="1" t="s">
        <v>80</v>
      </c>
      <c r="AX182" s="1">
        <v>0</v>
      </c>
      <c r="BA182" s="1">
        <v>3</v>
      </c>
      <c r="BB182" s="1">
        <v>0</v>
      </c>
      <c r="BC182" s="1">
        <v>0</v>
      </c>
      <c r="BE182" s="1">
        <v>27185413</v>
      </c>
    </row>
    <row r="183" spans="1:57" x14ac:dyDescent="0.25">
      <c r="A183" s="1" t="str">
        <f>T("1944022170527799804")</f>
        <v>1944022170527799804</v>
      </c>
      <c r="B183" s="1" t="str">
        <f>T("249904979123")</f>
        <v>249904979123</v>
      </c>
      <c r="C183" s="1" t="str">
        <f>T("1941094470338480860")</f>
        <v>1941094470338480860</v>
      </c>
      <c r="M183" s="1" t="s">
        <v>59</v>
      </c>
      <c r="AA183" s="1">
        <v>1</v>
      </c>
      <c r="AC183" s="1" t="s">
        <v>190</v>
      </c>
      <c r="AD183" s="1" t="s">
        <v>191</v>
      </c>
      <c r="AE183" s="1" t="s">
        <v>192</v>
      </c>
      <c r="AF183" s="1" t="s">
        <v>107</v>
      </c>
      <c r="AG183" s="1">
        <v>84</v>
      </c>
      <c r="AO183" s="2">
        <v>46273</v>
      </c>
      <c r="AP183" s="1" t="s">
        <v>157</v>
      </c>
      <c r="AS183" s="1" t="s">
        <v>71</v>
      </c>
      <c r="AU183" s="1" t="s">
        <v>72</v>
      </c>
      <c r="AV183" s="1" t="s">
        <v>80</v>
      </c>
      <c r="AX183" s="1">
        <v>0</v>
      </c>
      <c r="BA183" s="1">
        <v>3</v>
      </c>
      <c r="BB183" s="1">
        <v>0</v>
      </c>
      <c r="BC183" s="1">
        <v>0</v>
      </c>
      <c r="BE183" s="1">
        <v>27185413</v>
      </c>
    </row>
    <row r="184" spans="1:57" x14ac:dyDescent="0.25">
      <c r="A184" s="1" t="str">
        <f>T("1944022170536186220")</f>
        <v>1944022170536186220</v>
      </c>
      <c r="B184" s="1" t="str">
        <f>T("249908860476")</f>
        <v>249908860476</v>
      </c>
      <c r="C184" s="1" t="str">
        <f>T("1941094470338479260")</f>
        <v>1941094470338479260</v>
      </c>
      <c r="AA184" s="1">
        <v>1</v>
      </c>
      <c r="AC184" s="1" t="s">
        <v>190</v>
      </c>
      <c r="AD184" s="1" t="s">
        <v>191</v>
      </c>
      <c r="AE184" s="1" t="s">
        <v>192</v>
      </c>
      <c r="AF184" s="1" t="s">
        <v>107</v>
      </c>
      <c r="AG184" s="1">
        <v>61</v>
      </c>
      <c r="AO184" s="2">
        <v>46273</v>
      </c>
      <c r="AP184" s="1" t="s">
        <v>157</v>
      </c>
      <c r="AS184" s="1" t="s">
        <v>71</v>
      </c>
      <c r="AU184" s="1" t="s">
        <v>72</v>
      </c>
      <c r="AV184" s="1" t="s">
        <v>80</v>
      </c>
      <c r="AX184" s="1">
        <v>0</v>
      </c>
      <c r="BA184" s="1">
        <v>3</v>
      </c>
      <c r="BB184" s="1">
        <v>0</v>
      </c>
      <c r="BC184" s="1">
        <v>0</v>
      </c>
      <c r="BE184" s="1">
        <v>27185413</v>
      </c>
    </row>
    <row r="185" spans="1:57" x14ac:dyDescent="0.25">
      <c r="A185" s="1" t="str">
        <f>T("1944022170565549076")</f>
        <v>1944022170565549076</v>
      </c>
      <c r="B185" s="1" t="str">
        <f>T("249969733029")</f>
        <v>249969733029</v>
      </c>
      <c r="C185" s="1" t="str">
        <f>T("1941094470338481360")</f>
        <v>1941094470338481360</v>
      </c>
      <c r="AC185" s="1" t="s">
        <v>190</v>
      </c>
      <c r="AD185" s="1" t="s">
        <v>191</v>
      </c>
      <c r="AE185" s="1" t="s">
        <v>192</v>
      </c>
      <c r="AF185" s="1" t="s">
        <v>107</v>
      </c>
      <c r="AG185" s="1">
        <v>57</v>
      </c>
      <c r="AO185" s="2">
        <v>46273</v>
      </c>
      <c r="AP185" s="1" t="s">
        <v>157</v>
      </c>
      <c r="AS185" s="1" t="s">
        <v>71</v>
      </c>
      <c r="AU185" s="1" t="s">
        <v>72</v>
      </c>
      <c r="AV185" s="1" t="s">
        <v>80</v>
      </c>
      <c r="AX185" s="1">
        <v>0</v>
      </c>
      <c r="BA185" s="1">
        <v>3</v>
      </c>
      <c r="BB185" s="1">
        <v>0</v>
      </c>
      <c r="BC185" s="1">
        <v>0</v>
      </c>
      <c r="BE185" s="1">
        <v>27185413</v>
      </c>
    </row>
    <row r="186" spans="1:57" x14ac:dyDescent="0.25">
      <c r="A186" s="1" t="str">
        <f>T("1944022170578129500")</f>
        <v>1944022170578129500</v>
      </c>
      <c r="B186" s="1" t="str">
        <f>T("249911427598")</f>
        <v>249911427598</v>
      </c>
      <c r="C186" s="1" t="str">
        <f>T("1941094470342672768")</f>
        <v>1941094470342672768</v>
      </c>
      <c r="AA186" s="1">
        <v>1</v>
      </c>
      <c r="AC186" s="1" t="s">
        <v>190</v>
      </c>
      <c r="AD186" s="1" t="s">
        <v>191</v>
      </c>
      <c r="AE186" s="1" t="s">
        <v>192</v>
      </c>
      <c r="AF186" s="1" t="s">
        <v>107</v>
      </c>
      <c r="AG186" s="1">
        <v>78</v>
      </c>
      <c r="AO186" s="2">
        <v>46273</v>
      </c>
      <c r="AP186" s="1" t="s">
        <v>157</v>
      </c>
      <c r="AS186" s="1" t="s">
        <v>71</v>
      </c>
      <c r="AU186" s="1" t="s">
        <v>72</v>
      </c>
      <c r="AV186" s="1" t="s">
        <v>80</v>
      </c>
      <c r="AX186" s="1">
        <v>0</v>
      </c>
      <c r="BA186" s="1">
        <v>3</v>
      </c>
      <c r="BB186" s="1">
        <v>0</v>
      </c>
      <c r="BC186" s="1">
        <v>0</v>
      </c>
      <c r="BE186" s="1">
        <v>27185413</v>
      </c>
    </row>
    <row r="187" spans="1:57" x14ac:dyDescent="0.25">
      <c r="A187" s="1" t="str">
        <f>T("1944022170578131700")</f>
        <v>1944022170578131700</v>
      </c>
      <c r="B187" s="1" t="str">
        <f>T("249909154910")</f>
        <v>249909154910</v>
      </c>
      <c r="C187" s="1" t="str">
        <f>T("1941094470342673568")</f>
        <v>1941094470342673568</v>
      </c>
      <c r="AC187" s="1" t="s">
        <v>190</v>
      </c>
      <c r="AD187" s="1" t="s">
        <v>191</v>
      </c>
      <c r="AE187" s="1" t="s">
        <v>192</v>
      </c>
      <c r="AF187" s="1" t="s">
        <v>107</v>
      </c>
      <c r="AG187" s="1">
        <v>52</v>
      </c>
      <c r="AO187" s="2">
        <v>46273</v>
      </c>
      <c r="AP187" s="1" t="s">
        <v>157</v>
      </c>
      <c r="AS187" s="1" t="s">
        <v>71</v>
      </c>
      <c r="AU187" s="1" t="s">
        <v>72</v>
      </c>
      <c r="AV187" s="1" t="s">
        <v>80</v>
      </c>
      <c r="AX187" s="1">
        <v>0</v>
      </c>
      <c r="BA187" s="1">
        <v>3</v>
      </c>
      <c r="BB187" s="1">
        <v>0</v>
      </c>
      <c r="BC187" s="1">
        <v>0</v>
      </c>
      <c r="BE187" s="1">
        <v>27185413</v>
      </c>
    </row>
    <row r="188" spans="1:57" x14ac:dyDescent="0.25">
      <c r="A188" s="1" t="str">
        <f>T("1944022170620074380")</f>
        <v>1944022170620074380</v>
      </c>
      <c r="B188" s="1" t="str">
        <f>T("249967666967")</f>
        <v>249967666967</v>
      </c>
      <c r="C188" s="1" t="str">
        <f>T("1941094470346868476")</f>
        <v>1941094470346868476</v>
      </c>
      <c r="AA188" s="1">
        <v>1</v>
      </c>
      <c r="AC188" s="1" t="s">
        <v>190</v>
      </c>
      <c r="AD188" s="1" t="s">
        <v>191</v>
      </c>
      <c r="AE188" s="1" t="s">
        <v>192</v>
      </c>
      <c r="AF188" s="1" t="s">
        <v>107</v>
      </c>
      <c r="AG188" s="1">
        <v>62</v>
      </c>
      <c r="AO188" s="2">
        <v>46273</v>
      </c>
      <c r="AP188" s="1" t="s">
        <v>157</v>
      </c>
      <c r="AS188" s="1" t="s">
        <v>71</v>
      </c>
      <c r="AU188" s="1" t="s">
        <v>72</v>
      </c>
      <c r="AV188" s="1" t="s">
        <v>80</v>
      </c>
      <c r="AX188" s="1">
        <v>0</v>
      </c>
      <c r="BA188" s="1">
        <v>3</v>
      </c>
      <c r="BB188" s="1">
        <v>0</v>
      </c>
      <c r="BC188" s="1">
        <v>0</v>
      </c>
      <c r="BE188" s="1">
        <v>27185413</v>
      </c>
    </row>
    <row r="189" spans="1:57" x14ac:dyDescent="0.25">
      <c r="A189" s="1" t="str">
        <f>T("1944022170628463696")</f>
        <v>1944022170628463696</v>
      </c>
      <c r="B189" s="1" t="str">
        <f>T("249910683178")</f>
        <v>249910683178</v>
      </c>
      <c r="C189" s="1" t="str">
        <f>T("1941094470351063784")</f>
        <v>1941094470351063784</v>
      </c>
      <c r="AC189" s="1" t="s">
        <v>190</v>
      </c>
      <c r="AD189" s="1" t="s">
        <v>191</v>
      </c>
      <c r="AE189" s="1" t="s">
        <v>192</v>
      </c>
      <c r="AF189" s="1" t="s">
        <v>107</v>
      </c>
      <c r="AG189" s="1">
        <v>54</v>
      </c>
      <c r="AO189" s="2">
        <v>46273</v>
      </c>
      <c r="AP189" s="1" t="s">
        <v>157</v>
      </c>
      <c r="AS189" s="1" t="s">
        <v>71</v>
      </c>
      <c r="AU189" s="1" t="s">
        <v>72</v>
      </c>
      <c r="AV189" s="1" t="s">
        <v>126</v>
      </c>
      <c r="AX189" s="1">
        <v>0</v>
      </c>
      <c r="BA189" s="1">
        <v>3</v>
      </c>
      <c r="BB189" s="1">
        <v>0</v>
      </c>
      <c r="BC189" s="1">
        <v>0</v>
      </c>
      <c r="BE189" s="1">
        <v>27185413</v>
      </c>
    </row>
    <row r="190" spans="1:57" x14ac:dyDescent="0.25">
      <c r="A190" s="1" t="str">
        <f>T("1944022170641044620")</f>
        <v>1944022170641044620</v>
      </c>
      <c r="B190" s="1" t="str">
        <f>T("249919781361")</f>
        <v>249919781361</v>
      </c>
      <c r="C190" s="1" t="str">
        <f>T("1941094470355255892")</f>
        <v>1941094470355255892</v>
      </c>
      <c r="AC190" s="1" t="s">
        <v>190</v>
      </c>
      <c r="AD190" s="1" t="s">
        <v>191</v>
      </c>
      <c r="AE190" s="1" t="s">
        <v>192</v>
      </c>
      <c r="AF190" s="1" t="s">
        <v>107</v>
      </c>
      <c r="AG190" s="1">
        <v>51</v>
      </c>
      <c r="AO190" s="2">
        <v>46273</v>
      </c>
      <c r="AP190" s="1" t="s">
        <v>157</v>
      </c>
      <c r="AS190" s="1" t="s">
        <v>71</v>
      </c>
      <c r="AU190" s="1" t="s">
        <v>72</v>
      </c>
      <c r="AV190" s="1" t="s">
        <v>73</v>
      </c>
      <c r="AX190" s="1">
        <v>0</v>
      </c>
      <c r="BA190" s="1">
        <v>3</v>
      </c>
      <c r="BB190" s="1">
        <v>0</v>
      </c>
      <c r="BC190" s="1">
        <v>0</v>
      </c>
      <c r="BE190" s="1">
        <v>27185413</v>
      </c>
    </row>
    <row r="191" spans="1:57" x14ac:dyDescent="0.25">
      <c r="A191" s="1" t="str">
        <f>T("1944022170641046120")</f>
        <v>1944022170641046120</v>
      </c>
      <c r="B191" s="1" t="str">
        <f>T("249909634829")</f>
        <v>249909634829</v>
      </c>
      <c r="C191" s="1" t="str">
        <f>T("1941094470355256692")</f>
        <v>1941094470355256692</v>
      </c>
      <c r="AC191" s="1" t="s">
        <v>190</v>
      </c>
      <c r="AD191" s="1" t="s">
        <v>191</v>
      </c>
      <c r="AE191" s="1" t="s">
        <v>192</v>
      </c>
      <c r="AF191" s="1" t="s">
        <v>107</v>
      </c>
      <c r="AG191" s="1">
        <v>58</v>
      </c>
      <c r="AO191" s="2">
        <v>46273</v>
      </c>
      <c r="AP191" s="1" t="s">
        <v>157</v>
      </c>
      <c r="AS191" s="1" t="s">
        <v>71</v>
      </c>
      <c r="AU191" s="1" t="s">
        <v>72</v>
      </c>
      <c r="AV191" s="1" t="s">
        <v>126</v>
      </c>
      <c r="AX191" s="1">
        <v>0</v>
      </c>
      <c r="BA191" s="1">
        <v>3</v>
      </c>
      <c r="BB191" s="1">
        <v>0</v>
      </c>
      <c r="BC191" s="1">
        <v>0</v>
      </c>
      <c r="BE191" s="1">
        <v>27185413</v>
      </c>
    </row>
    <row r="192" spans="1:57" x14ac:dyDescent="0.25">
      <c r="A192" s="1" t="str">
        <f>T("1944022170674598284")</f>
        <v>1944022170674598284</v>
      </c>
      <c r="B192" s="1" t="str">
        <f>T("249909027094")</f>
        <v>249909027094</v>
      </c>
      <c r="C192" s="1" t="str">
        <f>T("1941094470355257192")</f>
        <v>1941094470355257192</v>
      </c>
      <c r="AC192" s="1" t="s">
        <v>190</v>
      </c>
      <c r="AD192" s="1" t="s">
        <v>191</v>
      </c>
      <c r="AE192" s="1" t="s">
        <v>192</v>
      </c>
      <c r="AF192" s="1" t="s">
        <v>107</v>
      </c>
      <c r="AG192" s="1">
        <v>61</v>
      </c>
      <c r="AO192" s="2">
        <v>46273</v>
      </c>
      <c r="AP192" s="1" t="s">
        <v>157</v>
      </c>
      <c r="AS192" s="1" t="s">
        <v>71</v>
      </c>
      <c r="AU192" s="1" t="s">
        <v>72</v>
      </c>
      <c r="AV192" s="1" t="s">
        <v>126</v>
      </c>
      <c r="AX192" s="1">
        <v>0</v>
      </c>
      <c r="BA192" s="1">
        <v>3</v>
      </c>
      <c r="BB192" s="1">
        <v>0</v>
      </c>
      <c r="BC192" s="1">
        <v>0</v>
      </c>
      <c r="BE192" s="1">
        <v>27185413</v>
      </c>
    </row>
    <row r="193" spans="1:57" x14ac:dyDescent="0.25">
      <c r="A193" s="1" t="str">
        <f>T("1944022170678794592")</f>
        <v>1944022170678794592</v>
      </c>
      <c r="B193" s="1" t="str">
        <f>T("249900283415")</f>
        <v>249900283415</v>
      </c>
      <c r="C193" s="1" t="str">
        <f>T("1941094470355257592")</f>
        <v>1941094470355257592</v>
      </c>
      <c r="AA193" s="1">
        <v>1</v>
      </c>
      <c r="AC193" s="1" t="s">
        <v>190</v>
      </c>
      <c r="AD193" s="1" t="s">
        <v>191</v>
      </c>
      <c r="AE193" s="1" t="s">
        <v>192</v>
      </c>
      <c r="AF193" s="1" t="s">
        <v>107</v>
      </c>
      <c r="AG193" s="1">
        <v>61</v>
      </c>
      <c r="AO193" s="2">
        <v>46273</v>
      </c>
      <c r="AP193" s="1" t="s">
        <v>157</v>
      </c>
      <c r="AS193" s="1" t="s">
        <v>71</v>
      </c>
      <c r="AU193" s="1" t="s">
        <v>72</v>
      </c>
      <c r="AV193" s="1" t="s">
        <v>126</v>
      </c>
      <c r="AX193" s="1">
        <v>0</v>
      </c>
      <c r="BA193" s="1">
        <v>3</v>
      </c>
      <c r="BB193" s="1">
        <v>0</v>
      </c>
      <c r="BC193" s="1">
        <v>0</v>
      </c>
      <c r="BE193" s="1">
        <v>27185413</v>
      </c>
    </row>
    <row r="194" spans="1:57" x14ac:dyDescent="0.25">
      <c r="A194" s="1" t="str">
        <f>T("1944022170682987400")</f>
        <v>1944022170682987400</v>
      </c>
      <c r="B194" s="1" t="str">
        <f>T("249966751634")</f>
        <v>249966751634</v>
      </c>
      <c r="C194" s="1" t="str">
        <f>T("1941094470355258092")</f>
        <v>1941094470355258092</v>
      </c>
      <c r="AC194" s="1" t="s">
        <v>190</v>
      </c>
      <c r="AD194" s="1" t="s">
        <v>191</v>
      </c>
      <c r="AE194" s="1" t="s">
        <v>192</v>
      </c>
      <c r="AF194" s="1" t="s">
        <v>107</v>
      </c>
      <c r="AG194" s="1">
        <v>78</v>
      </c>
      <c r="AO194" s="2">
        <v>46273</v>
      </c>
      <c r="AP194" s="1" t="s">
        <v>157</v>
      </c>
      <c r="AS194" s="1" t="s">
        <v>71</v>
      </c>
      <c r="AU194" s="1" t="s">
        <v>72</v>
      </c>
      <c r="AV194" s="1" t="s">
        <v>126</v>
      </c>
      <c r="AX194" s="1">
        <v>0</v>
      </c>
      <c r="BA194" s="1">
        <v>3</v>
      </c>
      <c r="BB194" s="1">
        <v>0</v>
      </c>
      <c r="BC194" s="1">
        <v>0</v>
      </c>
      <c r="BE194" s="1">
        <v>27185413</v>
      </c>
    </row>
    <row r="195" spans="1:57" x14ac:dyDescent="0.25">
      <c r="A195" s="1" t="str">
        <f>T("1944022170687181208")</f>
        <v>1944022170687181208</v>
      </c>
      <c r="B195" s="1" t="str">
        <f>T("249904797801")</f>
        <v>249904797801</v>
      </c>
      <c r="C195" s="1" t="str">
        <f>T("1941094470355258692")</f>
        <v>1941094470355258692</v>
      </c>
      <c r="AA195" s="1">
        <v>1</v>
      </c>
      <c r="AC195" s="1" t="s">
        <v>190</v>
      </c>
      <c r="AD195" s="1" t="s">
        <v>191</v>
      </c>
      <c r="AE195" s="1" t="s">
        <v>192</v>
      </c>
      <c r="AF195" s="1" t="s">
        <v>107</v>
      </c>
      <c r="AG195" s="1">
        <v>68</v>
      </c>
      <c r="AO195" s="2">
        <v>46273</v>
      </c>
      <c r="AP195" s="1" t="s">
        <v>157</v>
      </c>
      <c r="AS195" s="1" t="s">
        <v>71</v>
      </c>
      <c r="AU195" s="1" t="s">
        <v>72</v>
      </c>
      <c r="AV195" s="1" t="s">
        <v>126</v>
      </c>
      <c r="AX195" s="1">
        <v>0</v>
      </c>
      <c r="BA195" s="1">
        <v>3</v>
      </c>
      <c r="BB195" s="1">
        <v>0</v>
      </c>
      <c r="BC195" s="1">
        <v>0</v>
      </c>
      <c r="BE195" s="1">
        <v>27185413</v>
      </c>
    </row>
    <row r="196" spans="1:57" x14ac:dyDescent="0.25">
      <c r="A196" s="1" t="str">
        <f>T("1944022170720738372")</f>
        <v>1944022170720738372</v>
      </c>
      <c r="B196" s="1" t="str">
        <f>T("249915723836")</f>
        <v>249915723836</v>
      </c>
      <c r="C196" s="1" t="str">
        <f>T("1941094470355259292")</f>
        <v>1941094470355259292</v>
      </c>
      <c r="AC196" s="1" t="s">
        <v>190</v>
      </c>
      <c r="AD196" s="1" t="s">
        <v>191</v>
      </c>
      <c r="AE196" s="1" t="s">
        <v>192</v>
      </c>
      <c r="AF196" s="1" t="s">
        <v>107</v>
      </c>
      <c r="AG196" s="1">
        <v>64</v>
      </c>
      <c r="AO196" s="2">
        <v>46273</v>
      </c>
      <c r="AP196" s="1" t="s">
        <v>157</v>
      </c>
      <c r="AS196" s="1" t="s">
        <v>71</v>
      </c>
      <c r="AU196" s="1" t="s">
        <v>72</v>
      </c>
      <c r="AV196" s="1" t="s">
        <v>126</v>
      </c>
      <c r="AX196" s="1">
        <v>0</v>
      </c>
      <c r="BA196" s="1">
        <v>3</v>
      </c>
      <c r="BB196" s="1">
        <v>0</v>
      </c>
      <c r="BC196" s="1">
        <v>0</v>
      </c>
      <c r="BE196" s="1">
        <v>27185413</v>
      </c>
    </row>
    <row r="197" spans="1:57" x14ac:dyDescent="0.25">
      <c r="A197" s="1" t="str">
        <f>T("1944022170733319796")</f>
        <v>1944022170733319796</v>
      </c>
      <c r="B197" s="1" t="str">
        <f>T("249919369042")</f>
        <v>249919369042</v>
      </c>
      <c r="C197" s="1" t="str">
        <f>T("1941094470359450200")</f>
        <v>1941094470359450200</v>
      </c>
      <c r="AA197" s="1">
        <v>1</v>
      </c>
      <c r="AC197" s="1" t="s">
        <v>190</v>
      </c>
      <c r="AD197" s="1" t="s">
        <v>191</v>
      </c>
      <c r="AE197" s="1" t="s">
        <v>192</v>
      </c>
      <c r="AF197" s="1" t="s">
        <v>107</v>
      </c>
      <c r="AG197" s="1">
        <v>57</v>
      </c>
      <c r="AO197" s="2">
        <v>46273</v>
      </c>
      <c r="AP197" s="1" t="s">
        <v>157</v>
      </c>
      <c r="AS197" s="1" t="s">
        <v>71</v>
      </c>
      <c r="AU197" s="1" t="s">
        <v>72</v>
      </c>
      <c r="AV197" s="1" t="s">
        <v>126</v>
      </c>
      <c r="AX197" s="1">
        <v>0</v>
      </c>
      <c r="BA197" s="1">
        <v>3</v>
      </c>
      <c r="BB197" s="1">
        <v>0</v>
      </c>
      <c r="BC197" s="1">
        <v>0</v>
      </c>
      <c r="BE197" s="1">
        <v>27185413</v>
      </c>
    </row>
    <row r="198" spans="1:57" x14ac:dyDescent="0.25">
      <c r="A198" s="1" t="str">
        <f>T("1944022170737515404")</f>
        <v>1944022170737515404</v>
      </c>
      <c r="B198" s="1" t="str">
        <f>T("249916952407")</f>
        <v>249916952407</v>
      </c>
      <c r="C198" s="1" t="str">
        <f>T("1941094470359450600")</f>
        <v>1941094470359450600</v>
      </c>
      <c r="AC198" s="1" t="s">
        <v>190</v>
      </c>
      <c r="AD198" s="1" t="s">
        <v>191</v>
      </c>
      <c r="AE198" s="1" t="s">
        <v>192</v>
      </c>
      <c r="AF198" s="1" t="s">
        <v>107</v>
      </c>
      <c r="AG198" s="1">
        <v>52</v>
      </c>
      <c r="AO198" s="2">
        <v>46273</v>
      </c>
      <c r="AP198" s="1" t="s">
        <v>157</v>
      </c>
      <c r="AS198" s="1" t="s">
        <v>71</v>
      </c>
      <c r="AU198" s="1" t="s">
        <v>72</v>
      </c>
      <c r="AV198" s="1" t="s">
        <v>126</v>
      </c>
      <c r="AX198" s="1">
        <v>0</v>
      </c>
      <c r="BA198" s="1">
        <v>3</v>
      </c>
      <c r="BB198" s="1">
        <v>0</v>
      </c>
      <c r="BC198" s="1">
        <v>0</v>
      </c>
      <c r="BE198" s="1">
        <v>27185413</v>
      </c>
    </row>
    <row r="199" spans="1:57" x14ac:dyDescent="0.25">
      <c r="A199" s="1" t="str">
        <f>T("1944022170741707312")</f>
        <v>1944022170741707312</v>
      </c>
      <c r="B199" s="1" t="str">
        <f>T("249914714291")</f>
        <v>249914714291</v>
      </c>
      <c r="C199" s="1" t="str">
        <f>T("1941094470359451100")</f>
        <v>1941094470359451100</v>
      </c>
      <c r="AC199" s="1" t="s">
        <v>190</v>
      </c>
      <c r="AD199" s="1" t="s">
        <v>191</v>
      </c>
      <c r="AE199" s="1" t="s">
        <v>192</v>
      </c>
      <c r="AF199" s="1" t="s">
        <v>107</v>
      </c>
      <c r="AG199" s="1">
        <v>62</v>
      </c>
      <c r="AO199" s="2">
        <v>46273</v>
      </c>
      <c r="AP199" s="1" t="s">
        <v>157</v>
      </c>
      <c r="AS199" s="1" t="s">
        <v>71</v>
      </c>
      <c r="AU199" s="1" t="s">
        <v>72</v>
      </c>
      <c r="AV199" s="1" t="s">
        <v>126</v>
      </c>
      <c r="AX199" s="1">
        <v>0</v>
      </c>
      <c r="BA199" s="1">
        <v>3</v>
      </c>
      <c r="BB199" s="1">
        <v>0</v>
      </c>
      <c r="BC199" s="1">
        <v>0</v>
      </c>
      <c r="BE199" s="1">
        <v>27185413</v>
      </c>
    </row>
    <row r="200" spans="1:57" x14ac:dyDescent="0.25">
      <c r="A200" s="1" t="str">
        <f>T("1944022170766876560")</f>
        <v>1944022170766876560</v>
      </c>
      <c r="B200" s="1" t="str">
        <f>T("249916077717")</f>
        <v>249916077717</v>
      </c>
      <c r="C200" s="1" t="str">
        <f>T("1941094470359451600")</f>
        <v>1941094470359451600</v>
      </c>
      <c r="M200" s="1" t="s">
        <v>59</v>
      </c>
      <c r="O200" s="1" t="s">
        <v>65</v>
      </c>
      <c r="P200" s="1" t="s">
        <v>91</v>
      </c>
      <c r="Q200" s="1" t="s">
        <v>101</v>
      </c>
      <c r="R200" s="1" t="s">
        <v>93</v>
      </c>
      <c r="T200" s="1" t="s">
        <v>61</v>
      </c>
      <c r="U200" s="1" t="s">
        <v>65</v>
      </c>
      <c r="V200" s="1" t="s">
        <v>68</v>
      </c>
      <c r="W200" s="1" t="s">
        <v>60</v>
      </c>
      <c r="X200" s="1" t="s">
        <v>66</v>
      </c>
      <c r="Y200" s="1" t="s">
        <v>85</v>
      </c>
      <c r="AA200" s="1">
        <v>1</v>
      </c>
      <c r="AB200" s="1">
        <v>1</v>
      </c>
      <c r="AC200" s="1" t="s">
        <v>190</v>
      </c>
      <c r="AD200" s="1" t="s">
        <v>191</v>
      </c>
      <c r="AE200" s="1" t="s">
        <v>192</v>
      </c>
      <c r="AF200" s="1" t="s">
        <v>107</v>
      </c>
      <c r="AG200" s="1">
        <v>50</v>
      </c>
      <c r="AO200" s="2">
        <v>46273</v>
      </c>
      <c r="AP200" s="1" t="s">
        <v>157</v>
      </c>
      <c r="AS200" s="1" t="s">
        <v>71</v>
      </c>
      <c r="AU200" s="1" t="s">
        <v>72</v>
      </c>
      <c r="AV200" s="1" t="s">
        <v>126</v>
      </c>
      <c r="AX200" s="1">
        <v>0</v>
      </c>
      <c r="BA200" s="1">
        <v>3</v>
      </c>
      <c r="BB200" s="1">
        <v>0</v>
      </c>
      <c r="BC200" s="1">
        <v>0</v>
      </c>
      <c r="BE200" s="1">
        <v>27185413</v>
      </c>
    </row>
    <row r="201" spans="1:57" x14ac:dyDescent="0.25">
      <c r="A201" s="1" t="str">
        <f>T("1944022170792042108")</f>
        <v>1944022170792042108</v>
      </c>
      <c r="B201" s="1" t="str">
        <f>T("249903317057")</f>
        <v>249903317057</v>
      </c>
      <c r="C201" s="1" t="str">
        <f>T("1941094470359452600")</f>
        <v>1941094470359452600</v>
      </c>
      <c r="AA201" s="1">
        <v>1</v>
      </c>
      <c r="AC201" s="1" t="s">
        <v>190</v>
      </c>
      <c r="AD201" s="1" t="s">
        <v>191</v>
      </c>
      <c r="AE201" s="1" t="s">
        <v>192</v>
      </c>
      <c r="AF201" s="1" t="s">
        <v>107</v>
      </c>
      <c r="AG201" s="1">
        <v>60</v>
      </c>
      <c r="AO201" s="2">
        <v>46273</v>
      </c>
      <c r="AP201" s="1" t="s">
        <v>157</v>
      </c>
      <c r="AS201" s="1" t="s">
        <v>71</v>
      </c>
      <c r="AU201" s="1" t="s">
        <v>72</v>
      </c>
      <c r="AV201" s="1" t="s">
        <v>126</v>
      </c>
      <c r="AX201" s="1">
        <v>0</v>
      </c>
      <c r="BA201" s="1">
        <v>3</v>
      </c>
      <c r="BB201" s="1">
        <v>0</v>
      </c>
      <c r="BC201" s="1">
        <v>0</v>
      </c>
      <c r="BE201" s="1">
        <v>27185413</v>
      </c>
    </row>
    <row r="202" spans="1:57" x14ac:dyDescent="0.25">
      <c r="A202" s="1" t="str">
        <f>T("1944022170796232716")</f>
        <v>1944022170796232716</v>
      </c>
      <c r="B202" s="1" t="str">
        <f>T("249961916908")</f>
        <v>249961916908</v>
      </c>
      <c r="C202" s="1" t="str">
        <f>T("1941094470359453300")</f>
        <v>1941094470359453300</v>
      </c>
      <c r="AC202" s="1" t="s">
        <v>190</v>
      </c>
      <c r="AD202" s="1" t="s">
        <v>191</v>
      </c>
      <c r="AE202" s="1" t="s">
        <v>192</v>
      </c>
      <c r="AF202" s="1" t="s">
        <v>107</v>
      </c>
      <c r="AG202" s="1">
        <v>58</v>
      </c>
      <c r="AO202" s="2">
        <v>46273</v>
      </c>
      <c r="AP202" s="1" t="s">
        <v>157</v>
      </c>
      <c r="AQ202" s="2">
        <v>46273</v>
      </c>
      <c r="AR202" s="1" t="s">
        <v>194</v>
      </c>
      <c r="AS202" s="1" t="s">
        <v>71</v>
      </c>
      <c r="AU202" s="1" t="s">
        <v>79</v>
      </c>
      <c r="AV202" s="1" t="s">
        <v>80</v>
      </c>
      <c r="AW202" s="1">
        <v>29.78</v>
      </c>
      <c r="AX202" s="1">
        <v>0</v>
      </c>
      <c r="AZ202" s="1" t="s">
        <v>81</v>
      </c>
      <c r="BA202" s="1">
        <v>2</v>
      </c>
      <c r="BB202" s="1">
        <v>0</v>
      </c>
      <c r="BC202" s="1">
        <v>0</v>
      </c>
      <c r="BE202" s="1">
        <v>27185413</v>
      </c>
    </row>
    <row r="203" spans="1:57" x14ac:dyDescent="0.25">
      <c r="A203" s="1" t="str">
        <f>T("1944022170796236516")</f>
        <v>1944022170796236516</v>
      </c>
      <c r="B203" s="1" t="str">
        <f>T("249961811165")</f>
        <v>249961811165</v>
      </c>
      <c r="C203" s="1" t="str">
        <f>T("1941094470359452100")</f>
        <v>1941094470359452100</v>
      </c>
      <c r="AC203" s="1" t="s">
        <v>190</v>
      </c>
      <c r="AD203" s="1" t="s">
        <v>191</v>
      </c>
      <c r="AE203" s="1" t="s">
        <v>192</v>
      </c>
      <c r="AF203" s="1" t="s">
        <v>107</v>
      </c>
      <c r="AG203" s="1">
        <v>50</v>
      </c>
      <c r="AO203" s="2">
        <v>46273</v>
      </c>
      <c r="AP203" s="1" t="s">
        <v>157</v>
      </c>
      <c r="AS203" s="1" t="s">
        <v>71</v>
      </c>
      <c r="AU203" s="1" t="s">
        <v>72</v>
      </c>
      <c r="AV203" s="1" t="s">
        <v>126</v>
      </c>
      <c r="AX203" s="1">
        <v>0</v>
      </c>
      <c r="BA203" s="1">
        <v>3</v>
      </c>
      <c r="BB203" s="1">
        <v>0</v>
      </c>
      <c r="BC203" s="1">
        <v>0</v>
      </c>
      <c r="BE203" s="1">
        <v>27185413</v>
      </c>
    </row>
    <row r="204" spans="1:57" x14ac:dyDescent="0.25">
      <c r="A204" s="1" t="str">
        <f>T("1944022170825592972")</f>
        <v>1944022170825592972</v>
      </c>
      <c r="B204" s="1" t="str">
        <f>T("249964240977")</f>
        <v>249964240977</v>
      </c>
      <c r="C204" s="1" t="str">
        <f>T("1941094470363644108")</f>
        <v>1941094470363644108</v>
      </c>
      <c r="AC204" s="1" t="s">
        <v>190</v>
      </c>
      <c r="AD204" s="1" t="s">
        <v>191</v>
      </c>
      <c r="AE204" s="1" t="s">
        <v>192</v>
      </c>
      <c r="AF204" s="1" t="s">
        <v>107</v>
      </c>
      <c r="AG204" s="1">
        <v>54</v>
      </c>
      <c r="AO204" s="2">
        <v>46273</v>
      </c>
      <c r="AP204" s="1" t="s">
        <v>157</v>
      </c>
      <c r="AS204" s="1" t="s">
        <v>71</v>
      </c>
      <c r="AU204" s="1" t="s">
        <v>72</v>
      </c>
      <c r="AV204" s="1" t="s">
        <v>126</v>
      </c>
      <c r="AX204" s="1">
        <v>0</v>
      </c>
      <c r="BA204" s="1">
        <v>3</v>
      </c>
      <c r="BB204" s="1">
        <v>0</v>
      </c>
      <c r="BC204" s="1">
        <v>0</v>
      </c>
      <c r="BE204" s="1">
        <v>27185413</v>
      </c>
    </row>
    <row r="205" spans="1:57" x14ac:dyDescent="0.25">
      <c r="A205" s="1" t="str">
        <f>T("1944022170833985188")</f>
        <v>1944022170833985188</v>
      </c>
      <c r="B205" s="1" t="str">
        <f>T("249965783418")</f>
        <v>249965783418</v>
      </c>
      <c r="C205" s="1" t="str">
        <f>T("1941094470363644508")</f>
        <v>1941094470363644508</v>
      </c>
      <c r="M205" s="1" t="s">
        <v>59</v>
      </c>
      <c r="O205" s="1" t="s">
        <v>60</v>
      </c>
      <c r="AA205" s="1">
        <v>1</v>
      </c>
      <c r="AC205" s="1" t="s">
        <v>190</v>
      </c>
      <c r="AD205" s="1" t="s">
        <v>191</v>
      </c>
      <c r="AE205" s="1" t="s">
        <v>192</v>
      </c>
      <c r="AF205" s="1" t="s">
        <v>107</v>
      </c>
      <c r="AG205" s="1">
        <v>62</v>
      </c>
      <c r="AO205" s="2">
        <v>46273</v>
      </c>
      <c r="AP205" s="1" t="s">
        <v>157</v>
      </c>
      <c r="AS205" s="1" t="s">
        <v>71</v>
      </c>
      <c r="AU205" s="1" t="s">
        <v>72</v>
      </c>
      <c r="AV205" s="1" t="s">
        <v>126</v>
      </c>
      <c r="AX205" s="1">
        <v>0</v>
      </c>
      <c r="BA205" s="1">
        <v>3</v>
      </c>
      <c r="BB205" s="1">
        <v>0</v>
      </c>
      <c r="BC205" s="1">
        <v>0</v>
      </c>
      <c r="BE205" s="1">
        <v>27185413</v>
      </c>
    </row>
    <row r="206" spans="1:57" x14ac:dyDescent="0.25">
      <c r="A206" s="1" t="str">
        <f>T("1944022170838178996")</f>
        <v>1944022170838178996</v>
      </c>
      <c r="B206" s="1" t="str">
        <f>T("249910291912")</f>
        <v>249910291912</v>
      </c>
      <c r="C206" s="1" t="str">
        <f>T("1941094470363645008")</f>
        <v>1941094470363645008</v>
      </c>
      <c r="AA206" s="1">
        <v>1</v>
      </c>
      <c r="AC206" s="1" t="s">
        <v>190</v>
      </c>
      <c r="AD206" s="1" t="s">
        <v>191</v>
      </c>
      <c r="AE206" s="1" t="s">
        <v>192</v>
      </c>
      <c r="AF206" s="1" t="s">
        <v>107</v>
      </c>
      <c r="AG206" s="1">
        <v>56</v>
      </c>
      <c r="AO206" s="2">
        <v>46273</v>
      </c>
      <c r="AP206" s="1" t="s">
        <v>157</v>
      </c>
      <c r="AS206" s="1" t="s">
        <v>71</v>
      </c>
      <c r="AU206" s="1" t="s">
        <v>72</v>
      </c>
      <c r="AV206" s="1" t="s">
        <v>126</v>
      </c>
      <c r="AX206" s="1">
        <v>0</v>
      </c>
      <c r="BA206" s="1">
        <v>3</v>
      </c>
      <c r="BB206" s="1">
        <v>0</v>
      </c>
      <c r="BC206" s="1">
        <v>0</v>
      </c>
      <c r="BE206" s="1">
        <v>27185413</v>
      </c>
    </row>
    <row r="207" spans="1:57" x14ac:dyDescent="0.25">
      <c r="A207" s="1" t="str">
        <f>T("1944022170850759020")</f>
        <v>1944022170850759020</v>
      </c>
      <c r="B207" s="1" t="str">
        <f>T("249906544817")</f>
        <v>249906544817</v>
      </c>
      <c r="C207" s="1" t="str">
        <f>T("1941094470363645608")</f>
        <v>1941094470363645608</v>
      </c>
      <c r="AC207" s="1" t="s">
        <v>190</v>
      </c>
      <c r="AD207" s="1" t="s">
        <v>191</v>
      </c>
      <c r="AE207" s="1" t="s">
        <v>192</v>
      </c>
      <c r="AF207" s="1" t="s">
        <v>107</v>
      </c>
      <c r="AG207" s="1">
        <v>62</v>
      </c>
      <c r="AO207" s="2">
        <v>46273</v>
      </c>
      <c r="AP207" s="1" t="s">
        <v>157</v>
      </c>
      <c r="AS207" s="1" t="s">
        <v>71</v>
      </c>
      <c r="AU207" s="1" t="s">
        <v>72</v>
      </c>
      <c r="AV207" s="1" t="s">
        <v>126</v>
      </c>
      <c r="AX207" s="1">
        <v>0</v>
      </c>
      <c r="BA207" s="1">
        <v>3</v>
      </c>
      <c r="BB207" s="1">
        <v>0</v>
      </c>
      <c r="BC207" s="1">
        <v>0</v>
      </c>
      <c r="BE207" s="1">
        <v>27185413</v>
      </c>
    </row>
    <row r="208" spans="1:57" x14ac:dyDescent="0.25">
      <c r="A208" s="1" t="str">
        <f>T("1944022170871734060")</f>
        <v>1944022170871734060</v>
      </c>
      <c r="B208" s="1" t="str">
        <f>T("249904424430")</f>
        <v>249904424430</v>
      </c>
      <c r="C208" s="1" t="str">
        <f>T("1941094470363646008")</f>
        <v>1941094470363646008</v>
      </c>
      <c r="AC208" s="1" t="s">
        <v>190</v>
      </c>
      <c r="AD208" s="1" t="s">
        <v>191</v>
      </c>
      <c r="AE208" s="1" t="s">
        <v>192</v>
      </c>
      <c r="AF208" s="1" t="s">
        <v>107</v>
      </c>
      <c r="AG208" s="1">
        <v>60</v>
      </c>
      <c r="AO208" s="2">
        <v>46273</v>
      </c>
      <c r="AP208" s="1" t="s">
        <v>157</v>
      </c>
      <c r="AS208" s="1" t="s">
        <v>71</v>
      </c>
      <c r="AU208" s="1" t="s">
        <v>72</v>
      </c>
      <c r="AV208" s="1" t="s">
        <v>126</v>
      </c>
      <c r="AX208" s="1">
        <v>0</v>
      </c>
      <c r="BA208" s="1">
        <v>3</v>
      </c>
      <c r="BB208" s="1">
        <v>0</v>
      </c>
      <c r="BC208" s="1">
        <v>0</v>
      </c>
      <c r="BE208" s="1">
        <v>27185413</v>
      </c>
    </row>
    <row r="209" spans="1:57" x14ac:dyDescent="0.25">
      <c r="A209" s="1" t="str">
        <f>T("1944061934484266832")</f>
        <v>1944061934484266832</v>
      </c>
      <c r="B209" s="1" t="str">
        <f>T("249912945480")</f>
        <v>249912945480</v>
      </c>
      <c r="C209" s="1" t="str">
        <f>T("1941094470195873788")</f>
        <v>1941094470195873788</v>
      </c>
      <c r="AC209" s="1" t="s">
        <v>104</v>
      </c>
      <c r="AD209" s="1" t="s">
        <v>105</v>
      </c>
      <c r="AE209" s="1" t="s">
        <v>106</v>
      </c>
      <c r="AF209" s="1" t="s">
        <v>107</v>
      </c>
      <c r="AG209" s="1">
        <v>36</v>
      </c>
      <c r="AO209" s="2">
        <v>46273</v>
      </c>
      <c r="AP209" s="1" t="s">
        <v>195</v>
      </c>
      <c r="AS209" s="1" t="s">
        <v>71</v>
      </c>
      <c r="AU209" s="1" t="s">
        <v>72</v>
      </c>
      <c r="AV209" s="1" t="s">
        <v>131</v>
      </c>
      <c r="AX209" s="1">
        <v>0</v>
      </c>
      <c r="BA209" s="1">
        <v>3</v>
      </c>
      <c r="BB209" s="1">
        <v>0</v>
      </c>
      <c r="BC209" s="1">
        <v>0</v>
      </c>
      <c r="BE209" s="1">
        <v>27186124</v>
      </c>
    </row>
    <row r="210" spans="1:57" x14ac:dyDescent="0.25">
      <c r="A210" s="1" t="str">
        <f>T("1944061934509431680")</f>
        <v>1944061934509431680</v>
      </c>
      <c r="B210" s="1" t="str">
        <f>T("249912714510")</f>
        <v>249912714510</v>
      </c>
      <c r="C210" s="1" t="str">
        <f>T("1941094470208457512")</f>
        <v>1941094470208457512</v>
      </c>
      <c r="AC210" s="1" t="s">
        <v>104</v>
      </c>
      <c r="AD210" s="1" t="s">
        <v>105</v>
      </c>
      <c r="AE210" s="1" t="s">
        <v>106</v>
      </c>
      <c r="AF210" s="1" t="s">
        <v>107</v>
      </c>
      <c r="AG210" s="1">
        <v>52</v>
      </c>
      <c r="AO210" s="2">
        <v>46273</v>
      </c>
      <c r="AP210" s="1" t="s">
        <v>195</v>
      </c>
      <c r="AS210" s="1" t="s">
        <v>71</v>
      </c>
      <c r="AU210" s="1" t="s">
        <v>72</v>
      </c>
      <c r="AV210" s="1" t="s">
        <v>131</v>
      </c>
      <c r="AX210" s="1">
        <v>0</v>
      </c>
      <c r="BA210" s="1">
        <v>3</v>
      </c>
      <c r="BB210" s="1">
        <v>0</v>
      </c>
      <c r="BC210" s="1">
        <v>0</v>
      </c>
      <c r="BE210" s="1">
        <v>27186124</v>
      </c>
    </row>
    <row r="211" spans="1:57" x14ac:dyDescent="0.25">
      <c r="A211" s="1" t="str">
        <f>T("1944061934522013504")</f>
        <v>1944061934522013504</v>
      </c>
      <c r="B211" s="1" t="str">
        <f>T("249929096012")</f>
        <v>249929096012</v>
      </c>
      <c r="C211" s="1" t="str">
        <f>T("1941094470195875588")</f>
        <v>1941094470195875588</v>
      </c>
      <c r="AC211" s="1" t="s">
        <v>104</v>
      </c>
      <c r="AD211" s="1" t="s">
        <v>105</v>
      </c>
      <c r="AE211" s="1" t="s">
        <v>106</v>
      </c>
      <c r="AF211" s="1" t="s">
        <v>107</v>
      </c>
      <c r="AG211" s="1">
        <v>46</v>
      </c>
      <c r="AO211" s="2">
        <v>46273</v>
      </c>
      <c r="AP211" s="1" t="s">
        <v>195</v>
      </c>
      <c r="AS211" s="1" t="s">
        <v>71</v>
      </c>
      <c r="AU211" s="1" t="s">
        <v>72</v>
      </c>
      <c r="AV211" s="1" t="s">
        <v>131</v>
      </c>
      <c r="AX211" s="1">
        <v>0</v>
      </c>
      <c r="BA211" s="1">
        <v>3</v>
      </c>
      <c r="BB211" s="1">
        <v>0</v>
      </c>
      <c r="BC211" s="1">
        <v>0</v>
      </c>
      <c r="BE211" s="1">
        <v>27186124</v>
      </c>
    </row>
    <row r="212" spans="1:57" x14ac:dyDescent="0.25">
      <c r="A212" s="1" t="str">
        <f>T("1944061934526206812")</f>
        <v>1944061934526206812</v>
      </c>
      <c r="B212" s="1" t="str">
        <f>T("249929096013")</f>
        <v>249929096013</v>
      </c>
      <c r="C212" s="1" t="str">
        <f>T("1941094470208456012")</f>
        <v>1941094470208456012</v>
      </c>
      <c r="AC212" s="1" t="s">
        <v>104</v>
      </c>
      <c r="AD212" s="1" t="s">
        <v>105</v>
      </c>
      <c r="AE212" s="1" t="s">
        <v>106</v>
      </c>
      <c r="AF212" s="1" t="s">
        <v>107</v>
      </c>
      <c r="AG212" s="1">
        <v>33</v>
      </c>
      <c r="AO212" s="2">
        <v>46273</v>
      </c>
      <c r="AP212" s="1" t="s">
        <v>195</v>
      </c>
      <c r="AQ212" s="2">
        <v>46273</v>
      </c>
      <c r="AR212" s="1" t="s">
        <v>196</v>
      </c>
      <c r="AS212" s="1" t="s">
        <v>71</v>
      </c>
      <c r="AU212" s="1" t="s">
        <v>79</v>
      </c>
      <c r="AV212" s="1" t="s">
        <v>80</v>
      </c>
      <c r="AW212" s="1">
        <v>11.72</v>
      </c>
      <c r="AX212" s="1">
        <v>0</v>
      </c>
      <c r="AZ212" s="1" t="s">
        <v>81</v>
      </c>
      <c r="BA212" s="1">
        <v>1</v>
      </c>
      <c r="BB212" s="1">
        <v>0</v>
      </c>
      <c r="BC212" s="1">
        <v>0</v>
      </c>
      <c r="BE212" s="1">
        <v>27186124</v>
      </c>
    </row>
    <row r="213" spans="1:57" x14ac:dyDescent="0.25">
      <c r="A213" s="1" t="str">
        <f>T("1944061934635259720")</f>
        <v>1944061934635259720</v>
      </c>
      <c r="B213" s="1" t="str">
        <f>T("249918068363")</f>
        <v>249918068363</v>
      </c>
      <c r="C213" s="1" t="str">
        <f>T("1941094470216846128")</f>
        <v>1941094470216846128</v>
      </c>
      <c r="AC213" s="1" t="s">
        <v>104</v>
      </c>
      <c r="AD213" s="1" t="s">
        <v>105</v>
      </c>
      <c r="AE213" s="1" t="s">
        <v>106</v>
      </c>
      <c r="AF213" s="1" t="s">
        <v>107</v>
      </c>
      <c r="AG213" s="1" t="s">
        <v>123</v>
      </c>
      <c r="AO213" s="2">
        <v>46273</v>
      </c>
      <c r="AP213" s="1" t="s">
        <v>195</v>
      </c>
      <c r="AQ213" s="2">
        <v>46273</v>
      </c>
      <c r="AR213" s="1" t="s">
        <v>197</v>
      </c>
      <c r="AS213" s="1" t="s">
        <v>71</v>
      </c>
      <c r="AU213" s="1" t="s">
        <v>79</v>
      </c>
      <c r="AV213" s="1" t="s">
        <v>80</v>
      </c>
      <c r="AW213" s="1">
        <v>17.96</v>
      </c>
      <c r="AX213" s="1">
        <v>0</v>
      </c>
      <c r="AZ213" s="1" t="s">
        <v>81</v>
      </c>
      <c r="BA213" s="1">
        <v>2</v>
      </c>
      <c r="BB213" s="1">
        <v>0</v>
      </c>
      <c r="BC213" s="1">
        <v>0</v>
      </c>
      <c r="BE213" s="1">
        <v>27186124</v>
      </c>
    </row>
    <row r="214" spans="1:57" x14ac:dyDescent="0.25">
      <c r="A214" s="1" t="str">
        <f>T("1944061934639454428")</f>
        <v>1944061934639454428</v>
      </c>
      <c r="B214" s="1" t="str">
        <f>T("249919703344")</f>
        <v>249919703344</v>
      </c>
      <c r="C214" s="1" t="str">
        <f>T("1941094470229426852")</f>
        <v>1941094470229426852</v>
      </c>
      <c r="AC214" s="1" t="s">
        <v>104</v>
      </c>
      <c r="AD214" s="1" t="s">
        <v>105</v>
      </c>
      <c r="AE214" s="1" t="s">
        <v>106</v>
      </c>
      <c r="AF214" s="1" t="s">
        <v>107</v>
      </c>
      <c r="AG214" s="1">
        <v>44</v>
      </c>
      <c r="AO214" s="2">
        <v>46273</v>
      </c>
      <c r="AP214" s="1" t="s">
        <v>195</v>
      </c>
      <c r="AQ214" s="2">
        <v>46273</v>
      </c>
      <c r="AR214" s="1" t="s">
        <v>198</v>
      </c>
      <c r="AS214" s="1" t="s">
        <v>71</v>
      </c>
      <c r="AU214" s="1" t="s">
        <v>79</v>
      </c>
      <c r="AV214" s="1" t="s">
        <v>80</v>
      </c>
      <c r="AW214" s="1">
        <v>8.24</v>
      </c>
      <c r="AX214" s="1">
        <v>0</v>
      </c>
      <c r="AZ214" s="1" t="s">
        <v>81</v>
      </c>
      <c r="BA214" s="1">
        <v>1</v>
      </c>
      <c r="BB214" s="1">
        <v>0</v>
      </c>
      <c r="BC214" s="1">
        <v>0</v>
      </c>
      <c r="BE214" s="1">
        <v>27186124</v>
      </c>
    </row>
    <row r="215" spans="1:57" x14ac:dyDescent="0.25">
      <c r="A215" s="1" t="str">
        <f>T("1944061934652037652")</f>
        <v>1944061934652037652</v>
      </c>
      <c r="B215" s="1" t="str">
        <f>T("249903526858")</f>
        <v>249903526858</v>
      </c>
      <c r="C215" s="1" t="str">
        <f>T("1941094470229428452")</f>
        <v>1941094470229428452</v>
      </c>
      <c r="AC215" s="1" t="s">
        <v>104</v>
      </c>
      <c r="AD215" s="1" t="s">
        <v>105</v>
      </c>
      <c r="AE215" s="1" t="s">
        <v>106</v>
      </c>
      <c r="AF215" s="1" t="s">
        <v>107</v>
      </c>
      <c r="AG215" s="1">
        <v>27</v>
      </c>
      <c r="AO215" s="2">
        <v>46273</v>
      </c>
      <c r="AP215" s="1" t="s">
        <v>195</v>
      </c>
      <c r="AS215" s="1" t="s">
        <v>71</v>
      </c>
      <c r="AU215" s="1" t="s">
        <v>72</v>
      </c>
      <c r="AV215" s="1" t="s">
        <v>73</v>
      </c>
      <c r="AX215" s="1">
        <v>0</v>
      </c>
      <c r="BA215" s="1">
        <v>3</v>
      </c>
      <c r="BB215" s="1">
        <v>0</v>
      </c>
      <c r="BC215" s="1">
        <v>0</v>
      </c>
      <c r="BE215" s="1">
        <v>27186124</v>
      </c>
    </row>
    <row r="216" spans="1:57" x14ac:dyDescent="0.25">
      <c r="A216" s="1" t="str">
        <f>T("1944061934660425968")</f>
        <v>1944061934660425968</v>
      </c>
      <c r="B216" s="1" t="str">
        <f>T("24991263364")</f>
        <v>24991263364</v>
      </c>
      <c r="C216" s="1" t="str">
        <f>T("1941094470229429752")</f>
        <v>1941094470229429752</v>
      </c>
      <c r="AC216" s="1" t="s">
        <v>104</v>
      </c>
      <c r="AD216" s="1" t="s">
        <v>105</v>
      </c>
      <c r="AE216" s="1" t="s">
        <v>106</v>
      </c>
      <c r="AF216" s="1" t="s">
        <v>107</v>
      </c>
      <c r="AG216" s="1">
        <v>46</v>
      </c>
      <c r="AO216" s="2">
        <v>46273</v>
      </c>
      <c r="AP216" s="1" t="s">
        <v>195</v>
      </c>
      <c r="AS216" s="1" t="s">
        <v>71</v>
      </c>
      <c r="AU216" s="1" t="s">
        <v>72</v>
      </c>
      <c r="AV216" s="1" t="s">
        <v>73</v>
      </c>
      <c r="AX216" s="1">
        <v>0</v>
      </c>
      <c r="BA216" s="1">
        <v>3</v>
      </c>
      <c r="BB216" s="1">
        <v>0</v>
      </c>
      <c r="BC216" s="1">
        <v>0</v>
      </c>
      <c r="BE216" s="1">
        <v>27186124</v>
      </c>
    </row>
    <row r="217" spans="1:57" x14ac:dyDescent="0.25">
      <c r="A217" s="1" t="str">
        <f>T("1944061934710758264")</f>
        <v>1944061934710758264</v>
      </c>
      <c r="B217" s="1" t="str">
        <f>T("249918082830")</f>
        <v>249918082830</v>
      </c>
      <c r="C217" s="1" t="str">
        <f>T("1941094470233620960")</f>
        <v>1941094470233620960</v>
      </c>
      <c r="AC217" s="1" t="s">
        <v>104</v>
      </c>
      <c r="AD217" s="1" t="s">
        <v>105</v>
      </c>
      <c r="AE217" s="1" t="s">
        <v>106</v>
      </c>
      <c r="AF217" s="1" t="s">
        <v>107</v>
      </c>
      <c r="AG217" s="1">
        <v>46</v>
      </c>
      <c r="AO217" s="2">
        <v>46273</v>
      </c>
      <c r="AP217" s="1" t="s">
        <v>195</v>
      </c>
      <c r="AS217" s="1" t="s">
        <v>71</v>
      </c>
      <c r="AU217" s="1" t="s">
        <v>72</v>
      </c>
      <c r="AV217" s="1" t="s">
        <v>73</v>
      </c>
      <c r="AX217" s="1">
        <v>0</v>
      </c>
      <c r="BA217" s="1">
        <v>3</v>
      </c>
      <c r="BB217" s="1">
        <v>0</v>
      </c>
      <c r="BC217" s="1">
        <v>0</v>
      </c>
      <c r="BE217" s="1">
        <v>27186124</v>
      </c>
    </row>
    <row r="218" spans="1:57" x14ac:dyDescent="0.25">
      <c r="A218" s="1" t="str">
        <f>T("1944061934710759264")</f>
        <v>1944061934710759264</v>
      </c>
      <c r="B218" s="1" t="str">
        <f>T("249928028866")</f>
        <v>249928028866</v>
      </c>
      <c r="C218" s="1" t="str">
        <f>T("1941094470233621460")</f>
        <v>1941094470233621460</v>
      </c>
      <c r="AA218" s="1">
        <v>1</v>
      </c>
      <c r="AC218" s="1" t="s">
        <v>104</v>
      </c>
      <c r="AD218" s="1" t="s">
        <v>105</v>
      </c>
      <c r="AE218" s="1" t="s">
        <v>106</v>
      </c>
      <c r="AF218" s="1" t="s">
        <v>107</v>
      </c>
      <c r="AG218" s="1">
        <v>42</v>
      </c>
      <c r="AO218" s="2">
        <v>46273</v>
      </c>
      <c r="AP218" s="1" t="s">
        <v>195</v>
      </c>
      <c r="AQ218" s="2">
        <v>46273</v>
      </c>
      <c r="AR218" s="1" t="s">
        <v>199</v>
      </c>
      <c r="AS218" s="1" t="s">
        <v>71</v>
      </c>
      <c r="AU218" s="1" t="s">
        <v>79</v>
      </c>
      <c r="AV218" s="1" t="s">
        <v>80</v>
      </c>
      <c r="AW218" s="1">
        <v>38.619999999999997</v>
      </c>
      <c r="AX218" s="1">
        <v>0</v>
      </c>
      <c r="AZ218" s="1" t="s">
        <v>81</v>
      </c>
      <c r="BA218" s="1">
        <v>2</v>
      </c>
      <c r="BB218" s="1">
        <v>0</v>
      </c>
      <c r="BC218" s="1">
        <v>0</v>
      </c>
      <c r="BE218" s="1">
        <v>27186124</v>
      </c>
    </row>
    <row r="219" spans="1:57" x14ac:dyDescent="0.25">
      <c r="A219" s="1" t="str">
        <f>T("1944061934723338588")</f>
        <v>1944061934723338588</v>
      </c>
      <c r="B219" s="1" t="str">
        <f>T("249910012324")</f>
        <v>249910012324</v>
      </c>
      <c r="C219" s="1" t="str">
        <f>T("1941094470233622360")</f>
        <v>1941094470233622360</v>
      </c>
      <c r="AC219" s="1" t="s">
        <v>104</v>
      </c>
      <c r="AD219" s="1" t="s">
        <v>105</v>
      </c>
      <c r="AE219" s="1" t="s">
        <v>106</v>
      </c>
      <c r="AF219" s="1" t="s">
        <v>107</v>
      </c>
      <c r="AG219" s="1">
        <v>31</v>
      </c>
      <c r="AO219" s="2">
        <v>46273</v>
      </c>
      <c r="AP219" s="1" t="s">
        <v>195</v>
      </c>
      <c r="AS219" s="1" t="s">
        <v>71</v>
      </c>
      <c r="AU219" s="1" t="s">
        <v>72</v>
      </c>
      <c r="AV219" s="1" t="s">
        <v>73</v>
      </c>
      <c r="AX219" s="1">
        <v>0</v>
      </c>
      <c r="BA219" s="1">
        <v>3</v>
      </c>
      <c r="BB219" s="1">
        <v>0</v>
      </c>
      <c r="BC219" s="1">
        <v>0</v>
      </c>
      <c r="BE219" s="1">
        <v>27186124</v>
      </c>
    </row>
    <row r="220" spans="1:57" x14ac:dyDescent="0.25">
      <c r="A220" s="1" t="str">
        <f>T("1944061934731728204")</f>
        <v>1944061934731728204</v>
      </c>
      <c r="B220" s="1" t="str">
        <f>T("249116526795")</f>
        <v>249116526795</v>
      </c>
      <c r="C220" s="1" t="str">
        <f>T("1941094470233623360")</f>
        <v>1941094470233623360</v>
      </c>
      <c r="AC220" s="1" t="s">
        <v>104</v>
      </c>
      <c r="AD220" s="1" t="s">
        <v>105</v>
      </c>
      <c r="AE220" s="1" t="s">
        <v>106</v>
      </c>
      <c r="AF220" s="1" t="s">
        <v>107</v>
      </c>
      <c r="AG220" s="1">
        <v>54</v>
      </c>
      <c r="AO220" s="2">
        <v>46273</v>
      </c>
      <c r="AP220" s="1" t="s">
        <v>195</v>
      </c>
      <c r="AS220" s="1" t="s">
        <v>71</v>
      </c>
      <c r="AU220" s="1" t="s">
        <v>72</v>
      </c>
      <c r="AV220" s="1" t="s">
        <v>73</v>
      </c>
      <c r="AX220" s="1">
        <v>0</v>
      </c>
      <c r="BA220" s="1">
        <v>3</v>
      </c>
      <c r="BB220" s="1">
        <v>0</v>
      </c>
      <c r="BC220" s="1">
        <v>0</v>
      </c>
      <c r="BE220" s="1">
        <v>27186124</v>
      </c>
    </row>
    <row r="221" spans="1:57" x14ac:dyDescent="0.25">
      <c r="A221" s="1" t="str">
        <f>T("1944061934782060500")</f>
        <v>1944061934782060500</v>
      </c>
      <c r="B221" s="1" t="str">
        <f>T("24912945480")</f>
        <v>24912945480</v>
      </c>
      <c r="C221" s="1" t="str">
        <f>T("1941094470233624560")</f>
        <v>1941094470233624560</v>
      </c>
      <c r="AC221" s="1" t="s">
        <v>104</v>
      </c>
      <c r="AD221" s="1" t="s">
        <v>105</v>
      </c>
      <c r="AE221" s="1" t="s">
        <v>106</v>
      </c>
      <c r="AF221" s="1" t="s">
        <v>107</v>
      </c>
      <c r="AG221" s="1">
        <v>38</v>
      </c>
      <c r="AO221" s="2">
        <v>46273</v>
      </c>
      <c r="AP221" s="1" t="s">
        <v>195</v>
      </c>
      <c r="AS221" s="1" t="s">
        <v>71</v>
      </c>
      <c r="AU221" s="1" t="s">
        <v>72</v>
      </c>
      <c r="AV221" s="1" t="s">
        <v>73</v>
      </c>
      <c r="AX221" s="1">
        <v>0</v>
      </c>
      <c r="BA221" s="1">
        <v>3</v>
      </c>
      <c r="BB221" s="1">
        <v>0</v>
      </c>
      <c r="BC221" s="1">
        <v>0</v>
      </c>
      <c r="BE221" s="1">
        <v>27186124</v>
      </c>
    </row>
    <row r="222" spans="1:57" x14ac:dyDescent="0.25">
      <c r="A222" s="1" t="str">
        <f>T("1944061934786254708")</f>
        <v>1944061934786254708</v>
      </c>
      <c r="B222" s="1" t="str">
        <f>T("249923778733")</f>
        <v>249923778733</v>
      </c>
      <c r="C222" s="1" t="str">
        <f>T("1941094470237815368")</f>
        <v>1941094470237815368</v>
      </c>
      <c r="AC222" s="1" t="s">
        <v>104</v>
      </c>
      <c r="AD222" s="1" t="s">
        <v>105</v>
      </c>
      <c r="AE222" s="1" t="s">
        <v>106</v>
      </c>
      <c r="AF222" s="1" t="s">
        <v>107</v>
      </c>
      <c r="AG222" s="1">
        <v>41</v>
      </c>
      <c r="AO222" s="2">
        <v>46273</v>
      </c>
      <c r="AP222" s="1" t="s">
        <v>195</v>
      </c>
      <c r="AS222" s="1" t="s">
        <v>71</v>
      </c>
      <c r="AU222" s="1" t="s">
        <v>72</v>
      </c>
      <c r="AV222" s="1" t="s">
        <v>131</v>
      </c>
      <c r="AX222" s="1">
        <v>0</v>
      </c>
      <c r="BA222" s="1">
        <v>3</v>
      </c>
      <c r="BB222" s="1">
        <v>0</v>
      </c>
      <c r="BC222" s="1">
        <v>0</v>
      </c>
      <c r="BE222" s="1">
        <v>27186124</v>
      </c>
    </row>
    <row r="223" spans="1:57" x14ac:dyDescent="0.25">
      <c r="A223" s="1" t="str">
        <f>T("1944061934824003380")</f>
        <v>1944061934824003380</v>
      </c>
      <c r="B223" s="1" t="str">
        <f>T("249965448180")</f>
        <v>249965448180</v>
      </c>
      <c r="C223" s="1" t="str">
        <f>T("1941094470237815768")</f>
        <v>1941094470237815768</v>
      </c>
      <c r="AC223" s="1" t="s">
        <v>104</v>
      </c>
      <c r="AD223" s="1" t="s">
        <v>105</v>
      </c>
      <c r="AE223" s="1" t="s">
        <v>106</v>
      </c>
      <c r="AF223" s="1" t="s">
        <v>107</v>
      </c>
      <c r="AG223" s="1">
        <v>27</v>
      </c>
      <c r="AO223" s="2">
        <v>46273</v>
      </c>
      <c r="AP223" s="1" t="s">
        <v>195</v>
      </c>
      <c r="AS223" s="1" t="s">
        <v>71</v>
      </c>
      <c r="AU223" s="1" t="s">
        <v>72</v>
      </c>
      <c r="AV223" s="1" t="s">
        <v>131</v>
      </c>
      <c r="AX223" s="1">
        <v>0</v>
      </c>
      <c r="BA223" s="1">
        <v>3</v>
      </c>
      <c r="BB223" s="1">
        <v>0</v>
      </c>
      <c r="BC223" s="1">
        <v>0</v>
      </c>
      <c r="BE223" s="1">
        <v>27186124</v>
      </c>
    </row>
    <row r="224" spans="1:57" x14ac:dyDescent="0.25">
      <c r="A224" s="1" t="str">
        <f>T("1944061934828196288")</f>
        <v>1944061934828196288</v>
      </c>
      <c r="B224" s="1" t="str">
        <f>T("24999655354")</f>
        <v>24999655354</v>
      </c>
      <c r="C224" s="1" t="str">
        <f>T("1941094470237816168")</f>
        <v>1941094470237816168</v>
      </c>
      <c r="AC224" s="1" t="s">
        <v>104</v>
      </c>
      <c r="AD224" s="1" t="s">
        <v>105</v>
      </c>
      <c r="AE224" s="1" t="s">
        <v>106</v>
      </c>
      <c r="AF224" s="1" t="s">
        <v>107</v>
      </c>
      <c r="AG224" s="1">
        <v>44</v>
      </c>
      <c r="AO224" s="2">
        <v>46273</v>
      </c>
      <c r="AP224" s="1" t="s">
        <v>195</v>
      </c>
      <c r="AS224" s="1" t="s">
        <v>71</v>
      </c>
      <c r="AU224" s="1" t="s">
        <v>72</v>
      </c>
      <c r="AV224" s="1" t="s">
        <v>73</v>
      </c>
      <c r="AX224" s="1">
        <v>0</v>
      </c>
      <c r="BA224" s="1">
        <v>3</v>
      </c>
      <c r="BB224" s="1">
        <v>0</v>
      </c>
      <c r="BC224" s="1">
        <v>0</v>
      </c>
      <c r="BE224" s="1">
        <v>27186124</v>
      </c>
    </row>
    <row r="225" spans="1:57" x14ac:dyDescent="0.25">
      <c r="A225" s="1" t="str">
        <f>T("1944061934874335176")</f>
        <v>1944061934874335176</v>
      </c>
      <c r="B225" s="1" t="str">
        <f>T("249912410168")</f>
        <v>249912410168</v>
      </c>
      <c r="C225" s="1" t="str">
        <f>T("1941094470237817068")</f>
        <v>1941094470237817068</v>
      </c>
      <c r="AA225" s="1">
        <v>1</v>
      </c>
      <c r="AC225" s="1" t="s">
        <v>104</v>
      </c>
      <c r="AD225" s="1" t="s">
        <v>105</v>
      </c>
      <c r="AE225" s="1" t="s">
        <v>106</v>
      </c>
      <c r="AF225" s="1" t="s">
        <v>107</v>
      </c>
      <c r="AG225" s="1">
        <v>38</v>
      </c>
      <c r="AO225" s="2">
        <v>46273</v>
      </c>
      <c r="AP225" s="1" t="s">
        <v>195</v>
      </c>
      <c r="AQ225" s="2">
        <v>46273</v>
      </c>
      <c r="AR225" s="1" t="s">
        <v>200</v>
      </c>
      <c r="AS225" s="1" t="s">
        <v>71</v>
      </c>
      <c r="AU225" s="1" t="s">
        <v>79</v>
      </c>
      <c r="AV225" s="1" t="s">
        <v>80</v>
      </c>
      <c r="AW225" s="1">
        <v>121.34</v>
      </c>
      <c r="AX225" s="1">
        <v>0</v>
      </c>
      <c r="AZ225" s="1" t="s">
        <v>81</v>
      </c>
      <c r="BA225" s="1">
        <v>1</v>
      </c>
      <c r="BB225" s="1">
        <v>0</v>
      </c>
      <c r="BC225" s="1">
        <v>0</v>
      </c>
      <c r="BE225" s="1">
        <v>27186124</v>
      </c>
    </row>
    <row r="226" spans="1:57" x14ac:dyDescent="0.25">
      <c r="A226" s="1" t="str">
        <f>T("1944061934874336776")</f>
        <v>1944061934874336776</v>
      </c>
      <c r="B226" s="1" t="str">
        <f>T("249905504751")</f>
        <v>249905504751</v>
      </c>
      <c r="C226" s="1" t="str">
        <f>T("1941094470237816568")</f>
        <v>1941094470237816568</v>
      </c>
      <c r="AC226" s="1" t="s">
        <v>104</v>
      </c>
      <c r="AD226" s="1" t="s">
        <v>105</v>
      </c>
      <c r="AE226" s="1" t="s">
        <v>106</v>
      </c>
      <c r="AF226" s="1" t="s">
        <v>107</v>
      </c>
      <c r="AG226" s="1">
        <v>23</v>
      </c>
      <c r="AO226" s="2">
        <v>46273</v>
      </c>
      <c r="AP226" s="1" t="s">
        <v>195</v>
      </c>
      <c r="AS226" s="1" t="s">
        <v>71</v>
      </c>
      <c r="AU226" s="1" t="s">
        <v>72</v>
      </c>
      <c r="AV226" s="1" t="s">
        <v>115</v>
      </c>
      <c r="AX226" s="1">
        <v>0</v>
      </c>
      <c r="BA226" s="1">
        <v>3</v>
      </c>
      <c r="BB226" s="1">
        <v>0</v>
      </c>
      <c r="BC226" s="1">
        <v>0</v>
      </c>
      <c r="BE226" s="1">
        <v>27186124</v>
      </c>
    </row>
    <row r="227" spans="1:57" x14ac:dyDescent="0.25">
      <c r="A227" s="1" t="str">
        <f>T("1944061934933056588")</f>
        <v>1944061934933056588</v>
      </c>
      <c r="B227" s="1" t="str">
        <f>T("249923611718")</f>
        <v>249923611718</v>
      </c>
      <c r="C227" s="1" t="str">
        <f>T("1941094470237818068")</f>
        <v>1941094470237818068</v>
      </c>
      <c r="M227" s="1" t="s">
        <v>133</v>
      </c>
      <c r="AA227" s="1">
        <v>1</v>
      </c>
      <c r="AC227" s="1" t="s">
        <v>104</v>
      </c>
      <c r="AD227" s="1" t="s">
        <v>105</v>
      </c>
      <c r="AE227" s="1" t="s">
        <v>106</v>
      </c>
      <c r="AF227" s="1" t="s">
        <v>107</v>
      </c>
      <c r="AG227" s="1">
        <v>28</v>
      </c>
      <c r="AO227" s="2">
        <v>46273</v>
      </c>
      <c r="AP227" s="1" t="s">
        <v>195</v>
      </c>
      <c r="AQ227" s="2">
        <v>46273</v>
      </c>
      <c r="AR227" s="1" t="s">
        <v>201</v>
      </c>
      <c r="AS227" s="1" t="s">
        <v>71</v>
      </c>
      <c r="AU227" s="1" t="s">
        <v>78</v>
      </c>
      <c r="AV227" s="1" t="s">
        <v>80</v>
      </c>
      <c r="AW227" s="1">
        <v>83.72</v>
      </c>
      <c r="AX227" s="1">
        <v>0</v>
      </c>
      <c r="AZ227" s="1" t="s">
        <v>81</v>
      </c>
      <c r="BA227" s="1">
        <v>2</v>
      </c>
      <c r="BB227" s="1">
        <v>0</v>
      </c>
      <c r="BC227" s="1">
        <v>0</v>
      </c>
      <c r="BE227" s="1">
        <v>27186124</v>
      </c>
    </row>
    <row r="228" spans="1:57" x14ac:dyDescent="0.25">
      <c r="A228" s="1" t="str">
        <f>T("1944061934941444704")</f>
        <v>1944061934941444704</v>
      </c>
      <c r="B228" s="1" t="str">
        <f>T("249912595140")</f>
        <v>249912595140</v>
      </c>
      <c r="C228" s="1" t="str">
        <f>T("1941094470237818568")</f>
        <v>1941094470237818568</v>
      </c>
      <c r="AC228" s="1" t="s">
        <v>104</v>
      </c>
      <c r="AD228" s="1" t="s">
        <v>105</v>
      </c>
      <c r="AE228" s="1" t="s">
        <v>106</v>
      </c>
      <c r="AF228" s="1" t="s">
        <v>107</v>
      </c>
      <c r="AG228" s="1">
        <v>46</v>
      </c>
      <c r="AO228" s="2">
        <v>46273</v>
      </c>
      <c r="AP228" s="1" t="s">
        <v>195</v>
      </c>
      <c r="AS228" s="1" t="s">
        <v>71</v>
      </c>
      <c r="AU228" s="1" t="s">
        <v>72</v>
      </c>
      <c r="AV228" s="1" t="s">
        <v>73</v>
      </c>
      <c r="AX228" s="1">
        <v>0</v>
      </c>
      <c r="BA228" s="1">
        <v>3</v>
      </c>
      <c r="BB228" s="1">
        <v>0</v>
      </c>
      <c r="BC228" s="1">
        <v>0</v>
      </c>
      <c r="BE228" s="1">
        <v>27186124</v>
      </c>
    </row>
    <row r="229" spans="1:57" x14ac:dyDescent="0.25">
      <c r="A229" s="1" t="str">
        <f>T("1944061934954028228")</f>
        <v>1944061934954028228</v>
      </c>
      <c r="B229" s="1" t="str">
        <f>T("249913789533")</f>
        <v>249913789533</v>
      </c>
      <c r="C229" s="1" t="str">
        <f>T("1941094470242009276")</f>
        <v>1941094470242009276</v>
      </c>
      <c r="AA229" s="1">
        <v>1</v>
      </c>
      <c r="AC229" s="1" t="s">
        <v>104</v>
      </c>
      <c r="AD229" s="1" t="s">
        <v>105</v>
      </c>
      <c r="AE229" s="1" t="s">
        <v>106</v>
      </c>
      <c r="AF229" s="1" t="s">
        <v>107</v>
      </c>
      <c r="AG229" s="1">
        <v>38</v>
      </c>
      <c r="AO229" s="2">
        <v>46273</v>
      </c>
      <c r="AP229" s="1" t="s">
        <v>195</v>
      </c>
      <c r="AQ229" s="2">
        <v>46273</v>
      </c>
      <c r="AR229" s="1" t="s">
        <v>202</v>
      </c>
      <c r="AS229" s="1" t="s">
        <v>71</v>
      </c>
      <c r="AU229" s="1" t="s">
        <v>79</v>
      </c>
      <c r="AV229" s="1" t="s">
        <v>80</v>
      </c>
      <c r="AW229" s="1">
        <v>57.26</v>
      </c>
      <c r="AX229" s="1">
        <v>0</v>
      </c>
      <c r="AZ229" s="1" t="s">
        <v>81</v>
      </c>
      <c r="BA229" s="1">
        <v>1</v>
      </c>
      <c r="BB229" s="1">
        <v>0</v>
      </c>
      <c r="BC229" s="1">
        <v>0</v>
      </c>
      <c r="BE229" s="1">
        <v>27186124</v>
      </c>
    </row>
    <row r="230" spans="1:57" x14ac:dyDescent="0.25">
      <c r="A230" s="1" t="str">
        <f>T("1944061934958219736")</f>
        <v>1944061934958219736</v>
      </c>
      <c r="B230" s="1" t="str">
        <f>T("249910070340")</f>
        <v>249910070340</v>
      </c>
      <c r="C230" s="1" t="str">
        <f>T("1941094470242009676")</f>
        <v>1941094470242009676</v>
      </c>
      <c r="AC230" s="1" t="s">
        <v>104</v>
      </c>
      <c r="AD230" s="1" t="s">
        <v>105</v>
      </c>
      <c r="AE230" s="1" t="s">
        <v>106</v>
      </c>
      <c r="AF230" s="1" t="s">
        <v>107</v>
      </c>
      <c r="AG230" s="1">
        <v>34</v>
      </c>
      <c r="AO230" s="2">
        <v>46273</v>
      </c>
      <c r="AP230" s="1" t="s">
        <v>195</v>
      </c>
      <c r="AQ230" s="2">
        <v>46273</v>
      </c>
      <c r="AR230" s="1" t="s">
        <v>203</v>
      </c>
      <c r="AS230" s="1" t="s">
        <v>71</v>
      </c>
      <c r="AU230" s="1" t="s">
        <v>79</v>
      </c>
      <c r="AV230" s="1" t="s">
        <v>126</v>
      </c>
      <c r="AW230" s="1">
        <v>4.4189999999999996</v>
      </c>
      <c r="AX230" s="1">
        <v>0</v>
      </c>
      <c r="AZ230" s="1" t="s">
        <v>81</v>
      </c>
      <c r="BA230" s="1">
        <v>1</v>
      </c>
      <c r="BB230" s="1">
        <v>0</v>
      </c>
      <c r="BC230" s="1">
        <v>0</v>
      </c>
      <c r="BE230" s="1">
        <v>27186124</v>
      </c>
    </row>
    <row r="231" spans="1:57" x14ac:dyDescent="0.25">
      <c r="A231" s="1" t="str">
        <f>T("1944061935008554832")</f>
        <v>1944061935008554832</v>
      </c>
      <c r="B231" s="1" t="str">
        <f>T("249918764585")</f>
        <v>249918764585</v>
      </c>
      <c r="C231" s="1" t="str">
        <f>T("1941094470242009976")</f>
        <v>1941094470242009976</v>
      </c>
      <c r="AC231" s="1" t="s">
        <v>104</v>
      </c>
      <c r="AD231" s="1" t="s">
        <v>105</v>
      </c>
      <c r="AE231" s="1" t="s">
        <v>106</v>
      </c>
      <c r="AF231" s="1" t="s">
        <v>107</v>
      </c>
      <c r="AG231" s="1">
        <v>48</v>
      </c>
      <c r="AO231" s="2">
        <v>46273</v>
      </c>
      <c r="AP231" s="1" t="s">
        <v>195</v>
      </c>
      <c r="AS231" s="1" t="s">
        <v>71</v>
      </c>
      <c r="AU231" s="1" t="s">
        <v>72</v>
      </c>
      <c r="AV231" s="1" t="s">
        <v>131</v>
      </c>
      <c r="AX231" s="1">
        <v>0</v>
      </c>
      <c r="BA231" s="1">
        <v>3</v>
      </c>
      <c r="BB231" s="1">
        <v>0</v>
      </c>
      <c r="BC231" s="1">
        <v>0</v>
      </c>
      <c r="BE231" s="1">
        <v>27186124</v>
      </c>
    </row>
    <row r="232" spans="1:57" x14ac:dyDescent="0.25">
      <c r="A232" s="1" t="str">
        <f>T("1944061935012747040")</f>
        <v>1944061935012747040</v>
      </c>
      <c r="B232" s="1" t="str">
        <f>T("249961065044")</f>
        <v>249961065044</v>
      </c>
      <c r="C232" s="1" t="str">
        <f>T("1941094470242010376")</f>
        <v>1941094470242010376</v>
      </c>
      <c r="AC232" s="1" t="s">
        <v>104</v>
      </c>
      <c r="AD232" s="1" t="s">
        <v>105</v>
      </c>
      <c r="AE232" s="1" t="s">
        <v>106</v>
      </c>
      <c r="AF232" s="1" t="s">
        <v>107</v>
      </c>
      <c r="AG232" s="1">
        <v>67</v>
      </c>
      <c r="AO232" s="2">
        <v>46273</v>
      </c>
      <c r="AP232" s="1" t="s">
        <v>195</v>
      </c>
      <c r="AS232" s="1" t="s">
        <v>71</v>
      </c>
      <c r="AU232" s="1" t="s">
        <v>72</v>
      </c>
      <c r="AV232" s="1" t="s">
        <v>73</v>
      </c>
      <c r="AX232" s="1">
        <v>0</v>
      </c>
      <c r="BA232" s="1">
        <v>3</v>
      </c>
      <c r="BB232" s="1">
        <v>0</v>
      </c>
      <c r="BC232" s="1">
        <v>0</v>
      </c>
      <c r="BE232" s="1">
        <v>27186124</v>
      </c>
    </row>
    <row r="233" spans="1:57" x14ac:dyDescent="0.25">
      <c r="A233" s="1" t="str">
        <f>T("1944061935021133856")</f>
        <v>1944061935021133856</v>
      </c>
      <c r="B233" s="1" t="str">
        <f>T("249918181311")</f>
        <v>249918181311</v>
      </c>
      <c r="C233" s="1" t="str">
        <f>T("1941094470242010876")</f>
        <v>1941094470242010876</v>
      </c>
      <c r="M233" s="1" t="s">
        <v>59</v>
      </c>
      <c r="O233" s="1" t="s">
        <v>60</v>
      </c>
      <c r="P233" s="1" t="s">
        <v>83</v>
      </c>
      <c r="Q233" s="1" t="s">
        <v>112</v>
      </c>
      <c r="R233" s="1" t="s">
        <v>93</v>
      </c>
      <c r="T233" s="1" t="s">
        <v>95</v>
      </c>
      <c r="U233" s="1" t="s">
        <v>65</v>
      </c>
      <c r="V233" s="1" t="s">
        <v>66</v>
      </c>
      <c r="W233" s="1" t="s">
        <v>60</v>
      </c>
      <c r="X233" s="1" t="s">
        <v>66</v>
      </c>
      <c r="Y233" s="1" t="s">
        <v>69</v>
      </c>
      <c r="AA233" s="1">
        <v>1</v>
      </c>
      <c r="AB233" s="1">
        <v>1</v>
      </c>
      <c r="AC233" s="1" t="s">
        <v>104</v>
      </c>
      <c r="AD233" s="1" t="s">
        <v>105</v>
      </c>
      <c r="AE233" s="1" t="s">
        <v>106</v>
      </c>
      <c r="AF233" s="1" t="s">
        <v>107</v>
      </c>
      <c r="AG233" s="1">
        <v>73</v>
      </c>
      <c r="AO233" s="2">
        <v>46273</v>
      </c>
      <c r="AP233" s="1" t="s">
        <v>195</v>
      </c>
      <c r="AQ233" s="2">
        <v>46273</v>
      </c>
      <c r="AR233" s="1" t="s">
        <v>204</v>
      </c>
      <c r="AS233" s="1" t="s">
        <v>71</v>
      </c>
      <c r="AU233" s="1" t="s">
        <v>78</v>
      </c>
      <c r="AV233" s="1" t="s">
        <v>80</v>
      </c>
      <c r="AW233" s="1">
        <v>232.86</v>
      </c>
      <c r="AX233" s="1">
        <v>0</v>
      </c>
      <c r="AZ233" s="1" t="s">
        <v>81</v>
      </c>
      <c r="BA233" s="1">
        <v>1</v>
      </c>
      <c r="BB233" s="1">
        <v>0</v>
      </c>
      <c r="BC233" s="1">
        <v>0</v>
      </c>
      <c r="BE233" s="1">
        <v>27186124</v>
      </c>
    </row>
    <row r="234" spans="1:57" x14ac:dyDescent="0.25">
      <c r="A234" s="1" t="str">
        <f>T("1944061935033718680")</f>
        <v>1944061935033718680</v>
      </c>
      <c r="B234" s="1" t="str">
        <f>T("249918760362")</f>
        <v>249918760362</v>
      </c>
      <c r="C234" s="1" t="str">
        <f>T("1941094470242011376")</f>
        <v>1941094470242011376</v>
      </c>
      <c r="AA234" s="1">
        <v>1</v>
      </c>
      <c r="AC234" s="1" t="s">
        <v>104</v>
      </c>
      <c r="AD234" s="1" t="s">
        <v>105</v>
      </c>
      <c r="AE234" s="1" t="s">
        <v>106</v>
      </c>
      <c r="AF234" s="1" t="s">
        <v>107</v>
      </c>
      <c r="AG234" s="1">
        <v>62</v>
      </c>
      <c r="AO234" s="2">
        <v>46273</v>
      </c>
      <c r="AP234" s="1" t="s">
        <v>195</v>
      </c>
      <c r="AQ234" s="2">
        <v>46273</v>
      </c>
      <c r="AR234" s="1" t="s">
        <v>205</v>
      </c>
      <c r="AS234" s="1" t="s">
        <v>71</v>
      </c>
      <c r="AU234" s="1" t="s">
        <v>79</v>
      </c>
      <c r="AV234" s="1" t="s">
        <v>80</v>
      </c>
      <c r="AW234" s="1">
        <v>58.24</v>
      </c>
      <c r="AX234" s="1">
        <v>0</v>
      </c>
      <c r="AZ234" s="1" t="s">
        <v>81</v>
      </c>
      <c r="BA234" s="1">
        <v>1</v>
      </c>
      <c r="BB234" s="1">
        <v>0</v>
      </c>
      <c r="BC234" s="1">
        <v>0</v>
      </c>
      <c r="BE234" s="1">
        <v>27186124</v>
      </c>
    </row>
    <row r="235" spans="1:57" x14ac:dyDescent="0.25">
      <c r="A235" s="1" t="str">
        <f>T("1944061935075661560")</f>
        <v>1944061935075661560</v>
      </c>
      <c r="B235" s="1" t="str">
        <f>T("249916523985")</f>
        <v>249916523985</v>
      </c>
      <c r="C235" s="1" t="str">
        <f>T("1941094470242012076")</f>
        <v>1941094470242012076</v>
      </c>
      <c r="AC235" s="1" t="s">
        <v>104</v>
      </c>
      <c r="AD235" s="1" t="s">
        <v>105</v>
      </c>
      <c r="AE235" s="1" t="s">
        <v>106</v>
      </c>
      <c r="AF235" s="1" t="s">
        <v>107</v>
      </c>
      <c r="AG235" s="1">
        <v>40</v>
      </c>
      <c r="AO235" s="2">
        <v>46273</v>
      </c>
      <c r="AP235" s="1" t="s">
        <v>195</v>
      </c>
      <c r="AS235" s="1" t="s">
        <v>71</v>
      </c>
      <c r="AU235" s="1" t="s">
        <v>72</v>
      </c>
      <c r="AV235" s="1" t="s">
        <v>139</v>
      </c>
      <c r="AX235" s="1">
        <v>0</v>
      </c>
      <c r="BA235" s="1">
        <v>3</v>
      </c>
      <c r="BB235" s="1">
        <v>0</v>
      </c>
      <c r="BC235" s="1">
        <v>0</v>
      </c>
      <c r="BE235" s="1">
        <v>27186124</v>
      </c>
    </row>
    <row r="236" spans="1:57" x14ac:dyDescent="0.25">
      <c r="A236" s="1" t="str">
        <f>T("1944061935084051976")</f>
        <v>1944061935084051976</v>
      </c>
      <c r="B236" s="1" t="str">
        <f>T("249924667489")</f>
        <v>249924667489</v>
      </c>
      <c r="C236" s="1" t="str">
        <f>T("1941094470242011776")</f>
        <v>1941094470242011776</v>
      </c>
      <c r="AC236" s="1" t="s">
        <v>104</v>
      </c>
      <c r="AD236" s="1" t="s">
        <v>105</v>
      </c>
      <c r="AE236" s="1" t="s">
        <v>106</v>
      </c>
      <c r="AF236" s="1" t="s">
        <v>107</v>
      </c>
      <c r="AG236" s="1">
        <v>39</v>
      </c>
      <c r="AO236" s="2">
        <v>46273</v>
      </c>
      <c r="AP236" s="1" t="s">
        <v>195</v>
      </c>
      <c r="AS236" s="1" t="s">
        <v>71</v>
      </c>
      <c r="AU236" s="1" t="s">
        <v>72</v>
      </c>
      <c r="AV236" s="1" t="s">
        <v>73</v>
      </c>
      <c r="AX236" s="1">
        <v>0</v>
      </c>
      <c r="BA236" s="1">
        <v>3</v>
      </c>
      <c r="BB236" s="1">
        <v>0</v>
      </c>
      <c r="BC236" s="1">
        <v>0</v>
      </c>
      <c r="BE236" s="1">
        <v>27186124</v>
      </c>
    </row>
    <row r="237" spans="1:57" x14ac:dyDescent="0.25">
      <c r="A237" s="1" t="str">
        <f>T("1944061935092438092")</f>
        <v>1944061935092438092</v>
      </c>
      <c r="B237" s="1" t="str">
        <f>T("249913164162")</f>
        <v>249913164162</v>
      </c>
      <c r="C237" s="1" t="str">
        <f>T("1941094470242012576")</f>
        <v>1941094470242012576</v>
      </c>
      <c r="AA237" s="1">
        <v>1</v>
      </c>
      <c r="AC237" s="1" t="s">
        <v>104</v>
      </c>
      <c r="AD237" s="1" t="s">
        <v>105</v>
      </c>
      <c r="AE237" s="1" t="s">
        <v>106</v>
      </c>
      <c r="AF237" s="1" t="s">
        <v>107</v>
      </c>
      <c r="AG237" s="1">
        <v>48</v>
      </c>
      <c r="AO237" s="2">
        <v>46273</v>
      </c>
      <c r="AP237" s="1" t="s">
        <v>195</v>
      </c>
      <c r="AQ237" s="2">
        <v>46273</v>
      </c>
      <c r="AR237" s="1" t="s">
        <v>206</v>
      </c>
      <c r="AS237" s="1" t="s">
        <v>71</v>
      </c>
      <c r="AU237" s="1" t="s">
        <v>79</v>
      </c>
      <c r="AV237" s="1" t="s">
        <v>80</v>
      </c>
      <c r="AW237" s="1">
        <v>38.68</v>
      </c>
      <c r="AX237" s="1">
        <v>0</v>
      </c>
      <c r="AZ237" s="1" t="s">
        <v>81</v>
      </c>
      <c r="BA237" s="1">
        <v>2</v>
      </c>
      <c r="BB237" s="1">
        <v>0</v>
      </c>
      <c r="BC237" s="1">
        <v>0</v>
      </c>
      <c r="BE237" s="1">
        <v>27186124</v>
      </c>
    </row>
    <row r="238" spans="1:57" x14ac:dyDescent="0.25">
      <c r="A238" s="1" t="str">
        <f>T("1944061935096633900")</f>
        <v>1944061935096633900</v>
      </c>
      <c r="B238" s="1" t="str">
        <f>T("249918183827")</f>
        <v>249918183827</v>
      </c>
      <c r="C238" s="1" t="str">
        <f>T("1941094470246203684")</f>
        <v>1941094470246203684</v>
      </c>
      <c r="AC238" s="1" t="s">
        <v>104</v>
      </c>
      <c r="AD238" s="1" t="s">
        <v>105</v>
      </c>
      <c r="AE238" s="1" t="s">
        <v>106</v>
      </c>
      <c r="AF238" s="1" t="s">
        <v>107</v>
      </c>
      <c r="AG238" s="1">
        <v>55</v>
      </c>
      <c r="AO238" s="2">
        <v>46273</v>
      </c>
      <c r="AP238" s="1" t="s">
        <v>195</v>
      </c>
      <c r="AS238" s="1" t="s">
        <v>71</v>
      </c>
      <c r="AU238" s="1" t="s">
        <v>72</v>
      </c>
      <c r="AV238" s="1" t="s">
        <v>131</v>
      </c>
      <c r="AX238" s="1">
        <v>0</v>
      </c>
      <c r="BA238" s="1">
        <v>3</v>
      </c>
      <c r="BB238" s="1">
        <v>0</v>
      </c>
      <c r="BC238" s="1">
        <v>0</v>
      </c>
      <c r="BE238" s="1">
        <v>27186124</v>
      </c>
    </row>
    <row r="239" spans="1:57" x14ac:dyDescent="0.25">
      <c r="A239" s="1" t="str">
        <f>T("1944061935134380472")</f>
        <v>1944061935134380472</v>
      </c>
      <c r="B239" s="1" t="str">
        <f>T("249917215599")</f>
        <v>249917215599</v>
      </c>
      <c r="C239" s="1" t="str">
        <f>T("1941094470246204384")</f>
        <v>1941094470246204384</v>
      </c>
      <c r="AC239" s="1" t="s">
        <v>104</v>
      </c>
      <c r="AD239" s="1" t="s">
        <v>141</v>
      </c>
      <c r="AE239" s="1" t="s">
        <v>142</v>
      </c>
      <c r="AF239" s="1" t="s">
        <v>107</v>
      </c>
      <c r="AG239" s="1">
        <v>63</v>
      </c>
      <c r="AO239" s="2">
        <v>46273</v>
      </c>
      <c r="AP239" s="1" t="s">
        <v>195</v>
      </c>
      <c r="AS239" s="1" t="s">
        <v>71</v>
      </c>
      <c r="AU239" s="1" t="s">
        <v>72</v>
      </c>
      <c r="AV239" s="1" t="s">
        <v>73</v>
      </c>
      <c r="AX239" s="1">
        <v>0</v>
      </c>
      <c r="BA239" s="1">
        <v>3</v>
      </c>
      <c r="BB239" s="1">
        <v>0</v>
      </c>
      <c r="BC239" s="1">
        <v>0</v>
      </c>
      <c r="BE239" s="1">
        <v>27186124</v>
      </c>
    </row>
    <row r="240" spans="1:57" x14ac:dyDescent="0.25">
      <c r="A240" s="1" t="str">
        <f>T("1944061935142769588")</f>
        <v>1944061935142769588</v>
      </c>
      <c r="B240" s="1" t="str">
        <f>T("249907711310")</f>
        <v>249907711310</v>
      </c>
      <c r="C240" s="1" t="str">
        <f>T("1941094470250401292")</f>
        <v>1941094470250401292</v>
      </c>
      <c r="AC240" s="1" t="s">
        <v>104</v>
      </c>
      <c r="AD240" s="1" t="s">
        <v>141</v>
      </c>
      <c r="AE240" s="1" t="s">
        <v>142</v>
      </c>
      <c r="AF240" s="1" t="s">
        <v>144</v>
      </c>
      <c r="AG240" s="1">
        <v>47</v>
      </c>
      <c r="AO240" s="2">
        <v>46273</v>
      </c>
      <c r="AP240" s="1" t="s">
        <v>195</v>
      </c>
      <c r="AS240" s="1" t="s">
        <v>71</v>
      </c>
      <c r="AU240" s="1" t="s">
        <v>72</v>
      </c>
      <c r="AV240" s="1" t="s">
        <v>80</v>
      </c>
      <c r="AX240" s="1">
        <v>0</v>
      </c>
      <c r="BA240" s="1">
        <v>3</v>
      </c>
      <c r="BB240" s="1">
        <v>0</v>
      </c>
      <c r="BC240" s="1">
        <v>0</v>
      </c>
      <c r="BE240" s="1">
        <v>27186124</v>
      </c>
    </row>
    <row r="241" spans="1:57" x14ac:dyDescent="0.25">
      <c r="A241" s="1" t="str">
        <f>T("1944061935163740428")</f>
        <v>1944061935163740428</v>
      </c>
      <c r="B241" s="1" t="str">
        <f>T("249122937190")</f>
        <v>249122937190</v>
      </c>
      <c r="C241" s="1" t="str">
        <f>T("1941094470254593600")</f>
        <v>1941094470254593600</v>
      </c>
      <c r="AC241" s="1" t="s">
        <v>104</v>
      </c>
      <c r="AD241" s="1" t="s">
        <v>141</v>
      </c>
      <c r="AE241" s="1" t="s">
        <v>142</v>
      </c>
      <c r="AF241" s="1" t="s">
        <v>144</v>
      </c>
      <c r="AG241" s="1">
        <v>45</v>
      </c>
      <c r="AO241" s="2">
        <v>46273</v>
      </c>
      <c r="AP241" s="1" t="s">
        <v>195</v>
      </c>
      <c r="AQ241" s="2">
        <v>46273</v>
      </c>
      <c r="AR241" s="1" t="s">
        <v>207</v>
      </c>
      <c r="AS241" s="1" t="s">
        <v>71</v>
      </c>
      <c r="AU241" s="1" t="s">
        <v>79</v>
      </c>
      <c r="AV241" s="1" t="s">
        <v>80</v>
      </c>
      <c r="AW241" s="1">
        <v>36.200000000000003</v>
      </c>
      <c r="AX241" s="1">
        <v>0</v>
      </c>
      <c r="AZ241" s="1" t="s">
        <v>81</v>
      </c>
      <c r="BA241" s="1">
        <v>3</v>
      </c>
      <c r="BB241" s="1">
        <v>0</v>
      </c>
      <c r="BC241" s="1">
        <v>0</v>
      </c>
      <c r="BE241" s="1">
        <v>27186124</v>
      </c>
    </row>
    <row r="242" spans="1:57" x14ac:dyDescent="0.25">
      <c r="A242" s="1" t="str">
        <f>T("1944061935163740528")</f>
        <v>1944061935163740528</v>
      </c>
      <c r="B242" s="1" t="str">
        <f>T("249995410641")</f>
        <v>249995410641</v>
      </c>
      <c r="C242" s="1" t="str">
        <f>T("1941094470254594200")</f>
        <v>1941094470254594200</v>
      </c>
      <c r="AC242" s="1" t="s">
        <v>104</v>
      </c>
      <c r="AD242" s="1" t="s">
        <v>141</v>
      </c>
      <c r="AE242" s="1" t="s">
        <v>142</v>
      </c>
      <c r="AF242" s="1" t="s">
        <v>107</v>
      </c>
      <c r="AG242" s="1">
        <v>54</v>
      </c>
      <c r="AO242" s="2">
        <v>46273</v>
      </c>
      <c r="AP242" s="1" t="s">
        <v>195</v>
      </c>
      <c r="AQ242" s="2">
        <v>46273</v>
      </c>
      <c r="AR242" s="1" t="s">
        <v>208</v>
      </c>
      <c r="AS242" s="1" t="s">
        <v>71</v>
      </c>
      <c r="AU242" s="1" t="s">
        <v>79</v>
      </c>
      <c r="AV242" s="1" t="s">
        <v>80</v>
      </c>
      <c r="AW242" s="1">
        <v>27.56</v>
      </c>
      <c r="AX242" s="1">
        <v>0</v>
      </c>
      <c r="AZ242" s="1" t="s">
        <v>81</v>
      </c>
      <c r="BA242" s="1">
        <v>2</v>
      </c>
      <c r="BB242" s="1">
        <v>0</v>
      </c>
      <c r="BC242" s="1">
        <v>0</v>
      </c>
      <c r="BE242" s="1">
        <v>27186124</v>
      </c>
    </row>
    <row r="243" spans="1:57" x14ac:dyDescent="0.25">
      <c r="A243" s="1" t="str">
        <f>T("1944061935197295292")</f>
        <v>1944061935197295292</v>
      </c>
      <c r="B243" s="1" t="str">
        <f>T("249999762962")</f>
        <v>249999762962</v>
      </c>
      <c r="C243" s="1" t="str">
        <f>T("1941094470254596000")</f>
        <v>1941094470254596000</v>
      </c>
      <c r="AC243" s="1" t="s">
        <v>104</v>
      </c>
      <c r="AD243" s="1" t="s">
        <v>141</v>
      </c>
      <c r="AE243" s="1" t="s">
        <v>142</v>
      </c>
      <c r="AF243" s="1" t="s">
        <v>107</v>
      </c>
      <c r="AG243" s="1">
        <v>75</v>
      </c>
      <c r="AO243" s="2">
        <v>46273</v>
      </c>
      <c r="AP243" s="1" t="s">
        <v>195</v>
      </c>
      <c r="AS243" s="1" t="s">
        <v>71</v>
      </c>
      <c r="AU243" s="1" t="s">
        <v>72</v>
      </c>
      <c r="AV243" s="1" t="s">
        <v>73</v>
      </c>
      <c r="AX243" s="1">
        <v>0</v>
      </c>
      <c r="BA243" s="1">
        <v>3</v>
      </c>
      <c r="BB243" s="1">
        <v>0</v>
      </c>
      <c r="BC243" s="1">
        <v>0</v>
      </c>
      <c r="BE243" s="1">
        <v>27186124</v>
      </c>
    </row>
    <row r="244" spans="1:57" x14ac:dyDescent="0.25">
      <c r="A244" s="1" t="str">
        <f>T("1944061935218269432")</f>
        <v>1944061935218269432</v>
      </c>
      <c r="B244" s="1" t="str">
        <f>T("249125271749")</f>
        <v>249125271749</v>
      </c>
      <c r="C244" s="1" t="str">
        <f>T("1941094470258786808")</f>
        <v>1941094470258786808</v>
      </c>
      <c r="AC244" s="1" t="s">
        <v>104</v>
      </c>
      <c r="AD244" s="1" t="s">
        <v>141</v>
      </c>
      <c r="AE244" s="1" t="s">
        <v>142</v>
      </c>
      <c r="AF244" s="1" t="s">
        <v>107</v>
      </c>
      <c r="AG244" s="1">
        <v>45</v>
      </c>
      <c r="AO244" s="2">
        <v>46273</v>
      </c>
      <c r="AP244" s="1" t="s">
        <v>195</v>
      </c>
      <c r="AS244" s="1" t="s">
        <v>71</v>
      </c>
      <c r="AU244" s="1" t="s">
        <v>72</v>
      </c>
      <c r="AV244" s="1" t="s">
        <v>73</v>
      </c>
      <c r="AX244" s="1">
        <v>0</v>
      </c>
      <c r="BA244" s="1">
        <v>3</v>
      </c>
      <c r="BB244" s="1">
        <v>0</v>
      </c>
      <c r="BC244" s="1">
        <v>0</v>
      </c>
      <c r="BE244" s="1">
        <v>27186124</v>
      </c>
    </row>
    <row r="245" spans="1:57" x14ac:dyDescent="0.25">
      <c r="A245" s="1" t="str">
        <f>T("1944061935218269532")</f>
        <v>1944061935218269532</v>
      </c>
      <c r="B245" s="1" t="str">
        <f>T("249124989270")</f>
        <v>249124989270</v>
      </c>
      <c r="C245" s="1" t="str">
        <f>T("1941094470258787408")</f>
        <v>1941094470258787408</v>
      </c>
      <c r="AC245" s="1" t="s">
        <v>104</v>
      </c>
      <c r="AD245" s="1" t="s">
        <v>141</v>
      </c>
      <c r="AE245" s="1" t="s">
        <v>142</v>
      </c>
      <c r="AF245" s="1" t="s">
        <v>144</v>
      </c>
      <c r="AG245" s="1">
        <v>54</v>
      </c>
      <c r="AO245" s="2">
        <v>46273</v>
      </c>
      <c r="AP245" s="1" t="s">
        <v>195</v>
      </c>
      <c r="AS245" s="1" t="s">
        <v>71</v>
      </c>
      <c r="AU245" s="1" t="s">
        <v>72</v>
      </c>
      <c r="AV245" s="1" t="s">
        <v>131</v>
      </c>
      <c r="AX245" s="1">
        <v>0</v>
      </c>
      <c r="BA245" s="1">
        <v>3</v>
      </c>
      <c r="BB245" s="1">
        <v>0</v>
      </c>
      <c r="BC245" s="1">
        <v>0</v>
      </c>
      <c r="BE245" s="1">
        <v>27186124</v>
      </c>
    </row>
    <row r="246" spans="1:57" x14ac:dyDescent="0.25">
      <c r="A246" s="1" t="str">
        <f>T("1944061935243434780")</f>
        <v>1944061935243434780</v>
      </c>
      <c r="B246" s="1" t="str">
        <f>T("249929104576")</f>
        <v>249929104576</v>
      </c>
      <c r="C246" s="1" t="str">
        <f>T("1941094470262984616")</f>
        <v>1941094470262984616</v>
      </c>
      <c r="AC246" s="1" t="s">
        <v>104</v>
      </c>
      <c r="AD246" s="1" t="s">
        <v>151</v>
      </c>
      <c r="AE246" s="1" t="s">
        <v>152</v>
      </c>
      <c r="AF246" s="1" t="s">
        <v>107</v>
      </c>
      <c r="AG246" s="1">
        <v>26</v>
      </c>
      <c r="AO246" s="2">
        <v>46273</v>
      </c>
      <c r="AP246" s="1" t="s">
        <v>195</v>
      </c>
      <c r="AS246" s="1" t="s">
        <v>71</v>
      </c>
      <c r="AU246" s="1" t="s">
        <v>72</v>
      </c>
      <c r="AV246" s="1" t="s">
        <v>73</v>
      </c>
      <c r="AX246" s="1">
        <v>0</v>
      </c>
      <c r="BA246" s="1">
        <v>3</v>
      </c>
      <c r="BB246" s="1">
        <v>0</v>
      </c>
      <c r="BC246" s="1">
        <v>0</v>
      </c>
      <c r="BE246" s="1">
        <v>27186124</v>
      </c>
    </row>
    <row r="247" spans="1:57" x14ac:dyDescent="0.25">
      <c r="A247" s="1" t="str">
        <f>T("1944061935243434781")</f>
        <v>1944061935243434781</v>
      </c>
      <c r="B247" s="1" t="str">
        <f>T("249996413889")</f>
        <v>249996413889</v>
      </c>
      <c r="C247" s="1" t="str">
        <f>T("1941094470267176324")</f>
        <v>1941094470267176324</v>
      </c>
      <c r="AA247" s="1">
        <v>1</v>
      </c>
      <c r="AC247" s="1" t="s">
        <v>104</v>
      </c>
      <c r="AD247" s="1" t="s">
        <v>151</v>
      </c>
      <c r="AE247" s="1" t="s">
        <v>152</v>
      </c>
      <c r="AF247" s="1" t="s">
        <v>107</v>
      </c>
      <c r="AG247" s="1">
        <v>18</v>
      </c>
      <c r="AO247" s="2">
        <v>46273</v>
      </c>
      <c r="AP247" s="1" t="s">
        <v>195</v>
      </c>
      <c r="AQ247" s="2">
        <v>46273</v>
      </c>
      <c r="AR247" s="1" t="s">
        <v>209</v>
      </c>
      <c r="AS247" s="1" t="s">
        <v>71</v>
      </c>
      <c r="AU247" s="1" t="s">
        <v>78</v>
      </c>
      <c r="AV247" s="1" t="s">
        <v>80</v>
      </c>
      <c r="AW247" s="1">
        <v>134.6</v>
      </c>
      <c r="AX247" s="1">
        <v>0</v>
      </c>
      <c r="AZ247" s="1" t="s">
        <v>81</v>
      </c>
      <c r="BA247" s="1">
        <v>2</v>
      </c>
      <c r="BB247" s="1">
        <v>0</v>
      </c>
      <c r="BC247" s="1">
        <v>0</v>
      </c>
      <c r="BE247" s="1">
        <v>27186124</v>
      </c>
    </row>
    <row r="248" spans="1:57" x14ac:dyDescent="0.25">
      <c r="A248" s="1" t="str">
        <f>T("1944061935281182152")</f>
        <v>1944061935281182152</v>
      </c>
      <c r="B248" s="1" t="str">
        <f>T("249996844097")</f>
        <v>249996844097</v>
      </c>
      <c r="C248" s="1" t="str">
        <f>T("1941094470267177424")</f>
        <v>1941094470267177424</v>
      </c>
      <c r="AA248" s="1">
        <v>1</v>
      </c>
      <c r="AC248" s="1" t="s">
        <v>104</v>
      </c>
      <c r="AD248" s="1" t="s">
        <v>151</v>
      </c>
      <c r="AE248" s="1" t="s">
        <v>152</v>
      </c>
      <c r="AF248" s="1" t="s">
        <v>107</v>
      </c>
      <c r="AG248" s="1">
        <v>27</v>
      </c>
      <c r="AO248" s="2">
        <v>46273</v>
      </c>
      <c r="AP248" s="1" t="s">
        <v>195</v>
      </c>
      <c r="AQ248" s="2">
        <v>46273</v>
      </c>
      <c r="AR248" s="1" t="s">
        <v>210</v>
      </c>
      <c r="AS248" s="1" t="s">
        <v>71</v>
      </c>
      <c r="AU248" s="1" t="s">
        <v>79</v>
      </c>
      <c r="AV248" s="1" t="s">
        <v>80</v>
      </c>
      <c r="AW248" s="1">
        <v>70.319999999999993</v>
      </c>
      <c r="AX248" s="1">
        <v>0</v>
      </c>
      <c r="AZ248" s="1" t="s">
        <v>81</v>
      </c>
      <c r="BA248" s="1">
        <v>2</v>
      </c>
      <c r="BB248" s="1">
        <v>0</v>
      </c>
      <c r="BC248" s="1">
        <v>0</v>
      </c>
      <c r="BE248" s="1">
        <v>27186124</v>
      </c>
    </row>
    <row r="249" spans="1:57" x14ac:dyDescent="0.25">
      <c r="A249" s="1" t="str">
        <f>T("1944061935289570168")</f>
        <v>1944061935289570168</v>
      </c>
      <c r="B249" s="1" t="str">
        <f>T("249925188585")</f>
        <v>249925188585</v>
      </c>
      <c r="C249" s="1" t="str">
        <f>T("1941094470267177824")</f>
        <v>1941094470267177824</v>
      </c>
      <c r="AC249" s="1" t="s">
        <v>104</v>
      </c>
      <c r="AD249" s="1" t="s">
        <v>151</v>
      </c>
      <c r="AE249" s="1" t="s">
        <v>152</v>
      </c>
      <c r="AF249" s="1" t="s">
        <v>107</v>
      </c>
      <c r="AG249" s="1">
        <v>21</v>
      </c>
      <c r="AO249" s="2">
        <v>46273</v>
      </c>
      <c r="AP249" s="1" t="s">
        <v>195</v>
      </c>
      <c r="AS249" s="1" t="s">
        <v>71</v>
      </c>
      <c r="AU249" s="1" t="s">
        <v>72</v>
      </c>
      <c r="AV249" s="1" t="s">
        <v>73</v>
      </c>
      <c r="AX249" s="1">
        <v>0</v>
      </c>
      <c r="BA249" s="1">
        <v>3</v>
      </c>
      <c r="BB249" s="1">
        <v>0</v>
      </c>
      <c r="BC249" s="1">
        <v>0</v>
      </c>
      <c r="BE249" s="1">
        <v>27186124</v>
      </c>
    </row>
    <row r="250" spans="1:57" x14ac:dyDescent="0.25">
      <c r="A250" s="1" t="str">
        <f>T("1944061935302153792")</f>
        <v>1944061935302153792</v>
      </c>
      <c r="B250" s="1" t="str">
        <f>T("249990355418")</f>
        <v>249990355418</v>
      </c>
      <c r="C250" s="1" t="str">
        <f>T("1941094470271370232")</f>
        <v>1941094470271370232</v>
      </c>
      <c r="AC250" s="1" t="s">
        <v>104</v>
      </c>
      <c r="AD250" s="1" t="s">
        <v>151</v>
      </c>
      <c r="AE250" s="1" t="s">
        <v>152</v>
      </c>
      <c r="AF250" s="1" t="s">
        <v>107</v>
      </c>
      <c r="AG250" s="1">
        <v>42</v>
      </c>
      <c r="AO250" s="2">
        <v>46273</v>
      </c>
      <c r="AP250" s="1" t="s">
        <v>195</v>
      </c>
      <c r="AQ250" s="2">
        <v>46273</v>
      </c>
      <c r="AR250" s="1" t="s">
        <v>211</v>
      </c>
      <c r="AS250" s="1" t="s">
        <v>71</v>
      </c>
      <c r="AU250" s="1" t="s">
        <v>79</v>
      </c>
      <c r="AV250" s="1" t="s">
        <v>80</v>
      </c>
      <c r="AW250" s="1">
        <v>24.2</v>
      </c>
      <c r="AX250" s="1">
        <v>0</v>
      </c>
      <c r="AZ250" s="1" t="s">
        <v>81</v>
      </c>
      <c r="BA250" s="1">
        <v>3</v>
      </c>
      <c r="BB250" s="1">
        <v>0</v>
      </c>
      <c r="BC250" s="1">
        <v>0</v>
      </c>
      <c r="BE250" s="1">
        <v>27186124</v>
      </c>
    </row>
    <row r="251" spans="1:57" x14ac:dyDescent="0.25">
      <c r="A251" s="1" t="str">
        <f>T("1944061935323125732")</f>
        <v>1944061935323125732</v>
      </c>
      <c r="B251" s="1" t="str">
        <f>T("249928611659")</f>
        <v>249928611659</v>
      </c>
      <c r="C251" s="1" t="str">
        <f>T("1941094470271372932")</f>
        <v>1941094470271372932</v>
      </c>
      <c r="AC251" s="1" t="s">
        <v>104</v>
      </c>
      <c r="AD251" s="1" t="s">
        <v>151</v>
      </c>
      <c r="AE251" s="1" t="s">
        <v>152</v>
      </c>
      <c r="AF251" s="1" t="s">
        <v>107</v>
      </c>
      <c r="AG251" s="1">
        <v>37</v>
      </c>
      <c r="AO251" s="2">
        <v>46273</v>
      </c>
      <c r="AP251" s="1" t="s">
        <v>195</v>
      </c>
      <c r="AS251" s="1" t="s">
        <v>71</v>
      </c>
      <c r="AU251" s="1" t="s">
        <v>72</v>
      </c>
      <c r="AV251" s="1" t="s">
        <v>73</v>
      </c>
      <c r="AX251" s="1">
        <v>0</v>
      </c>
      <c r="BA251" s="1">
        <v>3</v>
      </c>
      <c r="BB251" s="1">
        <v>0</v>
      </c>
      <c r="BC251" s="1">
        <v>0</v>
      </c>
      <c r="BE251" s="1">
        <v>27186124</v>
      </c>
    </row>
    <row r="252" spans="1:57" x14ac:dyDescent="0.25">
      <c r="A252" s="1" t="str">
        <f>T("1944061935344096872")</f>
        <v>1944061935344096872</v>
      </c>
      <c r="B252" s="1" t="str">
        <f>T("249902026588")</f>
        <v>249902026588</v>
      </c>
      <c r="C252" s="1" t="str">
        <f>T("1941094470275564240")</f>
        <v>1941094470275564240</v>
      </c>
      <c r="AC252" s="1" t="s">
        <v>104</v>
      </c>
      <c r="AD252" s="1" t="s">
        <v>151</v>
      </c>
      <c r="AE252" s="1" t="s">
        <v>152</v>
      </c>
      <c r="AF252" s="1" t="s">
        <v>107</v>
      </c>
      <c r="AG252" s="1">
        <v>39</v>
      </c>
      <c r="AO252" s="2">
        <v>46273</v>
      </c>
      <c r="AP252" s="1" t="s">
        <v>195</v>
      </c>
      <c r="AS252" s="1" t="s">
        <v>71</v>
      </c>
      <c r="AU252" s="1" t="s">
        <v>72</v>
      </c>
      <c r="AV252" s="1" t="s">
        <v>131</v>
      </c>
      <c r="AX252" s="1">
        <v>0</v>
      </c>
      <c r="BA252" s="1">
        <v>3</v>
      </c>
      <c r="BB252" s="1">
        <v>0</v>
      </c>
      <c r="BC252" s="1">
        <v>0</v>
      </c>
      <c r="BE252" s="1">
        <v>27186124</v>
      </c>
    </row>
    <row r="253" spans="1:57" x14ac:dyDescent="0.25">
      <c r="A253" s="1" t="str">
        <f>T("1944061935344099272")</f>
        <v>1944061935344099272</v>
      </c>
      <c r="B253" s="1" t="str">
        <f>T("249925550522")</f>
        <v>249925550522</v>
      </c>
      <c r="C253" s="1" t="str">
        <f>T("1941094470275566440")</f>
        <v>1941094470275566440</v>
      </c>
      <c r="M253" s="1" t="s">
        <v>133</v>
      </c>
      <c r="N253" s="1" t="s">
        <v>60</v>
      </c>
      <c r="O253" s="1" t="s">
        <v>65</v>
      </c>
      <c r="P253" s="1" t="s">
        <v>83</v>
      </c>
      <c r="Q253" s="1" t="s">
        <v>112</v>
      </c>
      <c r="R253" s="1" t="s">
        <v>93</v>
      </c>
      <c r="T253" s="1" t="s">
        <v>95</v>
      </c>
      <c r="U253" s="1" t="s">
        <v>65</v>
      </c>
      <c r="V253" s="1" t="s">
        <v>66</v>
      </c>
      <c r="W253" s="1" t="s">
        <v>60</v>
      </c>
      <c r="X253" s="1" t="s">
        <v>66</v>
      </c>
      <c r="Y253" s="1" t="s">
        <v>85</v>
      </c>
      <c r="AA253" s="1">
        <v>1</v>
      </c>
      <c r="AB253" s="1">
        <v>1</v>
      </c>
      <c r="AC253" s="1" t="s">
        <v>104</v>
      </c>
      <c r="AD253" s="1" t="s">
        <v>151</v>
      </c>
      <c r="AE253" s="1" t="s">
        <v>152</v>
      </c>
      <c r="AF253" s="1" t="s">
        <v>107</v>
      </c>
      <c r="AG253" s="1">
        <v>35</v>
      </c>
      <c r="AO253" s="2">
        <v>46273</v>
      </c>
      <c r="AP253" s="1" t="s">
        <v>195</v>
      </c>
      <c r="AQ253" s="2">
        <v>46273</v>
      </c>
      <c r="AR253" s="1" t="s">
        <v>212</v>
      </c>
      <c r="AS253" s="1" t="s">
        <v>71</v>
      </c>
      <c r="AU253" s="1" t="s">
        <v>78</v>
      </c>
      <c r="AV253" s="1" t="s">
        <v>80</v>
      </c>
      <c r="AW253" s="1">
        <v>256.36</v>
      </c>
      <c r="AX253" s="1">
        <v>0</v>
      </c>
      <c r="AZ253" s="1" t="s">
        <v>81</v>
      </c>
      <c r="BA253" s="1">
        <v>3</v>
      </c>
      <c r="BB253" s="1">
        <v>0</v>
      </c>
      <c r="BC253" s="1">
        <v>0</v>
      </c>
      <c r="BE253" s="1">
        <v>27186124</v>
      </c>
    </row>
    <row r="254" spans="1:57" x14ac:dyDescent="0.25">
      <c r="A254" s="1" t="str">
        <f>T("1944061935360875904")</f>
        <v>1944061935360875904</v>
      </c>
      <c r="B254" s="1" t="str">
        <f>T("249965088045")</f>
        <v>249965088045</v>
      </c>
      <c r="C254" s="1" t="str">
        <f>T("1941094470279759248")</f>
        <v>1941094470279759248</v>
      </c>
      <c r="M254" s="1" t="s">
        <v>59</v>
      </c>
      <c r="AA254" s="1">
        <v>1</v>
      </c>
      <c r="AC254" s="1" t="s">
        <v>104</v>
      </c>
      <c r="AD254" s="1" t="s">
        <v>151</v>
      </c>
      <c r="AE254" s="1" t="s">
        <v>152</v>
      </c>
      <c r="AF254" s="1" t="s">
        <v>107</v>
      </c>
      <c r="AG254" s="1">
        <v>20</v>
      </c>
      <c r="AO254" s="2">
        <v>46273</v>
      </c>
      <c r="AP254" s="1" t="s">
        <v>195</v>
      </c>
      <c r="AQ254" s="2">
        <v>46273</v>
      </c>
      <c r="AR254" s="1" t="s">
        <v>213</v>
      </c>
      <c r="AS254" s="1" t="s">
        <v>71</v>
      </c>
      <c r="AU254" s="1" t="s">
        <v>79</v>
      </c>
      <c r="AV254" s="1" t="s">
        <v>80</v>
      </c>
      <c r="AW254" s="1">
        <v>59.52</v>
      </c>
      <c r="AX254" s="1">
        <v>0</v>
      </c>
      <c r="AZ254" s="1" t="s">
        <v>81</v>
      </c>
      <c r="BA254" s="1">
        <v>2</v>
      </c>
      <c r="BB254" s="1">
        <v>0</v>
      </c>
      <c r="BC254" s="1">
        <v>0</v>
      </c>
      <c r="BE254" s="1">
        <v>27186124</v>
      </c>
    </row>
    <row r="255" spans="1:57" x14ac:dyDescent="0.25">
      <c r="A255" s="1" t="str">
        <f>T("1944061935402816784")</f>
        <v>1944061935402816784</v>
      </c>
      <c r="B255" s="1" t="str">
        <f>T("249929351248")</f>
        <v>249929351248</v>
      </c>
      <c r="C255" s="1" t="str">
        <f>T("1941094470279759748")</f>
        <v>1941094470279759748</v>
      </c>
      <c r="AC255" s="1" t="s">
        <v>104</v>
      </c>
      <c r="AD255" s="1" t="s">
        <v>151</v>
      </c>
      <c r="AE255" s="1" t="s">
        <v>152</v>
      </c>
      <c r="AF255" s="1" t="s">
        <v>107</v>
      </c>
      <c r="AG255" s="1">
        <v>32</v>
      </c>
      <c r="AO255" s="2">
        <v>46273</v>
      </c>
      <c r="AP255" s="1" t="s">
        <v>195</v>
      </c>
      <c r="AQ255" s="2">
        <v>46273</v>
      </c>
      <c r="AR255" s="1" t="s">
        <v>214</v>
      </c>
      <c r="AS255" s="1" t="s">
        <v>71</v>
      </c>
      <c r="AU255" s="1" t="s">
        <v>79</v>
      </c>
      <c r="AV255" s="1" t="s">
        <v>80</v>
      </c>
      <c r="AW255" s="1">
        <v>16.68</v>
      </c>
      <c r="AX255" s="1">
        <v>0</v>
      </c>
      <c r="AZ255" s="1" t="s">
        <v>81</v>
      </c>
      <c r="BA255" s="1">
        <v>2</v>
      </c>
      <c r="BB255" s="1">
        <v>0</v>
      </c>
      <c r="BC255" s="1">
        <v>0</v>
      </c>
      <c r="BE255" s="1">
        <v>27186124</v>
      </c>
    </row>
    <row r="256" spans="1:57" x14ac:dyDescent="0.25">
      <c r="A256" s="1" t="str">
        <f>T("1944061935411205700")</f>
        <v>1944061935411205700</v>
      </c>
      <c r="B256" s="1" t="str">
        <f>T("249910202438")</f>
        <v>249910202438</v>
      </c>
      <c r="C256" s="1" t="str">
        <f>T("1941094470279760548")</f>
        <v>1941094470279760548</v>
      </c>
      <c r="AC256" s="1" t="s">
        <v>104</v>
      </c>
      <c r="AD256" s="1" t="s">
        <v>151</v>
      </c>
      <c r="AE256" s="1" t="s">
        <v>152</v>
      </c>
      <c r="AF256" s="1" t="s">
        <v>107</v>
      </c>
      <c r="AG256" s="1">
        <v>17</v>
      </c>
      <c r="AO256" s="2">
        <v>46273</v>
      </c>
      <c r="AP256" s="1" t="s">
        <v>195</v>
      </c>
      <c r="AQ256" s="2">
        <v>46273</v>
      </c>
      <c r="AR256" s="1" t="s">
        <v>215</v>
      </c>
      <c r="AS256" s="1" t="s">
        <v>71</v>
      </c>
      <c r="AU256" s="1" t="s">
        <v>79</v>
      </c>
      <c r="AV256" s="1" t="s">
        <v>80</v>
      </c>
      <c r="AW256" s="1">
        <v>4.46</v>
      </c>
      <c r="AX256" s="1">
        <v>0</v>
      </c>
      <c r="AZ256" s="1" t="s">
        <v>81</v>
      </c>
      <c r="BA256" s="1">
        <v>2</v>
      </c>
      <c r="BB256" s="1">
        <v>0</v>
      </c>
      <c r="BC256" s="1">
        <v>0</v>
      </c>
      <c r="BE256" s="1">
        <v>27186124</v>
      </c>
    </row>
    <row r="257" spans="1:57" x14ac:dyDescent="0.25">
      <c r="A257" s="1" t="str">
        <f>T("1944061935415398908")</f>
        <v>1944061935415398908</v>
      </c>
      <c r="B257" s="1" t="str">
        <f>T("249998923344")</f>
        <v>249998923344</v>
      </c>
      <c r="C257" s="1" t="str">
        <f>T("1941094470279761348")</f>
        <v>1941094470279761348</v>
      </c>
      <c r="AA257" s="1">
        <v>1</v>
      </c>
      <c r="AC257" s="1" t="s">
        <v>104</v>
      </c>
      <c r="AD257" s="1" t="s">
        <v>151</v>
      </c>
      <c r="AE257" s="1" t="s">
        <v>152</v>
      </c>
      <c r="AF257" s="1" t="s">
        <v>107</v>
      </c>
      <c r="AG257" s="1">
        <v>70</v>
      </c>
      <c r="AO257" s="2">
        <v>46273</v>
      </c>
      <c r="AP257" s="1" t="s">
        <v>195</v>
      </c>
      <c r="AQ257" s="2">
        <v>46273</v>
      </c>
      <c r="AR257" s="1" t="s">
        <v>216</v>
      </c>
      <c r="AS257" s="1" t="s">
        <v>71</v>
      </c>
      <c r="AU257" s="1" t="s">
        <v>79</v>
      </c>
      <c r="AV257" s="1" t="s">
        <v>80</v>
      </c>
      <c r="AW257" s="1">
        <v>52.74</v>
      </c>
      <c r="AX257" s="1">
        <v>0</v>
      </c>
      <c r="AZ257" s="1" t="s">
        <v>81</v>
      </c>
      <c r="BA257" s="1">
        <v>2</v>
      </c>
      <c r="BB257" s="1">
        <v>0</v>
      </c>
      <c r="BC257" s="1">
        <v>0</v>
      </c>
      <c r="BE257" s="1">
        <v>27186124</v>
      </c>
    </row>
    <row r="258" spans="1:57" x14ac:dyDescent="0.25">
      <c r="A258" s="1" t="str">
        <f>T("1944061935423789824")</f>
        <v>1944061935423789824</v>
      </c>
      <c r="B258" s="1" t="str">
        <f>T("249920187427")</f>
        <v>249920187427</v>
      </c>
      <c r="C258" s="1" t="str">
        <f>T("1941094470283952156")</f>
        <v>1941094470283952156</v>
      </c>
      <c r="AA258" s="1">
        <v>1</v>
      </c>
      <c r="AC258" s="1" t="s">
        <v>104</v>
      </c>
      <c r="AD258" s="1" t="s">
        <v>151</v>
      </c>
      <c r="AE258" s="1" t="s">
        <v>152</v>
      </c>
      <c r="AF258" s="1" t="s">
        <v>107</v>
      </c>
      <c r="AG258" s="1">
        <v>23</v>
      </c>
      <c r="AO258" s="2">
        <v>46273</v>
      </c>
      <c r="AP258" s="1" t="s">
        <v>195</v>
      </c>
      <c r="AQ258" s="2">
        <v>46273</v>
      </c>
      <c r="AR258" s="1" t="s">
        <v>217</v>
      </c>
      <c r="AS258" s="1" t="s">
        <v>71</v>
      </c>
      <c r="AU258" s="1" t="s">
        <v>79</v>
      </c>
      <c r="AV258" s="1" t="s">
        <v>80</v>
      </c>
      <c r="AW258" s="1">
        <v>59.48</v>
      </c>
      <c r="AX258" s="1">
        <v>0</v>
      </c>
      <c r="AZ258" s="1" t="s">
        <v>81</v>
      </c>
      <c r="BA258" s="1">
        <v>3</v>
      </c>
      <c r="BB258" s="1">
        <v>0</v>
      </c>
      <c r="BC258" s="1">
        <v>0</v>
      </c>
      <c r="BE258" s="1">
        <v>27186124</v>
      </c>
    </row>
    <row r="259" spans="1:57" x14ac:dyDescent="0.25">
      <c r="A259" s="1" t="str">
        <f>T("1944061935474121920")</f>
        <v>1944061935474121920</v>
      </c>
      <c r="B259" s="1" t="str">
        <f>T("249928978130")</f>
        <v>249928978130</v>
      </c>
      <c r="C259" s="1" t="str">
        <f>T("1941094470283953156")</f>
        <v>1941094470283953156</v>
      </c>
      <c r="AA259" s="1">
        <v>1</v>
      </c>
      <c r="AC259" s="1" t="s">
        <v>104</v>
      </c>
      <c r="AD259" s="1" t="s">
        <v>151</v>
      </c>
      <c r="AE259" s="1" t="s">
        <v>152</v>
      </c>
      <c r="AF259" s="1" t="s">
        <v>107</v>
      </c>
      <c r="AG259" s="1">
        <v>49</v>
      </c>
      <c r="AO259" s="2">
        <v>46273</v>
      </c>
      <c r="AP259" s="1" t="s">
        <v>195</v>
      </c>
      <c r="AQ259" s="2">
        <v>46273</v>
      </c>
      <c r="AR259" s="1" t="s">
        <v>218</v>
      </c>
      <c r="AS259" s="1" t="s">
        <v>71</v>
      </c>
      <c r="AU259" s="1" t="s">
        <v>79</v>
      </c>
      <c r="AV259" s="1" t="s">
        <v>80</v>
      </c>
      <c r="AW259" s="1">
        <v>78.2</v>
      </c>
      <c r="AX259" s="1">
        <v>0</v>
      </c>
      <c r="AZ259" s="1" t="s">
        <v>81</v>
      </c>
      <c r="BA259" s="1">
        <v>3</v>
      </c>
      <c r="BB259" s="1">
        <v>0</v>
      </c>
      <c r="BC259" s="1">
        <v>0</v>
      </c>
      <c r="BE259" s="1">
        <v>27186124</v>
      </c>
    </row>
    <row r="260" spans="1:57" x14ac:dyDescent="0.25">
      <c r="A260" s="1" t="str">
        <f>T("1944061935474122620")</f>
        <v>1944061935474122620</v>
      </c>
      <c r="B260" s="1" t="str">
        <f>T("249927999062")</f>
        <v>249927999062</v>
      </c>
      <c r="C260" s="1" t="str">
        <f>T("1941094470283952556")</f>
        <v>1941094470283952556</v>
      </c>
      <c r="AC260" s="1" t="s">
        <v>104</v>
      </c>
      <c r="AD260" s="1" t="s">
        <v>151</v>
      </c>
      <c r="AE260" s="1" t="s">
        <v>152</v>
      </c>
      <c r="AF260" s="1" t="s">
        <v>107</v>
      </c>
      <c r="AG260" s="1">
        <v>46</v>
      </c>
      <c r="AO260" s="2">
        <v>46273</v>
      </c>
      <c r="AP260" s="1" t="s">
        <v>195</v>
      </c>
      <c r="AS260" s="1" t="s">
        <v>71</v>
      </c>
      <c r="AU260" s="1" t="s">
        <v>72</v>
      </c>
      <c r="AV260" s="1" t="s">
        <v>80</v>
      </c>
      <c r="AX260" s="1">
        <v>0</v>
      </c>
      <c r="BA260" s="1">
        <v>3</v>
      </c>
      <c r="BB260" s="1">
        <v>0</v>
      </c>
      <c r="BC260" s="1">
        <v>0</v>
      </c>
      <c r="BE260" s="1">
        <v>27186124</v>
      </c>
    </row>
    <row r="261" spans="1:57" x14ac:dyDescent="0.25">
      <c r="A261" s="1" t="str">
        <f>T("1944061935478315628")</f>
        <v>1944061935478315628</v>
      </c>
      <c r="B261" s="1" t="str">
        <f>T("249990346343")</f>
        <v>249990346343</v>
      </c>
      <c r="C261" s="1" t="str">
        <f>T("1941094470283954056")</f>
        <v>1941094470283954056</v>
      </c>
      <c r="AC261" s="1" t="s">
        <v>104</v>
      </c>
      <c r="AD261" s="1" t="s">
        <v>151</v>
      </c>
      <c r="AE261" s="1" t="s">
        <v>152</v>
      </c>
      <c r="AF261" s="1" t="s">
        <v>107</v>
      </c>
      <c r="AG261" s="1">
        <v>70</v>
      </c>
      <c r="AO261" s="2">
        <v>46273</v>
      </c>
      <c r="AP261" s="1" t="s">
        <v>195</v>
      </c>
      <c r="AQ261" s="2">
        <v>46273</v>
      </c>
      <c r="AR261" s="1" t="s">
        <v>219</v>
      </c>
      <c r="AS261" s="1" t="s">
        <v>71</v>
      </c>
      <c r="AU261" s="1" t="s">
        <v>79</v>
      </c>
      <c r="AV261" s="1" t="s">
        <v>80</v>
      </c>
      <c r="AW261" s="1">
        <v>27.7</v>
      </c>
      <c r="AX261" s="1">
        <v>0</v>
      </c>
      <c r="AZ261" s="1" t="s">
        <v>81</v>
      </c>
      <c r="BA261" s="1">
        <v>2</v>
      </c>
      <c r="BB261" s="1">
        <v>0</v>
      </c>
      <c r="BC261" s="1">
        <v>0</v>
      </c>
      <c r="BE261" s="1">
        <v>27186124</v>
      </c>
    </row>
    <row r="262" spans="1:57" x14ac:dyDescent="0.25">
      <c r="A262" s="1" t="str">
        <f>T("1944061935482508836")</f>
        <v>1944061935482508836</v>
      </c>
      <c r="B262" s="1" t="str">
        <f>T("249924476334")</f>
        <v>249924476334</v>
      </c>
      <c r="C262" s="1" t="str">
        <f>T("1941094470283953556")</f>
        <v>1941094470283953556</v>
      </c>
      <c r="M262" s="1" t="s">
        <v>59</v>
      </c>
      <c r="O262" s="1" t="s">
        <v>60</v>
      </c>
      <c r="P262" s="1" t="s">
        <v>83</v>
      </c>
      <c r="Q262" s="1" t="s">
        <v>101</v>
      </c>
      <c r="R262" s="1" t="s">
        <v>84</v>
      </c>
      <c r="S262" s="1" t="s">
        <v>94</v>
      </c>
      <c r="U262" s="1" t="s">
        <v>65</v>
      </c>
      <c r="V262" s="1" t="s">
        <v>68</v>
      </c>
      <c r="W262" s="1" t="s">
        <v>60</v>
      </c>
      <c r="X262" s="1" t="s">
        <v>102</v>
      </c>
      <c r="Y262" s="1" t="s">
        <v>69</v>
      </c>
      <c r="AA262" s="1">
        <v>1</v>
      </c>
      <c r="AB262" s="1">
        <v>1</v>
      </c>
      <c r="AC262" s="1" t="s">
        <v>104</v>
      </c>
      <c r="AD262" s="1" t="s">
        <v>151</v>
      </c>
      <c r="AE262" s="1" t="s">
        <v>152</v>
      </c>
      <c r="AF262" s="1" t="s">
        <v>107</v>
      </c>
      <c r="AG262" s="1">
        <v>41</v>
      </c>
      <c r="AO262" s="2">
        <v>46273</v>
      </c>
      <c r="AP262" s="1" t="s">
        <v>195</v>
      </c>
      <c r="AQ262" s="2">
        <v>46273</v>
      </c>
      <c r="AR262" s="1" t="s">
        <v>217</v>
      </c>
      <c r="AS262" s="1" t="s">
        <v>71</v>
      </c>
      <c r="AU262" s="1" t="s">
        <v>78</v>
      </c>
      <c r="AV262" s="1" t="s">
        <v>80</v>
      </c>
      <c r="AW262" s="1">
        <v>235.16</v>
      </c>
      <c r="AX262" s="1">
        <v>0</v>
      </c>
      <c r="AZ262" s="1" t="s">
        <v>81</v>
      </c>
      <c r="BA262" s="1">
        <v>3</v>
      </c>
      <c r="BB262" s="1">
        <v>0</v>
      </c>
      <c r="BC262" s="1">
        <v>0</v>
      </c>
      <c r="BE262" s="1">
        <v>27186124</v>
      </c>
    </row>
    <row r="263" spans="1:57" x14ac:dyDescent="0.25">
      <c r="A263" s="1" t="str">
        <f>T("1944061935532840632")</f>
        <v>1944061935532840632</v>
      </c>
      <c r="B263" s="1" t="str">
        <f>T("249991255929")</f>
        <v>249991255929</v>
      </c>
      <c r="C263" s="1" t="str">
        <f>T("1941094470283954456")</f>
        <v>1941094470283954456</v>
      </c>
      <c r="AC263" s="1" t="s">
        <v>104</v>
      </c>
      <c r="AD263" s="1" t="s">
        <v>151</v>
      </c>
      <c r="AE263" s="1" t="s">
        <v>152</v>
      </c>
      <c r="AF263" s="1" t="s">
        <v>107</v>
      </c>
      <c r="AG263" s="1">
        <v>40</v>
      </c>
      <c r="AO263" s="2">
        <v>46273</v>
      </c>
      <c r="AP263" s="1" t="s">
        <v>195</v>
      </c>
      <c r="AQ263" s="2">
        <v>46273</v>
      </c>
      <c r="AR263" s="1" t="s">
        <v>220</v>
      </c>
      <c r="AS263" s="1" t="s">
        <v>71</v>
      </c>
      <c r="AU263" s="1" t="s">
        <v>79</v>
      </c>
      <c r="AV263" s="1" t="s">
        <v>80</v>
      </c>
      <c r="AW263" s="1">
        <v>9.2799999999999994</v>
      </c>
      <c r="AX263" s="1">
        <v>0</v>
      </c>
      <c r="AZ263" s="1" t="s">
        <v>81</v>
      </c>
      <c r="BA263" s="1">
        <v>2</v>
      </c>
      <c r="BB263" s="1">
        <v>0</v>
      </c>
      <c r="BC263" s="1">
        <v>0</v>
      </c>
      <c r="BE263" s="1">
        <v>27186124</v>
      </c>
    </row>
    <row r="264" spans="1:57" x14ac:dyDescent="0.25">
      <c r="A264" s="1" t="str">
        <f>T("1944061935537034540")</f>
        <v>1944061935537034540</v>
      </c>
      <c r="B264" s="1" t="str">
        <f>T("249924403629")</f>
        <v>249924403629</v>
      </c>
      <c r="C264" s="1" t="str">
        <f>T("1941094470288147364")</f>
        <v>1941094470288147364</v>
      </c>
      <c r="AC264" s="1" t="s">
        <v>104</v>
      </c>
      <c r="AD264" s="1" t="s">
        <v>151</v>
      </c>
      <c r="AE264" s="1" t="s">
        <v>152</v>
      </c>
      <c r="AF264" s="1" t="s">
        <v>107</v>
      </c>
      <c r="AG264" s="1">
        <v>50</v>
      </c>
      <c r="AO264" s="2">
        <v>46273</v>
      </c>
      <c r="AP264" s="1" t="s">
        <v>195</v>
      </c>
      <c r="AS264" s="1" t="s">
        <v>71</v>
      </c>
      <c r="AU264" s="1" t="s">
        <v>72</v>
      </c>
      <c r="AV264" s="1" t="s">
        <v>131</v>
      </c>
      <c r="AX264" s="1">
        <v>0</v>
      </c>
      <c r="BA264" s="1">
        <v>3</v>
      </c>
      <c r="BB264" s="1">
        <v>0</v>
      </c>
      <c r="BC264" s="1">
        <v>0</v>
      </c>
      <c r="BE264" s="1">
        <v>27186124</v>
      </c>
    </row>
    <row r="265" spans="1:57" x14ac:dyDescent="0.25">
      <c r="A265" s="1" t="str">
        <f>T("1944061935537036540")</f>
        <v>1944061935537036540</v>
      </c>
      <c r="B265" s="1" t="str">
        <f>T("249904947760")</f>
        <v>249904947760</v>
      </c>
      <c r="C265" s="1" t="str">
        <f>T("1941094470288148164")</f>
        <v>1941094470288148164</v>
      </c>
      <c r="AC265" s="1" t="s">
        <v>104</v>
      </c>
      <c r="AD265" s="1" t="s">
        <v>151</v>
      </c>
      <c r="AE265" s="1" t="s">
        <v>152</v>
      </c>
      <c r="AF265" s="1" t="s">
        <v>107</v>
      </c>
      <c r="AG265" s="1">
        <v>26</v>
      </c>
      <c r="AO265" s="2">
        <v>46273</v>
      </c>
      <c r="AP265" s="1" t="s">
        <v>195</v>
      </c>
      <c r="AQ265" s="2">
        <v>46273</v>
      </c>
      <c r="AR265" s="1" t="s">
        <v>221</v>
      </c>
      <c r="AS265" s="1" t="s">
        <v>71</v>
      </c>
      <c r="AU265" s="1" t="s">
        <v>79</v>
      </c>
      <c r="AV265" s="1" t="s">
        <v>80</v>
      </c>
      <c r="AW265" s="1">
        <v>37.44</v>
      </c>
      <c r="AX265" s="1">
        <v>0</v>
      </c>
      <c r="AZ265" s="1" t="s">
        <v>81</v>
      </c>
      <c r="BA265" s="1">
        <v>3</v>
      </c>
      <c r="BB265" s="1">
        <v>0</v>
      </c>
      <c r="BC265" s="1">
        <v>0</v>
      </c>
      <c r="BE265" s="1">
        <v>27186124</v>
      </c>
    </row>
    <row r="266" spans="1:57" x14ac:dyDescent="0.25">
      <c r="A266" s="1" t="str">
        <f>T("1944061935541230148")</f>
        <v>1944061935541230148</v>
      </c>
      <c r="B266" s="1" t="str">
        <f>T("249995508503")</f>
        <v>249995508503</v>
      </c>
      <c r="C266" s="1" t="str">
        <f>T("1941094470288148564")</f>
        <v>1941094470288148564</v>
      </c>
      <c r="AC266" s="1" t="s">
        <v>104</v>
      </c>
      <c r="AD266" s="1" t="s">
        <v>151</v>
      </c>
      <c r="AE266" s="1" t="s">
        <v>152</v>
      </c>
      <c r="AF266" s="1" t="s">
        <v>107</v>
      </c>
      <c r="AG266" s="1">
        <v>39</v>
      </c>
      <c r="AO266" s="2">
        <v>46273</v>
      </c>
      <c r="AP266" s="1" t="s">
        <v>195</v>
      </c>
      <c r="AS266" s="1" t="s">
        <v>71</v>
      </c>
      <c r="AU266" s="1" t="s">
        <v>72</v>
      </c>
      <c r="AV266" s="1" t="s">
        <v>73</v>
      </c>
      <c r="AX266" s="1">
        <v>0</v>
      </c>
      <c r="BA266" s="1">
        <v>3</v>
      </c>
      <c r="BB266" s="1">
        <v>0</v>
      </c>
      <c r="BC266" s="1">
        <v>0</v>
      </c>
      <c r="BE266" s="1">
        <v>27186124</v>
      </c>
    </row>
    <row r="267" spans="1:57" x14ac:dyDescent="0.25">
      <c r="A267" s="1" t="str">
        <f>T("1944061935591562544")</f>
        <v>1944061935591562544</v>
      </c>
      <c r="B267" s="1" t="str">
        <f>T("249926531630")</f>
        <v>249926531630</v>
      </c>
      <c r="C267" s="1" t="str">
        <f>T("1941094470288149064")</f>
        <v>1941094470288149064</v>
      </c>
      <c r="AA267" s="1">
        <v>1</v>
      </c>
      <c r="AC267" s="1" t="s">
        <v>104</v>
      </c>
      <c r="AD267" s="1" t="s">
        <v>151</v>
      </c>
      <c r="AE267" s="1" t="s">
        <v>152</v>
      </c>
      <c r="AF267" s="1" t="s">
        <v>107</v>
      </c>
      <c r="AG267" s="1">
        <v>26</v>
      </c>
      <c r="AO267" s="2">
        <v>46273</v>
      </c>
      <c r="AP267" s="1" t="s">
        <v>195</v>
      </c>
      <c r="AQ267" s="2">
        <v>46273</v>
      </c>
      <c r="AR267" s="1" t="s">
        <v>222</v>
      </c>
      <c r="AS267" s="1" t="s">
        <v>71</v>
      </c>
      <c r="AU267" s="1" t="s">
        <v>79</v>
      </c>
      <c r="AV267" s="1" t="s">
        <v>80</v>
      </c>
      <c r="AW267" s="1">
        <v>50.92</v>
      </c>
      <c r="AX267" s="1">
        <v>0</v>
      </c>
      <c r="AZ267" s="1" t="s">
        <v>81</v>
      </c>
      <c r="BA267" s="1">
        <v>3</v>
      </c>
      <c r="BB267" s="1">
        <v>0</v>
      </c>
      <c r="BC267" s="1">
        <v>0</v>
      </c>
      <c r="BE267" s="1">
        <v>27186124</v>
      </c>
    </row>
    <row r="268" spans="1:57" x14ac:dyDescent="0.25">
      <c r="A268" s="1" t="str">
        <f>T("1944061935595757552")</f>
        <v>1944061935595757552</v>
      </c>
      <c r="B268" s="1" t="str">
        <f>T("249991090990")</f>
        <v>249991090990</v>
      </c>
      <c r="C268" s="1" t="str">
        <f>T("1941094470288150064")</f>
        <v>1941094470288150064</v>
      </c>
      <c r="AC268" s="1" t="s">
        <v>104</v>
      </c>
      <c r="AD268" s="1" t="s">
        <v>151</v>
      </c>
      <c r="AE268" s="1" t="s">
        <v>152</v>
      </c>
      <c r="AF268" s="1" t="s">
        <v>107</v>
      </c>
      <c r="AG268" s="1">
        <v>32</v>
      </c>
      <c r="AO268" s="2">
        <v>46273</v>
      </c>
      <c r="AP268" s="1" t="s">
        <v>195</v>
      </c>
      <c r="AQ268" s="2">
        <v>46273</v>
      </c>
      <c r="AR268" s="1" t="s">
        <v>223</v>
      </c>
      <c r="AS268" s="1" t="s">
        <v>71</v>
      </c>
      <c r="AU268" s="1" t="s">
        <v>79</v>
      </c>
      <c r="AV268" s="1" t="s">
        <v>80</v>
      </c>
      <c r="AW268" s="1">
        <v>13.54</v>
      </c>
      <c r="AX268" s="1">
        <v>0</v>
      </c>
      <c r="AZ268" s="1" t="s">
        <v>81</v>
      </c>
      <c r="BA268" s="1">
        <v>3</v>
      </c>
      <c r="BB268" s="1">
        <v>0</v>
      </c>
      <c r="BC268" s="1">
        <v>0</v>
      </c>
      <c r="BE268" s="1">
        <v>27186124</v>
      </c>
    </row>
    <row r="269" spans="1:57" x14ac:dyDescent="0.25">
      <c r="A269" s="1" t="str">
        <f>T("1944061935599948560")</f>
        <v>1944061935599948560</v>
      </c>
      <c r="B269" s="1" t="str">
        <f>T("24992025152")</f>
        <v>24992025152</v>
      </c>
      <c r="C269" s="1" t="str">
        <f>T("1941094470288149464")</f>
        <v>1941094470288149464</v>
      </c>
      <c r="AC269" s="1" t="s">
        <v>104</v>
      </c>
      <c r="AD269" s="1" t="s">
        <v>151</v>
      </c>
      <c r="AE269" s="1" t="s">
        <v>152</v>
      </c>
      <c r="AF269" s="1" t="s">
        <v>107</v>
      </c>
      <c r="AG269" s="1">
        <v>29</v>
      </c>
      <c r="AO269" s="2">
        <v>46273</v>
      </c>
      <c r="AP269" s="1" t="s">
        <v>195</v>
      </c>
      <c r="AS269" s="1" t="s">
        <v>71</v>
      </c>
      <c r="AU269" s="1" t="s">
        <v>72</v>
      </c>
      <c r="AV269" s="1" t="s">
        <v>73</v>
      </c>
      <c r="AX269" s="1">
        <v>0</v>
      </c>
      <c r="BA269" s="1">
        <v>3</v>
      </c>
      <c r="BB269" s="1">
        <v>0</v>
      </c>
      <c r="BC269" s="1">
        <v>0</v>
      </c>
      <c r="BE269" s="1">
        <v>27186124</v>
      </c>
    </row>
    <row r="270" spans="1:57" x14ac:dyDescent="0.25">
      <c r="A270" s="1" t="str">
        <f>T("1944061935604142968")</f>
        <v>1944061935604142968</v>
      </c>
      <c r="B270" s="1" t="str">
        <f>T("249927658409")</f>
        <v>249927658409</v>
      </c>
      <c r="C270" s="1" t="str">
        <f>T("1941094470292340872")</f>
        <v>1941094470292340872</v>
      </c>
      <c r="AC270" s="1" t="s">
        <v>104</v>
      </c>
      <c r="AD270" s="1" t="s">
        <v>151</v>
      </c>
      <c r="AE270" s="1" t="s">
        <v>152</v>
      </c>
      <c r="AF270" s="1" t="s">
        <v>107</v>
      </c>
      <c r="AG270" s="1">
        <v>68</v>
      </c>
      <c r="AO270" s="2">
        <v>46273</v>
      </c>
      <c r="AP270" s="1" t="s">
        <v>195</v>
      </c>
      <c r="AS270" s="1" t="s">
        <v>71</v>
      </c>
      <c r="AU270" s="1" t="s">
        <v>72</v>
      </c>
      <c r="AV270" s="1" t="s">
        <v>80</v>
      </c>
      <c r="AX270" s="1">
        <v>0</v>
      </c>
      <c r="BA270" s="1">
        <v>3</v>
      </c>
      <c r="BB270" s="1">
        <v>0</v>
      </c>
      <c r="BC270" s="1">
        <v>0</v>
      </c>
      <c r="BE270" s="1">
        <v>27186124</v>
      </c>
    </row>
    <row r="271" spans="1:57" x14ac:dyDescent="0.25">
      <c r="A271" s="1" t="str">
        <f>T("1944061935646089148")</f>
        <v>1944061935646089148</v>
      </c>
      <c r="B271" s="1" t="str">
        <f>T("249991233383")</f>
        <v>249991233383</v>
      </c>
      <c r="C271" s="1" t="str">
        <f>T("1941094470292341272")</f>
        <v>1941094470292341272</v>
      </c>
      <c r="AC271" s="1" t="s">
        <v>104</v>
      </c>
      <c r="AD271" s="1" t="s">
        <v>151</v>
      </c>
      <c r="AE271" s="1" t="s">
        <v>152</v>
      </c>
      <c r="AF271" s="1" t="s">
        <v>107</v>
      </c>
      <c r="AG271" s="1">
        <v>52</v>
      </c>
      <c r="AO271" s="2">
        <v>46273</v>
      </c>
      <c r="AP271" s="1" t="s">
        <v>195</v>
      </c>
      <c r="AS271" s="1" t="s">
        <v>71</v>
      </c>
      <c r="AU271" s="1" t="s">
        <v>72</v>
      </c>
      <c r="AV271" s="1" t="s">
        <v>80</v>
      </c>
      <c r="AX271" s="1">
        <v>0</v>
      </c>
      <c r="BA271" s="1">
        <v>3</v>
      </c>
      <c r="BB271" s="1">
        <v>0</v>
      </c>
      <c r="BC271" s="1">
        <v>0</v>
      </c>
      <c r="BE271" s="1">
        <v>27186124</v>
      </c>
    </row>
    <row r="272" spans="1:57" x14ac:dyDescent="0.25">
      <c r="A272" s="1" t="str">
        <f>T("1944061935654474664")</f>
        <v>1944061935654474664</v>
      </c>
      <c r="B272" s="1" t="str">
        <f>T("249911205503")</f>
        <v>249911205503</v>
      </c>
      <c r="C272" s="1" t="str">
        <f>T("1941094470292341872")</f>
        <v>1941094470292341872</v>
      </c>
      <c r="AC272" s="1" t="s">
        <v>104</v>
      </c>
      <c r="AD272" s="1" t="s">
        <v>151</v>
      </c>
      <c r="AE272" s="1" t="s">
        <v>152</v>
      </c>
      <c r="AF272" s="1" t="s">
        <v>107</v>
      </c>
      <c r="AG272" s="1">
        <v>43</v>
      </c>
      <c r="AO272" s="2">
        <v>46273</v>
      </c>
      <c r="AP272" s="1" t="s">
        <v>195</v>
      </c>
      <c r="AQ272" s="2">
        <v>46273</v>
      </c>
      <c r="AR272" s="1" t="s">
        <v>224</v>
      </c>
      <c r="AS272" s="1" t="s">
        <v>71</v>
      </c>
      <c r="AU272" s="1" t="s">
        <v>79</v>
      </c>
      <c r="AV272" s="1" t="s">
        <v>80</v>
      </c>
      <c r="AW272" s="1">
        <v>36.020000000000003</v>
      </c>
      <c r="AX272" s="1">
        <v>0</v>
      </c>
      <c r="AZ272" s="1" t="s">
        <v>81</v>
      </c>
      <c r="BA272" s="1">
        <v>1</v>
      </c>
      <c r="BB272" s="1">
        <v>0</v>
      </c>
      <c r="BC272" s="1">
        <v>0</v>
      </c>
      <c r="BE272" s="1">
        <v>27186124</v>
      </c>
    </row>
    <row r="273" spans="1:57" x14ac:dyDescent="0.25">
      <c r="A273" s="1" t="str">
        <f>T("1944061935658670972")</f>
        <v>1944061935658670972</v>
      </c>
      <c r="B273" s="1" t="str">
        <f>T("249923825909")</f>
        <v>249923825909</v>
      </c>
      <c r="C273" s="1" t="str">
        <f>T("1941094470292343172")</f>
        <v>1941094470292343172</v>
      </c>
      <c r="AC273" s="1" t="s">
        <v>104</v>
      </c>
      <c r="AD273" s="1" t="s">
        <v>151</v>
      </c>
      <c r="AE273" s="1" t="s">
        <v>152</v>
      </c>
      <c r="AF273" s="1" t="s">
        <v>107</v>
      </c>
      <c r="AG273" s="1">
        <v>22</v>
      </c>
      <c r="AO273" s="2">
        <v>46273</v>
      </c>
      <c r="AP273" s="1" t="s">
        <v>195</v>
      </c>
      <c r="AS273" s="1" t="s">
        <v>71</v>
      </c>
      <c r="AU273" s="1" t="s">
        <v>72</v>
      </c>
      <c r="AV273" s="1" t="s">
        <v>80</v>
      </c>
      <c r="AX273" s="1">
        <v>0</v>
      </c>
      <c r="BA273" s="1">
        <v>3</v>
      </c>
      <c r="BB273" s="1">
        <v>0</v>
      </c>
      <c r="BC273" s="1">
        <v>0</v>
      </c>
      <c r="BE273" s="1">
        <v>27186124</v>
      </c>
    </row>
    <row r="274" spans="1:57" x14ac:dyDescent="0.25">
      <c r="A274" s="1" t="str">
        <f>T("1944061935658671772")</f>
        <v>1944061935658671772</v>
      </c>
      <c r="B274" s="1" t="str">
        <f>T("249922135663")</f>
        <v>249922135663</v>
      </c>
      <c r="C274" s="1" t="str">
        <f>T("1941094470292342672")</f>
        <v>1941094470292342672</v>
      </c>
      <c r="AA274" s="1">
        <v>1</v>
      </c>
      <c r="AC274" s="1" t="s">
        <v>104</v>
      </c>
      <c r="AD274" s="1" t="s">
        <v>151</v>
      </c>
      <c r="AE274" s="1" t="s">
        <v>152</v>
      </c>
      <c r="AF274" s="1" t="s">
        <v>107</v>
      </c>
      <c r="AG274" s="1">
        <v>23</v>
      </c>
      <c r="AO274" s="2">
        <v>46273</v>
      </c>
      <c r="AP274" s="1" t="s">
        <v>195</v>
      </c>
      <c r="AQ274" s="2">
        <v>46273</v>
      </c>
      <c r="AR274" s="1" t="s">
        <v>225</v>
      </c>
      <c r="AS274" s="1" t="s">
        <v>71</v>
      </c>
      <c r="AU274" s="1" t="s">
        <v>78</v>
      </c>
      <c r="AV274" s="1" t="s">
        <v>80</v>
      </c>
      <c r="AW274" s="1">
        <v>134.58000000000001</v>
      </c>
      <c r="AX274" s="1">
        <v>0</v>
      </c>
      <c r="AZ274" s="1" t="s">
        <v>81</v>
      </c>
      <c r="BA274" s="1">
        <v>1</v>
      </c>
      <c r="BB274" s="1">
        <v>0</v>
      </c>
      <c r="BC274" s="1">
        <v>0</v>
      </c>
      <c r="BE274" s="1">
        <v>27186124</v>
      </c>
    </row>
    <row r="275" spans="1:57" x14ac:dyDescent="0.25">
      <c r="A275" s="1" t="str">
        <f>T("1944061935704807960")</f>
        <v>1944061935704807960</v>
      </c>
      <c r="B275" s="1" t="str">
        <f>T("249927071650")</f>
        <v>249927071650</v>
      </c>
      <c r="C275" s="1" t="str">
        <f>T("1941094470292343772")</f>
        <v>1941094470292343772</v>
      </c>
      <c r="AC275" s="1" t="s">
        <v>104</v>
      </c>
      <c r="AD275" s="1" t="s">
        <v>151</v>
      </c>
      <c r="AE275" s="1" t="s">
        <v>152</v>
      </c>
      <c r="AF275" s="1" t="s">
        <v>107</v>
      </c>
      <c r="AG275" s="1">
        <v>48</v>
      </c>
      <c r="AO275" s="2">
        <v>46273</v>
      </c>
      <c r="AP275" s="1" t="s">
        <v>195</v>
      </c>
      <c r="AS275" s="1" t="s">
        <v>71</v>
      </c>
      <c r="AU275" s="1" t="s">
        <v>72</v>
      </c>
      <c r="AV275" s="1" t="s">
        <v>80</v>
      </c>
      <c r="AX275" s="1">
        <v>0</v>
      </c>
      <c r="BA275" s="1">
        <v>3</v>
      </c>
      <c r="BB275" s="1">
        <v>0</v>
      </c>
      <c r="BC275" s="1">
        <v>0</v>
      </c>
      <c r="BE275" s="1">
        <v>27186124</v>
      </c>
    </row>
    <row r="276" spans="1:57" x14ac:dyDescent="0.25">
      <c r="A276" s="1" t="str">
        <f>T("1944061935709002568")</f>
        <v>1944061935709002568</v>
      </c>
      <c r="B276" s="1" t="str">
        <f>T("249920706569")</f>
        <v>249920706569</v>
      </c>
      <c r="C276" s="1" t="str">
        <f>T("1941094470296535180")</f>
        <v>1941094470296535180</v>
      </c>
      <c r="AC276" s="1" t="s">
        <v>104</v>
      </c>
      <c r="AD276" s="1" t="s">
        <v>151</v>
      </c>
      <c r="AE276" s="1" t="s">
        <v>152</v>
      </c>
      <c r="AF276" s="1" t="s">
        <v>107</v>
      </c>
      <c r="AG276" s="1">
        <v>30</v>
      </c>
      <c r="AO276" s="2">
        <v>46273</v>
      </c>
      <c r="AP276" s="1" t="s">
        <v>195</v>
      </c>
      <c r="AS276" s="1" t="s">
        <v>71</v>
      </c>
      <c r="AU276" s="1" t="s">
        <v>72</v>
      </c>
      <c r="AV276" s="1" t="s">
        <v>80</v>
      </c>
      <c r="AX276" s="1">
        <v>0</v>
      </c>
      <c r="BA276" s="1">
        <v>3</v>
      </c>
      <c r="BB276" s="1">
        <v>0</v>
      </c>
      <c r="BC276" s="1">
        <v>0</v>
      </c>
      <c r="BE276" s="1">
        <v>27186124</v>
      </c>
    </row>
    <row r="277" spans="1:57" x14ac:dyDescent="0.25">
      <c r="A277" s="1" t="str">
        <f>T("1944061935709002569")</f>
        <v>1944061935709002569</v>
      </c>
      <c r="B277" s="1" t="str">
        <f>T("249928862025")</f>
        <v>249928862025</v>
      </c>
      <c r="C277" s="1" t="str">
        <f>T("1941094470292344372")</f>
        <v>1941094470292344372</v>
      </c>
      <c r="AC277" s="1" t="s">
        <v>104</v>
      </c>
      <c r="AD277" s="1" t="s">
        <v>151</v>
      </c>
      <c r="AE277" s="1" t="s">
        <v>152</v>
      </c>
      <c r="AF277" s="1" t="s">
        <v>107</v>
      </c>
      <c r="AG277" s="1">
        <v>35</v>
      </c>
      <c r="AO277" s="2">
        <v>46273</v>
      </c>
      <c r="AP277" s="1" t="s">
        <v>195</v>
      </c>
      <c r="AS277" s="1" t="s">
        <v>71</v>
      </c>
      <c r="AU277" s="1" t="s">
        <v>72</v>
      </c>
      <c r="AV277" s="1" t="s">
        <v>80</v>
      </c>
      <c r="AX277" s="1">
        <v>0</v>
      </c>
      <c r="BA277" s="1">
        <v>3</v>
      </c>
      <c r="BB277" s="1">
        <v>0</v>
      </c>
      <c r="BC277" s="1">
        <v>0</v>
      </c>
      <c r="BE277" s="1">
        <v>27186124</v>
      </c>
    </row>
    <row r="278" spans="1:57" x14ac:dyDescent="0.25">
      <c r="A278" s="1" t="str">
        <f>T("1944061935713197976")</f>
        <v>1944061935713197976</v>
      </c>
      <c r="B278" s="1" t="str">
        <f>T("249929189020")</f>
        <v>249929189020</v>
      </c>
      <c r="C278" s="1" t="str">
        <f>T("1941094470296535580")</f>
        <v>1941094470296535580</v>
      </c>
      <c r="AC278" s="1" t="s">
        <v>104</v>
      </c>
      <c r="AD278" s="1" t="s">
        <v>151</v>
      </c>
      <c r="AE278" s="1" t="s">
        <v>152</v>
      </c>
      <c r="AF278" s="1" t="s">
        <v>107</v>
      </c>
      <c r="AG278" s="1">
        <v>17</v>
      </c>
      <c r="AO278" s="2">
        <v>46273</v>
      </c>
      <c r="AP278" s="1" t="s">
        <v>195</v>
      </c>
      <c r="AS278" s="1" t="s">
        <v>71</v>
      </c>
      <c r="AU278" s="1" t="s">
        <v>72</v>
      </c>
      <c r="AV278" s="1" t="s">
        <v>80</v>
      </c>
      <c r="AX278" s="1">
        <v>0</v>
      </c>
      <c r="BA278" s="1">
        <v>3</v>
      </c>
      <c r="BB278" s="1">
        <v>0</v>
      </c>
      <c r="BC278" s="1">
        <v>0</v>
      </c>
      <c r="BE278" s="1">
        <v>27186124</v>
      </c>
    </row>
    <row r="279" spans="1:57" x14ac:dyDescent="0.25">
      <c r="A279" s="1" t="str">
        <f>T("1944105217822496648")</f>
        <v>1944105217822496648</v>
      </c>
      <c r="B279" s="1" t="str">
        <f>T("249991241017")</f>
        <v>249991241017</v>
      </c>
      <c r="C279" s="1" t="str">
        <f>T("1941094470296536380")</f>
        <v>1941094470296536380</v>
      </c>
      <c r="AC279" s="1" t="s">
        <v>104</v>
      </c>
      <c r="AD279" s="1" t="s">
        <v>151</v>
      </c>
      <c r="AE279" s="1" t="s">
        <v>152</v>
      </c>
      <c r="AF279" s="1" t="s">
        <v>107</v>
      </c>
      <c r="AG279" s="1">
        <v>16</v>
      </c>
      <c r="AO279" s="2">
        <v>46273</v>
      </c>
      <c r="AP279" s="1" t="s">
        <v>226</v>
      </c>
      <c r="AS279" s="1" t="s">
        <v>71</v>
      </c>
      <c r="AU279" s="1" t="s">
        <v>72</v>
      </c>
      <c r="AV279" s="1" t="s">
        <v>73</v>
      </c>
      <c r="AX279" s="1">
        <v>0</v>
      </c>
      <c r="BA279" s="1">
        <v>3</v>
      </c>
      <c r="BB279" s="1">
        <v>0</v>
      </c>
      <c r="BC279" s="1">
        <v>0</v>
      </c>
      <c r="BE279" s="1">
        <v>27186122</v>
      </c>
    </row>
    <row r="280" spans="1:57" x14ac:dyDescent="0.25">
      <c r="A280" s="1" t="str">
        <f>T("1944105218011241208")</f>
        <v>1944105218011241208</v>
      </c>
      <c r="B280" s="1" t="str">
        <f>T("249926306258")</f>
        <v>249926306258</v>
      </c>
      <c r="C280" s="1" t="str">
        <f>T("1941094470300730188")</f>
        <v>1941094470300730188</v>
      </c>
      <c r="AC280" s="1" t="s">
        <v>104</v>
      </c>
      <c r="AD280" s="1" t="s">
        <v>151</v>
      </c>
      <c r="AE280" s="1" t="s">
        <v>152</v>
      </c>
      <c r="AF280" s="1" t="s">
        <v>107</v>
      </c>
      <c r="AG280" s="1">
        <v>22</v>
      </c>
      <c r="AO280" s="2">
        <v>46273</v>
      </c>
      <c r="AP280" s="1" t="s">
        <v>226</v>
      </c>
      <c r="AS280" s="1" t="s">
        <v>71</v>
      </c>
      <c r="AU280" s="1" t="s">
        <v>72</v>
      </c>
      <c r="AV280" s="1" t="s">
        <v>73</v>
      </c>
      <c r="AX280" s="1">
        <v>0</v>
      </c>
      <c r="BA280" s="1">
        <v>3</v>
      </c>
      <c r="BB280" s="1">
        <v>0</v>
      </c>
      <c r="BC280" s="1">
        <v>0</v>
      </c>
      <c r="BE280" s="1">
        <v>27186122</v>
      </c>
    </row>
    <row r="281" spans="1:57" x14ac:dyDescent="0.25">
      <c r="A281" s="1" t="str">
        <f>T("1944105218086736952")</f>
        <v>1944105218086736952</v>
      </c>
      <c r="B281" s="1" t="str">
        <f>T("249920716214")</f>
        <v>249920716214</v>
      </c>
      <c r="C281" s="1" t="str">
        <f>T("1941094470300730688")</f>
        <v>1941094470300730688</v>
      </c>
      <c r="AC281" s="1" t="s">
        <v>104</v>
      </c>
      <c r="AD281" s="1" t="s">
        <v>151</v>
      </c>
      <c r="AE281" s="1" t="s">
        <v>152</v>
      </c>
      <c r="AF281" s="1" t="s">
        <v>107</v>
      </c>
      <c r="AG281" s="1">
        <v>33</v>
      </c>
      <c r="AO281" s="2">
        <v>46273</v>
      </c>
      <c r="AP281" s="1" t="s">
        <v>226</v>
      </c>
      <c r="AS281" s="1" t="s">
        <v>71</v>
      </c>
      <c r="AU281" s="1" t="s">
        <v>72</v>
      </c>
      <c r="AV281" s="1" t="s">
        <v>73</v>
      </c>
      <c r="AX281" s="1">
        <v>0</v>
      </c>
      <c r="BA281" s="1">
        <v>3</v>
      </c>
      <c r="BB281" s="1">
        <v>0</v>
      </c>
      <c r="BC281" s="1">
        <v>0</v>
      </c>
      <c r="BE281" s="1">
        <v>27186122</v>
      </c>
    </row>
    <row r="282" spans="1:57" x14ac:dyDescent="0.25">
      <c r="A282" s="1" t="str">
        <f>T("1944105218179012228")</f>
        <v>1944105218179012228</v>
      </c>
      <c r="B282" s="1" t="str">
        <f>T("249997550478")</f>
        <v>249997550478</v>
      </c>
      <c r="C282" s="1" t="str">
        <f>T("1941094470300732188")</f>
        <v>1941094470300732188</v>
      </c>
      <c r="AC282" s="1" t="s">
        <v>104</v>
      </c>
      <c r="AD282" s="1" t="s">
        <v>151</v>
      </c>
      <c r="AE282" s="1" t="s">
        <v>152</v>
      </c>
      <c r="AF282" s="1" t="s">
        <v>107</v>
      </c>
      <c r="AG282" s="1">
        <v>25</v>
      </c>
      <c r="AO282" s="2">
        <v>46273</v>
      </c>
      <c r="AP282" s="1" t="s">
        <v>226</v>
      </c>
      <c r="AS282" s="1" t="s">
        <v>71</v>
      </c>
      <c r="AU282" s="1" t="s">
        <v>72</v>
      </c>
      <c r="AV282" s="1" t="s">
        <v>73</v>
      </c>
      <c r="AX282" s="1">
        <v>0</v>
      </c>
      <c r="BA282" s="1">
        <v>3</v>
      </c>
      <c r="BB282" s="1">
        <v>0</v>
      </c>
      <c r="BC282" s="1">
        <v>0</v>
      </c>
      <c r="BE282" s="1">
        <v>27186122</v>
      </c>
    </row>
    <row r="283" spans="1:57" x14ac:dyDescent="0.25">
      <c r="A283" s="1" t="str">
        <f>T("1944105218309037476")</f>
        <v>1944105218309037476</v>
      </c>
      <c r="B283" s="1" t="str">
        <f>T("249923179356")</f>
        <v>249923179356</v>
      </c>
      <c r="C283" s="1" t="str">
        <f>T("1941094470300733388")</f>
        <v>1941094470300733388</v>
      </c>
      <c r="AC283" s="1" t="s">
        <v>104</v>
      </c>
      <c r="AD283" s="1" t="s">
        <v>151</v>
      </c>
      <c r="AE283" s="1" t="s">
        <v>152</v>
      </c>
      <c r="AF283" s="1" t="s">
        <v>107</v>
      </c>
      <c r="AG283" s="1">
        <v>39</v>
      </c>
      <c r="AO283" s="2">
        <v>46273</v>
      </c>
      <c r="AP283" s="1" t="s">
        <v>226</v>
      </c>
      <c r="AS283" s="1" t="s">
        <v>71</v>
      </c>
      <c r="AU283" s="1" t="s">
        <v>72</v>
      </c>
      <c r="AV283" s="1" t="s">
        <v>131</v>
      </c>
      <c r="AX283" s="1">
        <v>0</v>
      </c>
      <c r="BA283" s="1">
        <v>3</v>
      </c>
      <c r="BB283" s="1">
        <v>0</v>
      </c>
      <c r="BC283" s="1">
        <v>0</v>
      </c>
      <c r="BE283" s="1">
        <v>27186122</v>
      </c>
    </row>
    <row r="284" spans="1:57" x14ac:dyDescent="0.25">
      <c r="A284" s="1" t="str">
        <f>T("1944105218384534620")</f>
        <v>1944105218384534620</v>
      </c>
      <c r="B284" s="1" t="str">
        <f>T("24990469893")</f>
        <v>24990469893</v>
      </c>
      <c r="C284" s="1" t="str">
        <f>T("1941094470304925396")</f>
        <v>1941094470304925396</v>
      </c>
      <c r="AC284" s="1" t="s">
        <v>104</v>
      </c>
      <c r="AD284" s="1" t="s">
        <v>151</v>
      </c>
      <c r="AE284" s="1" t="s">
        <v>152</v>
      </c>
      <c r="AF284" s="1" t="s">
        <v>107</v>
      </c>
      <c r="AG284" s="1">
        <v>38</v>
      </c>
      <c r="AO284" s="2">
        <v>46273</v>
      </c>
      <c r="AP284" s="1" t="s">
        <v>226</v>
      </c>
      <c r="AS284" s="1" t="s">
        <v>71</v>
      </c>
      <c r="AU284" s="1" t="s">
        <v>72</v>
      </c>
      <c r="AV284" s="1" t="s">
        <v>73</v>
      </c>
      <c r="AX284" s="1">
        <v>0</v>
      </c>
      <c r="BA284" s="1">
        <v>3</v>
      </c>
      <c r="BB284" s="1">
        <v>0</v>
      </c>
      <c r="BC284" s="1">
        <v>0</v>
      </c>
      <c r="BE284" s="1">
        <v>27186122</v>
      </c>
    </row>
    <row r="285" spans="1:57" x14ac:dyDescent="0.25">
      <c r="A285" s="1" t="str">
        <f>T("1944105218489390320")</f>
        <v>1944105218489390320</v>
      </c>
      <c r="B285" s="1" t="str">
        <f>T("249991595863")</f>
        <v>249991595863</v>
      </c>
      <c r="C285" s="1" t="str">
        <f>T("1941094470304926096")</f>
        <v>1941094470304926096</v>
      </c>
      <c r="AC285" s="1" t="s">
        <v>104</v>
      </c>
      <c r="AD285" s="1" t="s">
        <v>151</v>
      </c>
      <c r="AE285" s="1" t="s">
        <v>152</v>
      </c>
      <c r="AF285" s="1" t="s">
        <v>107</v>
      </c>
      <c r="AG285" s="1">
        <v>42</v>
      </c>
      <c r="AO285" s="2">
        <v>46273</v>
      </c>
      <c r="AP285" s="1" t="s">
        <v>226</v>
      </c>
      <c r="AS285" s="1" t="s">
        <v>71</v>
      </c>
      <c r="AU285" s="1" t="s">
        <v>72</v>
      </c>
      <c r="AV285" s="1" t="s">
        <v>73</v>
      </c>
      <c r="AX285" s="1">
        <v>0</v>
      </c>
      <c r="BA285" s="1">
        <v>3</v>
      </c>
      <c r="BB285" s="1">
        <v>0</v>
      </c>
      <c r="BC285" s="1">
        <v>0</v>
      </c>
      <c r="BE285" s="1">
        <v>27186122</v>
      </c>
    </row>
    <row r="286" spans="1:57" x14ac:dyDescent="0.25">
      <c r="A286" s="1" t="str">
        <f>T("1944105218590052712")</f>
        <v>1944105218590052712</v>
      </c>
      <c r="B286" s="1" t="str">
        <f>T("249926240645")</f>
        <v>249926240645</v>
      </c>
      <c r="C286" s="1" t="str">
        <f>T("1941094470304926596")</f>
        <v>1941094470304926596</v>
      </c>
      <c r="AA286" s="1">
        <v>1</v>
      </c>
      <c r="AC286" s="1" t="s">
        <v>104</v>
      </c>
      <c r="AD286" s="1" t="s">
        <v>151</v>
      </c>
      <c r="AE286" s="1" t="s">
        <v>152</v>
      </c>
      <c r="AF286" s="1" t="s">
        <v>107</v>
      </c>
      <c r="AG286" s="1">
        <v>28</v>
      </c>
      <c r="AO286" s="2">
        <v>46273</v>
      </c>
      <c r="AP286" s="1" t="s">
        <v>226</v>
      </c>
      <c r="AQ286" s="2">
        <v>46273</v>
      </c>
      <c r="AR286" s="1" t="s">
        <v>227</v>
      </c>
      <c r="AS286" s="1" t="s">
        <v>71</v>
      </c>
      <c r="AU286" s="1" t="s">
        <v>79</v>
      </c>
      <c r="AV286" s="1" t="s">
        <v>80</v>
      </c>
      <c r="AW286" s="1">
        <v>38.42</v>
      </c>
      <c r="AX286" s="1">
        <v>0</v>
      </c>
      <c r="AZ286" s="1" t="s">
        <v>81</v>
      </c>
      <c r="BA286" s="1">
        <v>1</v>
      </c>
      <c r="BB286" s="1">
        <v>0</v>
      </c>
      <c r="BC286" s="1">
        <v>0</v>
      </c>
      <c r="BE286" s="1">
        <v>27186122</v>
      </c>
    </row>
    <row r="287" spans="1:57" x14ac:dyDescent="0.25">
      <c r="A287" s="1" t="str">
        <f>T("1944105218707493736")</f>
        <v>1944105218707493736</v>
      </c>
      <c r="B287" s="1" t="str">
        <f>T("249926612538")</f>
        <v>249926612538</v>
      </c>
      <c r="C287" s="1" t="str">
        <f>T("1941094470304927196")</f>
        <v>1941094470304927196</v>
      </c>
      <c r="AC287" s="1" t="s">
        <v>104</v>
      </c>
      <c r="AD287" s="1" t="s">
        <v>151</v>
      </c>
      <c r="AE287" s="1" t="s">
        <v>152</v>
      </c>
      <c r="AF287" s="1" t="s">
        <v>107</v>
      </c>
      <c r="AG287" s="1">
        <v>30</v>
      </c>
      <c r="AO287" s="2">
        <v>46273</v>
      </c>
      <c r="AP287" s="1" t="s">
        <v>226</v>
      </c>
      <c r="AQ287" s="2">
        <v>46273</v>
      </c>
      <c r="AR287" s="1" t="s">
        <v>228</v>
      </c>
      <c r="AS287" s="1" t="s">
        <v>71</v>
      </c>
      <c r="AU287" s="1" t="s">
        <v>79</v>
      </c>
      <c r="AV287" s="1" t="s">
        <v>80</v>
      </c>
      <c r="AW287" s="1">
        <v>11.558999999999999</v>
      </c>
      <c r="AX287" s="1">
        <v>0</v>
      </c>
      <c r="AZ287" s="1" t="s">
        <v>81</v>
      </c>
      <c r="BA287" s="1">
        <v>3</v>
      </c>
      <c r="BB287" s="1">
        <v>0</v>
      </c>
      <c r="BC287" s="1">
        <v>0</v>
      </c>
      <c r="BE287" s="1">
        <v>27186122</v>
      </c>
    </row>
    <row r="288" spans="1:57" x14ac:dyDescent="0.25">
      <c r="A288" s="1" t="str">
        <f>T("1944105218782993780")</f>
        <v>1944105218782993780</v>
      </c>
      <c r="B288" s="1" t="str">
        <f>T("249924073910")</f>
        <v>249924073910</v>
      </c>
      <c r="C288" s="1" t="str">
        <f>T("1941094470309119204")</f>
        <v>1941094470309119204</v>
      </c>
      <c r="AC288" s="1" t="s">
        <v>104</v>
      </c>
      <c r="AD288" s="1" t="s">
        <v>151</v>
      </c>
      <c r="AE288" s="1" t="s">
        <v>152</v>
      </c>
      <c r="AF288" s="1" t="s">
        <v>107</v>
      </c>
      <c r="AG288" s="1">
        <v>53</v>
      </c>
      <c r="AO288" s="2">
        <v>46273</v>
      </c>
      <c r="AP288" s="1" t="s">
        <v>226</v>
      </c>
      <c r="AS288" s="1" t="s">
        <v>71</v>
      </c>
      <c r="AU288" s="1" t="s">
        <v>72</v>
      </c>
      <c r="AV288" s="1" t="s">
        <v>131</v>
      </c>
      <c r="AX288" s="1">
        <v>0</v>
      </c>
      <c r="BA288" s="1">
        <v>3</v>
      </c>
      <c r="BB288" s="1">
        <v>0</v>
      </c>
      <c r="BC288" s="1">
        <v>0</v>
      </c>
      <c r="BE288" s="1">
        <v>27186122</v>
      </c>
    </row>
    <row r="289" spans="1:57" x14ac:dyDescent="0.25">
      <c r="A289" s="1" t="str">
        <f>T("1944105218854293616")</f>
        <v>1944105218854293616</v>
      </c>
      <c r="B289" s="1" t="str">
        <f>T("249918201566")</f>
        <v>249918201566</v>
      </c>
      <c r="C289" s="1" t="str">
        <f>T("1941094470309120004")</f>
        <v>1941094470309120004</v>
      </c>
      <c r="AC289" s="1" t="s">
        <v>104</v>
      </c>
      <c r="AD289" s="1" t="s">
        <v>151</v>
      </c>
      <c r="AE289" s="1" t="s">
        <v>152</v>
      </c>
      <c r="AF289" s="1" t="s">
        <v>107</v>
      </c>
      <c r="AG289" s="1">
        <v>27</v>
      </c>
      <c r="AO289" s="2">
        <v>46273</v>
      </c>
      <c r="AP289" s="1" t="s">
        <v>226</v>
      </c>
      <c r="AS289" s="1" t="s">
        <v>71</v>
      </c>
      <c r="AU289" s="1" t="s">
        <v>72</v>
      </c>
      <c r="AV289" s="1" t="s">
        <v>73</v>
      </c>
      <c r="AX289" s="1">
        <v>0</v>
      </c>
      <c r="BA289" s="1">
        <v>3</v>
      </c>
      <c r="BB289" s="1">
        <v>0</v>
      </c>
      <c r="BC289" s="1">
        <v>0</v>
      </c>
      <c r="BE289" s="1">
        <v>27186122</v>
      </c>
    </row>
    <row r="290" spans="1:57" x14ac:dyDescent="0.25">
      <c r="A290" s="1" t="str">
        <f>T("1944105218871073448")</f>
        <v>1944105218871073448</v>
      </c>
      <c r="B290" s="1" t="str">
        <f>T("249910041121")</f>
        <v>249910041121</v>
      </c>
      <c r="C290" s="1" t="str">
        <f>T("1941094470309121804")</f>
        <v>1941094470309121804</v>
      </c>
      <c r="AA290" s="1">
        <v>1</v>
      </c>
      <c r="AC290" s="1" t="s">
        <v>104</v>
      </c>
      <c r="AD290" s="1" t="s">
        <v>151</v>
      </c>
      <c r="AE290" s="1" t="s">
        <v>152</v>
      </c>
      <c r="AF290" s="1" t="s">
        <v>107</v>
      </c>
      <c r="AG290" s="1">
        <v>36</v>
      </c>
      <c r="AO290" s="2">
        <v>46273</v>
      </c>
      <c r="AP290" s="1" t="s">
        <v>226</v>
      </c>
      <c r="AQ290" s="2">
        <v>46273</v>
      </c>
      <c r="AR290" s="1" t="s">
        <v>229</v>
      </c>
      <c r="AS290" s="1" t="s">
        <v>71</v>
      </c>
      <c r="AU290" s="1" t="s">
        <v>79</v>
      </c>
      <c r="AV290" s="1" t="s">
        <v>80</v>
      </c>
      <c r="AW290" s="1">
        <v>39.798999999999999</v>
      </c>
      <c r="AX290" s="1">
        <v>0</v>
      </c>
      <c r="AZ290" s="1" t="s">
        <v>81</v>
      </c>
      <c r="BA290" s="1">
        <v>1</v>
      </c>
      <c r="BB290" s="1">
        <v>0</v>
      </c>
      <c r="BC290" s="1">
        <v>0</v>
      </c>
      <c r="BE290" s="1">
        <v>27186122</v>
      </c>
    </row>
    <row r="291" spans="1:57" x14ac:dyDescent="0.25">
      <c r="A291" s="1" t="str">
        <f>T("1944105218875267956")</f>
        <v>1944105218875267956</v>
      </c>
      <c r="B291" s="1" t="str">
        <f>T("249927662346")</f>
        <v>249927662346</v>
      </c>
      <c r="C291" s="1" t="str">
        <f>T("1941094470313313312")</f>
        <v>1941094470313313312</v>
      </c>
      <c r="AC291" s="1" t="s">
        <v>104</v>
      </c>
      <c r="AD291" s="1" t="s">
        <v>151</v>
      </c>
      <c r="AE291" s="1" t="s">
        <v>152</v>
      </c>
      <c r="AF291" s="1" t="s">
        <v>107</v>
      </c>
      <c r="AG291" s="1">
        <v>32</v>
      </c>
      <c r="AO291" s="2">
        <v>46273</v>
      </c>
      <c r="AP291" s="1" t="s">
        <v>226</v>
      </c>
      <c r="AS291" s="1" t="s">
        <v>71</v>
      </c>
      <c r="AU291" s="1" t="s">
        <v>72</v>
      </c>
      <c r="AV291" s="1" t="s">
        <v>80</v>
      </c>
      <c r="AX291" s="1">
        <v>0</v>
      </c>
      <c r="BA291" s="1">
        <v>3</v>
      </c>
      <c r="BB291" s="1">
        <v>0</v>
      </c>
      <c r="BC291" s="1">
        <v>0</v>
      </c>
      <c r="BE291" s="1">
        <v>27186122</v>
      </c>
    </row>
    <row r="292" spans="1:57" x14ac:dyDescent="0.25">
      <c r="A292" s="1" t="str">
        <f>T("1944105218908822020")</f>
        <v>1944105218908822020</v>
      </c>
      <c r="B292" s="1" t="str">
        <f>T("249900500676")</f>
        <v>249900500676</v>
      </c>
      <c r="C292" s="1" t="str">
        <f>T("1941094470313313712")</f>
        <v>1941094470313313712</v>
      </c>
      <c r="M292" s="1" t="s">
        <v>59</v>
      </c>
      <c r="O292" s="1" t="s">
        <v>60</v>
      </c>
      <c r="P292" s="1" t="s">
        <v>83</v>
      </c>
      <c r="Q292" s="1" t="s">
        <v>112</v>
      </c>
      <c r="R292" s="1" t="s">
        <v>93</v>
      </c>
      <c r="T292" s="1" t="s">
        <v>95</v>
      </c>
      <c r="AA292" s="1">
        <v>1</v>
      </c>
      <c r="AC292" s="1" t="s">
        <v>104</v>
      </c>
      <c r="AD292" s="1" t="s">
        <v>151</v>
      </c>
      <c r="AE292" s="1" t="s">
        <v>152</v>
      </c>
      <c r="AF292" s="1" t="s">
        <v>107</v>
      </c>
      <c r="AG292" s="1">
        <v>44</v>
      </c>
      <c r="AO292" s="2">
        <v>46273</v>
      </c>
      <c r="AP292" s="1" t="s">
        <v>226</v>
      </c>
      <c r="AQ292" s="2">
        <v>46273</v>
      </c>
      <c r="AR292" s="1" t="s">
        <v>230</v>
      </c>
      <c r="AS292" s="1" t="s">
        <v>71</v>
      </c>
      <c r="AU292" s="1" t="s">
        <v>78</v>
      </c>
      <c r="AV292" s="1" t="s">
        <v>80</v>
      </c>
      <c r="AW292" s="1">
        <v>287.62</v>
      </c>
      <c r="AX292" s="1">
        <v>0</v>
      </c>
      <c r="AZ292" s="1" t="s">
        <v>81</v>
      </c>
      <c r="BA292" s="1">
        <v>1</v>
      </c>
      <c r="BB292" s="1">
        <v>0</v>
      </c>
      <c r="BC292" s="1">
        <v>0</v>
      </c>
      <c r="BE292" s="1">
        <v>27186122</v>
      </c>
    </row>
    <row r="293" spans="1:57" x14ac:dyDescent="0.25">
      <c r="A293" s="1" t="str">
        <f>T("1944105218975928748")</f>
        <v>1944105218975928748</v>
      </c>
      <c r="B293" s="1" t="str">
        <f>T("249929311980")</f>
        <v>249929311980</v>
      </c>
      <c r="C293" s="1" t="str">
        <f>T("1941094470313315112")</f>
        <v>1941094470313315112</v>
      </c>
      <c r="AC293" s="1" t="s">
        <v>104</v>
      </c>
      <c r="AD293" s="1" t="s">
        <v>151</v>
      </c>
      <c r="AE293" s="1" t="s">
        <v>152</v>
      </c>
      <c r="AF293" s="1" t="s">
        <v>107</v>
      </c>
      <c r="AG293" s="1">
        <v>49</v>
      </c>
      <c r="AO293" s="2">
        <v>46273</v>
      </c>
      <c r="AP293" s="1" t="s">
        <v>226</v>
      </c>
      <c r="AS293" s="1" t="s">
        <v>71</v>
      </c>
      <c r="AU293" s="1" t="s">
        <v>72</v>
      </c>
      <c r="AV293" s="1" t="s">
        <v>73</v>
      </c>
      <c r="AX293" s="1">
        <v>0</v>
      </c>
      <c r="BA293" s="1">
        <v>3</v>
      </c>
      <c r="BB293" s="1">
        <v>0</v>
      </c>
      <c r="BC293" s="1">
        <v>0</v>
      </c>
      <c r="BE293" s="1">
        <v>27186122</v>
      </c>
    </row>
    <row r="294" spans="1:57" x14ac:dyDescent="0.25">
      <c r="A294" s="1" t="str">
        <f>T("1944105218992706280")</f>
        <v>1944105218992706280</v>
      </c>
      <c r="B294" s="1" t="str">
        <f>T("249995176060")</f>
        <v>249995176060</v>
      </c>
      <c r="C294" s="1" t="str">
        <f>T("1941094470313315612")</f>
        <v>1941094470313315612</v>
      </c>
      <c r="AC294" s="1" t="s">
        <v>104</v>
      </c>
      <c r="AD294" s="1" t="s">
        <v>151</v>
      </c>
      <c r="AE294" s="1" t="s">
        <v>152</v>
      </c>
      <c r="AF294" s="1" t="s">
        <v>107</v>
      </c>
      <c r="AG294" s="1">
        <v>42</v>
      </c>
      <c r="AO294" s="2">
        <v>46273</v>
      </c>
      <c r="AP294" s="1" t="s">
        <v>226</v>
      </c>
      <c r="AS294" s="1" t="s">
        <v>71</v>
      </c>
      <c r="AU294" s="1" t="s">
        <v>72</v>
      </c>
      <c r="AV294" s="1" t="s">
        <v>131</v>
      </c>
      <c r="AX294" s="1">
        <v>0</v>
      </c>
      <c r="BA294" s="1">
        <v>3</v>
      </c>
      <c r="BB294" s="1">
        <v>0</v>
      </c>
      <c r="BC294" s="1">
        <v>0</v>
      </c>
      <c r="BE294" s="1">
        <v>27186122</v>
      </c>
    </row>
    <row r="295" spans="1:57" x14ac:dyDescent="0.25">
      <c r="A295" s="1" t="str">
        <f>T("1944105218996900488")</f>
        <v>1944105218996900488</v>
      </c>
      <c r="B295" s="1" t="str">
        <f>T("249925261181")</f>
        <v>249925261181</v>
      </c>
      <c r="C295" s="1" t="str">
        <f>T("1941094470313316112")</f>
        <v>1941094470313316112</v>
      </c>
      <c r="AC295" s="1" t="s">
        <v>104</v>
      </c>
      <c r="AD295" s="1" t="s">
        <v>151</v>
      </c>
      <c r="AE295" s="1" t="s">
        <v>152</v>
      </c>
      <c r="AF295" s="1" t="s">
        <v>107</v>
      </c>
      <c r="AG295" s="1">
        <v>60</v>
      </c>
      <c r="AO295" s="2">
        <v>46273</v>
      </c>
      <c r="AP295" s="1" t="s">
        <v>226</v>
      </c>
      <c r="AS295" s="1" t="s">
        <v>71</v>
      </c>
      <c r="AU295" s="1" t="s">
        <v>72</v>
      </c>
      <c r="AV295" s="1" t="s">
        <v>80</v>
      </c>
      <c r="AX295" s="1">
        <v>0</v>
      </c>
      <c r="BA295" s="1">
        <v>3</v>
      </c>
      <c r="BB295" s="1">
        <v>0</v>
      </c>
      <c r="BC295" s="1">
        <v>0</v>
      </c>
      <c r="BE295" s="1">
        <v>27186122</v>
      </c>
    </row>
    <row r="296" spans="1:57" x14ac:dyDescent="0.25">
      <c r="A296" s="1" t="str">
        <f>T("1944105219022066536")</f>
        <v>1944105219022066536</v>
      </c>
      <c r="B296" s="1" t="str">
        <f>T("24992881033")</f>
        <v>24992881033</v>
      </c>
      <c r="C296" s="1" t="str">
        <f>T("1941094470317506920")</f>
        <v>1941094470317506920</v>
      </c>
      <c r="AC296" s="1" t="s">
        <v>104</v>
      </c>
      <c r="AD296" s="1" t="s">
        <v>151</v>
      </c>
      <c r="AE296" s="1" t="s">
        <v>152</v>
      </c>
      <c r="AF296" s="1" t="s">
        <v>107</v>
      </c>
      <c r="AG296" s="1">
        <v>57</v>
      </c>
      <c r="AO296" s="2">
        <v>46273</v>
      </c>
      <c r="AP296" s="1" t="s">
        <v>226</v>
      </c>
      <c r="AS296" s="1" t="s">
        <v>71</v>
      </c>
      <c r="AU296" s="1" t="s">
        <v>72</v>
      </c>
      <c r="AV296" s="1" t="s">
        <v>80</v>
      </c>
      <c r="AX296" s="1">
        <v>0</v>
      </c>
      <c r="BA296" s="1">
        <v>3</v>
      </c>
      <c r="BB296" s="1">
        <v>0</v>
      </c>
      <c r="BC296" s="1">
        <v>0</v>
      </c>
      <c r="BE296" s="1">
        <v>27186122</v>
      </c>
    </row>
    <row r="297" spans="1:57" x14ac:dyDescent="0.25">
      <c r="A297" s="1" t="str">
        <f>T("1944105219055623200")</f>
        <v>1944105219055623200</v>
      </c>
      <c r="B297" s="1" t="str">
        <f>T("24999398045")</f>
        <v>24999398045</v>
      </c>
      <c r="C297" s="1" t="str">
        <f>T("1941094470317507920")</f>
        <v>1941094470317507920</v>
      </c>
      <c r="AC297" s="1" t="s">
        <v>104</v>
      </c>
      <c r="AD297" s="1" t="s">
        <v>151</v>
      </c>
      <c r="AE297" s="1" t="s">
        <v>152</v>
      </c>
      <c r="AF297" s="1" t="s">
        <v>107</v>
      </c>
      <c r="AG297" s="1">
        <v>38</v>
      </c>
      <c r="AO297" s="2">
        <v>46273</v>
      </c>
      <c r="AP297" s="1" t="s">
        <v>226</v>
      </c>
      <c r="AS297" s="1" t="s">
        <v>71</v>
      </c>
      <c r="AU297" s="1" t="s">
        <v>72</v>
      </c>
      <c r="AV297" s="1" t="s">
        <v>80</v>
      </c>
      <c r="AX297" s="1">
        <v>0</v>
      </c>
      <c r="BA297" s="1">
        <v>3</v>
      </c>
      <c r="BB297" s="1">
        <v>0</v>
      </c>
      <c r="BC297" s="1">
        <v>0</v>
      </c>
      <c r="BE297" s="1">
        <v>27186122</v>
      </c>
    </row>
    <row r="298" spans="1:57" x14ac:dyDescent="0.25">
      <c r="A298" s="1" t="str">
        <f>T("1944105219084983456")</f>
        <v>1944105219084983456</v>
      </c>
      <c r="B298" s="1" t="str">
        <f>T("249925188515")</f>
        <v>249925188515</v>
      </c>
      <c r="C298" s="1" t="str">
        <f>T("1941094470317509220")</f>
        <v>1941094470317509220</v>
      </c>
      <c r="AC298" s="1" t="s">
        <v>104</v>
      </c>
      <c r="AD298" s="1" t="s">
        <v>151</v>
      </c>
      <c r="AE298" s="1" t="s">
        <v>152</v>
      </c>
      <c r="AF298" s="1" t="s">
        <v>107</v>
      </c>
      <c r="AG298" s="1">
        <v>49</v>
      </c>
      <c r="AO298" s="2">
        <v>46273</v>
      </c>
      <c r="AP298" s="1" t="s">
        <v>226</v>
      </c>
      <c r="AS298" s="1" t="s">
        <v>71</v>
      </c>
      <c r="AU298" s="1" t="s">
        <v>72</v>
      </c>
      <c r="AV298" s="1" t="s">
        <v>80</v>
      </c>
      <c r="AX298" s="1">
        <v>0</v>
      </c>
      <c r="BA298" s="1">
        <v>3</v>
      </c>
      <c r="BB298" s="1">
        <v>0</v>
      </c>
      <c r="BC298" s="1">
        <v>0</v>
      </c>
      <c r="BE298" s="1">
        <v>27186122</v>
      </c>
    </row>
    <row r="299" spans="1:57" x14ac:dyDescent="0.25">
      <c r="A299" s="1" t="str">
        <f>T("1944105219089175664")</f>
        <v>1944105219089175664</v>
      </c>
      <c r="B299" s="1" t="str">
        <f>T("249926322477")</f>
        <v>249926322477</v>
      </c>
      <c r="C299" s="1" t="str">
        <f>T("1941094470317510420")</f>
        <v>1941094470317510420</v>
      </c>
      <c r="AC299" s="1" t="s">
        <v>104</v>
      </c>
      <c r="AD299" s="1" t="s">
        <v>151</v>
      </c>
      <c r="AE299" s="1" t="s">
        <v>152</v>
      </c>
      <c r="AF299" s="1" t="s">
        <v>107</v>
      </c>
      <c r="AG299" s="1">
        <v>47</v>
      </c>
      <c r="AO299" s="2">
        <v>46273</v>
      </c>
      <c r="AP299" s="1" t="s">
        <v>226</v>
      </c>
      <c r="AS299" s="1" t="s">
        <v>71</v>
      </c>
      <c r="AU299" s="1" t="s">
        <v>72</v>
      </c>
      <c r="AV299" s="1" t="s">
        <v>80</v>
      </c>
      <c r="AX299" s="1">
        <v>0</v>
      </c>
      <c r="BA299" s="1">
        <v>3</v>
      </c>
      <c r="BB299" s="1">
        <v>0</v>
      </c>
      <c r="BC299" s="1">
        <v>0</v>
      </c>
      <c r="BE299" s="1">
        <v>27186122</v>
      </c>
    </row>
    <row r="300" spans="1:57" x14ac:dyDescent="0.25">
      <c r="A300" s="1" t="str">
        <f>T("1944105219093370972")</f>
        <v>1944105219093370972</v>
      </c>
      <c r="B300" s="1" t="str">
        <f>T("249990503246")</f>
        <v>249990503246</v>
      </c>
      <c r="C300" s="1" t="str">
        <f>T("1941094470321701128")</f>
        <v>1941094470321701128</v>
      </c>
      <c r="AC300" s="1" t="s">
        <v>104</v>
      </c>
      <c r="AD300" s="1" t="s">
        <v>151</v>
      </c>
      <c r="AE300" s="1" t="s">
        <v>152</v>
      </c>
      <c r="AF300" s="1" t="s">
        <v>107</v>
      </c>
      <c r="AG300" s="1">
        <v>30</v>
      </c>
      <c r="AO300" s="2">
        <v>46273</v>
      </c>
      <c r="AP300" s="1" t="s">
        <v>226</v>
      </c>
      <c r="AS300" s="1" t="s">
        <v>71</v>
      </c>
      <c r="AU300" s="1" t="s">
        <v>72</v>
      </c>
      <c r="AV300" s="1" t="s">
        <v>80</v>
      </c>
      <c r="AX300" s="1">
        <v>0</v>
      </c>
      <c r="BA300" s="1">
        <v>3</v>
      </c>
      <c r="BB300" s="1">
        <v>0</v>
      </c>
      <c r="BC300" s="1">
        <v>0</v>
      </c>
      <c r="BE300" s="1">
        <v>27186122</v>
      </c>
    </row>
    <row r="301" spans="1:57" x14ac:dyDescent="0.25">
      <c r="A301" s="1" t="str">
        <f>T("1944105219143702068")</f>
        <v>1944105219143702068</v>
      </c>
      <c r="B301" s="1" t="str">
        <f>T("249993312795")</f>
        <v>249993312795</v>
      </c>
      <c r="C301" s="1" t="str">
        <f>T("1941094470321702428")</f>
        <v>1941094470321702428</v>
      </c>
      <c r="M301" s="1" t="s">
        <v>59</v>
      </c>
      <c r="O301" s="1" t="s">
        <v>65</v>
      </c>
      <c r="P301" s="1" t="s">
        <v>91</v>
      </c>
      <c r="Q301" s="1" t="s">
        <v>112</v>
      </c>
      <c r="AA301" s="1">
        <v>1</v>
      </c>
      <c r="AC301" s="1" t="s">
        <v>104</v>
      </c>
      <c r="AD301" s="1" t="s">
        <v>151</v>
      </c>
      <c r="AE301" s="1" t="s">
        <v>152</v>
      </c>
      <c r="AF301" s="1" t="s">
        <v>107</v>
      </c>
      <c r="AG301" s="1">
        <v>38</v>
      </c>
      <c r="AO301" s="2">
        <v>46273</v>
      </c>
      <c r="AP301" s="1" t="s">
        <v>226</v>
      </c>
      <c r="AQ301" s="2">
        <v>46273</v>
      </c>
      <c r="AR301" s="1" t="s">
        <v>231</v>
      </c>
      <c r="AS301" s="1" t="s">
        <v>71</v>
      </c>
      <c r="AU301" s="1" t="s">
        <v>79</v>
      </c>
      <c r="AV301" s="1" t="s">
        <v>80</v>
      </c>
      <c r="AW301" s="1">
        <v>155.82</v>
      </c>
      <c r="AX301" s="1">
        <v>0</v>
      </c>
      <c r="AZ301" s="1" t="s">
        <v>81</v>
      </c>
      <c r="BA301" s="1">
        <v>1</v>
      </c>
      <c r="BB301" s="1">
        <v>0</v>
      </c>
      <c r="BC301" s="1">
        <v>0</v>
      </c>
      <c r="BE301" s="1">
        <v>27186122</v>
      </c>
    </row>
    <row r="302" spans="1:57" x14ac:dyDescent="0.25">
      <c r="A302" s="1" t="str">
        <f>T("1944105219156286192")</f>
        <v>1944105219156286192</v>
      </c>
      <c r="B302" s="1" t="str">
        <f>T("249122638902")</f>
        <v>249122638902</v>
      </c>
      <c r="C302" s="1" t="str">
        <f>T("1941094470321704128")</f>
        <v>1941094470321704128</v>
      </c>
      <c r="AC302" s="1" t="s">
        <v>104</v>
      </c>
      <c r="AD302" s="1" t="s">
        <v>151</v>
      </c>
      <c r="AE302" s="1" t="s">
        <v>152</v>
      </c>
      <c r="AF302" s="1" t="s">
        <v>107</v>
      </c>
      <c r="AG302" s="1">
        <v>45</v>
      </c>
      <c r="AO302" s="2">
        <v>46273</v>
      </c>
      <c r="AP302" s="1" t="s">
        <v>226</v>
      </c>
      <c r="AS302" s="1" t="s">
        <v>71</v>
      </c>
      <c r="AU302" s="1" t="s">
        <v>72</v>
      </c>
      <c r="AV302" s="1" t="s">
        <v>80</v>
      </c>
      <c r="AX302" s="1">
        <v>0</v>
      </c>
      <c r="BA302" s="1">
        <v>3</v>
      </c>
      <c r="BB302" s="1">
        <v>0</v>
      </c>
      <c r="BC302" s="1">
        <v>0</v>
      </c>
      <c r="BE302" s="1">
        <v>27186122</v>
      </c>
    </row>
    <row r="303" spans="1:57" x14ac:dyDescent="0.25">
      <c r="A303" s="1" t="str">
        <f>T("1944105219173061424")</f>
        <v>1944105219173061424</v>
      </c>
      <c r="B303" s="1" t="str">
        <f>T("24999386947")</f>
        <v>24999386947</v>
      </c>
      <c r="C303" s="1" t="str">
        <f>T("1941094470321704528")</f>
        <v>1941094470321704528</v>
      </c>
      <c r="AC303" s="1" t="s">
        <v>104</v>
      </c>
      <c r="AD303" s="1" t="s">
        <v>151</v>
      </c>
      <c r="AE303" s="1" t="s">
        <v>152</v>
      </c>
      <c r="AF303" s="1" t="s">
        <v>107</v>
      </c>
      <c r="AG303" s="1">
        <v>40</v>
      </c>
      <c r="AO303" s="2">
        <v>46273</v>
      </c>
      <c r="AP303" s="1" t="s">
        <v>226</v>
      </c>
      <c r="AS303" s="1" t="s">
        <v>71</v>
      </c>
      <c r="AU303" s="1" t="s">
        <v>72</v>
      </c>
      <c r="AV303" s="1" t="s">
        <v>73</v>
      </c>
      <c r="AX303" s="1">
        <v>0</v>
      </c>
      <c r="BA303" s="1">
        <v>3</v>
      </c>
      <c r="BB303" s="1">
        <v>0</v>
      </c>
      <c r="BC303" s="1">
        <v>0</v>
      </c>
      <c r="BE303" s="1">
        <v>27186122</v>
      </c>
    </row>
    <row r="304" spans="1:57" x14ac:dyDescent="0.25">
      <c r="A304" s="1" t="str">
        <f>T("1944105219173063524")</f>
        <v>1944105219173063524</v>
      </c>
      <c r="B304" s="1" t="str">
        <f>T("249928577011")</f>
        <v>249928577011</v>
      </c>
      <c r="C304" s="1" t="str">
        <f>T("1941094470325895336")</f>
        <v>1941094470325895336</v>
      </c>
      <c r="AC304" s="1" t="s">
        <v>104</v>
      </c>
      <c r="AD304" s="1" t="s">
        <v>151</v>
      </c>
      <c r="AE304" s="1" t="s">
        <v>152</v>
      </c>
      <c r="AF304" s="1" t="s">
        <v>107</v>
      </c>
      <c r="AG304" s="1">
        <v>43</v>
      </c>
      <c r="AO304" s="2">
        <v>46273</v>
      </c>
      <c r="AP304" s="1" t="s">
        <v>226</v>
      </c>
      <c r="AS304" s="1" t="s">
        <v>71</v>
      </c>
      <c r="AU304" s="1" t="s">
        <v>72</v>
      </c>
      <c r="AV304" s="1" t="s">
        <v>73</v>
      </c>
      <c r="AX304" s="1">
        <v>0</v>
      </c>
      <c r="BA304" s="1">
        <v>3</v>
      </c>
      <c r="BB304" s="1">
        <v>0</v>
      </c>
      <c r="BC304" s="1">
        <v>0</v>
      </c>
      <c r="BE304" s="1">
        <v>27186122</v>
      </c>
    </row>
    <row r="305" spans="1:57" x14ac:dyDescent="0.25">
      <c r="A305" s="1" t="str">
        <f>T("1944105219252753576")</f>
        <v>1944105219252753576</v>
      </c>
      <c r="B305" s="1" t="str">
        <f>T("249995980765")</f>
        <v>249995980765</v>
      </c>
      <c r="C305" s="1" t="str">
        <f>T("1941094470325895736")</f>
        <v>1941094470325895736</v>
      </c>
      <c r="AC305" s="1" t="s">
        <v>104</v>
      </c>
      <c r="AD305" s="1" t="s">
        <v>151</v>
      </c>
      <c r="AE305" s="1" t="s">
        <v>152</v>
      </c>
      <c r="AF305" s="1" t="s">
        <v>107</v>
      </c>
      <c r="AG305" s="1">
        <v>35</v>
      </c>
      <c r="AO305" s="2">
        <v>46273</v>
      </c>
      <c r="AP305" s="1" t="s">
        <v>226</v>
      </c>
      <c r="AS305" s="1" t="s">
        <v>71</v>
      </c>
      <c r="AU305" s="1" t="s">
        <v>72</v>
      </c>
      <c r="AV305" s="1" t="s">
        <v>80</v>
      </c>
      <c r="AX305" s="1">
        <v>0</v>
      </c>
      <c r="BA305" s="1">
        <v>3</v>
      </c>
      <c r="BB305" s="1">
        <v>0</v>
      </c>
      <c r="BC305" s="1">
        <v>0</v>
      </c>
      <c r="BE305" s="1">
        <v>27186122</v>
      </c>
    </row>
    <row r="306" spans="1:57" x14ac:dyDescent="0.25">
      <c r="A306" s="1" t="str">
        <f>T("1944105219294698556")</f>
        <v>1944105219294698556</v>
      </c>
      <c r="B306" s="1" t="str">
        <f>T("249921322137")</f>
        <v>249921322137</v>
      </c>
      <c r="C306" s="1" t="str">
        <f>T("1941094470325897736")</f>
        <v>1941094470325897736</v>
      </c>
      <c r="AC306" s="1" t="s">
        <v>104</v>
      </c>
      <c r="AD306" s="1" t="s">
        <v>151</v>
      </c>
      <c r="AE306" s="1" t="s">
        <v>152</v>
      </c>
      <c r="AF306" s="1" t="s">
        <v>107</v>
      </c>
      <c r="AG306" s="1">
        <v>36</v>
      </c>
      <c r="AO306" s="2">
        <v>46273</v>
      </c>
      <c r="AP306" s="1" t="s">
        <v>226</v>
      </c>
      <c r="AQ306" s="2">
        <v>46273</v>
      </c>
      <c r="AR306" s="1" t="s">
        <v>232</v>
      </c>
      <c r="AS306" s="1" t="s">
        <v>71</v>
      </c>
      <c r="AU306" s="1" t="s">
        <v>79</v>
      </c>
      <c r="AV306" s="1" t="s">
        <v>80</v>
      </c>
      <c r="AW306" s="1">
        <v>23.34</v>
      </c>
      <c r="AX306" s="1">
        <v>0</v>
      </c>
      <c r="AZ306" s="1" t="s">
        <v>81</v>
      </c>
      <c r="BA306" s="1">
        <v>1</v>
      </c>
      <c r="BB306" s="1">
        <v>0</v>
      </c>
      <c r="BC306" s="1">
        <v>0</v>
      </c>
      <c r="BE306" s="1">
        <v>27186122</v>
      </c>
    </row>
    <row r="307" spans="1:57" x14ac:dyDescent="0.25">
      <c r="A307" s="1" t="str">
        <f>T("1944105219336638536")</f>
        <v>1944105219336638536</v>
      </c>
      <c r="B307" s="1" t="str">
        <f>T("249999688615")</f>
        <v>249999688615</v>
      </c>
      <c r="C307" s="1" t="str">
        <f>T("1941094470325898136")</f>
        <v>1941094470325898136</v>
      </c>
      <c r="AC307" s="1" t="s">
        <v>104</v>
      </c>
      <c r="AD307" s="1" t="s">
        <v>151</v>
      </c>
      <c r="AE307" s="1" t="s">
        <v>152</v>
      </c>
      <c r="AF307" s="1" t="s">
        <v>107</v>
      </c>
      <c r="AG307" s="1">
        <v>27</v>
      </c>
      <c r="AO307" s="2">
        <v>46273</v>
      </c>
      <c r="AP307" s="1" t="s">
        <v>226</v>
      </c>
      <c r="AS307" s="1" t="s">
        <v>71</v>
      </c>
      <c r="AU307" s="1" t="s">
        <v>72</v>
      </c>
      <c r="AV307" s="1" t="s">
        <v>73</v>
      </c>
      <c r="AX307" s="1">
        <v>0</v>
      </c>
      <c r="BA307" s="1">
        <v>3</v>
      </c>
      <c r="BB307" s="1">
        <v>0</v>
      </c>
      <c r="BC307" s="1">
        <v>0</v>
      </c>
      <c r="BE307" s="1">
        <v>27186122</v>
      </c>
    </row>
    <row r="308" spans="1:57" x14ac:dyDescent="0.25">
      <c r="A308" s="1" t="str">
        <f>T("1944105219361804484")</f>
        <v>1944105219361804484</v>
      </c>
      <c r="B308" s="1" t="str">
        <f>T("249926146009")</f>
        <v>249926146009</v>
      </c>
      <c r="C308" s="1" t="str">
        <f>T("1941094470325898736")</f>
        <v>1941094470325898736</v>
      </c>
      <c r="AA308" s="1">
        <v>1</v>
      </c>
      <c r="AC308" s="1" t="s">
        <v>104</v>
      </c>
      <c r="AD308" s="1" t="s">
        <v>151</v>
      </c>
      <c r="AE308" s="1" t="s">
        <v>152</v>
      </c>
      <c r="AF308" s="1" t="s">
        <v>107</v>
      </c>
      <c r="AG308" s="1">
        <v>30</v>
      </c>
      <c r="AO308" s="2">
        <v>46273</v>
      </c>
      <c r="AP308" s="1" t="s">
        <v>226</v>
      </c>
      <c r="AQ308" s="2">
        <v>46273</v>
      </c>
      <c r="AR308" s="1" t="s">
        <v>233</v>
      </c>
      <c r="AS308" s="1" t="s">
        <v>71</v>
      </c>
      <c r="AU308" s="1" t="s">
        <v>79</v>
      </c>
      <c r="AV308" s="1" t="s">
        <v>80</v>
      </c>
      <c r="AW308" s="1">
        <v>52.38</v>
      </c>
      <c r="AX308" s="1">
        <v>0</v>
      </c>
      <c r="AZ308" s="1" t="s">
        <v>81</v>
      </c>
      <c r="BA308" s="1">
        <v>1</v>
      </c>
      <c r="BB308" s="1">
        <v>0</v>
      </c>
      <c r="BC308" s="1">
        <v>0</v>
      </c>
      <c r="BE308" s="1">
        <v>27186122</v>
      </c>
    </row>
    <row r="309" spans="1:57" x14ac:dyDescent="0.25">
      <c r="A309" s="1" t="str">
        <f>T("1944105219370196900")</f>
        <v>1944105219370196900</v>
      </c>
      <c r="B309" s="1" t="str">
        <f>T("249997987107")</f>
        <v>249997987107</v>
      </c>
      <c r="C309" s="1" t="str">
        <f>T("1941094470330090844")</f>
        <v>1941094470330090844</v>
      </c>
      <c r="AC309" s="1" t="s">
        <v>104</v>
      </c>
      <c r="AD309" s="1" t="s">
        <v>151</v>
      </c>
      <c r="AE309" s="1" t="s">
        <v>152</v>
      </c>
      <c r="AF309" s="1" t="s">
        <v>107</v>
      </c>
      <c r="AG309" s="1" t="s">
        <v>184</v>
      </c>
      <c r="AO309" s="2">
        <v>46273</v>
      </c>
      <c r="AP309" s="1" t="s">
        <v>226</v>
      </c>
      <c r="AS309" s="1" t="s">
        <v>71</v>
      </c>
      <c r="AU309" s="1" t="s">
        <v>72</v>
      </c>
      <c r="AV309" s="1" t="s">
        <v>80</v>
      </c>
      <c r="AX309" s="1">
        <v>0</v>
      </c>
      <c r="BA309" s="1">
        <v>3</v>
      </c>
      <c r="BB309" s="1">
        <v>0</v>
      </c>
      <c r="BC309" s="1">
        <v>0</v>
      </c>
      <c r="BE309" s="1">
        <v>27186122</v>
      </c>
    </row>
    <row r="310" spans="1:57" x14ac:dyDescent="0.25">
      <c r="A310" s="1" t="str">
        <f>T("1944105219458276968")</f>
        <v>1944105219458276968</v>
      </c>
      <c r="B310" s="1" t="str">
        <f>T("249922785268")</f>
        <v>249922785268</v>
      </c>
      <c r="C310" s="1" t="str">
        <f>T("1941094470330091844")</f>
        <v>1941094470330091844</v>
      </c>
      <c r="AC310" s="1" t="s">
        <v>104</v>
      </c>
      <c r="AD310" s="1" t="s">
        <v>151</v>
      </c>
      <c r="AE310" s="1" t="s">
        <v>152</v>
      </c>
      <c r="AF310" s="1" t="s">
        <v>107</v>
      </c>
      <c r="AG310" s="1">
        <v>35</v>
      </c>
      <c r="AO310" s="2">
        <v>46273</v>
      </c>
      <c r="AP310" s="1" t="s">
        <v>226</v>
      </c>
      <c r="AS310" s="1" t="s">
        <v>71</v>
      </c>
      <c r="AU310" s="1" t="s">
        <v>72</v>
      </c>
      <c r="AV310" s="1" t="s">
        <v>131</v>
      </c>
      <c r="AX310" s="1">
        <v>0</v>
      </c>
      <c r="BA310" s="1">
        <v>3</v>
      </c>
      <c r="BB310" s="1">
        <v>0</v>
      </c>
      <c r="BC310" s="1">
        <v>0</v>
      </c>
      <c r="BE310" s="1">
        <v>27186122</v>
      </c>
    </row>
    <row r="311" spans="1:57" x14ac:dyDescent="0.25">
      <c r="A311" s="1" t="str">
        <f>T("1944105219470856592")</f>
        <v>1944105219470856592</v>
      </c>
      <c r="B311" s="1" t="str">
        <f>T("249923283792")</f>
        <v>249923283792</v>
      </c>
      <c r="C311" s="1" t="str">
        <f>T("1941094470330092844")</f>
        <v>1941094470330092844</v>
      </c>
      <c r="AA311" s="1">
        <v>1</v>
      </c>
      <c r="AC311" s="1" t="s">
        <v>104</v>
      </c>
      <c r="AD311" s="1" t="s">
        <v>151</v>
      </c>
      <c r="AE311" s="1" t="s">
        <v>152</v>
      </c>
      <c r="AF311" s="1" t="s">
        <v>107</v>
      </c>
      <c r="AG311" s="1">
        <v>40</v>
      </c>
      <c r="AO311" s="2">
        <v>46273</v>
      </c>
      <c r="AP311" s="1" t="s">
        <v>226</v>
      </c>
      <c r="AQ311" s="2">
        <v>46273</v>
      </c>
      <c r="AR311" s="1" t="s">
        <v>234</v>
      </c>
      <c r="AS311" s="1" t="s">
        <v>71</v>
      </c>
      <c r="AU311" s="1" t="s">
        <v>79</v>
      </c>
      <c r="AV311" s="1" t="s">
        <v>80</v>
      </c>
      <c r="AW311" s="1">
        <v>71.38</v>
      </c>
      <c r="AX311" s="1">
        <v>0</v>
      </c>
      <c r="AZ311" s="1" t="s">
        <v>81</v>
      </c>
      <c r="BA311" s="1">
        <v>2</v>
      </c>
      <c r="BB311" s="1">
        <v>0</v>
      </c>
      <c r="BC311" s="1">
        <v>0</v>
      </c>
      <c r="BE311" s="1">
        <v>27186122</v>
      </c>
    </row>
    <row r="312" spans="1:57" x14ac:dyDescent="0.25">
      <c r="A312" s="1" t="str">
        <f>T("1944105219504411656")</f>
        <v>1944105219504411656</v>
      </c>
      <c r="B312" s="1" t="str">
        <f>T("249923969358")</f>
        <v>249923969358</v>
      </c>
      <c r="C312" s="1" t="str">
        <f>T("1941094470334285852")</f>
        <v>1941094470334285852</v>
      </c>
      <c r="AA312" s="1">
        <v>1</v>
      </c>
      <c r="AC312" s="1" t="s">
        <v>104</v>
      </c>
      <c r="AD312" s="1" t="s">
        <v>151</v>
      </c>
      <c r="AE312" s="1" t="s">
        <v>152</v>
      </c>
      <c r="AF312" s="1" t="s">
        <v>107</v>
      </c>
      <c r="AG312" s="1">
        <v>20</v>
      </c>
      <c r="AO312" s="2">
        <v>46273</v>
      </c>
      <c r="AP312" s="1" t="s">
        <v>226</v>
      </c>
      <c r="AQ312" s="2">
        <v>46273</v>
      </c>
      <c r="AR312" s="1" t="s">
        <v>235</v>
      </c>
      <c r="AS312" s="1" t="s">
        <v>71</v>
      </c>
      <c r="AU312" s="1" t="s">
        <v>79</v>
      </c>
      <c r="AV312" s="1" t="s">
        <v>80</v>
      </c>
      <c r="AW312" s="1">
        <v>65.44</v>
      </c>
      <c r="AX312" s="1">
        <v>0</v>
      </c>
      <c r="AZ312" s="1" t="s">
        <v>81</v>
      </c>
      <c r="BA312" s="1">
        <v>2</v>
      </c>
      <c r="BB312" s="1">
        <v>0</v>
      </c>
      <c r="BC312" s="1">
        <v>0</v>
      </c>
      <c r="BE312" s="1">
        <v>27186122</v>
      </c>
    </row>
    <row r="313" spans="1:57" x14ac:dyDescent="0.25">
      <c r="A313" s="1" t="str">
        <f>T("1944105219508607164")</f>
        <v>1944105219508607164</v>
      </c>
      <c r="B313" s="1" t="str">
        <f>T("249995515815")</f>
        <v>249995515815</v>
      </c>
      <c r="C313" s="1" t="str">
        <f>T("1941094470334283952")</f>
        <v>1941094470334283952</v>
      </c>
      <c r="AC313" s="1" t="s">
        <v>104</v>
      </c>
      <c r="AD313" s="1" t="s">
        <v>151</v>
      </c>
      <c r="AE313" s="1" t="s">
        <v>152</v>
      </c>
      <c r="AF313" s="1" t="s">
        <v>107</v>
      </c>
      <c r="AG313" s="1">
        <v>35</v>
      </c>
      <c r="AO313" s="2">
        <v>46273</v>
      </c>
      <c r="AP313" s="1" t="s">
        <v>226</v>
      </c>
      <c r="AS313" s="1" t="s">
        <v>71</v>
      </c>
      <c r="AU313" s="1" t="s">
        <v>72</v>
      </c>
      <c r="AV313" s="1" t="s">
        <v>80</v>
      </c>
      <c r="AX313" s="1">
        <v>0</v>
      </c>
      <c r="BA313" s="1">
        <v>3</v>
      </c>
      <c r="BB313" s="1">
        <v>0</v>
      </c>
      <c r="BC313" s="1">
        <v>0</v>
      </c>
      <c r="BE313" s="1">
        <v>27186122</v>
      </c>
    </row>
    <row r="314" spans="1:57" x14ac:dyDescent="0.25">
      <c r="A314" s="1" t="str">
        <f>T("1944105219655406544")</f>
        <v>1944105219655406544</v>
      </c>
      <c r="B314" s="1" t="str">
        <f>T("249992128010")</f>
        <v>249992128010</v>
      </c>
      <c r="C314" s="1" t="str">
        <f>T("1941094470334286352")</f>
        <v>1941094470334286352</v>
      </c>
      <c r="AC314" s="1" t="s">
        <v>104</v>
      </c>
      <c r="AD314" s="1" t="s">
        <v>151</v>
      </c>
      <c r="AE314" s="1" t="s">
        <v>152</v>
      </c>
      <c r="AF314" s="1" t="s">
        <v>107</v>
      </c>
      <c r="AG314" s="1">
        <v>70</v>
      </c>
      <c r="AO314" s="2">
        <v>46273</v>
      </c>
      <c r="AP314" s="1" t="s">
        <v>226</v>
      </c>
      <c r="AS314" s="1" t="s">
        <v>71</v>
      </c>
      <c r="AU314" s="1" t="s">
        <v>72</v>
      </c>
      <c r="AV314" s="1" t="s">
        <v>73</v>
      </c>
      <c r="AX314" s="1">
        <v>0</v>
      </c>
      <c r="BA314" s="1">
        <v>3</v>
      </c>
      <c r="BB314" s="1">
        <v>0</v>
      </c>
      <c r="BC314" s="1">
        <v>0</v>
      </c>
      <c r="BE314" s="1">
        <v>27186122</v>
      </c>
    </row>
    <row r="315" spans="1:57" x14ac:dyDescent="0.25">
      <c r="A315" s="1" t="str">
        <f>T("1944105219672183076")</f>
        <v>1944105219672183076</v>
      </c>
      <c r="B315" s="1" t="str">
        <f>T("249916383276")</f>
        <v>249916383276</v>
      </c>
      <c r="C315" s="1" t="str">
        <f>T("1941094470334286952")</f>
        <v>1941094470334286952</v>
      </c>
      <c r="AA315" s="1">
        <v>1</v>
      </c>
      <c r="AC315" s="1" t="s">
        <v>190</v>
      </c>
      <c r="AD315" s="1" t="s">
        <v>191</v>
      </c>
      <c r="AE315" s="1" t="s">
        <v>192</v>
      </c>
      <c r="AF315" s="1" t="s">
        <v>107</v>
      </c>
      <c r="AG315" s="1">
        <v>58</v>
      </c>
      <c r="AO315" s="2">
        <v>46273</v>
      </c>
      <c r="AP315" s="1" t="s">
        <v>226</v>
      </c>
      <c r="AQ315" s="2">
        <v>46273</v>
      </c>
      <c r="AR315" s="1" t="s">
        <v>236</v>
      </c>
      <c r="AS315" s="1" t="s">
        <v>71</v>
      </c>
      <c r="AU315" s="1" t="s">
        <v>79</v>
      </c>
      <c r="AV315" s="1" t="s">
        <v>80</v>
      </c>
      <c r="AW315" s="1">
        <v>65.680000000000007</v>
      </c>
      <c r="AX315" s="1">
        <v>0</v>
      </c>
      <c r="AZ315" s="1" t="s">
        <v>81</v>
      </c>
      <c r="BA315" s="1">
        <v>2</v>
      </c>
      <c r="BB315" s="1">
        <v>0</v>
      </c>
      <c r="BC315" s="1">
        <v>0</v>
      </c>
      <c r="BE315" s="1">
        <v>27186122</v>
      </c>
    </row>
    <row r="316" spans="1:57" x14ac:dyDescent="0.25">
      <c r="A316" s="1" t="str">
        <f>T("1944105219676379284")</f>
        <v>1944105219676379284</v>
      </c>
      <c r="B316" s="1" t="str">
        <f>T("249900442351")</f>
        <v>249900442351</v>
      </c>
      <c r="C316" s="1" t="str">
        <f>T("1941094470334287452")</f>
        <v>1941094470334287452</v>
      </c>
      <c r="AC316" s="1" t="s">
        <v>190</v>
      </c>
      <c r="AD316" s="1" t="s">
        <v>191</v>
      </c>
      <c r="AE316" s="1" t="s">
        <v>192</v>
      </c>
      <c r="AF316" s="1" t="s">
        <v>107</v>
      </c>
      <c r="AG316" s="1">
        <v>55</v>
      </c>
      <c r="AO316" s="2">
        <v>46273</v>
      </c>
      <c r="AP316" s="1" t="s">
        <v>226</v>
      </c>
      <c r="AS316" s="1" t="s">
        <v>71</v>
      </c>
      <c r="AU316" s="1" t="s">
        <v>72</v>
      </c>
      <c r="AV316" s="1" t="s">
        <v>115</v>
      </c>
      <c r="AX316" s="1">
        <v>0</v>
      </c>
      <c r="BA316" s="1">
        <v>3</v>
      </c>
      <c r="BB316" s="1">
        <v>0</v>
      </c>
      <c r="BC316" s="1">
        <v>0</v>
      </c>
      <c r="BE316" s="1">
        <v>27186122</v>
      </c>
    </row>
    <row r="317" spans="1:57" x14ac:dyDescent="0.25">
      <c r="A317" s="1" t="str">
        <f>T("1944105219730905188")</f>
        <v>1944105219730905188</v>
      </c>
      <c r="B317" s="1" t="str">
        <f>T("249914918942")</f>
        <v>249914918942</v>
      </c>
      <c r="C317" s="1" t="str">
        <f>T("1941094470338478260")</f>
        <v>1941094470338478260</v>
      </c>
      <c r="AA317" s="1">
        <v>1</v>
      </c>
      <c r="AC317" s="1" t="s">
        <v>190</v>
      </c>
      <c r="AD317" s="1" t="s">
        <v>191</v>
      </c>
      <c r="AE317" s="1" t="s">
        <v>192</v>
      </c>
      <c r="AF317" s="1" t="s">
        <v>107</v>
      </c>
      <c r="AG317" s="1">
        <v>61</v>
      </c>
      <c r="AO317" s="2">
        <v>46273</v>
      </c>
      <c r="AP317" s="1" t="s">
        <v>226</v>
      </c>
      <c r="AQ317" s="2">
        <v>46273</v>
      </c>
      <c r="AR317" s="1" t="s">
        <v>237</v>
      </c>
      <c r="AS317" s="1" t="s">
        <v>71</v>
      </c>
      <c r="AU317" s="1" t="s">
        <v>79</v>
      </c>
      <c r="AV317" s="1" t="s">
        <v>80</v>
      </c>
      <c r="AW317" s="1">
        <v>90.8</v>
      </c>
      <c r="AX317" s="1">
        <v>0</v>
      </c>
      <c r="AZ317" s="1" t="s">
        <v>81</v>
      </c>
      <c r="BA317" s="1">
        <v>2</v>
      </c>
      <c r="BB317" s="1">
        <v>0</v>
      </c>
      <c r="BC317" s="1">
        <v>0</v>
      </c>
      <c r="BE317" s="1">
        <v>27186122</v>
      </c>
    </row>
    <row r="318" spans="1:57" x14ac:dyDescent="0.25">
      <c r="A318" s="1" t="str">
        <f>T("1944105219772848768")</f>
        <v>1944105219772848768</v>
      </c>
      <c r="B318" s="1" t="str">
        <f>T("249908860476")</f>
        <v>249908860476</v>
      </c>
      <c r="C318" s="1" t="str">
        <f>T("1941094470338479260")</f>
        <v>1941094470338479260</v>
      </c>
      <c r="AA318" s="1">
        <v>1</v>
      </c>
      <c r="AC318" s="1" t="s">
        <v>190</v>
      </c>
      <c r="AD318" s="1" t="s">
        <v>191</v>
      </c>
      <c r="AE318" s="1" t="s">
        <v>192</v>
      </c>
      <c r="AF318" s="1" t="s">
        <v>107</v>
      </c>
      <c r="AG318" s="1">
        <v>61</v>
      </c>
      <c r="AO318" s="2">
        <v>46273</v>
      </c>
      <c r="AP318" s="1" t="s">
        <v>226</v>
      </c>
      <c r="AQ318" s="2">
        <v>46273</v>
      </c>
      <c r="AR318" s="1" t="s">
        <v>238</v>
      </c>
      <c r="AS318" s="1" t="s">
        <v>71</v>
      </c>
      <c r="AU318" s="1" t="s">
        <v>79</v>
      </c>
      <c r="AV318" s="1" t="s">
        <v>80</v>
      </c>
      <c r="AW318" s="1">
        <v>97.54</v>
      </c>
      <c r="AX318" s="1">
        <v>0</v>
      </c>
      <c r="AZ318" s="1" t="s">
        <v>81</v>
      </c>
      <c r="BA318" s="1">
        <v>2</v>
      </c>
      <c r="BB318" s="1">
        <v>0</v>
      </c>
      <c r="BC318" s="1">
        <v>0</v>
      </c>
      <c r="BE318" s="1">
        <v>27186122</v>
      </c>
    </row>
    <row r="319" spans="1:57" x14ac:dyDescent="0.25">
      <c r="A319" s="1" t="str">
        <f>T("1944105219823180764")</f>
        <v>1944105219823180764</v>
      </c>
      <c r="B319" s="1" t="str">
        <f>T("249909246801")</f>
        <v>249909246801</v>
      </c>
      <c r="C319" s="1" t="str">
        <f>T("1941094470338479660")</f>
        <v>1941094470338479660</v>
      </c>
      <c r="AC319" s="1" t="s">
        <v>190</v>
      </c>
      <c r="AD319" s="1" t="s">
        <v>191</v>
      </c>
      <c r="AE319" s="1" t="s">
        <v>192</v>
      </c>
      <c r="AF319" s="1" t="s">
        <v>107</v>
      </c>
      <c r="AG319" s="1">
        <v>54</v>
      </c>
      <c r="AO319" s="2">
        <v>46273</v>
      </c>
      <c r="AP319" s="1" t="s">
        <v>226</v>
      </c>
      <c r="AQ319" s="2">
        <v>46273</v>
      </c>
      <c r="AR319" s="1" t="s">
        <v>239</v>
      </c>
      <c r="AS319" s="1" t="s">
        <v>71</v>
      </c>
      <c r="AU319" s="1" t="s">
        <v>79</v>
      </c>
      <c r="AV319" s="1" t="s">
        <v>80</v>
      </c>
      <c r="AW319" s="1">
        <v>28.88</v>
      </c>
      <c r="AX319" s="1">
        <v>0</v>
      </c>
      <c r="AZ319" s="1" t="s">
        <v>81</v>
      </c>
      <c r="BA319" s="1">
        <v>3</v>
      </c>
      <c r="BB319" s="1">
        <v>0</v>
      </c>
      <c r="BC319" s="1">
        <v>0</v>
      </c>
      <c r="BE319" s="1">
        <v>27186122</v>
      </c>
    </row>
    <row r="320" spans="1:57" x14ac:dyDescent="0.25">
      <c r="A320" s="1" t="str">
        <f>T("1944105219831568580")</f>
        <v>1944105219831568580</v>
      </c>
      <c r="B320" s="1" t="str">
        <f>T("249918519030")</f>
        <v>249918519030</v>
      </c>
      <c r="C320" s="1" t="str">
        <f>T("1941094470338480360")</f>
        <v>1941094470338480360</v>
      </c>
      <c r="AC320" s="1" t="s">
        <v>190</v>
      </c>
      <c r="AD320" s="1" t="s">
        <v>191</v>
      </c>
      <c r="AE320" s="1" t="s">
        <v>192</v>
      </c>
      <c r="AF320" s="1" t="s">
        <v>107</v>
      </c>
      <c r="AG320" s="1">
        <v>67</v>
      </c>
      <c r="AO320" s="2">
        <v>46273</v>
      </c>
      <c r="AP320" s="1" t="s">
        <v>226</v>
      </c>
      <c r="AQ320" s="2">
        <v>46273</v>
      </c>
      <c r="AR320" s="1" t="s">
        <v>240</v>
      </c>
      <c r="AS320" s="1" t="s">
        <v>71</v>
      </c>
      <c r="AU320" s="1" t="s">
        <v>79</v>
      </c>
      <c r="AV320" s="1" t="s">
        <v>80</v>
      </c>
      <c r="AW320" s="1">
        <v>33.08</v>
      </c>
      <c r="AX320" s="1">
        <v>0</v>
      </c>
      <c r="AZ320" s="1" t="s">
        <v>81</v>
      </c>
      <c r="BA320" s="1">
        <v>1</v>
      </c>
      <c r="BB320" s="1">
        <v>0</v>
      </c>
      <c r="BC320" s="1">
        <v>0</v>
      </c>
      <c r="BE320" s="1">
        <v>27186122</v>
      </c>
    </row>
    <row r="321" spans="1:57" x14ac:dyDescent="0.25">
      <c r="A321" s="1" t="str">
        <f>T("1944105219839958296")</f>
        <v>1944105219839958296</v>
      </c>
      <c r="B321" s="1" t="str">
        <f>T("249904979123")</f>
        <v>249904979123</v>
      </c>
      <c r="C321" s="1" t="str">
        <f>T("1941094470338480860")</f>
        <v>1941094470338480860</v>
      </c>
      <c r="M321" s="1" t="s">
        <v>59</v>
      </c>
      <c r="AA321" s="1">
        <v>1</v>
      </c>
      <c r="AC321" s="1" t="s">
        <v>190</v>
      </c>
      <c r="AD321" s="1" t="s">
        <v>191</v>
      </c>
      <c r="AE321" s="1" t="s">
        <v>192</v>
      </c>
      <c r="AF321" s="1" t="s">
        <v>107</v>
      </c>
      <c r="AG321" s="1">
        <v>84</v>
      </c>
      <c r="AO321" s="2">
        <v>46273</v>
      </c>
      <c r="AP321" s="1" t="s">
        <v>226</v>
      </c>
      <c r="AQ321" s="2">
        <v>46273</v>
      </c>
      <c r="AR321" s="1" t="s">
        <v>241</v>
      </c>
      <c r="AS321" s="1" t="s">
        <v>71</v>
      </c>
      <c r="AU321" s="1" t="s">
        <v>79</v>
      </c>
      <c r="AV321" s="1" t="s">
        <v>80</v>
      </c>
      <c r="AW321" s="1">
        <v>84.2</v>
      </c>
      <c r="AX321" s="1">
        <v>0</v>
      </c>
      <c r="AZ321" s="1" t="s">
        <v>81</v>
      </c>
      <c r="BA321" s="1">
        <v>2</v>
      </c>
      <c r="BB321" s="1">
        <v>0</v>
      </c>
      <c r="BC321" s="1">
        <v>0</v>
      </c>
      <c r="BE321" s="1">
        <v>27186122</v>
      </c>
    </row>
    <row r="322" spans="1:57" x14ac:dyDescent="0.25">
      <c r="A322" s="1" t="str">
        <f>T("1944105219915452640")</f>
        <v>1944105219915452640</v>
      </c>
      <c r="B322" s="1" t="str">
        <f>T("249969733029")</f>
        <v>249969733029</v>
      </c>
      <c r="C322" s="1" t="str">
        <f>T("1941094470338481360")</f>
        <v>1941094470338481360</v>
      </c>
      <c r="AC322" s="1" t="s">
        <v>190</v>
      </c>
      <c r="AD322" s="1" t="s">
        <v>191</v>
      </c>
      <c r="AE322" s="1" t="s">
        <v>192</v>
      </c>
      <c r="AF322" s="1" t="s">
        <v>107</v>
      </c>
      <c r="AG322" s="1">
        <v>57</v>
      </c>
      <c r="AO322" s="2">
        <v>46273</v>
      </c>
      <c r="AP322" s="1" t="s">
        <v>226</v>
      </c>
      <c r="AQ322" s="2">
        <v>46273</v>
      </c>
      <c r="AR322" s="1" t="s">
        <v>238</v>
      </c>
      <c r="AS322" s="1" t="s">
        <v>71</v>
      </c>
      <c r="AU322" s="1" t="s">
        <v>79</v>
      </c>
      <c r="AV322" s="1" t="s">
        <v>80</v>
      </c>
      <c r="AW322" s="1">
        <v>27.34</v>
      </c>
      <c r="AX322" s="1">
        <v>0</v>
      </c>
      <c r="AZ322" s="1" t="s">
        <v>81</v>
      </c>
      <c r="BA322" s="1">
        <v>2</v>
      </c>
      <c r="BB322" s="1">
        <v>0</v>
      </c>
      <c r="BC322" s="1">
        <v>0</v>
      </c>
      <c r="BE322" s="1">
        <v>27186122</v>
      </c>
    </row>
    <row r="323" spans="1:57" x14ac:dyDescent="0.25">
      <c r="A323" s="1" t="str">
        <f>T("1944105219974176452")</f>
        <v>1944105219974176452</v>
      </c>
      <c r="B323" s="1" t="str">
        <f>T("249910683178")</f>
        <v>249910683178</v>
      </c>
      <c r="C323" s="1" t="str">
        <f>T("1941094470351063784")</f>
        <v>1941094470351063784</v>
      </c>
      <c r="AC323" s="1" t="s">
        <v>190</v>
      </c>
      <c r="AD323" s="1" t="s">
        <v>191</v>
      </c>
      <c r="AE323" s="1" t="s">
        <v>192</v>
      </c>
      <c r="AF323" s="1" t="s">
        <v>107</v>
      </c>
      <c r="AG323" s="1">
        <v>54</v>
      </c>
      <c r="AO323" s="2">
        <v>46273</v>
      </c>
      <c r="AP323" s="1" t="s">
        <v>226</v>
      </c>
      <c r="AS323" s="1" t="s">
        <v>71</v>
      </c>
      <c r="AU323" s="1" t="s">
        <v>72</v>
      </c>
      <c r="AV323" s="1" t="s">
        <v>131</v>
      </c>
      <c r="AX323" s="1">
        <v>0</v>
      </c>
      <c r="BA323" s="1">
        <v>3</v>
      </c>
      <c r="BB323" s="1">
        <v>0</v>
      </c>
      <c r="BC323" s="1">
        <v>0</v>
      </c>
      <c r="BE323" s="1">
        <v>27186122</v>
      </c>
    </row>
    <row r="324" spans="1:57" x14ac:dyDescent="0.25">
      <c r="A324" s="1" t="str">
        <f>T("1944105219978367960")</f>
        <v>1944105219978367960</v>
      </c>
      <c r="B324" s="1" t="str">
        <f>T("249911427598")</f>
        <v>249911427598</v>
      </c>
      <c r="C324" s="1" t="str">
        <f>T("1941094470342672768")</f>
        <v>1941094470342672768</v>
      </c>
      <c r="AA324" s="1">
        <v>1</v>
      </c>
      <c r="AC324" s="1" t="s">
        <v>190</v>
      </c>
      <c r="AD324" s="1" t="s">
        <v>191</v>
      </c>
      <c r="AE324" s="1" t="s">
        <v>192</v>
      </c>
      <c r="AF324" s="1" t="s">
        <v>107</v>
      </c>
      <c r="AG324" s="1">
        <v>78</v>
      </c>
      <c r="AO324" s="2">
        <v>46273</v>
      </c>
      <c r="AP324" s="1" t="s">
        <v>226</v>
      </c>
      <c r="AQ324" s="2">
        <v>46273</v>
      </c>
      <c r="AR324" s="1" t="s">
        <v>242</v>
      </c>
      <c r="AS324" s="1" t="s">
        <v>71</v>
      </c>
      <c r="AU324" s="1" t="s">
        <v>78</v>
      </c>
      <c r="AV324" s="1" t="s">
        <v>80</v>
      </c>
      <c r="AW324" s="1">
        <v>134.68</v>
      </c>
      <c r="AX324" s="1">
        <v>0</v>
      </c>
      <c r="AZ324" s="1" t="s">
        <v>81</v>
      </c>
      <c r="BA324" s="1">
        <v>2</v>
      </c>
      <c r="BB324" s="1">
        <v>0</v>
      </c>
      <c r="BC324" s="1">
        <v>0</v>
      </c>
      <c r="BE324" s="1">
        <v>27186122</v>
      </c>
    </row>
    <row r="325" spans="1:57" x14ac:dyDescent="0.25">
      <c r="A325" s="1" t="str">
        <f>T("1944105219978368460")</f>
        <v>1944105219978368460</v>
      </c>
      <c r="B325" s="1" t="str">
        <f>T("249967666967")</f>
        <v>249967666967</v>
      </c>
      <c r="C325" s="1" t="str">
        <f>T("1941094470346868476")</f>
        <v>1941094470346868476</v>
      </c>
      <c r="AA325" s="1">
        <v>1</v>
      </c>
      <c r="AC325" s="1" t="s">
        <v>190</v>
      </c>
      <c r="AD325" s="1" t="s">
        <v>191</v>
      </c>
      <c r="AE325" s="1" t="s">
        <v>192</v>
      </c>
      <c r="AF325" s="1" t="s">
        <v>107</v>
      </c>
      <c r="AG325" s="1">
        <v>62</v>
      </c>
      <c r="AO325" s="2">
        <v>46273</v>
      </c>
      <c r="AP325" s="1" t="s">
        <v>226</v>
      </c>
      <c r="AQ325" s="2">
        <v>46273</v>
      </c>
      <c r="AR325" s="1" t="s">
        <v>243</v>
      </c>
      <c r="AS325" s="1" t="s">
        <v>71</v>
      </c>
      <c r="AU325" s="1" t="s">
        <v>79</v>
      </c>
      <c r="AV325" s="1" t="s">
        <v>80</v>
      </c>
      <c r="AW325" s="1">
        <v>66.88</v>
      </c>
      <c r="AX325" s="1">
        <v>0</v>
      </c>
      <c r="AZ325" s="1" t="s">
        <v>81</v>
      </c>
      <c r="BA325" s="1">
        <v>2</v>
      </c>
      <c r="BB325" s="1">
        <v>0</v>
      </c>
      <c r="BC325" s="1">
        <v>0</v>
      </c>
      <c r="BE325" s="1">
        <v>27186122</v>
      </c>
    </row>
    <row r="326" spans="1:57" x14ac:dyDescent="0.25">
      <c r="A326" s="1" t="str">
        <f>T("1944105219995144892")</f>
        <v>1944105219995144892</v>
      </c>
      <c r="B326" s="1" t="str">
        <f>T("249909154910")</f>
        <v>249909154910</v>
      </c>
      <c r="C326" s="1" t="str">
        <f>T("1941094470342673568")</f>
        <v>1941094470342673568</v>
      </c>
      <c r="AC326" s="1" t="s">
        <v>190</v>
      </c>
      <c r="AD326" s="1" t="s">
        <v>191</v>
      </c>
      <c r="AE326" s="1" t="s">
        <v>192</v>
      </c>
      <c r="AF326" s="1" t="s">
        <v>107</v>
      </c>
      <c r="AG326" s="1">
        <v>52</v>
      </c>
      <c r="AO326" s="2">
        <v>46273</v>
      </c>
      <c r="AP326" s="1" t="s">
        <v>226</v>
      </c>
      <c r="AS326" s="1" t="s">
        <v>71</v>
      </c>
      <c r="AU326" s="1" t="s">
        <v>72</v>
      </c>
      <c r="AV326" s="1" t="s">
        <v>80</v>
      </c>
      <c r="AX326" s="1">
        <v>0</v>
      </c>
      <c r="BA326" s="1">
        <v>3</v>
      </c>
      <c r="BB326" s="1">
        <v>0</v>
      </c>
      <c r="BC326" s="1">
        <v>0</v>
      </c>
      <c r="BE326" s="1">
        <v>27186122</v>
      </c>
    </row>
    <row r="327" spans="1:57" x14ac:dyDescent="0.25">
      <c r="A327" s="1" t="str">
        <f>T("1944105219995146992")</f>
        <v>1944105219995146992</v>
      </c>
      <c r="B327" s="1" t="str">
        <f>T("249919781361")</f>
        <v>249919781361</v>
      </c>
      <c r="C327" s="1" t="str">
        <f>T("1941094470355255892")</f>
        <v>1941094470355255892</v>
      </c>
      <c r="AC327" s="1" t="s">
        <v>190</v>
      </c>
      <c r="AD327" s="1" t="s">
        <v>191</v>
      </c>
      <c r="AE327" s="1" t="s">
        <v>192</v>
      </c>
      <c r="AF327" s="1" t="s">
        <v>107</v>
      </c>
      <c r="AG327" s="1">
        <v>51</v>
      </c>
      <c r="AO327" s="2">
        <v>46273</v>
      </c>
      <c r="AP327" s="1" t="s">
        <v>226</v>
      </c>
      <c r="AS327" s="1" t="s">
        <v>71</v>
      </c>
      <c r="AU327" s="1" t="s">
        <v>72</v>
      </c>
      <c r="AV327" s="1" t="s">
        <v>73</v>
      </c>
      <c r="AX327" s="1">
        <v>0</v>
      </c>
      <c r="BA327" s="1">
        <v>3</v>
      </c>
      <c r="BB327" s="1">
        <v>0</v>
      </c>
      <c r="BC327" s="1">
        <v>0</v>
      </c>
      <c r="BE327" s="1">
        <v>27186122</v>
      </c>
    </row>
    <row r="328" spans="1:57" x14ac:dyDescent="0.25">
      <c r="A328" s="1" t="str">
        <f>T("1944105220062256920")</f>
        <v>1944105220062256920</v>
      </c>
      <c r="B328" s="1" t="str">
        <f>T("249909634829")</f>
        <v>249909634829</v>
      </c>
      <c r="C328" s="1" t="str">
        <f>T("1941094470355256692")</f>
        <v>1941094470355256692</v>
      </c>
      <c r="AC328" s="1" t="s">
        <v>190</v>
      </c>
      <c r="AD328" s="1" t="s">
        <v>191</v>
      </c>
      <c r="AE328" s="1" t="s">
        <v>192</v>
      </c>
      <c r="AF328" s="1" t="s">
        <v>107</v>
      </c>
      <c r="AG328" s="1">
        <v>58</v>
      </c>
      <c r="AO328" s="2">
        <v>46273</v>
      </c>
      <c r="AP328" s="1" t="s">
        <v>226</v>
      </c>
      <c r="AS328" s="1" t="s">
        <v>71</v>
      </c>
      <c r="AU328" s="1" t="s">
        <v>72</v>
      </c>
      <c r="AV328" s="1" t="s">
        <v>73</v>
      </c>
      <c r="AX328" s="1">
        <v>0</v>
      </c>
      <c r="BA328" s="1">
        <v>3</v>
      </c>
      <c r="BB328" s="1">
        <v>0</v>
      </c>
      <c r="BC328" s="1">
        <v>0</v>
      </c>
      <c r="BE328" s="1">
        <v>27186122</v>
      </c>
    </row>
    <row r="329" spans="1:57" x14ac:dyDescent="0.25">
      <c r="A329" s="1" t="str">
        <f>T("1944105220062256921")</f>
        <v>1944105220062256921</v>
      </c>
      <c r="B329" s="1" t="str">
        <f>T("249909027094")</f>
        <v>249909027094</v>
      </c>
      <c r="C329" s="1" t="str">
        <f>T("1941094470355257192")</f>
        <v>1941094470355257192</v>
      </c>
      <c r="AC329" s="1" t="s">
        <v>190</v>
      </c>
      <c r="AD329" s="1" t="s">
        <v>191</v>
      </c>
      <c r="AE329" s="1" t="s">
        <v>192</v>
      </c>
      <c r="AF329" s="1" t="s">
        <v>107</v>
      </c>
      <c r="AG329" s="1">
        <v>61</v>
      </c>
      <c r="AO329" s="2">
        <v>46273</v>
      </c>
      <c r="AP329" s="1" t="s">
        <v>226</v>
      </c>
      <c r="AS329" s="1" t="s">
        <v>71</v>
      </c>
      <c r="AU329" s="1" t="s">
        <v>72</v>
      </c>
      <c r="AV329" s="1" t="s">
        <v>115</v>
      </c>
      <c r="AX329" s="1">
        <v>0</v>
      </c>
      <c r="BA329" s="1">
        <v>3</v>
      </c>
      <c r="BB329" s="1">
        <v>0</v>
      </c>
      <c r="BC329" s="1">
        <v>0</v>
      </c>
      <c r="BE329" s="1">
        <v>27186122</v>
      </c>
    </row>
    <row r="330" spans="1:57" x14ac:dyDescent="0.25">
      <c r="A330" s="1" t="str">
        <f>T("1944105220079032452")</f>
        <v>1944105220079032452</v>
      </c>
      <c r="B330" s="1" t="str">
        <f>T("249900283415")</f>
        <v>249900283415</v>
      </c>
      <c r="C330" s="1" t="str">
        <f>T("1941094470355257592")</f>
        <v>1941094470355257592</v>
      </c>
      <c r="AA330" s="1">
        <v>1</v>
      </c>
      <c r="AC330" s="1" t="s">
        <v>190</v>
      </c>
      <c r="AD330" s="1" t="s">
        <v>191</v>
      </c>
      <c r="AE330" s="1" t="s">
        <v>192</v>
      </c>
      <c r="AF330" s="1" t="s">
        <v>107</v>
      </c>
      <c r="AG330" s="1">
        <v>61</v>
      </c>
      <c r="AO330" s="2">
        <v>46273</v>
      </c>
      <c r="AP330" s="1" t="s">
        <v>226</v>
      </c>
      <c r="AQ330" s="2">
        <v>46273</v>
      </c>
      <c r="AR330" s="1" t="s">
        <v>244</v>
      </c>
      <c r="AS330" s="1" t="s">
        <v>71</v>
      </c>
      <c r="AU330" s="1" t="s">
        <v>78</v>
      </c>
      <c r="AV330" s="1" t="s">
        <v>80</v>
      </c>
      <c r="AW330" s="1">
        <v>134.68</v>
      </c>
      <c r="AX330" s="1">
        <v>0</v>
      </c>
      <c r="AZ330" s="1" t="s">
        <v>81</v>
      </c>
      <c r="BA330" s="1">
        <v>2</v>
      </c>
      <c r="BB330" s="1">
        <v>0</v>
      </c>
      <c r="BC330" s="1">
        <v>0</v>
      </c>
      <c r="BE330" s="1">
        <v>27186122</v>
      </c>
    </row>
    <row r="331" spans="1:57" x14ac:dyDescent="0.25">
      <c r="A331" s="1" t="str">
        <f>T("1944105220079034352")</f>
        <v>1944105220079034352</v>
      </c>
      <c r="B331" s="1" t="str">
        <f>T("249966751634")</f>
        <v>249966751634</v>
      </c>
      <c r="C331" s="1" t="str">
        <f>T("1941094470355258092")</f>
        <v>1941094470355258092</v>
      </c>
      <c r="AC331" s="1" t="s">
        <v>190</v>
      </c>
      <c r="AD331" s="1" t="s">
        <v>191</v>
      </c>
      <c r="AE331" s="1" t="s">
        <v>192</v>
      </c>
      <c r="AF331" s="1" t="s">
        <v>107</v>
      </c>
      <c r="AG331" s="1">
        <v>78</v>
      </c>
      <c r="AO331" s="2">
        <v>46273</v>
      </c>
      <c r="AP331" s="1" t="s">
        <v>226</v>
      </c>
      <c r="AQ331" s="2">
        <v>46273</v>
      </c>
      <c r="AR331" s="1" t="s">
        <v>241</v>
      </c>
      <c r="AS331" s="1" t="s">
        <v>71</v>
      </c>
      <c r="AU331" s="1" t="s">
        <v>79</v>
      </c>
      <c r="AV331" s="1" t="s">
        <v>80</v>
      </c>
      <c r="AW331" s="1">
        <v>11.56</v>
      </c>
      <c r="AX331" s="1">
        <v>0</v>
      </c>
      <c r="AZ331" s="1" t="s">
        <v>81</v>
      </c>
      <c r="BA331" s="1">
        <v>2</v>
      </c>
      <c r="BB331" s="1">
        <v>0</v>
      </c>
      <c r="BC331" s="1">
        <v>0</v>
      </c>
      <c r="BE331" s="1">
        <v>27186122</v>
      </c>
    </row>
    <row r="332" spans="1:57" x14ac:dyDescent="0.25">
      <c r="A332" s="1" t="str">
        <f>T("1944105220095807884")</f>
        <v>1944105220095807884</v>
      </c>
      <c r="B332" s="1" t="str">
        <f>T("249904797801")</f>
        <v>249904797801</v>
      </c>
      <c r="C332" s="1" t="str">
        <f>T("1941094470355258692")</f>
        <v>1941094470355258692</v>
      </c>
      <c r="AA332" s="1">
        <v>1</v>
      </c>
      <c r="AC332" s="1" t="s">
        <v>190</v>
      </c>
      <c r="AD332" s="1" t="s">
        <v>191</v>
      </c>
      <c r="AE332" s="1" t="s">
        <v>192</v>
      </c>
      <c r="AF332" s="1" t="s">
        <v>107</v>
      </c>
      <c r="AG332" s="1">
        <v>68</v>
      </c>
      <c r="AO332" s="2">
        <v>46273</v>
      </c>
      <c r="AP332" s="1" t="s">
        <v>226</v>
      </c>
      <c r="AQ332" s="2">
        <v>46273</v>
      </c>
      <c r="AR332" s="1" t="s">
        <v>245</v>
      </c>
      <c r="AS332" s="1" t="s">
        <v>71</v>
      </c>
      <c r="AU332" s="1" t="s">
        <v>79</v>
      </c>
      <c r="AV332" s="1" t="s">
        <v>80</v>
      </c>
      <c r="AW332" s="1">
        <v>68.239999999999995</v>
      </c>
      <c r="AX332" s="1">
        <v>0</v>
      </c>
      <c r="AZ332" s="1" t="s">
        <v>81</v>
      </c>
      <c r="BA332" s="1">
        <v>2</v>
      </c>
      <c r="BB332" s="1">
        <v>0</v>
      </c>
      <c r="BC332" s="1">
        <v>0</v>
      </c>
      <c r="BE332" s="1">
        <v>27186122</v>
      </c>
    </row>
    <row r="333" spans="1:57" x14ac:dyDescent="0.25">
      <c r="A333" s="1" t="str">
        <f>T("1944105220129363348")</f>
        <v>1944105220129363348</v>
      </c>
      <c r="B333" s="1" t="str">
        <f>T("249915723836")</f>
        <v>249915723836</v>
      </c>
      <c r="C333" s="1" t="str">
        <f>T("1941094470355259292")</f>
        <v>1941094470355259292</v>
      </c>
      <c r="AC333" s="1" t="s">
        <v>190</v>
      </c>
      <c r="AD333" s="1" t="s">
        <v>191</v>
      </c>
      <c r="AE333" s="1" t="s">
        <v>192</v>
      </c>
      <c r="AF333" s="1" t="s">
        <v>107</v>
      </c>
      <c r="AG333" s="1">
        <v>64</v>
      </c>
      <c r="AO333" s="2">
        <v>46273</v>
      </c>
      <c r="AP333" s="1" t="s">
        <v>226</v>
      </c>
      <c r="AQ333" s="2">
        <v>46273</v>
      </c>
      <c r="AR333" s="1" t="s">
        <v>243</v>
      </c>
      <c r="AS333" s="1" t="s">
        <v>71</v>
      </c>
      <c r="AU333" s="1" t="s">
        <v>79</v>
      </c>
      <c r="AV333" s="1" t="s">
        <v>80</v>
      </c>
      <c r="AW333" s="1">
        <v>12.04</v>
      </c>
      <c r="AX333" s="1">
        <v>0</v>
      </c>
      <c r="AZ333" s="1" t="s">
        <v>81</v>
      </c>
      <c r="BA333" s="1">
        <v>2</v>
      </c>
      <c r="BB333" s="1">
        <v>0</v>
      </c>
      <c r="BC333" s="1">
        <v>0</v>
      </c>
      <c r="BE333" s="1">
        <v>27186122</v>
      </c>
    </row>
    <row r="334" spans="1:57" x14ac:dyDescent="0.25">
      <c r="A334" s="1" t="str">
        <f>T("1944105220141945472")</f>
        <v>1944105220141945472</v>
      </c>
      <c r="B334" s="1" t="str">
        <f>T("249919369042")</f>
        <v>249919369042</v>
      </c>
      <c r="C334" s="1" t="str">
        <f>T("1941094470359450200")</f>
        <v>1941094470359450200</v>
      </c>
      <c r="AA334" s="1">
        <v>1</v>
      </c>
      <c r="AC334" s="1" t="s">
        <v>190</v>
      </c>
      <c r="AD334" s="1" t="s">
        <v>191</v>
      </c>
      <c r="AE334" s="1" t="s">
        <v>192</v>
      </c>
      <c r="AF334" s="1" t="s">
        <v>107</v>
      </c>
      <c r="AG334" s="1">
        <v>57</v>
      </c>
      <c r="AO334" s="2">
        <v>46273</v>
      </c>
      <c r="AP334" s="1" t="s">
        <v>226</v>
      </c>
      <c r="AQ334" s="2">
        <v>46273</v>
      </c>
      <c r="AR334" s="1" t="s">
        <v>246</v>
      </c>
      <c r="AS334" s="1" t="s">
        <v>71</v>
      </c>
      <c r="AU334" s="1" t="s">
        <v>79</v>
      </c>
      <c r="AV334" s="1" t="s">
        <v>80</v>
      </c>
      <c r="AW334" s="1">
        <v>65.760000000000005</v>
      </c>
      <c r="AX334" s="1">
        <v>0</v>
      </c>
      <c r="AZ334" s="1" t="s">
        <v>81</v>
      </c>
      <c r="BA334" s="1">
        <v>2</v>
      </c>
      <c r="BB334" s="1">
        <v>0</v>
      </c>
      <c r="BC334" s="1">
        <v>0</v>
      </c>
      <c r="BE334" s="1">
        <v>27186122</v>
      </c>
    </row>
    <row r="335" spans="1:57" x14ac:dyDescent="0.25">
      <c r="A335" s="1" t="str">
        <f>T("1944105220179696744")</f>
        <v>1944105220179696744</v>
      </c>
      <c r="B335" s="1" t="str">
        <f>T("249916952407")</f>
        <v>249916952407</v>
      </c>
      <c r="C335" s="1" t="str">
        <f>T("1941094470359450600")</f>
        <v>1941094470359450600</v>
      </c>
      <c r="AC335" s="1" t="s">
        <v>190</v>
      </c>
      <c r="AD335" s="1" t="s">
        <v>191</v>
      </c>
      <c r="AE335" s="1" t="s">
        <v>192</v>
      </c>
      <c r="AF335" s="1" t="s">
        <v>107</v>
      </c>
      <c r="AG335" s="1">
        <v>52</v>
      </c>
      <c r="AO335" s="2">
        <v>46273</v>
      </c>
      <c r="AP335" s="1" t="s">
        <v>226</v>
      </c>
      <c r="AQ335" s="2">
        <v>46273</v>
      </c>
      <c r="AR335" s="1" t="s">
        <v>244</v>
      </c>
      <c r="AS335" s="1" t="s">
        <v>71</v>
      </c>
      <c r="AU335" s="1" t="s">
        <v>79</v>
      </c>
      <c r="AV335" s="1" t="s">
        <v>80</v>
      </c>
      <c r="AW335" s="1">
        <v>23.7</v>
      </c>
      <c r="AX335" s="1">
        <v>0</v>
      </c>
      <c r="AZ335" s="1" t="s">
        <v>81</v>
      </c>
      <c r="BA335" s="1">
        <v>2</v>
      </c>
      <c r="BB335" s="1">
        <v>0</v>
      </c>
      <c r="BC335" s="1">
        <v>0</v>
      </c>
      <c r="BE335" s="1">
        <v>27186122</v>
      </c>
    </row>
    <row r="336" spans="1:57" x14ac:dyDescent="0.25">
      <c r="A336" s="1" t="str">
        <f>T("1944105220196473076")</f>
        <v>1944105220196473076</v>
      </c>
      <c r="B336" s="1" t="str">
        <f>T("249914714291")</f>
        <v>249914714291</v>
      </c>
      <c r="C336" s="1" t="str">
        <f>T("1941094470359451100")</f>
        <v>1941094470359451100</v>
      </c>
      <c r="AC336" s="1" t="s">
        <v>190</v>
      </c>
      <c r="AD336" s="1" t="s">
        <v>191</v>
      </c>
      <c r="AE336" s="1" t="s">
        <v>192</v>
      </c>
      <c r="AF336" s="1" t="s">
        <v>107</v>
      </c>
      <c r="AG336" s="1">
        <v>62</v>
      </c>
      <c r="AO336" s="2">
        <v>46273</v>
      </c>
      <c r="AP336" s="1" t="s">
        <v>226</v>
      </c>
      <c r="AS336" s="1" t="s">
        <v>71</v>
      </c>
      <c r="AU336" s="1" t="s">
        <v>72</v>
      </c>
      <c r="AV336" s="1" t="s">
        <v>126</v>
      </c>
      <c r="AX336" s="1">
        <v>0</v>
      </c>
      <c r="BA336" s="1">
        <v>3</v>
      </c>
      <c r="BB336" s="1">
        <v>0</v>
      </c>
      <c r="BC336" s="1">
        <v>0</v>
      </c>
      <c r="BE336" s="1">
        <v>27186122</v>
      </c>
    </row>
    <row r="337" spans="1:57" x14ac:dyDescent="0.25">
      <c r="A337" s="1" t="str">
        <f>T("1944105220200666784")</f>
        <v>1944105220200666784</v>
      </c>
      <c r="B337" s="1" t="str">
        <f>T("249916077717")</f>
        <v>249916077717</v>
      </c>
      <c r="C337" s="1" t="str">
        <f>T("1941094470359451600")</f>
        <v>1941094470359451600</v>
      </c>
      <c r="M337" s="1" t="s">
        <v>59</v>
      </c>
      <c r="O337" s="1" t="s">
        <v>65</v>
      </c>
      <c r="P337" s="1" t="s">
        <v>91</v>
      </c>
      <c r="Q337" s="1" t="s">
        <v>101</v>
      </c>
      <c r="R337" s="1" t="s">
        <v>93</v>
      </c>
      <c r="T337" s="1" t="s">
        <v>61</v>
      </c>
      <c r="U337" s="1" t="s">
        <v>65</v>
      </c>
      <c r="V337" s="1" t="s">
        <v>68</v>
      </c>
      <c r="W337" s="1" t="s">
        <v>60</v>
      </c>
      <c r="X337" s="1" t="s">
        <v>66</v>
      </c>
      <c r="Y337" s="1" t="s">
        <v>85</v>
      </c>
      <c r="AA337" s="1">
        <v>1</v>
      </c>
      <c r="AB337" s="1">
        <v>1</v>
      </c>
      <c r="AC337" s="1" t="s">
        <v>190</v>
      </c>
      <c r="AD337" s="1" t="s">
        <v>191</v>
      </c>
      <c r="AE337" s="1" t="s">
        <v>192</v>
      </c>
      <c r="AF337" s="1" t="s">
        <v>107</v>
      </c>
      <c r="AG337" s="1">
        <v>50</v>
      </c>
      <c r="AO337" s="2">
        <v>46273</v>
      </c>
      <c r="AP337" s="1" t="s">
        <v>226</v>
      </c>
      <c r="AQ337" s="2">
        <v>46273</v>
      </c>
      <c r="AR337" s="1" t="s">
        <v>243</v>
      </c>
      <c r="AS337" s="1" t="s">
        <v>71</v>
      </c>
      <c r="AU337" s="1" t="s">
        <v>78</v>
      </c>
      <c r="AV337" s="1" t="s">
        <v>80</v>
      </c>
      <c r="AW337" s="1">
        <v>257.88</v>
      </c>
      <c r="AX337" s="1">
        <v>0</v>
      </c>
      <c r="AZ337" s="1" t="s">
        <v>81</v>
      </c>
      <c r="BA337" s="1">
        <v>2</v>
      </c>
      <c r="BB337" s="1">
        <v>0</v>
      </c>
      <c r="BC337" s="1">
        <v>0</v>
      </c>
      <c r="BE337" s="1">
        <v>27186122</v>
      </c>
    </row>
    <row r="338" spans="1:57" x14ac:dyDescent="0.25">
      <c r="A338" s="1" t="str">
        <f>T("1944105220204861992")</f>
        <v>1944105220204861992</v>
      </c>
      <c r="B338" s="1" t="str">
        <f>T("249961811165")</f>
        <v>249961811165</v>
      </c>
      <c r="C338" s="1" t="str">
        <f>T("1941094470359452100")</f>
        <v>1941094470359452100</v>
      </c>
      <c r="AC338" s="1" t="s">
        <v>190</v>
      </c>
      <c r="AD338" s="1" t="s">
        <v>191</v>
      </c>
      <c r="AE338" s="1" t="s">
        <v>192</v>
      </c>
      <c r="AF338" s="1" t="s">
        <v>107</v>
      </c>
      <c r="AG338" s="1">
        <v>50</v>
      </c>
      <c r="AO338" s="2">
        <v>46273</v>
      </c>
      <c r="AP338" s="1" t="s">
        <v>226</v>
      </c>
      <c r="AQ338" s="2">
        <v>46273</v>
      </c>
      <c r="AR338" s="1" t="s">
        <v>247</v>
      </c>
      <c r="AS338" s="1" t="s">
        <v>71</v>
      </c>
      <c r="AU338" s="1" t="s">
        <v>79</v>
      </c>
      <c r="AV338" s="1" t="s">
        <v>80</v>
      </c>
      <c r="AW338" s="1">
        <v>24.44</v>
      </c>
      <c r="AX338" s="1">
        <v>0</v>
      </c>
      <c r="AZ338" s="1" t="s">
        <v>81</v>
      </c>
      <c r="BA338" s="1">
        <v>2</v>
      </c>
      <c r="BB338" s="1">
        <v>0</v>
      </c>
      <c r="BC338" s="1">
        <v>0</v>
      </c>
      <c r="BE338" s="1">
        <v>27186122</v>
      </c>
    </row>
    <row r="339" spans="1:57" x14ac:dyDescent="0.25">
      <c r="A339" s="1" t="str">
        <f>T("1944105220213249808")</f>
        <v>1944105220213249808</v>
      </c>
      <c r="B339" s="1" t="str">
        <f>T("249903317057")</f>
        <v>249903317057</v>
      </c>
      <c r="C339" s="1" t="str">
        <f>T("1941094470359452600")</f>
        <v>1941094470359452600</v>
      </c>
      <c r="AA339" s="1">
        <v>1</v>
      </c>
      <c r="AC339" s="1" t="s">
        <v>190</v>
      </c>
      <c r="AD339" s="1" t="s">
        <v>191</v>
      </c>
      <c r="AE339" s="1" t="s">
        <v>192</v>
      </c>
      <c r="AF339" s="1" t="s">
        <v>107</v>
      </c>
      <c r="AG339" s="1">
        <v>60</v>
      </c>
      <c r="AO339" s="2">
        <v>46273</v>
      </c>
      <c r="AP339" s="1" t="s">
        <v>226</v>
      </c>
      <c r="AQ339" s="2">
        <v>46273</v>
      </c>
      <c r="AR339" s="1" t="s">
        <v>237</v>
      </c>
      <c r="AS339" s="1" t="s">
        <v>71</v>
      </c>
      <c r="AU339" s="1" t="s">
        <v>79</v>
      </c>
      <c r="AV339" s="1" t="s">
        <v>80</v>
      </c>
      <c r="AW339" s="1">
        <v>68.822000000000003</v>
      </c>
      <c r="AX339" s="1">
        <v>0</v>
      </c>
      <c r="AZ339" s="1" t="s">
        <v>81</v>
      </c>
      <c r="BA339" s="1">
        <v>2</v>
      </c>
      <c r="BB339" s="1">
        <v>0</v>
      </c>
      <c r="BC339" s="1">
        <v>0</v>
      </c>
      <c r="BE339" s="1">
        <v>27186122</v>
      </c>
    </row>
    <row r="340" spans="1:57" x14ac:dyDescent="0.25">
      <c r="A340" s="1" t="str">
        <f>T("1944105220276165628")</f>
        <v>1944105220276165628</v>
      </c>
      <c r="B340" s="1" t="str">
        <f>T("249964240977")</f>
        <v>249964240977</v>
      </c>
      <c r="C340" s="1" t="str">
        <f>T("1941094470363644108")</f>
        <v>1941094470363644108</v>
      </c>
      <c r="AC340" s="1" t="s">
        <v>190</v>
      </c>
      <c r="AD340" s="1" t="s">
        <v>191</v>
      </c>
      <c r="AE340" s="1" t="s">
        <v>192</v>
      </c>
      <c r="AF340" s="1" t="s">
        <v>107</v>
      </c>
      <c r="AG340" s="1">
        <v>54</v>
      </c>
      <c r="AO340" s="2">
        <v>46273</v>
      </c>
      <c r="AP340" s="1" t="s">
        <v>226</v>
      </c>
      <c r="AQ340" s="2">
        <v>46273</v>
      </c>
      <c r="AR340" s="1" t="s">
        <v>235</v>
      </c>
      <c r="AS340" s="1" t="s">
        <v>71</v>
      </c>
      <c r="AU340" s="1" t="s">
        <v>79</v>
      </c>
      <c r="AV340" s="1" t="s">
        <v>80</v>
      </c>
      <c r="AW340" s="1">
        <v>21.32</v>
      </c>
      <c r="AX340" s="1">
        <v>0</v>
      </c>
      <c r="AZ340" s="1" t="s">
        <v>81</v>
      </c>
      <c r="BA340" s="1">
        <v>2</v>
      </c>
      <c r="BB340" s="1">
        <v>0</v>
      </c>
      <c r="BC340" s="1">
        <v>0</v>
      </c>
      <c r="BE340" s="1">
        <v>27186122</v>
      </c>
    </row>
    <row r="341" spans="1:57" x14ac:dyDescent="0.25">
      <c r="A341" s="1" t="str">
        <f>T("1944105220280357236")</f>
        <v>1944105220280357236</v>
      </c>
      <c r="B341" s="1" t="str">
        <f>T("249910291912")</f>
        <v>249910291912</v>
      </c>
      <c r="C341" s="1" t="str">
        <f>T("1941094470363645008")</f>
        <v>1941094470363645008</v>
      </c>
      <c r="AA341" s="1">
        <v>1</v>
      </c>
      <c r="AC341" s="1" t="s">
        <v>190</v>
      </c>
      <c r="AD341" s="1" t="s">
        <v>191</v>
      </c>
      <c r="AE341" s="1" t="s">
        <v>192</v>
      </c>
      <c r="AF341" s="1" t="s">
        <v>107</v>
      </c>
      <c r="AG341" s="1">
        <v>56</v>
      </c>
      <c r="AO341" s="2">
        <v>46273</v>
      </c>
      <c r="AP341" s="1" t="s">
        <v>226</v>
      </c>
      <c r="AQ341" s="2">
        <v>46273</v>
      </c>
      <c r="AR341" s="1" t="s">
        <v>235</v>
      </c>
      <c r="AS341" s="1" t="s">
        <v>71</v>
      </c>
      <c r="AU341" s="1" t="s">
        <v>79</v>
      </c>
      <c r="AV341" s="1" t="s">
        <v>80</v>
      </c>
      <c r="AW341" s="1">
        <v>69.819999999999993</v>
      </c>
      <c r="AX341" s="1">
        <v>0</v>
      </c>
      <c r="AZ341" s="1" t="s">
        <v>81</v>
      </c>
      <c r="BA341" s="1">
        <v>2</v>
      </c>
      <c r="BB341" s="1">
        <v>0</v>
      </c>
      <c r="BC341" s="1">
        <v>0</v>
      </c>
      <c r="BE341" s="1">
        <v>27186122</v>
      </c>
    </row>
    <row r="342" spans="1:57" x14ac:dyDescent="0.25">
      <c r="A342" s="1" t="str">
        <f>T("1944105220280358036")</f>
        <v>1944105220280358036</v>
      </c>
      <c r="B342" s="1" t="str">
        <f>T("249965783418")</f>
        <v>249965783418</v>
      </c>
      <c r="C342" s="1" t="str">
        <f>T("1941094470363644508")</f>
        <v>1941094470363644508</v>
      </c>
      <c r="M342" s="1" t="s">
        <v>59</v>
      </c>
      <c r="O342" s="1" t="s">
        <v>60</v>
      </c>
      <c r="AA342" s="1">
        <v>1</v>
      </c>
      <c r="AC342" s="1" t="s">
        <v>190</v>
      </c>
      <c r="AD342" s="1" t="s">
        <v>191</v>
      </c>
      <c r="AE342" s="1" t="s">
        <v>192</v>
      </c>
      <c r="AF342" s="1" t="s">
        <v>107</v>
      </c>
      <c r="AG342" s="1">
        <v>62</v>
      </c>
      <c r="AO342" s="2">
        <v>46273</v>
      </c>
      <c r="AP342" s="1" t="s">
        <v>226</v>
      </c>
      <c r="AQ342" s="2">
        <v>46273</v>
      </c>
      <c r="AR342" s="1" t="s">
        <v>246</v>
      </c>
      <c r="AS342" s="1" t="s">
        <v>71</v>
      </c>
      <c r="AU342" s="1" t="s">
        <v>79</v>
      </c>
      <c r="AV342" s="1" t="s">
        <v>80</v>
      </c>
      <c r="AW342" s="1">
        <v>147.5</v>
      </c>
      <c r="AX342" s="1">
        <v>0</v>
      </c>
      <c r="AZ342" s="1" t="s">
        <v>81</v>
      </c>
      <c r="BA342" s="1">
        <v>2</v>
      </c>
      <c r="BB342" s="1">
        <v>0</v>
      </c>
      <c r="BC342" s="1">
        <v>0</v>
      </c>
      <c r="BE342" s="1">
        <v>27186122</v>
      </c>
    </row>
    <row r="343" spans="1:57" x14ac:dyDescent="0.25">
      <c r="A343" s="1" t="str">
        <f>T("1944105220288746152")</f>
        <v>1944105220288746152</v>
      </c>
      <c r="B343" s="1" t="str">
        <f>T("249906544817")</f>
        <v>249906544817</v>
      </c>
      <c r="C343" s="1" t="str">
        <f>T("1941094470363645608")</f>
        <v>1941094470363645608</v>
      </c>
      <c r="AC343" s="1" t="s">
        <v>190</v>
      </c>
      <c r="AD343" s="1" t="s">
        <v>191</v>
      </c>
      <c r="AE343" s="1" t="s">
        <v>192</v>
      </c>
      <c r="AF343" s="1" t="s">
        <v>107</v>
      </c>
      <c r="AG343" s="1">
        <v>62</v>
      </c>
      <c r="AO343" s="2">
        <v>46273</v>
      </c>
      <c r="AP343" s="1" t="s">
        <v>226</v>
      </c>
      <c r="AS343" s="1" t="s">
        <v>71</v>
      </c>
      <c r="AU343" s="1" t="s">
        <v>72</v>
      </c>
      <c r="AV343" s="1" t="s">
        <v>80</v>
      </c>
      <c r="AX343" s="1">
        <v>0</v>
      </c>
      <c r="BA343" s="1">
        <v>3</v>
      </c>
      <c r="BB343" s="1">
        <v>0</v>
      </c>
      <c r="BC343" s="1">
        <v>0</v>
      </c>
      <c r="BE343" s="1">
        <v>27186122</v>
      </c>
    </row>
    <row r="344" spans="1:57" x14ac:dyDescent="0.25">
      <c r="A344" s="1" t="str">
        <f>T("1944105220297135668")</f>
        <v>1944105220297135668</v>
      </c>
      <c r="B344" s="1" t="str">
        <f>T("249904424430")</f>
        <v>249904424430</v>
      </c>
      <c r="C344" s="1" t="str">
        <f>T("1941094470363646008")</f>
        <v>1941094470363646008</v>
      </c>
      <c r="AC344" s="1" t="s">
        <v>190</v>
      </c>
      <c r="AD344" s="1" t="s">
        <v>191</v>
      </c>
      <c r="AE344" s="1" t="s">
        <v>192</v>
      </c>
      <c r="AF344" s="1" t="s">
        <v>107</v>
      </c>
      <c r="AG344" s="1">
        <v>60</v>
      </c>
      <c r="AO344" s="2">
        <v>46273</v>
      </c>
      <c r="AP344" s="1" t="s">
        <v>226</v>
      </c>
      <c r="AS344" s="1" t="s">
        <v>71</v>
      </c>
      <c r="AU344" s="1" t="s">
        <v>72</v>
      </c>
      <c r="AV344" s="1" t="s">
        <v>80</v>
      </c>
      <c r="AX344" s="1">
        <v>0</v>
      </c>
      <c r="BA344" s="1">
        <v>3</v>
      </c>
      <c r="BB344" s="1">
        <v>0</v>
      </c>
      <c r="BC344" s="1">
        <v>0</v>
      </c>
      <c r="BE344" s="1">
        <v>27186122</v>
      </c>
    </row>
    <row r="345" spans="1:57" x14ac:dyDescent="0.25">
      <c r="A345" s="1" t="str">
        <f>T("1944316617928939552")</f>
        <v>1944316617928939552</v>
      </c>
      <c r="B345" s="1" t="str">
        <f>T("249995940522")</f>
        <v>249995940522</v>
      </c>
      <c r="C345" s="1" t="str">
        <f>T("1941094470363646608")</f>
        <v>1941094470363646608</v>
      </c>
      <c r="AC345" s="1" t="s">
        <v>190</v>
      </c>
      <c r="AD345" s="1" t="s">
        <v>191</v>
      </c>
      <c r="AE345" s="1" t="s">
        <v>192</v>
      </c>
      <c r="AF345" s="1" t="s">
        <v>107</v>
      </c>
      <c r="AG345" s="1">
        <v>58</v>
      </c>
      <c r="AO345" s="2">
        <v>46274</v>
      </c>
      <c r="AP345" s="1" t="s">
        <v>248</v>
      </c>
      <c r="AS345" s="1" t="s">
        <v>71</v>
      </c>
      <c r="AU345" s="1" t="s">
        <v>72</v>
      </c>
      <c r="AV345" s="1" t="s">
        <v>73</v>
      </c>
      <c r="AX345" s="1">
        <v>0</v>
      </c>
      <c r="BA345" s="1">
        <v>3</v>
      </c>
      <c r="BB345" s="1">
        <v>0</v>
      </c>
      <c r="BC345" s="1">
        <v>0</v>
      </c>
      <c r="BE345" s="1">
        <v>27186125</v>
      </c>
    </row>
    <row r="346" spans="1:57" x14ac:dyDescent="0.25">
      <c r="A346" s="1" t="str">
        <f>T("1944316618159625892")</f>
        <v>1944316618159625892</v>
      </c>
      <c r="B346" s="1" t="str">
        <f>T("249911146470")</f>
        <v>249911146470</v>
      </c>
      <c r="C346" s="1" t="str">
        <f>T("1941094470363647208")</f>
        <v>1941094470363647208</v>
      </c>
      <c r="AC346" s="1" t="s">
        <v>190</v>
      </c>
      <c r="AD346" s="1" t="s">
        <v>191</v>
      </c>
      <c r="AE346" s="1" t="s">
        <v>192</v>
      </c>
      <c r="AF346" s="1" t="s">
        <v>107</v>
      </c>
      <c r="AG346" s="1">
        <v>50</v>
      </c>
      <c r="AO346" s="2">
        <v>46274</v>
      </c>
      <c r="AP346" s="1" t="s">
        <v>248</v>
      </c>
      <c r="AS346" s="1" t="s">
        <v>71</v>
      </c>
      <c r="AU346" s="1" t="s">
        <v>72</v>
      </c>
      <c r="AV346" s="1" t="s">
        <v>73</v>
      </c>
      <c r="AX346" s="1">
        <v>0</v>
      </c>
      <c r="BA346" s="1">
        <v>3</v>
      </c>
      <c r="BB346" s="1">
        <v>0</v>
      </c>
      <c r="BC346" s="1">
        <v>0</v>
      </c>
      <c r="BE346" s="1">
        <v>27186125</v>
      </c>
    </row>
    <row r="347" spans="1:57" x14ac:dyDescent="0.25">
      <c r="A347" s="1" t="str">
        <f>T("1944316618235123736")</f>
        <v>1944316618235123736</v>
      </c>
      <c r="B347" s="1" t="str">
        <f>T("249916380969")</f>
        <v>249916380969</v>
      </c>
      <c r="C347" s="1" t="str">
        <f>T("1941094470363647708")</f>
        <v>1941094470363647708</v>
      </c>
      <c r="AA347" s="1">
        <v>1</v>
      </c>
      <c r="AC347" s="1" t="s">
        <v>190</v>
      </c>
      <c r="AD347" s="1" t="s">
        <v>191</v>
      </c>
      <c r="AE347" s="1" t="s">
        <v>192</v>
      </c>
      <c r="AF347" s="1" t="s">
        <v>107</v>
      </c>
      <c r="AG347" s="1">
        <v>60</v>
      </c>
      <c r="AO347" s="2">
        <v>46274</v>
      </c>
      <c r="AP347" s="1" t="s">
        <v>248</v>
      </c>
      <c r="AQ347" s="2">
        <v>46274</v>
      </c>
      <c r="AR347" s="1" t="s">
        <v>249</v>
      </c>
      <c r="AS347" s="1" t="s">
        <v>71</v>
      </c>
      <c r="AU347" s="1" t="s">
        <v>78</v>
      </c>
      <c r="AV347" s="1" t="s">
        <v>80</v>
      </c>
      <c r="AW347" s="1">
        <v>134.58000000000001</v>
      </c>
      <c r="AX347" s="1">
        <v>0</v>
      </c>
      <c r="AZ347" s="1" t="s">
        <v>81</v>
      </c>
      <c r="BA347" s="1">
        <v>1</v>
      </c>
      <c r="BB347" s="1">
        <v>0</v>
      </c>
      <c r="BC347" s="1">
        <v>0</v>
      </c>
      <c r="BE347" s="1">
        <v>27186125</v>
      </c>
    </row>
    <row r="348" spans="1:57" x14ac:dyDescent="0.25">
      <c r="A348" s="1" t="str">
        <f>T("1944316618302233064")</f>
        <v>1944316618302233064</v>
      </c>
      <c r="B348" s="1" t="str">
        <f>T("249919018999")</f>
        <v>249919018999</v>
      </c>
      <c r="C348" s="1" t="str">
        <f>T("1941094470367838416")</f>
        <v>1941094470367838416</v>
      </c>
      <c r="AC348" s="1" t="s">
        <v>190</v>
      </c>
      <c r="AD348" s="1" t="s">
        <v>191</v>
      </c>
      <c r="AE348" s="1" t="s">
        <v>192</v>
      </c>
      <c r="AF348" s="1" t="s">
        <v>107</v>
      </c>
      <c r="AG348" s="1">
        <v>52</v>
      </c>
      <c r="AO348" s="2">
        <v>46274</v>
      </c>
      <c r="AP348" s="1" t="s">
        <v>248</v>
      </c>
      <c r="AS348" s="1" t="s">
        <v>71</v>
      </c>
      <c r="AU348" s="1" t="s">
        <v>72</v>
      </c>
      <c r="AV348" s="1" t="s">
        <v>131</v>
      </c>
      <c r="AX348" s="1">
        <v>0</v>
      </c>
      <c r="BA348" s="1">
        <v>3</v>
      </c>
      <c r="BB348" s="1">
        <v>0</v>
      </c>
      <c r="BC348" s="1">
        <v>0</v>
      </c>
      <c r="BE348" s="1">
        <v>27186125</v>
      </c>
    </row>
    <row r="349" spans="1:57" x14ac:dyDescent="0.25">
      <c r="A349" s="1" t="str">
        <f>T("1944316618373535700")</f>
        <v>1944316618373535700</v>
      </c>
      <c r="B349" s="1" t="str">
        <f>T("249904424418")</f>
        <v>249904424418</v>
      </c>
      <c r="C349" s="1" t="str">
        <f>T("1941094470367838816")</f>
        <v>1941094470367838816</v>
      </c>
      <c r="M349" s="1" t="s">
        <v>59</v>
      </c>
      <c r="O349" s="1" t="s">
        <v>65</v>
      </c>
      <c r="P349" s="1" t="s">
        <v>61</v>
      </c>
      <c r="Q349" s="1" t="s">
        <v>101</v>
      </c>
      <c r="R349" s="1" t="s">
        <v>93</v>
      </c>
      <c r="T349" s="1" t="s">
        <v>119</v>
      </c>
      <c r="U349" s="1" t="s">
        <v>65</v>
      </c>
      <c r="V349" s="1" t="s">
        <v>68</v>
      </c>
      <c r="W349" s="1" t="s">
        <v>67</v>
      </c>
      <c r="X349" s="1" t="s">
        <v>66</v>
      </c>
      <c r="Y349" s="1" t="s">
        <v>69</v>
      </c>
      <c r="AA349" s="1">
        <v>1</v>
      </c>
      <c r="AB349" s="1">
        <v>1</v>
      </c>
      <c r="AC349" s="1" t="s">
        <v>190</v>
      </c>
      <c r="AD349" s="1" t="s">
        <v>191</v>
      </c>
      <c r="AE349" s="1" t="s">
        <v>192</v>
      </c>
      <c r="AF349" s="1" t="s">
        <v>107</v>
      </c>
      <c r="AG349" s="1">
        <v>58</v>
      </c>
      <c r="AO349" s="2">
        <v>46274</v>
      </c>
      <c r="AP349" s="1" t="s">
        <v>248</v>
      </c>
      <c r="AQ349" s="2">
        <v>46274</v>
      </c>
      <c r="AR349" s="1" t="s">
        <v>250</v>
      </c>
      <c r="AS349" s="1" t="s">
        <v>71</v>
      </c>
      <c r="AU349" s="1" t="s">
        <v>78</v>
      </c>
      <c r="AV349" s="1" t="s">
        <v>80</v>
      </c>
      <c r="AW349" s="1">
        <v>258.94</v>
      </c>
      <c r="AX349" s="1">
        <v>0</v>
      </c>
      <c r="AZ349" s="1" t="s">
        <v>81</v>
      </c>
      <c r="BA349" s="1">
        <v>1</v>
      </c>
      <c r="BB349" s="1">
        <v>0</v>
      </c>
      <c r="BC349" s="1">
        <v>0</v>
      </c>
      <c r="BE349" s="1">
        <v>27186125</v>
      </c>
    </row>
    <row r="350" spans="1:57" x14ac:dyDescent="0.25">
      <c r="A350" s="1" t="str">
        <f>T("1944316618465808876")</f>
        <v>1944316618465808876</v>
      </c>
      <c r="B350" s="1" t="str">
        <f>T("249919998414")</f>
        <v>249919998414</v>
      </c>
      <c r="C350" s="1" t="str">
        <f>T("1941094470367839216")</f>
        <v>1941094470367839216</v>
      </c>
      <c r="M350" s="1" t="s">
        <v>59</v>
      </c>
      <c r="O350" s="1" t="s">
        <v>65</v>
      </c>
      <c r="P350" s="1" t="s">
        <v>91</v>
      </c>
      <c r="Q350" s="1" t="s">
        <v>112</v>
      </c>
      <c r="R350" s="1" t="s">
        <v>84</v>
      </c>
      <c r="S350" s="1" t="s">
        <v>61</v>
      </c>
      <c r="U350" s="1" t="s">
        <v>65</v>
      </c>
      <c r="V350" s="1" t="s">
        <v>66</v>
      </c>
      <c r="W350" s="1" t="s">
        <v>60</v>
      </c>
      <c r="X350" s="1" t="s">
        <v>66</v>
      </c>
      <c r="Y350" s="1" t="s">
        <v>85</v>
      </c>
      <c r="AA350" s="1">
        <v>1</v>
      </c>
      <c r="AB350" s="1">
        <v>1</v>
      </c>
      <c r="AC350" s="1" t="s">
        <v>190</v>
      </c>
      <c r="AD350" s="1" t="s">
        <v>191</v>
      </c>
      <c r="AE350" s="1" t="s">
        <v>192</v>
      </c>
      <c r="AF350" s="1" t="s">
        <v>107</v>
      </c>
      <c r="AG350" s="1">
        <v>58</v>
      </c>
      <c r="AO350" s="2">
        <v>46274</v>
      </c>
      <c r="AP350" s="1" t="s">
        <v>248</v>
      </c>
      <c r="AQ350" s="2">
        <v>46274</v>
      </c>
      <c r="AR350" s="1" t="s">
        <v>251</v>
      </c>
      <c r="AS350" s="1" t="s">
        <v>71</v>
      </c>
      <c r="AU350" s="1" t="s">
        <v>78</v>
      </c>
      <c r="AV350" s="1" t="s">
        <v>80</v>
      </c>
      <c r="AW350" s="1">
        <v>184.48</v>
      </c>
      <c r="AX350" s="1">
        <v>0</v>
      </c>
      <c r="AZ350" s="1" t="s">
        <v>81</v>
      </c>
      <c r="BA350" s="1">
        <v>1</v>
      </c>
      <c r="BB350" s="1">
        <v>0</v>
      </c>
      <c r="BC350" s="1">
        <v>0</v>
      </c>
      <c r="BE350" s="1">
        <v>27186125</v>
      </c>
    </row>
    <row r="351" spans="1:57" x14ac:dyDescent="0.25">
      <c r="A351" s="1" t="str">
        <f>T("1944316618553889244")</f>
        <v>1944316618553889244</v>
      </c>
      <c r="B351" s="1" t="str">
        <f>T("249909570130")</f>
        <v>249909570130</v>
      </c>
      <c r="C351" s="1" t="str">
        <f>T("1941094470367839716")</f>
        <v>1941094470367839716</v>
      </c>
      <c r="AC351" s="1" t="s">
        <v>190</v>
      </c>
      <c r="AD351" s="1" t="s">
        <v>191</v>
      </c>
      <c r="AE351" s="1" t="s">
        <v>192</v>
      </c>
      <c r="AF351" s="1" t="s">
        <v>107</v>
      </c>
      <c r="AG351" s="1">
        <v>55</v>
      </c>
      <c r="AO351" s="2">
        <v>46274</v>
      </c>
      <c r="AP351" s="1" t="s">
        <v>248</v>
      </c>
      <c r="AS351" s="1" t="s">
        <v>71</v>
      </c>
      <c r="AU351" s="1" t="s">
        <v>72</v>
      </c>
      <c r="AV351" s="1" t="s">
        <v>73</v>
      </c>
      <c r="AX351" s="1">
        <v>0</v>
      </c>
      <c r="BA351" s="1">
        <v>3</v>
      </c>
      <c r="BB351" s="1">
        <v>0</v>
      </c>
      <c r="BC351" s="1">
        <v>0</v>
      </c>
      <c r="BE351" s="1">
        <v>27186125</v>
      </c>
    </row>
    <row r="352" spans="1:57" x14ac:dyDescent="0.25">
      <c r="A352" s="1" t="str">
        <f>T("1944316618637778904")</f>
        <v>1944316618637778904</v>
      </c>
      <c r="B352" s="1" t="str">
        <f>T("249921471388")</f>
        <v>249921471388</v>
      </c>
      <c r="C352" s="1" t="str">
        <f>T("1941094470367840216")</f>
        <v>1941094470367840216</v>
      </c>
      <c r="AC352" s="1" t="s">
        <v>190</v>
      </c>
      <c r="AD352" s="1" t="s">
        <v>191</v>
      </c>
      <c r="AE352" s="1" t="s">
        <v>192</v>
      </c>
      <c r="AF352" s="1" t="s">
        <v>107</v>
      </c>
      <c r="AG352" s="1">
        <v>28</v>
      </c>
      <c r="AO352" s="2">
        <v>46274</v>
      </c>
      <c r="AP352" s="1" t="s">
        <v>248</v>
      </c>
      <c r="AS352" s="1" t="s">
        <v>71</v>
      </c>
      <c r="AU352" s="1" t="s">
        <v>72</v>
      </c>
      <c r="AV352" s="1" t="s">
        <v>73</v>
      </c>
      <c r="AX352" s="1">
        <v>0</v>
      </c>
      <c r="BA352" s="1">
        <v>3</v>
      </c>
      <c r="BB352" s="1">
        <v>0</v>
      </c>
      <c r="BC352" s="1">
        <v>0</v>
      </c>
      <c r="BE352" s="1">
        <v>27186125</v>
      </c>
    </row>
    <row r="353" spans="1:57" x14ac:dyDescent="0.25">
      <c r="A353" s="1" t="str">
        <f>T("1944316618717470456")</f>
        <v>1944316618717470456</v>
      </c>
      <c r="B353" s="1" t="str">
        <f>T("249921478133")</f>
        <v>249921478133</v>
      </c>
      <c r="C353" s="1" t="str">
        <f>T("1941094470367841216")</f>
        <v>1941094470367841216</v>
      </c>
      <c r="AC353" s="1" t="s">
        <v>190</v>
      </c>
      <c r="AD353" s="1" t="s">
        <v>191</v>
      </c>
      <c r="AE353" s="1" t="s">
        <v>192</v>
      </c>
      <c r="AF353" s="1" t="s">
        <v>107</v>
      </c>
      <c r="AG353" s="1">
        <v>54</v>
      </c>
      <c r="AO353" s="2">
        <v>46274</v>
      </c>
      <c r="AP353" s="1" t="s">
        <v>248</v>
      </c>
      <c r="AS353" s="1" t="s">
        <v>71</v>
      </c>
      <c r="AU353" s="1" t="s">
        <v>72</v>
      </c>
      <c r="AV353" s="1" t="s">
        <v>73</v>
      </c>
      <c r="AX353" s="1">
        <v>0</v>
      </c>
      <c r="BA353" s="1">
        <v>3</v>
      </c>
      <c r="BB353" s="1">
        <v>0</v>
      </c>
      <c r="BC353" s="1">
        <v>0</v>
      </c>
      <c r="BE353" s="1">
        <v>27186125</v>
      </c>
    </row>
    <row r="354" spans="1:57" x14ac:dyDescent="0.25">
      <c r="A354" s="1" t="str">
        <f>T("1944316618822327956")</f>
        <v>1944316618822327956</v>
      </c>
      <c r="B354" s="1" t="str">
        <f>T("249908444800")</f>
        <v>249908444800</v>
      </c>
      <c r="C354" s="1" t="str">
        <f>T("1941094470367841916")</f>
        <v>1941094470367841916</v>
      </c>
      <c r="AA354" s="1">
        <v>1</v>
      </c>
      <c r="AC354" s="1" t="s">
        <v>190</v>
      </c>
      <c r="AD354" s="1" t="s">
        <v>191</v>
      </c>
      <c r="AE354" s="1" t="s">
        <v>192</v>
      </c>
      <c r="AF354" s="1" t="s">
        <v>107</v>
      </c>
      <c r="AG354" s="1">
        <v>55</v>
      </c>
      <c r="AO354" s="2">
        <v>46274</v>
      </c>
      <c r="AP354" s="1" t="s">
        <v>248</v>
      </c>
      <c r="AQ354" s="2">
        <v>46274</v>
      </c>
      <c r="AR354" s="1" t="s">
        <v>252</v>
      </c>
      <c r="AS354" s="1" t="s">
        <v>71</v>
      </c>
      <c r="AU354" s="1" t="s">
        <v>79</v>
      </c>
      <c r="AV354" s="1" t="s">
        <v>80</v>
      </c>
      <c r="AW354" s="1">
        <v>92.12</v>
      </c>
      <c r="AX354" s="1">
        <v>0</v>
      </c>
      <c r="AZ354" s="1" t="s">
        <v>81</v>
      </c>
      <c r="BA354" s="1">
        <v>1</v>
      </c>
      <c r="BB354" s="1">
        <v>0</v>
      </c>
      <c r="BC354" s="1">
        <v>0</v>
      </c>
      <c r="BE354" s="1">
        <v>27186125</v>
      </c>
    </row>
    <row r="355" spans="1:57" x14ac:dyDescent="0.25">
      <c r="A355" s="1" t="str">
        <f>T("1944316618902017008")</f>
        <v>1944316618902017008</v>
      </c>
      <c r="B355" s="1" t="str">
        <f>T("249900075140")</f>
        <v>249900075140</v>
      </c>
      <c r="C355" s="1" t="str">
        <f>T("1941094470372032624")</f>
        <v>1941094470372032624</v>
      </c>
      <c r="AC355" s="1" t="s">
        <v>190</v>
      </c>
      <c r="AD355" s="1" t="s">
        <v>191</v>
      </c>
      <c r="AE355" s="1" t="s">
        <v>192</v>
      </c>
      <c r="AF355" s="1" t="s">
        <v>107</v>
      </c>
      <c r="AG355" s="1">
        <v>52</v>
      </c>
      <c r="AO355" s="2">
        <v>46274</v>
      </c>
      <c r="AP355" s="1" t="s">
        <v>248</v>
      </c>
      <c r="AQ355" s="2">
        <v>46274</v>
      </c>
      <c r="AR355" s="1" t="s">
        <v>253</v>
      </c>
      <c r="AS355" s="1" t="s">
        <v>71</v>
      </c>
      <c r="AU355" s="1" t="s">
        <v>79</v>
      </c>
      <c r="AV355" s="1" t="s">
        <v>80</v>
      </c>
      <c r="AW355" s="1">
        <v>7.14</v>
      </c>
      <c r="AX355" s="1">
        <v>0</v>
      </c>
      <c r="AZ355" s="1" t="s">
        <v>81</v>
      </c>
      <c r="BA355" s="1">
        <v>1</v>
      </c>
      <c r="BB355" s="1">
        <v>0</v>
      </c>
      <c r="BC355" s="1">
        <v>0</v>
      </c>
      <c r="BE355" s="1">
        <v>27186125</v>
      </c>
    </row>
    <row r="356" spans="1:57" x14ac:dyDescent="0.25">
      <c r="A356" s="1" t="str">
        <f>T("1944316618969128636")</f>
        <v>1944316618969128636</v>
      </c>
      <c r="B356" s="1" t="str">
        <f>T("249994392799")</f>
        <v>249994392799</v>
      </c>
      <c r="C356" s="1" t="str">
        <f>T("1941094470372033124")</f>
        <v>1941094470372033124</v>
      </c>
      <c r="AC356" s="1" t="s">
        <v>190</v>
      </c>
      <c r="AD356" s="1" t="s">
        <v>191</v>
      </c>
      <c r="AE356" s="1" t="s">
        <v>192</v>
      </c>
      <c r="AF356" s="1" t="s">
        <v>107</v>
      </c>
      <c r="AG356" s="1">
        <v>28</v>
      </c>
      <c r="AO356" s="2">
        <v>46274</v>
      </c>
      <c r="AP356" s="1" t="s">
        <v>248</v>
      </c>
      <c r="AS356" s="1" t="s">
        <v>71</v>
      </c>
      <c r="AU356" s="1" t="s">
        <v>72</v>
      </c>
      <c r="AV356" s="1" t="s">
        <v>73</v>
      </c>
      <c r="AX356" s="1">
        <v>0</v>
      </c>
      <c r="BA356" s="1">
        <v>3</v>
      </c>
      <c r="BB356" s="1">
        <v>0</v>
      </c>
      <c r="BC356" s="1">
        <v>0</v>
      </c>
      <c r="BE356" s="1">
        <v>27186125</v>
      </c>
    </row>
    <row r="357" spans="1:57" x14ac:dyDescent="0.25">
      <c r="A357" s="1" t="str">
        <f>T("1944316619069791228")</f>
        <v>1944316619069791228</v>
      </c>
      <c r="B357" s="1" t="str">
        <f>T("249964156116")</f>
        <v>249964156116</v>
      </c>
      <c r="C357" s="1" t="str">
        <f>T("1941094470372033524")</f>
        <v>1941094470372033524</v>
      </c>
      <c r="AC357" s="1" t="s">
        <v>190</v>
      </c>
      <c r="AD357" s="1" t="s">
        <v>191</v>
      </c>
      <c r="AE357" s="1" t="s">
        <v>192</v>
      </c>
      <c r="AF357" s="1" t="s">
        <v>107</v>
      </c>
      <c r="AG357" s="1">
        <v>29</v>
      </c>
      <c r="AO357" s="2">
        <v>46274</v>
      </c>
      <c r="AP357" s="1" t="s">
        <v>248</v>
      </c>
      <c r="AS357" s="1" t="s">
        <v>71</v>
      </c>
      <c r="AU357" s="1" t="s">
        <v>72</v>
      </c>
      <c r="AV357" s="1" t="s">
        <v>73</v>
      </c>
      <c r="AX357" s="1">
        <v>0</v>
      </c>
      <c r="BA357" s="1">
        <v>3</v>
      </c>
      <c r="BB357" s="1">
        <v>0</v>
      </c>
      <c r="BC357" s="1">
        <v>0</v>
      </c>
      <c r="BE357" s="1">
        <v>27186125</v>
      </c>
    </row>
    <row r="358" spans="1:57" x14ac:dyDescent="0.25">
      <c r="A358" s="1" t="str">
        <f>T("1944316619145286672")</f>
        <v>1944316619145286672</v>
      </c>
      <c r="B358" s="1" t="str">
        <f>T("249914134615")</f>
        <v>249914134615</v>
      </c>
      <c r="C358" s="1" t="str">
        <f>T("1941094470376227232")</f>
        <v>1941094470376227232</v>
      </c>
      <c r="AC358" s="1" t="s">
        <v>190</v>
      </c>
      <c r="AD358" s="1" t="s">
        <v>191</v>
      </c>
      <c r="AE358" s="1" t="s">
        <v>192</v>
      </c>
      <c r="AF358" s="1" t="s">
        <v>107</v>
      </c>
      <c r="AG358" s="1">
        <v>31</v>
      </c>
      <c r="AO358" s="2">
        <v>46274</v>
      </c>
      <c r="AP358" s="1" t="s">
        <v>248</v>
      </c>
      <c r="AS358" s="1" t="s">
        <v>71</v>
      </c>
      <c r="AU358" s="1" t="s">
        <v>72</v>
      </c>
      <c r="AV358" s="1" t="s">
        <v>73</v>
      </c>
      <c r="AX358" s="1">
        <v>0</v>
      </c>
      <c r="BA358" s="1">
        <v>3</v>
      </c>
      <c r="BB358" s="1">
        <v>0</v>
      </c>
      <c r="BC358" s="1">
        <v>0</v>
      </c>
      <c r="BE358" s="1">
        <v>27186125</v>
      </c>
    </row>
    <row r="359" spans="1:57" x14ac:dyDescent="0.25">
      <c r="A359" s="1" t="str">
        <f>T("1944316619212396500")</f>
        <v>1944316619212396500</v>
      </c>
      <c r="B359" s="1" t="str">
        <f>T("249999573301")</f>
        <v>249999573301</v>
      </c>
      <c r="C359" s="1" t="str">
        <f>T("1941094470376227932")</f>
        <v>1941094470376227932</v>
      </c>
      <c r="AA359" s="1">
        <v>1</v>
      </c>
      <c r="AC359" s="1" t="s">
        <v>190</v>
      </c>
      <c r="AD359" s="1" t="s">
        <v>191</v>
      </c>
      <c r="AE359" s="1" t="s">
        <v>192</v>
      </c>
      <c r="AF359" s="1" t="s">
        <v>107</v>
      </c>
      <c r="AG359" s="1">
        <v>38</v>
      </c>
      <c r="AO359" s="2">
        <v>46274</v>
      </c>
      <c r="AP359" s="1" t="s">
        <v>248</v>
      </c>
      <c r="AQ359" s="2">
        <v>46274</v>
      </c>
      <c r="AR359" s="1" t="s">
        <v>254</v>
      </c>
      <c r="AS359" s="1" t="s">
        <v>71</v>
      </c>
      <c r="AU359" s="1" t="s">
        <v>79</v>
      </c>
      <c r="AV359" s="1" t="s">
        <v>80</v>
      </c>
      <c r="AW359" s="1">
        <v>52.7</v>
      </c>
      <c r="AX359" s="1">
        <v>0</v>
      </c>
      <c r="AZ359" s="1" t="s">
        <v>81</v>
      </c>
      <c r="BA359" s="1">
        <v>1</v>
      </c>
      <c r="BB359" s="1">
        <v>0</v>
      </c>
      <c r="BC359" s="1">
        <v>0</v>
      </c>
      <c r="BE359" s="1">
        <v>27186125</v>
      </c>
    </row>
    <row r="360" spans="1:57" x14ac:dyDescent="0.25">
      <c r="A360" s="1" t="str">
        <f>T("1944316619304672176")</f>
        <v>1944316619304672176</v>
      </c>
      <c r="B360" s="1" t="str">
        <f>T("249911296592")</f>
        <v>249911296592</v>
      </c>
      <c r="C360" s="1" t="str">
        <f>T("1941094470376228532")</f>
        <v>1941094470376228532</v>
      </c>
      <c r="AC360" s="1" t="s">
        <v>190</v>
      </c>
      <c r="AD360" s="1" t="s">
        <v>191</v>
      </c>
      <c r="AE360" s="1" t="s">
        <v>192</v>
      </c>
      <c r="AF360" s="1" t="s">
        <v>107</v>
      </c>
      <c r="AG360" s="1">
        <v>32</v>
      </c>
      <c r="AO360" s="2">
        <v>46274</v>
      </c>
      <c r="AP360" s="1" t="s">
        <v>248</v>
      </c>
      <c r="AS360" s="1" t="s">
        <v>71</v>
      </c>
      <c r="AU360" s="1" t="s">
        <v>72</v>
      </c>
      <c r="AV360" s="1" t="s">
        <v>73</v>
      </c>
      <c r="AX360" s="1">
        <v>0</v>
      </c>
      <c r="BA360" s="1">
        <v>3</v>
      </c>
      <c r="BB360" s="1">
        <v>0</v>
      </c>
      <c r="BC360" s="1">
        <v>0</v>
      </c>
      <c r="BE360" s="1">
        <v>27186125</v>
      </c>
    </row>
    <row r="361" spans="1:57" x14ac:dyDescent="0.25">
      <c r="A361" s="1" t="str">
        <f>T("1944316619388558236")</f>
        <v>1944316619388558236</v>
      </c>
      <c r="B361" s="1" t="str">
        <f>T("249911261252")</f>
        <v>249911261252</v>
      </c>
      <c r="C361" s="1" t="str">
        <f>T("1941094470376229032")</f>
        <v>1941094470376229032</v>
      </c>
      <c r="AC361" s="1" t="s">
        <v>190</v>
      </c>
      <c r="AD361" s="1" t="s">
        <v>191</v>
      </c>
      <c r="AE361" s="1" t="s">
        <v>192</v>
      </c>
      <c r="AF361" s="1" t="s">
        <v>144</v>
      </c>
      <c r="AG361" s="1">
        <v>66</v>
      </c>
      <c r="AO361" s="2">
        <v>46274</v>
      </c>
      <c r="AP361" s="1" t="s">
        <v>248</v>
      </c>
      <c r="AQ361" s="2">
        <v>46274</v>
      </c>
      <c r="AR361" s="1" t="s">
        <v>255</v>
      </c>
      <c r="AS361" s="1" t="s">
        <v>71</v>
      </c>
      <c r="AU361" s="1" t="s">
        <v>79</v>
      </c>
      <c r="AV361" s="1" t="s">
        <v>80</v>
      </c>
      <c r="AW361" s="1">
        <v>19.876999999999999</v>
      </c>
      <c r="AX361" s="1">
        <v>0</v>
      </c>
      <c r="AZ361" s="1" t="s">
        <v>81</v>
      </c>
      <c r="BA361" s="1">
        <v>1</v>
      </c>
      <c r="BB361" s="1">
        <v>0</v>
      </c>
      <c r="BC361" s="1">
        <v>0</v>
      </c>
      <c r="BE361" s="1">
        <v>27186125</v>
      </c>
    </row>
    <row r="362" spans="1:57" x14ac:dyDescent="0.25">
      <c r="A362" s="1" t="str">
        <f>T("1944316619472443096")</f>
        <v>1944316619472443096</v>
      </c>
      <c r="B362" s="1" t="str">
        <f>T("249906176177")</f>
        <v>249906176177</v>
      </c>
      <c r="C362" s="1" t="str">
        <f>T("1941094470376229432")</f>
        <v>1941094470376229432</v>
      </c>
      <c r="AA362" s="1">
        <v>1</v>
      </c>
      <c r="AC362" s="1" t="s">
        <v>190</v>
      </c>
      <c r="AD362" s="1" t="s">
        <v>191</v>
      </c>
      <c r="AE362" s="1" t="s">
        <v>192</v>
      </c>
      <c r="AF362" s="1" t="s">
        <v>144</v>
      </c>
      <c r="AG362" s="1">
        <v>60</v>
      </c>
      <c r="AO362" s="2">
        <v>46274</v>
      </c>
      <c r="AP362" s="1" t="s">
        <v>248</v>
      </c>
      <c r="AQ362" s="2">
        <v>46274</v>
      </c>
      <c r="AR362" s="1" t="s">
        <v>251</v>
      </c>
      <c r="AS362" s="1" t="s">
        <v>71</v>
      </c>
      <c r="AU362" s="1" t="s">
        <v>79</v>
      </c>
      <c r="AV362" s="1" t="s">
        <v>80</v>
      </c>
      <c r="AW362" s="1">
        <v>53.4</v>
      </c>
      <c r="AX362" s="1">
        <v>0</v>
      </c>
      <c r="AZ362" s="1" t="s">
        <v>81</v>
      </c>
      <c r="BA362" s="1">
        <v>1</v>
      </c>
      <c r="BB362" s="1">
        <v>0</v>
      </c>
      <c r="BC362" s="1">
        <v>0</v>
      </c>
      <c r="BE362" s="1">
        <v>27186125</v>
      </c>
    </row>
    <row r="363" spans="1:57" x14ac:dyDescent="0.25">
      <c r="A363" s="1" t="str">
        <f>T("1944316619556331256")</f>
        <v>1944316619556331256</v>
      </c>
      <c r="B363" s="1" t="str">
        <f>T("249911643873")</f>
        <v>249911643873</v>
      </c>
      <c r="C363" s="1" t="str">
        <f>T("1941094470376229832")</f>
        <v>1941094470376229832</v>
      </c>
      <c r="AC363" s="1" t="s">
        <v>190</v>
      </c>
      <c r="AD363" s="1" t="s">
        <v>191</v>
      </c>
      <c r="AE363" s="1" t="s">
        <v>192</v>
      </c>
      <c r="AF363" s="1" t="s">
        <v>144</v>
      </c>
      <c r="AG363" s="1">
        <v>45</v>
      </c>
      <c r="AO363" s="2">
        <v>46274</v>
      </c>
      <c r="AP363" s="1" t="s">
        <v>248</v>
      </c>
      <c r="AS363" s="1" t="s">
        <v>71</v>
      </c>
      <c r="AU363" s="1" t="s">
        <v>72</v>
      </c>
      <c r="AV363" s="1" t="s">
        <v>256</v>
      </c>
      <c r="AX363" s="1">
        <v>0</v>
      </c>
      <c r="BA363" s="1">
        <v>3</v>
      </c>
      <c r="BB363" s="1">
        <v>0</v>
      </c>
      <c r="BC363" s="1">
        <v>0</v>
      </c>
      <c r="BE363" s="1">
        <v>27186125</v>
      </c>
    </row>
    <row r="364" spans="1:57" x14ac:dyDescent="0.25">
      <c r="A364" s="1" t="str">
        <f>T("1944316619623439584")</f>
        <v>1944316619623439584</v>
      </c>
      <c r="B364" s="1" t="str">
        <f>T("249906823855")</f>
        <v>249906823855</v>
      </c>
      <c r="C364" s="1" t="str">
        <f>T("1941094470376230432")</f>
        <v>1941094470376230432</v>
      </c>
      <c r="AC364" s="1" t="s">
        <v>190</v>
      </c>
      <c r="AD364" s="1" t="s">
        <v>191</v>
      </c>
      <c r="AE364" s="1" t="s">
        <v>192</v>
      </c>
      <c r="AF364" s="1" t="s">
        <v>144</v>
      </c>
      <c r="AG364" s="1">
        <v>62</v>
      </c>
      <c r="AO364" s="2">
        <v>46274</v>
      </c>
      <c r="AP364" s="1" t="s">
        <v>248</v>
      </c>
      <c r="AS364" s="1" t="s">
        <v>71</v>
      </c>
      <c r="AU364" s="1" t="s">
        <v>72</v>
      </c>
      <c r="AV364" s="1" t="s">
        <v>73</v>
      </c>
      <c r="AX364" s="1">
        <v>0</v>
      </c>
      <c r="BA364" s="1">
        <v>3</v>
      </c>
      <c r="BB364" s="1">
        <v>0</v>
      </c>
      <c r="BC364" s="1">
        <v>0</v>
      </c>
      <c r="BE364" s="1">
        <v>27186125</v>
      </c>
    </row>
    <row r="365" spans="1:57" x14ac:dyDescent="0.25">
      <c r="A365" s="1" t="str">
        <f>T("1944316619686351704")</f>
        <v>1944316619686351704</v>
      </c>
      <c r="B365" s="1" t="str">
        <f>T("249906672840")</f>
        <v>249906672840</v>
      </c>
      <c r="C365" s="1" t="str">
        <f>T("1941094470380421340")</f>
        <v>1941094470380421340</v>
      </c>
      <c r="AC365" s="1" t="s">
        <v>190</v>
      </c>
      <c r="AD365" s="1" t="s">
        <v>191</v>
      </c>
      <c r="AE365" s="1" t="s">
        <v>192</v>
      </c>
      <c r="AF365" s="1" t="s">
        <v>144</v>
      </c>
      <c r="AG365" s="1">
        <v>60</v>
      </c>
      <c r="AO365" s="2">
        <v>46274</v>
      </c>
      <c r="AP365" s="1" t="s">
        <v>248</v>
      </c>
      <c r="AS365" s="1" t="s">
        <v>71</v>
      </c>
      <c r="AU365" s="1" t="s">
        <v>72</v>
      </c>
      <c r="AV365" s="1" t="s">
        <v>73</v>
      </c>
      <c r="AX365" s="1">
        <v>0</v>
      </c>
      <c r="BA365" s="1">
        <v>3</v>
      </c>
      <c r="BB365" s="1">
        <v>0</v>
      </c>
      <c r="BC365" s="1">
        <v>0</v>
      </c>
      <c r="BE365" s="1">
        <v>27186125</v>
      </c>
    </row>
    <row r="366" spans="1:57" x14ac:dyDescent="0.25">
      <c r="A366" s="1" t="str">
        <f>T("1944316619770238564")</f>
        <v>1944316619770238564</v>
      </c>
      <c r="B366" s="1" t="str">
        <f>T("249991170400")</f>
        <v>249991170400</v>
      </c>
      <c r="C366" s="1" t="str">
        <f>T("1941094470380421940")</f>
        <v>1941094470380421940</v>
      </c>
      <c r="AC366" s="1" t="s">
        <v>190</v>
      </c>
      <c r="AD366" s="1" t="s">
        <v>191</v>
      </c>
      <c r="AE366" s="1" t="s">
        <v>192</v>
      </c>
      <c r="AF366" s="1" t="s">
        <v>107</v>
      </c>
      <c r="AG366" s="1">
        <v>58</v>
      </c>
      <c r="AO366" s="2">
        <v>46274</v>
      </c>
      <c r="AP366" s="1" t="s">
        <v>248</v>
      </c>
      <c r="AS366" s="1" t="s">
        <v>71</v>
      </c>
      <c r="AU366" s="1" t="s">
        <v>72</v>
      </c>
      <c r="AV366" s="1" t="s">
        <v>131</v>
      </c>
      <c r="AX366" s="1">
        <v>0</v>
      </c>
      <c r="BA366" s="1">
        <v>3</v>
      </c>
      <c r="BB366" s="1">
        <v>0</v>
      </c>
      <c r="BC366" s="1">
        <v>0</v>
      </c>
      <c r="BE366" s="1">
        <v>27186125</v>
      </c>
    </row>
    <row r="367" spans="1:57" x14ac:dyDescent="0.25">
      <c r="A367" s="1" t="str">
        <f>T("1944316619849930416")</f>
        <v>1944316619849930416</v>
      </c>
      <c r="B367" s="1" t="str">
        <f>T("249914459673")</f>
        <v>249914459673</v>
      </c>
      <c r="C367" s="1" t="str">
        <f>T("1941094470380422440")</f>
        <v>1941094470380422440</v>
      </c>
      <c r="AC367" s="1" t="s">
        <v>190</v>
      </c>
      <c r="AD367" s="1" t="s">
        <v>191</v>
      </c>
      <c r="AE367" s="1" t="s">
        <v>192</v>
      </c>
      <c r="AF367" s="1" t="s">
        <v>144</v>
      </c>
      <c r="AG367" s="1">
        <v>52</v>
      </c>
      <c r="AO367" s="2">
        <v>46274</v>
      </c>
      <c r="AP367" s="1" t="s">
        <v>248</v>
      </c>
      <c r="AS367" s="1" t="s">
        <v>71</v>
      </c>
      <c r="AU367" s="1" t="s">
        <v>72</v>
      </c>
      <c r="AV367" s="1" t="s">
        <v>131</v>
      </c>
      <c r="AX367" s="1">
        <v>0</v>
      </c>
      <c r="BA367" s="1">
        <v>3</v>
      </c>
      <c r="BB367" s="1">
        <v>0</v>
      </c>
      <c r="BC367" s="1">
        <v>0</v>
      </c>
      <c r="BE367" s="1">
        <v>27186125</v>
      </c>
    </row>
    <row r="368" spans="1:57" x14ac:dyDescent="0.25">
      <c r="A368" s="1" t="str">
        <f>T("1944316619921234652")</f>
        <v>1944316619921234652</v>
      </c>
      <c r="B368" s="1" t="str">
        <f>T("249906194486")</f>
        <v>249906194486</v>
      </c>
      <c r="C368" s="1" t="str">
        <f>T("1941094470380422840")</f>
        <v>1941094470380422840</v>
      </c>
      <c r="M368" s="1" t="s">
        <v>59</v>
      </c>
      <c r="O368" s="1" t="s">
        <v>65</v>
      </c>
      <c r="P368" s="1" t="s">
        <v>83</v>
      </c>
      <c r="Q368" s="1" t="s">
        <v>112</v>
      </c>
      <c r="R368" s="1" t="s">
        <v>93</v>
      </c>
      <c r="T368" s="1" t="s">
        <v>119</v>
      </c>
      <c r="U368" s="1" t="s">
        <v>65</v>
      </c>
      <c r="V368" s="1" t="s">
        <v>66</v>
      </c>
      <c r="W368" s="1" t="s">
        <v>60</v>
      </c>
      <c r="X368" s="1" t="s">
        <v>66</v>
      </c>
      <c r="Y368" s="1" t="s">
        <v>85</v>
      </c>
      <c r="AA368" s="1">
        <v>1</v>
      </c>
      <c r="AB368" s="1">
        <v>1</v>
      </c>
      <c r="AC368" s="1" t="s">
        <v>190</v>
      </c>
      <c r="AD368" s="1" t="s">
        <v>191</v>
      </c>
      <c r="AE368" s="1" t="s">
        <v>192</v>
      </c>
      <c r="AF368" s="1" t="s">
        <v>107</v>
      </c>
      <c r="AG368" s="1">
        <v>50</v>
      </c>
      <c r="AO368" s="2">
        <v>46274</v>
      </c>
      <c r="AP368" s="1" t="s">
        <v>248</v>
      </c>
      <c r="AQ368" s="2">
        <v>46274</v>
      </c>
      <c r="AR368" s="1" t="s">
        <v>252</v>
      </c>
      <c r="AS368" s="1" t="s">
        <v>71</v>
      </c>
      <c r="AU368" s="1" t="s">
        <v>78</v>
      </c>
      <c r="AV368" s="1" t="s">
        <v>80</v>
      </c>
      <c r="AW368" s="1">
        <v>241.64</v>
      </c>
      <c r="AX368" s="1">
        <v>0</v>
      </c>
      <c r="AZ368" s="1" t="s">
        <v>81</v>
      </c>
      <c r="BA368" s="1">
        <v>1</v>
      </c>
      <c r="BB368" s="1">
        <v>0</v>
      </c>
      <c r="BC368" s="1">
        <v>0</v>
      </c>
      <c r="BE368" s="1">
        <v>27186125</v>
      </c>
    </row>
    <row r="369" spans="1:57" x14ac:dyDescent="0.25">
      <c r="A369" s="1" t="str">
        <f>T("1944316619979952164")</f>
        <v>1944316619979952164</v>
      </c>
      <c r="B369" s="1" t="str">
        <f>T("249998133820")</f>
        <v>249998133820</v>
      </c>
      <c r="C369" s="1" t="str">
        <f>T("1941094470380423140")</f>
        <v>1941094470380423140</v>
      </c>
      <c r="AA369" s="1">
        <v>1</v>
      </c>
      <c r="AC369" s="1" t="s">
        <v>190</v>
      </c>
      <c r="AD369" s="1" t="s">
        <v>191</v>
      </c>
      <c r="AE369" s="1" t="s">
        <v>192</v>
      </c>
      <c r="AF369" s="1" t="s">
        <v>107</v>
      </c>
      <c r="AG369" s="1">
        <v>60</v>
      </c>
      <c r="AO369" s="2">
        <v>46274</v>
      </c>
      <c r="AP369" s="1" t="s">
        <v>248</v>
      </c>
      <c r="AQ369" s="2">
        <v>46274</v>
      </c>
      <c r="AR369" s="1" t="s">
        <v>257</v>
      </c>
      <c r="AS369" s="1" t="s">
        <v>71</v>
      </c>
      <c r="AU369" s="1" t="s">
        <v>79</v>
      </c>
      <c r="AV369" s="1" t="s">
        <v>80</v>
      </c>
      <c r="AW369" s="1">
        <v>70.36</v>
      </c>
      <c r="AX369" s="1">
        <v>0</v>
      </c>
      <c r="AZ369" s="1" t="s">
        <v>81</v>
      </c>
      <c r="BA369" s="1">
        <v>3</v>
      </c>
      <c r="BB369" s="1">
        <v>0</v>
      </c>
      <c r="BC369" s="1">
        <v>0</v>
      </c>
      <c r="BE369" s="1">
        <v>27186125</v>
      </c>
    </row>
    <row r="370" spans="1:57" x14ac:dyDescent="0.25">
      <c r="A370" s="1" t="str">
        <f>T("1944316620047061892")</f>
        <v>1944316620047061892</v>
      </c>
      <c r="B370" s="1" t="str">
        <f>T("249911277464")</f>
        <v>249911277464</v>
      </c>
      <c r="C370" s="1" t="str">
        <f>T("1941094470380423640")</f>
        <v>1941094470380423640</v>
      </c>
      <c r="M370" s="1" t="s">
        <v>59</v>
      </c>
      <c r="O370" s="1" t="s">
        <v>65</v>
      </c>
      <c r="P370" s="1" t="s">
        <v>83</v>
      </c>
      <c r="Q370" s="1" t="s">
        <v>101</v>
      </c>
      <c r="R370" s="1" t="s">
        <v>93</v>
      </c>
      <c r="T370" s="1" t="s">
        <v>119</v>
      </c>
      <c r="U370" s="1" t="s">
        <v>65</v>
      </c>
      <c r="V370" s="1" t="s">
        <v>66</v>
      </c>
      <c r="W370" s="1" t="s">
        <v>60</v>
      </c>
      <c r="X370" s="1" t="s">
        <v>103</v>
      </c>
      <c r="Y370" s="1" t="s">
        <v>69</v>
      </c>
      <c r="AA370" s="1">
        <v>1</v>
      </c>
      <c r="AB370" s="1">
        <v>1</v>
      </c>
      <c r="AC370" s="1" t="s">
        <v>190</v>
      </c>
      <c r="AD370" s="1" t="s">
        <v>191</v>
      </c>
      <c r="AE370" s="1" t="s">
        <v>258</v>
      </c>
      <c r="AF370" s="1" t="s">
        <v>107</v>
      </c>
      <c r="AG370" s="1">
        <v>54</v>
      </c>
      <c r="AO370" s="2">
        <v>46274</v>
      </c>
      <c r="AP370" s="1" t="s">
        <v>248</v>
      </c>
      <c r="AQ370" s="2">
        <v>46274</v>
      </c>
      <c r="AR370" s="1" t="s">
        <v>259</v>
      </c>
      <c r="AS370" s="1" t="s">
        <v>71</v>
      </c>
      <c r="AU370" s="1" t="s">
        <v>78</v>
      </c>
      <c r="AV370" s="1" t="s">
        <v>80</v>
      </c>
      <c r="AW370" s="1">
        <v>222.34</v>
      </c>
      <c r="AX370" s="1">
        <v>0</v>
      </c>
      <c r="AZ370" s="1" t="s">
        <v>81</v>
      </c>
      <c r="BA370" s="1">
        <v>1</v>
      </c>
      <c r="BB370" s="1">
        <v>0</v>
      </c>
      <c r="BC370" s="1">
        <v>0</v>
      </c>
      <c r="BE370" s="1">
        <v>27186125</v>
      </c>
    </row>
    <row r="371" spans="1:57" x14ac:dyDescent="0.25">
      <c r="A371" s="1" t="str">
        <f>T("1944316620114172120")</f>
        <v>1944316620114172120</v>
      </c>
      <c r="B371" s="1" t="str">
        <f>T("249915950040")</f>
        <v>249915950040</v>
      </c>
      <c r="C371" s="1" t="str">
        <f>T("1941094470380424040")</f>
        <v>1941094470380424040</v>
      </c>
      <c r="AC371" s="1" t="s">
        <v>190</v>
      </c>
      <c r="AD371" s="1" t="s">
        <v>191</v>
      </c>
      <c r="AE371" s="1" t="s">
        <v>258</v>
      </c>
      <c r="AF371" s="1" t="s">
        <v>107</v>
      </c>
      <c r="AG371" s="1">
        <v>62</v>
      </c>
      <c r="AO371" s="2">
        <v>46274</v>
      </c>
      <c r="AP371" s="1" t="s">
        <v>248</v>
      </c>
      <c r="AS371" s="1" t="s">
        <v>71</v>
      </c>
      <c r="AU371" s="1" t="s">
        <v>72</v>
      </c>
      <c r="AV371" s="1" t="s">
        <v>73</v>
      </c>
      <c r="AX371" s="1">
        <v>0</v>
      </c>
      <c r="BA371" s="1">
        <v>3</v>
      </c>
      <c r="BB371" s="1">
        <v>0</v>
      </c>
      <c r="BC371" s="1">
        <v>0</v>
      </c>
      <c r="BE371" s="1">
        <v>27186125</v>
      </c>
    </row>
    <row r="372" spans="1:57" x14ac:dyDescent="0.25">
      <c r="A372" s="1" t="str">
        <f>T("1944316620172890832")</f>
        <v>1944316620172890832</v>
      </c>
      <c r="B372" s="1" t="str">
        <f>T("249914011373")</f>
        <v>249914011373</v>
      </c>
      <c r="C372" s="1" t="str">
        <f>T("1941094470380424940")</f>
        <v>1941094470380424940</v>
      </c>
      <c r="AA372" s="1">
        <v>1</v>
      </c>
      <c r="AC372" s="1" t="s">
        <v>190</v>
      </c>
      <c r="AD372" s="1" t="s">
        <v>191</v>
      </c>
      <c r="AE372" s="1" t="s">
        <v>258</v>
      </c>
      <c r="AF372" s="1" t="s">
        <v>107</v>
      </c>
      <c r="AG372" s="1">
        <v>58</v>
      </c>
      <c r="AO372" s="2">
        <v>46274</v>
      </c>
      <c r="AP372" s="1" t="s">
        <v>248</v>
      </c>
      <c r="AQ372" s="2">
        <v>46274</v>
      </c>
      <c r="AR372" s="1" t="s">
        <v>260</v>
      </c>
      <c r="AS372" s="1" t="s">
        <v>71</v>
      </c>
      <c r="AU372" s="1" t="s">
        <v>79</v>
      </c>
      <c r="AV372" s="1" t="s">
        <v>80</v>
      </c>
      <c r="AW372" s="1">
        <v>68.8</v>
      </c>
      <c r="AX372" s="1">
        <v>0</v>
      </c>
      <c r="AZ372" s="1" t="s">
        <v>81</v>
      </c>
      <c r="BA372" s="1">
        <v>1</v>
      </c>
      <c r="BB372" s="1">
        <v>0</v>
      </c>
      <c r="BC372" s="1">
        <v>0</v>
      </c>
      <c r="BE372" s="1">
        <v>27186125</v>
      </c>
    </row>
    <row r="373" spans="1:57" x14ac:dyDescent="0.25">
      <c r="A373" s="1" t="str">
        <f>T("1944316620223225728")</f>
        <v>1944316620223225728</v>
      </c>
      <c r="B373" s="1" t="str">
        <f>T("249916452723")</f>
        <v>249916452723</v>
      </c>
      <c r="C373" s="1" t="str">
        <f>T("1941094470384615548")</f>
        <v>1941094470384615548</v>
      </c>
      <c r="AA373" s="1">
        <v>1</v>
      </c>
      <c r="AC373" s="1" t="s">
        <v>190</v>
      </c>
      <c r="AD373" s="1" t="s">
        <v>191</v>
      </c>
      <c r="AE373" s="1" t="s">
        <v>258</v>
      </c>
      <c r="AF373" s="1" t="s">
        <v>107</v>
      </c>
      <c r="AG373" s="1">
        <v>58</v>
      </c>
      <c r="AO373" s="2">
        <v>46274</v>
      </c>
      <c r="AP373" s="1" t="s">
        <v>248</v>
      </c>
      <c r="AQ373" s="2">
        <v>46274</v>
      </c>
      <c r="AR373" s="1" t="s">
        <v>261</v>
      </c>
      <c r="AS373" s="1" t="s">
        <v>71</v>
      </c>
      <c r="AU373" s="1" t="s">
        <v>79</v>
      </c>
      <c r="AV373" s="1" t="s">
        <v>80</v>
      </c>
      <c r="AW373" s="1">
        <v>62.86</v>
      </c>
      <c r="AX373" s="1">
        <v>0</v>
      </c>
      <c r="AZ373" s="1" t="s">
        <v>81</v>
      </c>
      <c r="BA373" s="1">
        <v>2</v>
      </c>
      <c r="BB373" s="1">
        <v>0</v>
      </c>
      <c r="BC373" s="1">
        <v>0</v>
      </c>
      <c r="BE373" s="1">
        <v>27186125</v>
      </c>
    </row>
    <row r="374" spans="1:57" x14ac:dyDescent="0.25">
      <c r="A374" s="1" t="str">
        <f>T("1944316620277751332")</f>
        <v>1944316620277751332</v>
      </c>
      <c r="B374" s="1" t="str">
        <f>T("249919530197")</f>
        <v>249919530197</v>
      </c>
      <c r="C374" s="1" t="str">
        <f>T("1941094470380424540")</f>
        <v>1941094470380424540</v>
      </c>
      <c r="AC374" s="1" t="s">
        <v>190</v>
      </c>
      <c r="AD374" s="1" t="s">
        <v>191</v>
      </c>
      <c r="AE374" s="1" t="s">
        <v>258</v>
      </c>
      <c r="AF374" s="1" t="s">
        <v>107</v>
      </c>
      <c r="AG374" s="1">
        <v>55</v>
      </c>
      <c r="AO374" s="2">
        <v>46274</v>
      </c>
      <c r="AP374" s="1" t="s">
        <v>248</v>
      </c>
      <c r="AQ374" s="2">
        <v>46274</v>
      </c>
      <c r="AR374" s="1" t="s">
        <v>262</v>
      </c>
      <c r="AS374" s="1" t="s">
        <v>71</v>
      </c>
      <c r="AU374" s="1" t="s">
        <v>79</v>
      </c>
      <c r="AV374" s="1" t="s">
        <v>80</v>
      </c>
      <c r="AW374" s="1">
        <v>28.66</v>
      </c>
      <c r="AX374" s="1">
        <v>0</v>
      </c>
      <c r="AZ374" s="1" t="s">
        <v>81</v>
      </c>
      <c r="BA374" s="1">
        <v>1</v>
      </c>
      <c r="BB374" s="1">
        <v>0</v>
      </c>
      <c r="BC374" s="1">
        <v>0</v>
      </c>
      <c r="BE374" s="1">
        <v>27186125</v>
      </c>
    </row>
    <row r="375" spans="1:57" x14ac:dyDescent="0.25">
      <c r="A375" s="1" t="str">
        <f>T("1944316620294527564")</f>
        <v>1944316620294527564</v>
      </c>
      <c r="B375" s="1" t="str">
        <f>T("249911641130")</f>
        <v>249911641130</v>
      </c>
      <c r="C375" s="1" t="str">
        <f>T("1941094470384616248")</f>
        <v>1941094470384616248</v>
      </c>
      <c r="AC375" s="1" t="s">
        <v>190</v>
      </c>
      <c r="AD375" s="1" t="s">
        <v>191</v>
      </c>
      <c r="AE375" s="1" t="s">
        <v>258</v>
      </c>
      <c r="AF375" s="1" t="s">
        <v>107</v>
      </c>
      <c r="AG375" s="1">
        <v>70</v>
      </c>
      <c r="AO375" s="2">
        <v>46274</v>
      </c>
      <c r="AP375" s="1" t="s">
        <v>248</v>
      </c>
      <c r="AS375" s="1" t="s">
        <v>71</v>
      </c>
      <c r="AU375" s="1" t="s">
        <v>72</v>
      </c>
      <c r="AV375" s="1" t="s">
        <v>115</v>
      </c>
      <c r="AX375" s="1">
        <v>0</v>
      </c>
      <c r="BA375" s="1">
        <v>3</v>
      </c>
      <c r="BB375" s="1">
        <v>0</v>
      </c>
      <c r="BC375" s="1">
        <v>0</v>
      </c>
      <c r="BE375" s="1">
        <v>27186125</v>
      </c>
    </row>
    <row r="376" spans="1:57" x14ac:dyDescent="0.25">
      <c r="A376" s="1" t="str">
        <f>T("1944316620353249176")</f>
        <v>1944316620353249176</v>
      </c>
      <c r="B376" s="1" t="str">
        <f>T("249917523309")</f>
        <v>249917523309</v>
      </c>
      <c r="C376" s="1" t="str">
        <f>T("1941094470384618148")</f>
        <v>1941094470384618148</v>
      </c>
      <c r="M376" s="1" t="s">
        <v>133</v>
      </c>
      <c r="N376" s="1" t="s">
        <v>60</v>
      </c>
      <c r="AA376" s="1">
        <v>1</v>
      </c>
      <c r="AC376" s="1" t="s">
        <v>190</v>
      </c>
      <c r="AD376" s="1" t="s">
        <v>191</v>
      </c>
      <c r="AE376" s="1" t="s">
        <v>258</v>
      </c>
      <c r="AF376" s="1" t="s">
        <v>107</v>
      </c>
      <c r="AG376" s="1">
        <v>57</v>
      </c>
      <c r="AO376" s="2">
        <v>46274</v>
      </c>
      <c r="AP376" s="1" t="s">
        <v>248</v>
      </c>
      <c r="AQ376" s="2">
        <v>46274</v>
      </c>
      <c r="AR376" s="1" t="s">
        <v>263</v>
      </c>
      <c r="AS376" s="1" t="s">
        <v>71</v>
      </c>
      <c r="AU376" s="1" t="s">
        <v>78</v>
      </c>
      <c r="AV376" s="1" t="s">
        <v>80</v>
      </c>
      <c r="AW376" s="1">
        <v>153.26</v>
      </c>
      <c r="AX376" s="1">
        <v>0</v>
      </c>
      <c r="AZ376" s="1" t="s">
        <v>81</v>
      </c>
      <c r="BA376" s="1">
        <v>2</v>
      </c>
      <c r="BB376" s="1">
        <v>0</v>
      </c>
      <c r="BC376" s="1">
        <v>0</v>
      </c>
      <c r="BE376" s="1">
        <v>27186125</v>
      </c>
    </row>
    <row r="377" spans="1:57" x14ac:dyDescent="0.25">
      <c r="A377" s="1" t="str">
        <f>T("1944316620432939628")</f>
        <v>1944316620432939628</v>
      </c>
      <c r="B377" s="1" t="str">
        <f>T("249914562676")</f>
        <v>249914562676</v>
      </c>
      <c r="C377" s="1" t="str">
        <f>T("1941094470388811056")</f>
        <v>1941094470388811056</v>
      </c>
      <c r="M377" s="1" t="s">
        <v>59</v>
      </c>
      <c r="O377" s="1" t="s">
        <v>65</v>
      </c>
      <c r="P377" s="1" t="s">
        <v>61</v>
      </c>
      <c r="AA377" s="1">
        <v>1</v>
      </c>
      <c r="AC377" s="1" t="s">
        <v>190</v>
      </c>
      <c r="AD377" s="1" t="s">
        <v>191</v>
      </c>
      <c r="AE377" s="1" t="s">
        <v>258</v>
      </c>
      <c r="AF377" s="1" t="s">
        <v>107</v>
      </c>
      <c r="AG377" s="1">
        <v>40</v>
      </c>
      <c r="AO377" s="2">
        <v>46274</v>
      </c>
      <c r="AP377" s="1" t="s">
        <v>248</v>
      </c>
      <c r="AQ377" s="2">
        <v>46274</v>
      </c>
      <c r="AR377" s="1" t="s">
        <v>264</v>
      </c>
      <c r="AS377" s="1" t="s">
        <v>71</v>
      </c>
      <c r="AU377" s="1" t="s">
        <v>79</v>
      </c>
      <c r="AV377" s="1" t="s">
        <v>80</v>
      </c>
      <c r="AW377" s="1">
        <v>126.74</v>
      </c>
      <c r="AX377" s="1">
        <v>0</v>
      </c>
      <c r="AZ377" s="1" t="s">
        <v>81</v>
      </c>
      <c r="BA377" s="1">
        <v>2</v>
      </c>
      <c r="BB377" s="1">
        <v>0</v>
      </c>
      <c r="BC377" s="1">
        <v>0</v>
      </c>
      <c r="BE377" s="1">
        <v>27186125</v>
      </c>
    </row>
    <row r="378" spans="1:57" x14ac:dyDescent="0.25">
      <c r="A378" s="1" t="str">
        <f>T("1944316620437135336")</f>
        <v>1944316620437135336</v>
      </c>
      <c r="B378" s="1" t="str">
        <f>T("249915447534")</f>
        <v>249915447534</v>
      </c>
      <c r="C378" s="1" t="str">
        <f>T("1941094470388811456")</f>
        <v>1941094470388811456</v>
      </c>
      <c r="AA378" s="1">
        <v>1</v>
      </c>
      <c r="AC378" s="1" t="s">
        <v>190</v>
      </c>
      <c r="AD378" s="1" t="s">
        <v>191</v>
      </c>
      <c r="AE378" s="1" t="s">
        <v>258</v>
      </c>
      <c r="AF378" s="1" t="s">
        <v>107</v>
      </c>
      <c r="AG378" s="1">
        <v>62</v>
      </c>
      <c r="AO378" s="2">
        <v>46274</v>
      </c>
      <c r="AP378" s="1" t="s">
        <v>248</v>
      </c>
      <c r="AQ378" s="2">
        <v>46274</v>
      </c>
      <c r="AR378" s="1" t="s">
        <v>265</v>
      </c>
      <c r="AS378" s="1" t="s">
        <v>71</v>
      </c>
      <c r="AU378" s="1" t="s">
        <v>79</v>
      </c>
      <c r="AV378" s="1" t="s">
        <v>80</v>
      </c>
      <c r="AW378" s="1">
        <v>99.539000000000001</v>
      </c>
      <c r="AX378" s="1">
        <v>0</v>
      </c>
      <c r="AZ378" s="1" t="s">
        <v>81</v>
      </c>
      <c r="BA378" s="1">
        <v>2</v>
      </c>
      <c r="BB378" s="1">
        <v>0</v>
      </c>
      <c r="BC378" s="1">
        <v>0</v>
      </c>
      <c r="BE378" s="1">
        <v>27186125</v>
      </c>
    </row>
    <row r="379" spans="1:57" x14ac:dyDescent="0.25">
      <c r="A379" s="1" t="str">
        <f>T("1944316620491660640")</f>
        <v>1944316620491660640</v>
      </c>
      <c r="B379" s="1" t="str">
        <f>T("249902545188")</f>
        <v>249902545188</v>
      </c>
      <c r="C379" s="1" t="str">
        <f>T("1941094470388811856")</f>
        <v>1941094470388811856</v>
      </c>
      <c r="AA379" s="1">
        <v>1</v>
      </c>
      <c r="AC379" s="1" t="s">
        <v>190</v>
      </c>
      <c r="AD379" s="1" t="s">
        <v>191</v>
      </c>
      <c r="AE379" s="1" t="s">
        <v>258</v>
      </c>
      <c r="AF379" s="1" t="s">
        <v>107</v>
      </c>
      <c r="AG379" s="1">
        <v>58</v>
      </c>
      <c r="AO379" s="2">
        <v>46274</v>
      </c>
      <c r="AP379" s="1" t="s">
        <v>248</v>
      </c>
      <c r="AQ379" s="2">
        <v>46274</v>
      </c>
      <c r="AR379" s="1" t="s">
        <v>266</v>
      </c>
      <c r="AS379" s="1" t="s">
        <v>71</v>
      </c>
      <c r="AU379" s="1" t="s">
        <v>79</v>
      </c>
      <c r="AV379" s="1" t="s">
        <v>80</v>
      </c>
      <c r="AW379" s="1">
        <v>75.040000000000006</v>
      </c>
      <c r="AX379" s="1">
        <v>0</v>
      </c>
      <c r="AZ379" s="1" t="s">
        <v>81</v>
      </c>
      <c r="BA379" s="1">
        <v>2</v>
      </c>
      <c r="BB379" s="1">
        <v>0</v>
      </c>
      <c r="BC379" s="1">
        <v>0</v>
      </c>
      <c r="BE379" s="1">
        <v>27186125</v>
      </c>
    </row>
    <row r="380" spans="1:57" x14ac:dyDescent="0.25">
      <c r="A380" s="1" t="str">
        <f>T("1944316620516824888")</f>
        <v>1944316620516824888</v>
      </c>
      <c r="B380" s="1" t="str">
        <f>T("249907723359")</f>
        <v>249907723359</v>
      </c>
      <c r="C380" s="1" t="str">
        <f>T("1941094470384618848")</f>
        <v>1941094470384618848</v>
      </c>
      <c r="AC380" s="1" t="s">
        <v>190</v>
      </c>
      <c r="AD380" s="1" t="s">
        <v>191</v>
      </c>
      <c r="AE380" s="1" t="s">
        <v>258</v>
      </c>
      <c r="AF380" s="1" t="s">
        <v>107</v>
      </c>
      <c r="AG380" s="1">
        <v>58</v>
      </c>
      <c r="AO380" s="2">
        <v>46274</v>
      </c>
      <c r="AP380" s="1" t="s">
        <v>248</v>
      </c>
      <c r="AQ380" s="2">
        <v>46274</v>
      </c>
      <c r="AR380" s="1" t="s">
        <v>267</v>
      </c>
      <c r="AS380" s="1" t="s">
        <v>71</v>
      </c>
      <c r="AU380" s="1" t="s">
        <v>79</v>
      </c>
      <c r="AV380" s="1" t="s">
        <v>80</v>
      </c>
      <c r="AW380" s="1">
        <v>26.1</v>
      </c>
      <c r="AX380" s="1">
        <v>0</v>
      </c>
      <c r="AZ380" s="1" t="s">
        <v>81</v>
      </c>
      <c r="BA380" s="1">
        <v>3</v>
      </c>
      <c r="BB380" s="1">
        <v>0</v>
      </c>
      <c r="BC380" s="1">
        <v>0</v>
      </c>
      <c r="BE380" s="1">
        <v>27186125</v>
      </c>
    </row>
    <row r="381" spans="1:57" x14ac:dyDescent="0.25">
      <c r="A381" s="1" t="str">
        <f>T("1944316620516825788")</f>
        <v>1944316620516825788</v>
      </c>
      <c r="B381" s="1" t="str">
        <f>T("249912604448")</f>
        <v>249912604448</v>
      </c>
      <c r="C381" s="1" t="str">
        <f>T("1941094470388812256")</f>
        <v>1941094470388812256</v>
      </c>
      <c r="M381" s="1" t="s">
        <v>59</v>
      </c>
      <c r="O381" s="1" t="s">
        <v>65</v>
      </c>
      <c r="P381" s="1" t="s">
        <v>83</v>
      </c>
      <c r="Q381" s="1" t="s">
        <v>112</v>
      </c>
      <c r="R381" s="1" t="s">
        <v>93</v>
      </c>
      <c r="T381" s="1" t="s">
        <v>95</v>
      </c>
      <c r="U381" s="1" t="s">
        <v>65</v>
      </c>
      <c r="V381" s="1" t="s">
        <v>68</v>
      </c>
      <c r="W381" s="1" t="s">
        <v>60</v>
      </c>
      <c r="X381" s="1" t="s">
        <v>66</v>
      </c>
      <c r="Y381" s="1" t="s">
        <v>85</v>
      </c>
      <c r="AA381" s="1">
        <v>1</v>
      </c>
      <c r="AB381" s="1">
        <v>1</v>
      </c>
      <c r="AC381" s="1" t="s">
        <v>190</v>
      </c>
      <c r="AD381" s="1" t="e">
        <v>#N/A</v>
      </c>
      <c r="AE381" s="1" t="s">
        <v>258</v>
      </c>
      <c r="AF381" s="1" t="s">
        <v>107</v>
      </c>
      <c r="AG381" s="1">
        <v>62</v>
      </c>
      <c r="AO381" s="2">
        <v>46274</v>
      </c>
      <c r="AP381" s="1" t="s">
        <v>248</v>
      </c>
      <c r="AQ381" s="2">
        <v>46274</v>
      </c>
      <c r="AR381" s="1" t="s">
        <v>268</v>
      </c>
      <c r="AS381" s="1" t="s">
        <v>71</v>
      </c>
      <c r="AU381" s="1" t="s">
        <v>78</v>
      </c>
      <c r="AV381" s="1" t="s">
        <v>80</v>
      </c>
      <c r="AW381" s="1">
        <v>278.10000000000002</v>
      </c>
      <c r="AX381" s="1">
        <v>0</v>
      </c>
      <c r="AZ381" s="1" t="s">
        <v>81</v>
      </c>
      <c r="BA381" s="1">
        <v>2</v>
      </c>
      <c r="BB381" s="1">
        <v>0</v>
      </c>
      <c r="BC381" s="1">
        <v>0</v>
      </c>
      <c r="BE381" s="1">
        <v>27186125</v>
      </c>
    </row>
    <row r="382" spans="1:57" x14ac:dyDescent="0.25">
      <c r="A382" s="1" t="str">
        <f>T("1944316620533601320")</f>
        <v>1944316620533601320</v>
      </c>
      <c r="B382" s="1" t="str">
        <f>T("249964756373")</f>
        <v>249964756373</v>
      </c>
      <c r="C382" s="1" t="str">
        <f>T("1941094470384619348")</f>
        <v>1941094470384619348</v>
      </c>
      <c r="AA382" s="1">
        <v>1</v>
      </c>
      <c r="AC382" s="1" t="s">
        <v>190</v>
      </c>
      <c r="AD382" s="1" t="s">
        <v>191</v>
      </c>
      <c r="AE382" s="1" t="s">
        <v>258</v>
      </c>
      <c r="AF382" s="1" t="s">
        <v>107</v>
      </c>
      <c r="AG382" s="1">
        <v>32</v>
      </c>
      <c r="AO382" s="2">
        <v>46274</v>
      </c>
      <c r="AP382" s="1" t="s">
        <v>248</v>
      </c>
      <c r="AQ382" s="2">
        <v>46274</v>
      </c>
      <c r="AR382" s="1" t="s">
        <v>269</v>
      </c>
      <c r="AS382" s="1" t="s">
        <v>71</v>
      </c>
      <c r="AU382" s="1" t="s">
        <v>79</v>
      </c>
      <c r="AV382" s="1" t="s">
        <v>80</v>
      </c>
      <c r="AW382" s="1">
        <v>123.02</v>
      </c>
      <c r="AX382" s="1">
        <v>0</v>
      </c>
      <c r="AZ382" s="1" t="s">
        <v>81</v>
      </c>
      <c r="BA382" s="1">
        <v>2</v>
      </c>
      <c r="BB382" s="1">
        <v>0</v>
      </c>
      <c r="BC382" s="1">
        <v>0</v>
      </c>
      <c r="BE382" s="1">
        <v>27186125</v>
      </c>
    </row>
    <row r="383" spans="1:57" x14ac:dyDescent="0.25">
      <c r="A383" s="1" t="str">
        <f>T("1944316620558768568")</f>
        <v>1944316620558768568</v>
      </c>
      <c r="B383" s="1" t="str">
        <f>T("249907968463")</f>
        <v>249907968463</v>
      </c>
      <c r="C383" s="1" t="str">
        <f>T("1941094470388810556")</f>
        <v>1941094470388810556</v>
      </c>
      <c r="AC383" s="1" t="s">
        <v>190</v>
      </c>
      <c r="AD383" s="1" t="s">
        <v>191</v>
      </c>
      <c r="AE383" s="1" t="s">
        <v>258</v>
      </c>
      <c r="AF383" s="1" t="s">
        <v>107</v>
      </c>
      <c r="AG383" s="1">
        <v>35</v>
      </c>
      <c r="AO383" s="2">
        <v>46274</v>
      </c>
      <c r="AP383" s="1" t="s">
        <v>248</v>
      </c>
      <c r="AS383" s="1" t="s">
        <v>71</v>
      </c>
      <c r="AU383" s="1" t="s">
        <v>72</v>
      </c>
      <c r="AV383" s="1" t="s">
        <v>73</v>
      </c>
      <c r="AX383" s="1">
        <v>0</v>
      </c>
      <c r="BA383" s="1">
        <v>3</v>
      </c>
      <c r="BB383" s="1">
        <v>0</v>
      </c>
      <c r="BC383" s="1">
        <v>0</v>
      </c>
      <c r="BE383" s="1">
        <v>27186125</v>
      </c>
    </row>
    <row r="384" spans="1:57" x14ac:dyDescent="0.25">
      <c r="A384" s="1" t="str">
        <f>T("1944316620562961576")</f>
        <v>1944316620562961576</v>
      </c>
      <c r="B384" s="1" t="str">
        <f>T("249916479572")</f>
        <v>249916479572</v>
      </c>
      <c r="C384" s="1" t="str">
        <f>T("1941094470388813056")</f>
        <v>1941094470388813056</v>
      </c>
      <c r="AC384" s="1" t="s">
        <v>190</v>
      </c>
      <c r="AD384" s="1" t="e">
        <v>#N/A</v>
      </c>
      <c r="AE384" s="1" t="s">
        <v>258</v>
      </c>
      <c r="AF384" s="1" t="s">
        <v>107</v>
      </c>
      <c r="AG384" s="1">
        <v>55</v>
      </c>
      <c r="AO384" s="2">
        <v>46274</v>
      </c>
      <c r="AP384" s="1" t="s">
        <v>248</v>
      </c>
      <c r="AS384" s="1" t="s">
        <v>71</v>
      </c>
      <c r="AU384" s="1" t="s">
        <v>72</v>
      </c>
      <c r="AV384" s="1" t="s">
        <v>131</v>
      </c>
      <c r="AX384" s="1">
        <v>0</v>
      </c>
      <c r="BA384" s="1">
        <v>3</v>
      </c>
      <c r="BB384" s="1">
        <v>0</v>
      </c>
      <c r="BC384" s="1">
        <v>0</v>
      </c>
      <c r="BE384" s="1">
        <v>27186125</v>
      </c>
    </row>
    <row r="385" spans="1:57" x14ac:dyDescent="0.25">
      <c r="A385" s="1" t="str">
        <f>T("1944316620571352392")</f>
        <v>1944316620571352392</v>
      </c>
      <c r="B385" s="1" t="str">
        <f>T("249967823373")</f>
        <v>249967823373</v>
      </c>
      <c r="C385" s="1" t="str">
        <f>T("1941094470388810156")</f>
        <v>1941094470388810156</v>
      </c>
      <c r="AC385" s="1" t="s">
        <v>190</v>
      </c>
      <c r="AD385" s="1" t="s">
        <v>191</v>
      </c>
      <c r="AE385" s="1" t="s">
        <v>258</v>
      </c>
      <c r="AF385" s="1" t="s">
        <v>107</v>
      </c>
      <c r="AG385" s="1">
        <v>52</v>
      </c>
      <c r="AO385" s="2">
        <v>46274</v>
      </c>
      <c r="AP385" s="1" t="s">
        <v>248</v>
      </c>
      <c r="AS385" s="1" t="s">
        <v>71</v>
      </c>
      <c r="AU385" s="1" t="s">
        <v>72</v>
      </c>
      <c r="AV385" s="1" t="s">
        <v>73</v>
      </c>
      <c r="AX385" s="1">
        <v>0</v>
      </c>
      <c r="BA385" s="1">
        <v>3</v>
      </c>
      <c r="BB385" s="1">
        <v>0</v>
      </c>
      <c r="BC385" s="1">
        <v>0</v>
      </c>
      <c r="BE385" s="1">
        <v>27186125</v>
      </c>
    </row>
    <row r="386" spans="1:57" x14ac:dyDescent="0.25">
      <c r="A386" s="1" t="str">
        <f>T("1944316620579740608")</f>
        <v>1944316620579740608</v>
      </c>
      <c r="B386" s="1" t="str">
        <f>T("249911926326")</f>
        <v>249911926326</v>
      </c>
      <c r="C386" s="1" t="str">
        <f>T("1941094470388813456")</f>
        <v>1941094470388813456</v>
      </c>
      <c r="M386" s="1" t="s">
        <v>59</v>
      </c>
      <c r="O386" s="1" t="s">
        <v>65</v>
      </c>
      <c r="P386" s="1" t="s">
        <v>91</v>
      </c>
      <c r="Q386" s="1" t="s">
        <v>112</v>
      </c>
      <c r="R386" s="1" t="s">
        <v>63</v>
      </c>
      <c r="AA386" s="1">
        <v>1</v>
      </c>
      <c r="AC386" s="1" t="s">
        <v>190</v>
      </c>
      <c r="AD386" s="1" t="e">
        <v>#N/A</v>
      </c>
      <c r="AE386" s="1" t="s">
        <v>258</v>
      </c>
      <c r="AF386" s="1" t="s">
        <v>107</v>
      </c>
      <c r="AG386" s="1">
        <v>28</v>
      </c>
      <c r="AO386" s="2">
        <v>46274</v>
      </c>
      <c r="AP386" s="1" t="s">
        <v>248</v>
      </c>
      <c r="AQ386" s="2">
        <v>46274</v>
      </c>
      <c r="AR386" s="1" t="s">
        <v>270</v>
      </c>
      <c r="AS386" s="1" t="s">
        <v>71</v>
      </c>
      <c r="AU386" s="1" t="s">
        <v>79</v>
      </c>
      <c r="AV386" s="1" t="s">
        <v>80</v>
      </c>
      <c r="AW386" s="1">
        <v>124.92</v>
      </c>
      <c r="AX386" s="1">
        <v>0</v>
      </c>
      <c r="AZ386" s="1" t="s">
        <v>81</v>
      </c>
      <c r="BA386" s="1">
        <v>2</v>
      </c>
      <c r="BB386" s="1">
        <v>0</v>
      </c>
      <c r="BC386" s="1">
        <v>0</v>
      </c>
      <c r="BE386" s="1">
        <v>27186125</v>
      </c>
    </row>
    <row r="387" spans="1:57" x14ac:dyDescent="0.25">
      <c r="A387" s="1" t="str">
        <f>T("1944316620613293072")</f>
        <v>1944316620613293072</v>
      </c>
      <c r="B387" s="1" t="str">
        <f>T("249917859104")</f>
        <v>249917859104</v>
      </c>
      <c r="C387" s="1" t="str">
        <f>T("1941094470393004164")</f>
        <v>1941094470393004164</v>
      </c>
      <c r="AC387" s="1" t="s">
        <v>190</v>
      </c>
      <c r="AD387" s="1" t="e">
        <v>#N/A</v>
      </c>
      <c r="AE387" s="1" t="s">
        <v>258</v>
      </c>
      <c r="AF387" s="1" t="s">
        <v>107</v>
      </c>
      <c r="AG387" s="1">
        <v>35</v>
      </c>
      <c r="AO387" s="2">
        <v>46274</v>
      </c>
      <c r="AP387" s="1" t="s">
        <v>248</v>
      </c>
      <c r="AQ387" s="2">
        <v>46274</v>
      </c>
      <c r="AR387" s="1" t="s">
        <v>271</v>
      </c>
      <c r="AS387" s="1" t="s">
        <v>71</v>
      </c>
      <c r="AU387" s="1" t="s">
        <v>79</v>
      </c>
      <c r="AV387" s="1" t="s">
        <v>80</v>
      </c>
      <c r="AW387" s="1">
        <v>5.8360000000000003</v>
      </c>
      <c r="AX387" s="1">
        <v>0</v>
      </c>
      <c r="AZ387" s="1" t="s">
        <v>81</v>
      </c>
      <c r="BA387" s="1">
        <v>1</v>
      </c>
      <c r="BB387" s="1">
        <v>0</v>
      </c>
      <c r="BC387" s="1">
        <v>0</v>
      </c>
      <c r="BE387" s="1">
        <v>27186125</v>
      </c>
    </row>
    <row r="388" spans="1:57" x14ac:dyDescent="0.25">
      <c r="A388" s="1" t="str">
        <f>T("1944316620625877896")</f>
        <v>1944316620625877896</v>
      </c>
      <c r="B388" s="1" t="str">
        <f>T("249909965452")</f>
        <v>249909965452</v>
      </c>
      <c r="C388" s="1" t="str">
        <f>T("1941094470393004564")</f>
        <v>1941094470393004564</v>
      </c>
      <c r="AA388" s="1">
        <v>1</v>
      </c>
      <c r="AC388" s="1" t="s">
        <v>190</v>
      </c>
      <c r="AD388" s="1" t="e">
        <v>#N/A</v>
      </c>
      <c r="AE388" s="1" t="s">
        <v>258</v>
      </c>
      <c r="AF388" s="1" t="s">
        <v>107</v>
      </c>
      <c r="AG388" s="1">
        <v>58</v>
      </c>
      <c r="AO388" s="2">
        <v>46274</v>
      </c>
      <c r="AP388" s="1" t="s">
        <v>248</v>
      </c>
      <c r="AQ388" s="2">
        <v>46274</v>
      </c>
      <c r="AR388" s="1" t="s">
        <v>272</v>
      </c>
      <c r="AS388" s="1" t="s">
        <v>71</v>
      </c>
      <c r="AU388" s="1" t="s">
        <v>79</v>
      </c>
      <c r="AV388" s="1" t="s">
        <v>80</v>
      </c>
      <c r="AW388" s="1">
        <v>105.56</v>
      </c>
      <c r="AX388" s="1">
        <v>0</v>
      </c>
      <c r="AZ388" s="1" t="s">
        <v>81</v>
      </c>
      <c r="BA388" s="1">
        <v>2</v>
      </c>
      <c r="BB388" s="1">
        <v>0</v>
      </c>
      <c r="BC388" s="1">
        <v>0</v>
      </c>
      <c r="BE388" s="1">
        <v>27186125</v>
      </c>
    </row>
    <row r="389" spans="1:57" x14ac:dyDescent="0.25">
      <c r="A389" s="1" t="str">
        <f>T("1944316620646846536")</f>
        <v>1944316620646846536</v>
      </c>
      <c r="B389" s="1" t="str">
        <f>T("249914562675")</f>
        <v>249914562675</v>
      </c>
      <c r="C389" s="1" t="str">
        <f>T("1941094470393004964")</f>
        <v>1941094470393004964</v>
      </c>
      <c r="AC389" s="1" t="s">
        <v>190</v>
      </c>
      <c r="AD389" s="1" t="e">
        <v>#N/A</v>
      </c>
      <c r="AE389" s="1" t="s">
        <v>258</v>
      </c>
      <c r="AF389" s="1" t="s">
        <v>144</v>
      </c>
      <c r="AG389" s="1">
        <v>50</v>
      </c>
      <c r="AO389" s="2">
        <v>46274</v>
      </c>
      <c r="AP389" s="1" t="s">
        <v>248</v>
      </c>
      <c r="AS389" s="1" t="s">
        <v>71</v>
      </c>
      <c r="AU389" s="1" t="s">
        <v>72</v>
      </c>
      <c r="AV389" s="1" t="s">
        <v>115</v>
      </c>
      <c r="AX389" s="1">
        <v>0</v>
      </c>
      <c r="BA389" s="1">
        <v>3</v>
      </c>
      <c r="BB389" s="1">
        <v>0</v>
      </c>
      <c r="BC389" s="1">
        <v>0</v>
      </c>
      <c r="BE389" s="1">
        <v>27186125</v>
      </c>
    </row>
    <row r="390" spans="1:57" x14ac:dyDescent="0.25">
      <c r="A390" s="1" t="str">
        <f>T("1944316620646850236")</f>
        <v>1944316620646850236</v>
      </c>
      <c r="B390" s="1" t="str">
        <f>T("249914562677")</f>
        <v>249914562677</v>
      </c>
      <c r="C390" s="1" t="str">
        <f>T("1941094470393005464")</f>
        <v>1941094470393005464</v>
      </c>
      <c r="AC390" s="1" t="s">
        <v>190</v>
      </c>
      <c r="AD390" s="1" t="e">
        <v>#N/A</v>
      </c>
      <c r="AE390" s="1" t="s">
        <v>258</v>
      </c>
      <c r="AF390" s="1" t="s">
        <v>107</v>
      </c>
      <c r="AG390" s="1">
        <v>50</v>
      </c>
      <c r="AO390" s="2">
        <v>46274</v>
      </c>
      <c r="AP390" s="1" t="s">
        <v>248</v>
      </c>
      <c r="AQ390" s="2">
        <v>46274</v>
      </c>
      <c r="AR390" s="1" t="s">
        <v>263</v>
      </c>
      <c r="AS390" s="1" t="s">
        <v>71</v>
      </c>
      <c r="AU390" s="1" t="s">
        <v>79</v>
      </c>
      <c r="AV390" s="1" t="s">
        <v>80</v>
      </c>
      <c r="AW390" s="1">
        <v>11.36</v>
      </c>
      <c r="AX390" s="1">
        <v>0</v>
      </c>
      <c r="AZ390" s="1" t="s">
        <v>81</v>
      </c>
      <c r="BA390" s="1">
        <v>2</v>
      </c>
      <c r="BB390" s="1">
        <v>0</v>
      </c>
      <c r="BC390" s="1">
        <v>0</v>
      </c>
      <c r="BE390" s="1">
        <v>27186125</v>
      </c>
    </row>
    <row r="391" spans="1:57" x14ac:dyDescent="0.25">
      <c r="A391" s="1" t="str">
        <f>T("1944316620667818076")</f>
        <v>1944316620667818076</v>
      </c>
      <c r="B391" s="1" t="str">
        <f>T("249914562678")</f>
        <v>249914562678</v>
      </c>
      <c r="C391" s="1" t="str">
        <f>T("1941094470393005864")</f>
        <v>1941094470393005864</v>
      </c>
      <c r="AC391" s="1" t="s">
        <v>190</v>
      </c>
      <c r="AD391" s="1" t="e">
        <v>#N/A</v>
      </c>
      <c r="AE391" s="1" t="s">
        <v>258</v>
      </c>
      <c r="AF391" s="1" t="s">
        <v>107</v>
      </c>
      <c r="AG391" s="1">
        <v>56</v>
      </c>
      <c r="AO391" s="2">
        <v>46274</v>
      </c>
      <c r="AP391" s="1" t="s">
        <v>248</v>
      </c>
      <c r="AS391" s="1" t="s">
        <v>71</v>
      </c>
      <c r="AU391" s="1" t="s">
        <v>72</v>
      </c>
      <c r="AV391" s="1" t="s">
        <v>73</v>
      </c>
      <c r="AX391" s="1">
        <v>0</v>
      </c>
      <c r="BA391" s="1">
        <v>3</v>
      </c>
      <c r="BB391" s="1">
        <v>0</v>
      </c>
      <c r="BC391" s="1">
        <v>0</v>
      </c>
      <c r="BE391" s="1">
        <v>27186125</v>
      </c>
    </row>
    <row r="392" spans="1:57" x14ac:dyDescent="0.25">
      <c r="A392" s="1" t="str">
        <f>T("1944316620672015284")</f>
        <v>1944316620672015284</v>
      </c>
      <c r="B392" s="1" t="str">
        <f>T("249914562679")</f>
        <v>249914562679</v>
      </c>
      <c r="C392" s="1" t="str">
        <f>T("1941094470393006264")</f>
        <v>1941094470393006264</v>
      </c>
      <c r="AC392" s="1" t="s">
        <v>190</v>
      </c>
      <c r="AD392" s="1" t="e">
        <v>#N/A</v>
      </c>
      <c r="AE392" s="1" t="s">
        <v>258</v>
      </c>
      <c r="AF392" s="1" t="s">
        <v>107</v>
      </c>
      <c r="AG392" s="1">
        <v>62</v>
      </c>
      <c r="AO392" s="2">
        <v>46274</v>
      </c>
      <c r="AP392" s="1" t="s">
        <v>248</v>
      </c>
      <c r="AS392" s="1" t="s">
        <v>71</v>
      </c>
      <c r="AU392" s="1" t="s">
        <v>72</v>
      </c>
      <c r="AV392" s="1" t="s">
        <v>115</v>
      </c>
      <c r="AX392" s="1">
        <v>0</v>
      </c>
      <c r="BA392" s="1">
        <v>3</v>
      </c>
      <c r="BB392" s="1">
        <v>0</v>
      </c>
      <c r="BC392" s="1">
        <v>0</v>
      </c>
      <c r="BE392" s="1">
        <v>27186125</v>
      </c>
    </row>
    <row r="393" spans="1:57" x14ac:dyDescent="0.25">
      <c r="A393" s="1" t="str">
        <f>T("1944316620672016184")</f>
        <v>1944316620672016184</v>
      </c>
      <c r="B393" s="1" t="str">
        <f>T("249914562681")</f>
        <v>249914562681</v>
      </c>
      <c r="C393" s="1" t="str">
        <f>T("1941094470393007264")</f>
        <v>1941094470393007264</v>
      </c>
      <c r="AA393" s="1">
        <v>1</v>
      </c>
      <c r="AC393" s="1" t="s">
        <v>190</v>
      </c>
      <c r="AD393" s="1" t="e">
        <v>#N/A</v>
      </c>
      <c r="AE393" s="1" t="s">
        <v>258</v>
      </c>
      <c r="AF393" s="1" t="s">
        <v>107</v>
      </c>
      <c r="AG393" s="1">
        <v>45</v>
      </c>
      <c r="AO393" s="2">
        <v>46274</v>
      </c>
      <c r="AP393" s="1" t="s">
        <v>248</v>
      </c>
      <c r="AQ393" s="2">
        <v>46274</v>
      </c>
      <c r="AR393" s="1" t="s">
        <v>273</v>
      </c>
      <c r="AS393" s="1" t="s">
        <v>71</v>
      </c>
      <c r="AU393" s="1" t="s">
        <v>79</v>
      </c>
      <c r="AV393" s="1" t="s">
        <v>80</v>
      </c>
      <c r="AW393" s="1">
        <v>43.26</v>
      </c>
      <c r="AX393" s="1">
        <v>0</v>
      </c>
      <c r="AZ393" s="1" t="s">
        <v>81</v>
      </c>
      <c r="BA393" s="1">
        <v>2</v>
      </c>
      <c r="BB393" s="1">
        <v>0</v>
      </c>
      <c r="BC393" s="1">
        <v>0</v>
      </c>
      <c r="BE393" s="1">
        <v>27186125</v>
      </c>
    </row>
    <row r="394" spans="1:57" x14ac:dyDescent="0.25">
      <c r="A394" s="1" t="str">
        <f>T("1944316620684595708")</f>
        <v>1944316620684595708</v>
      </c>
      <c r="B394" s="1" t="str">
        <f>T("249914562680")</f>
        <v>249914562680</v>
      </c>
      <c r="C394" s="1" t="str">
        <f>T("1941094470393006664")</f>
        <v>1941094470393006664</v>
      </c>
      <c r="AC394" s="1" t="s">
        <v>190</v>
      </c>
      <c r="AD394" s="1" t="e">
        <v>#N/A</v>
      </c>
      <c r="AE394" s="1" t="s">
        <v>258</v>
      </c>
      <c r="AF394" s="1" t="s">
        <v>107</v>
      </c>
      <c r="AG394" s="1">
        <v>72</v>
      </c>
      <c r="AO394" s="2">
        <v>46274</v>
      </c>
      <c r="AP394" s="1" t="s">
        <v>248</v>
      </c>
      <c r="AS394" s="1" t="s">
        <v>71</v>
      </c>
      <c r="AU394" s="1" t="s">
        <v>72</v>
      </c>
      <c r="AV394" s="1" t="s">
        <v>73</v>
      </c>
      <c r="AX394" s="1">
        <v>0</v>
      </c>
      <c r="BA394" s="1">
        <v>3</v>
      </c>
      <c r="BB394" s="1">
        <v>0</v>
      </c>
      <c r="BC394" s="1">
        <v>0</v>
      </c>
      <c r="BE394" s="1">
        <v>27186125</v>
      </c>
    </row>
    <row r="395" spans="1:57" x14ac:dyDescent="0.25">
      <c r="A395" s="1" t="str">
        <f>T("1944316620701375940")</f>
        <v>1944316620701375940</v>
      </c>
      <c r="B395" s="1" t="str">
        <f>T("249914351622")</f>
        <v>249914351622</v>
      </c>
      <c r="C395" s="1" t="str">
        <f>T("1941094470397199172")</f>
        <v>1941094470397199172</v>
      </c>
      <c r="AC395" s="1" t="s">
        <v>190</v>
      </c>
      <c r="AD395" s="1" t="s">
        <v>274</v>
      </c>
      <c r="AE395" s="1" t="s">
        <v>275</v>
      </c>
      <c r="AF395" s="1" t="s">
        <v>107</v>
      </c>
      <c r="AO395" s="2">
        <v>46274</v>
      </c>
      <c r="AP395" s="1" t="s">
        <v>248</v>
      </c>
      <c r="AS395" s="1" t="s">
        <v>71</v>
      </c>
      <c r="AU395" s="1" t="s">
        <v>72</v>
      </c>
      <c r="AV395" s="1" t="s">
        <v>80</v>
      </c>
      <c r="AX395" s="1">
        <v>0</v>
      </c>
      <c r="BA395" s="1">
        <v>3</v>
      </c>
      <c r="BB395" s="1">
        <v>0</v>
      </c>
      <c r="BC395" s="1">
        <v>0</v>
      </c>
      <c r="BE395" s="1">
        <v>27186125</v>
      </c>
    </row>
    <row r="396" spans="1:57" x14ac:dyDescent="0.25">
      <c r="A396" s="1" t="str">
        <f>T("1944316620713959164")</f>
        <v>1944316620713959164</v>
      </c>
      <c r="B396" s="1" t="str">
        <f>T("249116603820")</f>
        <v>249116603820</v>
      </c>
      <c r="C396" s="1" t="str">
        <f>T("1941094470397200672")</f>
        <v>1941094470397200672</v>
      </c>
      <c r="AC396" s="1" t="s">
        <v>190</v>
      </c>
      <c r="AD396" s="1" t="s">
        <v>274</v>
      </c>
      <c r="AE396" s="1" t="s">
        <v>275</v>
      </c>
      <c r="AF396" s="1" t="s">
        <v>144</v>
      </c>
      <c r="AO396" s="2">
        <v>46274</v>
      </c>
      <c r="AP396" s="1" t="s">
        <v>248</v>
      </c>
      <c r="AS396" s="1" t="s">
        <v>71</v>
      </c>
      <c r="AU396" s="1" t="s">
        <v>72</v>
      </c>
      <c r="AV396" s="1" t="s">
        <v>80</v>
      </c>
      <c r="AX396" s="1">
        <v>0</v>
      </c>
      <c r="BA396" s="1">
        <v>3</v>
      </c>
      <c r="BB396" s="1">
        <v>0</v>
      </c>
      <c r="BC396" s="1">
        <v>0</v>
      </c>
      <c r="BE396" s="1">
        <v>27186125</v>
      </c>
    </row>
    <row r="397" spans="1:57" x14ac:dyDescent="0.25">
      <c r="A397" s="1" t="str">
        <f>T("1944316620730733196")</f>
        <v>1944316620730733196</v>
      </c>
      <c r="B397" s="1" t="str">
        <f>T("249917538278")</f>
        <v>249917538278</v>
      </c>
      <c r="C397" s="1" t="str">
        <f>T("1941094470397201872")</f>
        <v>1941094470397201872</v>
      </c>
      <c r="AC397" s="1" t="s">
        <v>276</v>
      </c>
      <c r="AD397" s="1" t="s">
        <v>277</v>
      </c>
      <c r="AE397" s="1" t="s">
        <v>278</v>
      </c>
      <c r="AF397" s="1" t="s">
        <v>107</v>
      </c>
      <c r="AG397" s="1">
        <v>39</v>
      </c>
      <c r="AO397" s="2">
        <v>46274</v>
      </c>
      <c r="AP397" s="1" t="s">
        <v>248</v>
      </c>
      <c r="AS397" s="1" t="s">
        <v>71</v>
      </c>
      <c r="AU397" s="1" t="s">
        <v>72</v>
      </c>
      <c r="AV397" s="1" t="s">
        <v>80</v>
      </c>
      <c r="AX397" s="1">
        <v>0</v>
      </c>
      <c r="BA397" s="1">
        <v>3</v>
      </c>
      <c r="BB397" s="1">
        <v>0</v>
      </c>
      <c r="BC397" s="1">
        <v>0</v>
      </c>
      <c r="BE397" s="1">
        <v>27186125</v>
      </c>
    </row>
    <row r="398" spans="1:57" x14ac:dyDescent="0.25">
      <c r="A398" s="1" t="str">
        <f>T("1944316620734928804")</f>
        <v>1944316620734928804</v>
      </c>
      <c r="B398" s="1" t="str">
        <f>T("249907345614")</f>
        <v>249907345614</v>
      </c>
      <c r="C398" s="1" t="str">
        <f>T("1941094470401392880")</f>
        <v>1941094470401392880</v>
      </c>
      <c r="AC398" s="1" t="s">
        <v>276</v>
      </c>
      <c r="AD398" s="1" t="s">
        <v>277</v>
      </c>
      <c r="AE398" s="1" t="s">
        <v>278</v>
      </c>
      <c r="AF398" s="1" t="s">
        <v>107</v>
      </c>
      <c r="AG398" s="1">
        <v>40</v>
      </c>
      <c r="AO398" s="2">
        <v>46274</v>
      </c>
      <c r="AP398" s="1" t="s">
        <v>248</v>
      </c>
      <c r="AS398" s="1" t="s">
        <v>71</v>
      </c>
      <c r="AU398" s="1" t="s">
        <v>72</v>
      </c>
      <c r="AV398" s="1" t="s">
        <v>80</v>
      </c>
      <c r="AX398" s="1">
        <v>0</v>
      </c>
      <c r="BA398" s="1">
        <v>3</v>
      </c>
      <c r="BB398" s="1">
        <v>0</v>
      </c>
      <c r="BC398" s="1">
        <v>0</v>
      </c>
      <c r="BE398" s="1">
        <v>27186125</v>
      </c>
    </row>
    <row r="399" spans="1:57" x14ac:dyDescent="0.25">
      <c r="A399" s="1" t="str">
        <f>T("1944316620734930304")</f>
        <v>1944316620734930304</v>
      </c>
      <c r="B399" s="1" t="str">
        <f>T("249116578941")</f>
        <v>249116578941</v>
      </c>
      <c r="C399" s="1" t="str">
        <f>T("1941094470397201272")</f>
        <v>1941094470397201272</v>
      </c>
      <c r="AC399" s="1" t="s">
        <v>276</v>
      </c>
      <c r="AD399" s="1" t="s">
        <v>277</v>
      </c>
      <c r="AE399" s="1" t="s">
        <v>278</v>
      </c>
      <c r="AF399" s="1" t="s">
        <v>107</v>
      </c>
      <c r="AG399" s="1">
        <v>39</v>
      </c>
      <c r="AO399" s="2">
        <v>46274</v>
      </c>
      <c r="AP399" s="1" t="s">
        <v>248</v>
      </c>
      <c r="AS399" s="1" t="s">
        <v>71</v>
      </c>
      <c r="AU399" s="1" t="s">
        <v>72</v>
      </c>
      <c r="AV399" s="1" t="s">
        <v>80</v>
      </c>
      <c r="AX399" s="1">
        <v>0</v>
      </c>
      <c r="BA399" s="1">
        <v>3</v>
      </c>
      <c r="BB399" s="1">
        <v>0</v>
      </c>
      <c r="BC399" s="1">
        <v>0</v>
      </c>
      <c r="BE399" s="1">
        <v>27186125</v>
      </c>
    </row>
    <row r="400" spans="1:57" x14ac:dyDescent="0.25">
      <c r="A400" s="1" t="str">
        <f>T("1944316620751705036")</f>
        <v>1944316620751705036</v>
      </c>
      <c r="B400" s="1" t="str">
        <f>T("249907895489")</f>
        <v>249907895489</v>
      </c>
      <c r="C400" s="1" t="str">
        <f>T("1941094470401393480")</f>
        <v>1941094470401393480</v>
      </c>
      <c r="AC400" s="1" t="s">
        <v>276</v>
      </c>
      <c r="AD400" s="1" t="s">
        <v>277</v>
      </c>
      <c r="AE400" s="1" t="s">
        <v>278</v>
      </c>
      <c r="AF400" s="1" t="s">
        <v>107</v>
      </c>
      <c r="AG400" s="1">
        <v>35</v>
      </c>
      <c r="AO400" s="2">
        <v>46274</v>
      </c>
      <c r="AP400" s="1" t="s">
        <v>248</v>
      </c>
      <c r="AS400" s="1" t="s">
        <v>71</v>
      </c>
      <c r="AU400" s="1" t="s">
        <v>72</v>
      </c>
      <c r="AV400" s="1" t="s">
        <v>80</v>
      </c>
      <c r="AX400" s="1">
        <v>0</v>
      </c>
      <c r="BA400" s="1">
        <v>3</v>
      </c>
      <c r="BB400" s="1">
        <v>0</v>
      </c>
      <c r="BC400" s="1">
        <v>0</v>
      </c>
      <c r="BE400" s="1">
        <v>27186125</v>
      </c>
    </row>
    <row r="401" spans="1:57" x14ac:dyDescent="0.25">
      <c r="A401" s="1" t="str">
        <f>T("1944316620768483368")</f>
        <v>1944316620768483368</v>
      </c>
      <c r="B401" s="1" t="str">
        <f>T("249914782907")</f>
        <v>249914782907</v>
      </c>
      <c r="C401" s="1" t="str">
        <f>T("1941094470401393980")</f>
        <v>1941094470401393980</v>
      </c>
      <c r="AC401" s="1" t="s">
        <v>276</v>
      </c>
      <c r="AD401" s="1" t="s">
        <v>277</v>
      </c>
      <c r="AE401" s="1" t="s">
        <v>278</v>
      </c>
      <c r="AF401" s="1" t="s">
        <v>107</v>
      </c>
      <c r="AG401" s="1">
        <v>38</v>
      </c>
      <c r="AO401" s="2">
        <v>46274</v>
      </c>
      <c r="AP401" s="1" t="s">
        <v>248</v>
      </c>
      <c r="AS401" s="1" t="s">
        <v>71</v>
      </c>
      <c r="AU401" s="1" t="s">
        <v>72</v>
      </c>
      <c r="AV401" s="1" t="s">
        <v>80</v>
      </c>
      <c r="AX401" s="1">
        <v>0</v>
      </c>
      <c r="BA401" s="1">
        <v>3</v>
      </c>
      <c r="BB401" s="1">
        <v>0</v>
      </c>
      <c r="BC401" s="1">
        <v>0</v>
      </c>
      <c r="BE401" s="1">
        <v>27186125</v>
      </c>
    </row>
    <row r="402" spans="1:57" x14ac:dyDescent="0.25">
      <c r="A402" s="1" t="str">
        <f>T("1944316620781067392")</f>
        <v>1944316620781067392</v>
      </c>
      <c r="B402" s="1" t="str">
        <f>T("249916998254")</f>
        <v>249916998254</v>
      </c>
      <c r="C402" s="1" t="str">
        <f>T("1941094470401395480")</f>
        <v>1941094470401395480</v>
      </c>
      <c r="AC402" s="1" t="s">
        <v>276</v>
      </c>
      <c r="AD402" s="1" t="s">
        <v>277</v>
      </c>
      <c r="AE402" s="1" t="s">
        <v>278</v>
      </c>
      <c r="AF402" s="1" t="s">
        <v>107</v>
      </c>
      <c r="AG402" s="1">
        <v>35</v>
      </c>
      <c r="AO402" s="2">
        <v>46274</v>
      </c>
      <c r="AP402" s="1" t="s">
        <v>248</v>
      </c>
      <c r="AS402" s="1" t="s">
        <v>71</v>
      </c>
      <c r="AU402" s="1" t="s">
        <v>72</v>
      </c>
      <c r="AV402" s="1" t="s">
        <v>80</v>
      </c>
      <c r="AX402" s="1">
        <v>0</v>
      </c>
      <c r="BA402" s="1">
        <v>3</v>
      </c>
      <c r="BB402" s="1">
        <v>0</v>
      </c>
      <c r="BC402" s="1">
        <v>0</v>
      </c>
      <c r="BE402" s="1">
        <v>27186125</v>
      </c>
    </row>
    <row r="403" spans="1:57" x14ac:dyDescent="0.25">
      <c r="A403" s="1" t="str">
        <f>T("1944316620793649616")</f>
        <v>1944316620793649616</v>
      </c>
      <c r="B403" s="1" t="str">
        <f>T("249905360098")</f>
        <v>249905360098</v>
      </c>
      <c r="C403" s="1" t="str">
        <f>T("1941094470405586988")</f>
        <v>1941094470405586988</v>
      </c>
      <c r="AC403" s="1" t="s">
        <v>276</v>
      </c>
      <c r="AD403" s="1" t="s">
        <v>277</v>
      </c>
      <c r="AE403" s="1" t="s">
        <v>278</v>
      </c>
      <c r="AF403" s="1" t="s">
        <v>107</v>
      </c>
      <c r="AG403" s="1">
        <v>37</v>
      </c>
      <c r="AO403" s="2">
        <v>46274</v>
      </c>
      <c r="AP403" s="1" t="s">
        <v>248</v>
      </c>
      <c r="AS403" s="1" t="s">
        <v>71</v>
      </c>
      <c r="AU403" s="1" t="s">
        <v>72</v>
      </c>
      <c r="AV403" s="1" t="s">
        <v>80</v>
      </c>
      <c r="AX403" s="1">
        <v>0</v>
      </c>
      <c r="BA403" s="1">
        <v>3</v>
      </c>
      <c r="BB403" s="1">
        <v>0</v>
      </c>
      <c r="BC403" s="1">
        <v>0</v>
      </c>
      <c r="BE403" s="1">
        <v>27186125</v>
      </c>
    </row>
    <row r="404" spans="1:57" x14ac:dyDescent="0.25">
      <c r="A404" s="1" t="str">
        <f>T("1944316620797842824")</f>
        <v>1944316620797842824</v>
      </c>
      <c r="B404" s="1" t="str">
        <f>T("249916192753")</f>
        <v>249916192753</v>
      </c>
      <c r="C404" s="1" t="str">
        <f>T("1941094470401394280")</f>
        <v>1941094470401394280</v>
      </c>
      <c r="AC404" s="1" t="s">
        <v>276</v>
      </c>
      <c r="AD404" s="1" t="s">
        <v>277</v>
      </c>
      <c r="AE404" s="1" t="s">
        <v>278</v>
      </c>
      <c r="AF404" s="1" t="s">
        <v>107</v>
      </c>
      <c r="AG404" s="1">
        <v>40</v>
      </c>
      <c r="AO404" s="2">
        <v>46274</v>
      </c>
      <c r="AP404" s="1" t="s">
        <v>248</v>
      </c>
      <c r="AS404" s="1" t="s">
        <v>71</v>
      </c>
      <c r="AU404" s="1" t="s">
        <v>72</v>
      </c>
      <c r="AV404" s="1" t="s">
        <v>80</v>
      </c>
      <c r="AX404" s="1">
        <v>0</v>
      </c>
      <c r="BA404" s="1">
        <v>3</v>
      </c>
      <c r="BB404" s="1">
        <v>0</v>
      </c>
      <c r="BC404" s="1">
        <v>0</v>
      </c>
      <c r="BE404" s="1">
        <v>27186125</v>
      </c>
    </row>
    <row r="405" spans="1:57" x14ac:dyDescent="0.25">
      <c r="A405" s="1" t="str">
        <f>T("1944316620806231740")</f>
        <v>1944316620806231740</v>
      </c>
      <c r="B405" s="1" t="str">
        <f>T("249915770714")</f>
        <v>249915770714</v>
      </c>
      <c r="C405" s="1" t="str">
        <f>T("1941094470405587688")</f>
        <v>1941094470405587688</v>
      </c>
      <c r="AC405" s="1" t="s">
        <v>276</v>
      </c>
      <c r="AD405" s="1" t="s">
        <v>277</v>
      </c>
      <c r="AE405" s="1" t="s">
        <v>278</v>
      </c>
      <c r="AF405" s="1" t="s">
        <v>107</v>
      </c>
      <c r="AG405" s="1">
        <v>36</v>
      </c>
      <c r="AO405" s="2">
        <v>46274</v>
      </c>
      <c r="AP405" s="1" t="s">
        <v>248</v>
      </c>
      <c r="AS405" s="1" t="s">
        <v>71</v>
      </c>
      <c r="AU405" s="1" t="s">
        <v>72</v>
      </c>
      <c r="AV405" s="1" t="s">
        <v>80</v>
      </c>
      <c r="AX405" s="1">
        <v>0</v>
      </c>
      <c r="BA405" s="1">
        <v>3</v>
      </c>
      <c r="BB405" s="1">
        <v>0</v>
      </c>
      <c r="BC405" s="1">
        <v>0</v>
      </c>
      <c r="BE405" s="1">
        <v>27186125</v>
      </c>
    </row>
    <row r="406" spans="1:57" x14ac:dyDescent="0.25">
      <c r="A406" s="1" t="str">
        <f>T("1944316620823009572")</f>
        <v>1944316620823009572</v>
      </c>
      <c r="B406" s="1" t="str">
        <f>T("249919284097")</f>
        <v>249919284097</v>
      </c>
      <c r="C406" s="1" t="str">
        <f>T("1941094470405588888")</f>
        <v>1941094470405588888</v>
      </c>
      <c r="M406" s="1" t="s">
        <v>59</v>
      </c>
      <c r="O406" s="1" t="s">
        <v>65</v>
      </c>
      <c r="P406" s="1" t="s">
        <v>83</v>
      </c>
      <c r="Q406" s="1" t="s">
        <v>101</v>
      </c>
      <c r="R406" s="1" t="s">
        <v>93</v>
      </c>
      <c r="T406" s="1" t="s">
        <v>119</v>
      </c>
      <c r="U406" s="1" t="s">
        <v>65</v>
      </c>
      <c r="V406" s="1" t="s">
        <v>66</v>
      </c>
      <c r="W406" s="1" t="s">
        <v>67</v>
      </c>
      <c r="X406" s="1" t="s">
        <v>66</v>
      </c>
      <c r="Y406" s="1" t="s">
        <v>85</v>
      </c>
      <c r="AA406" s="1">
        <v>1</v>
      </c>
      <c r="AB406" s="1">
        <v>1</v>
      </c>
      <c r="AC406" s="1" t="s">
        <v>276</v>
      </c>
      <c r="AD406" s="1" t="s">
        <v>277</v>
      </c>
      <c r="AE406" s="1" t="s">
        <v>278</v>
      </c>
      <c r="AF406" s="1" t="s">
        <v>107</v>
      </c>
      <c r="AG406" s="1">
        <v>37</v>
      </c>
      <c r="AO406" s="2">
        <v>46274</v>
      </c>
      <c r="AP406" s="1" t="s">
        <v>248</v>
      </c>
      <c r="AQ406" s="2">
        <v>46274</v>
      </c>
      <c r="AR406" s="1" t="s">
        <v>252</v>
      </c>
      <c r="AS406" s="1" t="s">
        <v>71</v>
      </c>
      <c r="AU406" s="1" t="s">
        <v>78</v>
      </c>
      <c r="AV406" s="1" t="s">
        <v>80</v>
      </c>
      <c r="AW406" s="1">
        <v>349.1</v>
      </c>
      <c r="AX406" s="1">
        <v>0</v>
      </c>
      <c r="AZ406" s="1" t="s">
        <v>81</v>
      </c>
      <c r="BA406" s="1">
        <v>1</v>
      </c>
      <c r="BB406" s="1">
        <v>0</v>
      </c>
      <c r="BC406" s="1">
        <v>0</v>
      </c>
      <c r="BE406" s="1">
        <v>27186125</v>
      </c>
    </row>
    <row r="407" spans="1:57" x14ac:dyDescent="0.25">
      <c r="A407" s="1" t="str">
        <f>T("1944316620831396388")</f>
        <v>1944316620831396388</v>
      </c>
      <c r="B407" s="1" t="str">
        <f>T("249908040194")</f>
        <v>249908040194</v>
      </c>
      <c r="C407" s="1" t="str">
        <f>T("1941094470405590688")</f>
        <v>1941094470405590688</v>
      </c>
      <c r="AC407" s="1" t="s">
        <v>276</v>
      </c>
      <c r="AD407" s="1" t="s">
        <v>277</v>
      </c>
      <c r="AE407" s="1" t="s">
        <v>278</v>
      </c>
      <c r="AF407" s="1" t="s">
        <v>107</v>
      </c>
      <c r="AG407" s="1">
        <v>37</v>
      </c>
      <c r="AO407" s="2">
        <v>46274</v>
      </c>
      <c r="AP407" s="1" t="s">
        <v>248</v>
      </c>
      <c r="AS407" s="1" t="s">
        <v>71</v>
      </c>
      <c r="AU407" s="1" t="s">
        <v>72</v>
      </c>
      <c r="AV407" s="1" t="s">
        <v>80</v>
      </c>
      <c r="AX407" s="1">
        <v>0</v>
      </c>
      <c r="BA407" s="1">
        <v>3</v>
      </c>
      <c r="BB407" s="1">
        <v>0</v>
      </c>
      <c r="BC407" s="1">
        <v>0</v>
      </c>
      <c r="BE407" s="1">
        <v>27186125</v>
      </c>
    </row>
    <row r="408" spans="1:57" x14ac:dyDescent="0.25">
      <c r="A408" s="1" t="str">
        <f>T("1944316620848175920")</f>
        <v>1944316620848175920</v>
      </c>
      <c r="B408" s="1" t="str">
        <f>T("249968255629")</f>
        <v>249968255629</v>
      </c>
      <c r="C408" s="1" t="str">
        <f>T("1941094470434947744")</f>
        <v>1941094470434947744</v>
      </c>
      <c r="AC408" s="1" t="s">
        <v>276</v>
      </c>
      <c r="AD408" s="1" t="s">
        <v>277</v>
      </c>
      <c r="AE408" s="1" t="s">
        <v>278</v>
      </c>
      <c r="AF408" s="1" t="s">
        <v>107</v>
      </c>
      <c r="AG408" s="1">
        <v>39</v>
      </c>
      <c r="AO408" s="2">
        <v>46274</v>
      </c>
      <c r="AP408" s="1" t="s">
        <v>248</v>
      </c>
      <c r="AS408" s="1" t="s">
        <v>71</v>
      </c>
      <c r="AU408" s="1" t="s">
        <v>72</v>
      </c>
      <c r="AV408" s="1" t="s">
        <v>80</v>
      </c>
      <c r="AX408" s="1">
        <v>0</v>
      </c>
      <c r="BA408" s="1">
        <v>3</v>
      </c>
      <c r="BB408" s="1">
        <v>0</v>
      </c>
      <c r="BC408" s="1">
        <v>0</v>
      </c>
      <c r="BE408" s="1">
        <v>27186125</v>
      </c>
    </row>
    <row r="409" spans="1:57" x14ac:dyDescent="0.25">
      <c r="A409" s="1" t="str">
        <f>T("1944316620852368728")</f>
        <v>1944316620852368728</v>
      </c>
      <c r="B409" s="1" t="str">
        <f>T("249915643389")</f>
        <v>249915643389</v>
      </c>
      <c r="C409" s="1" t="str">
        <f>T("1941094470418173212")</f>
        <v>1941094470418173212</v>
      </c>
      <c r="AC409" s="1" t="s">
        <v>276</v>
      </c>
      <c r="AD409" s="1" t="s">
        <v>277</v>
      </c>
      <c r="AE409" s="1" t="s">
        <v>278</v>
      </c>
      <c r="AF409" s="1" t="s">
        <v>107</v>
      </c>
      <c r="AG409" s="1">
        <v>35</v>
      </c>
      <c r="AO409" s="2">
        <v>46274</v>
      </c>
      <c r="AP409" s="1" t="s">
        <v>248</v>
      </c>
      <c r="AS409" s="1" t="s">
        <v>71</v>
      </c>
      <c r="AU409" s="1" t="s">
        <v>72</v>
      </c>
      <c r="AV409" s="1" t="s">
        <v>80</v>
      </c>
      <c r="AX409" s="1">
        <v>0</v>
      </c>
      <c r="BA409" s="1">
        <v>3</v>
      </c>
      <c r="BB409" s="1">
        <v>0</v>
      </c>
      <c r="BC409" s="1">
        <v>0</v>
      </c>
      <c r="BE409" s="1">
        <v>27186125</v>
      </c>
    </row>
    <row r="410" spans="1:57" x14ac:dyDescent="0.25">
      <c r="A410" s="1" t="str">
        <f>T("1944316620869147760")</f>
        <v>1944316620869147760</v>
      </c>
      <c r="B410" s="1" t="str">
        <f>T("249913234425")</f>
        <v>249913234425</v>
      </c>
      <c r="C410" s="1" t="str">
        <f>T("1941094470434949044")</f>
        <v>1941094470434949044</v>
      </c>
      <c r="AC410" s="1" t="s">
        <v>276</v>
      </c>
      <c r="AD410" s="1" t="s">
        <v>277</v>
      </c>
      <c r="AE410" s="1" t="s">
        <v>278</v>
      </c>
      <c r="AF410" s="1" t="s">
        <v>107</v>
      </c>
      <c r="AG410" s="1">
        <v>36</v>
      </c>
      <c r="AO410" s="2">
        <v>46274</v>
      </c>
      <c r="AP410" s="1" t="s">
        <v>248</v>
      </c>
      <c r="AS410" s="1" t="s">
        <v>71</v>
      </c>
      <c r="AU410" s="1" t="s">
        <v>72</v>
      </c>
      <c r="AV410" s="1" t="s">
        <v>80</v>
      </c>
      <c r="AX410" s="1">
        <v>0</v>
      </c>
      <c r="BA410" s="1">
        <v>3</v>
      </c>
      <c r="BB410" s="1">
        <v>0</v>
      </c>
      <c r="BC410" s="1">
        <v>0</v>
      </c>
      <c r="BE410" s="1">
        <v>27186125</v>
      </c>
    </row>
    <row r="411" spans="1:57" x14ac:dyDescent="0.25">
      <c r="A411" s="1" t="str">
        <f>T("1944316620873342668")</f>
        <v>1944316620873342668</v>
      </c>
      <c r="B411" s="1" t="str">
        <f>T("249915649868")</f>
        <v>249915649868</v>
      </c>
      <c r="C411" s="1" t="str">
        <f>T("1941094470434949744")</f>
        <v>1941094470434949744</v>
      </c>
      <c r="AC411" s="1" t="s">
        <v>276</v>
      </c>
      <c r="AD411" s="1" t="s">
        <v>277</v>
      </c>
      <c r="AE411" s="1" t="s">
        <v>278</v>
      </c>
      <c r="AF411" s="1" t="s">
        <v>107</v>
      </c>
      <c r="AG411" s="1">
        <v>37</v>
      </c>
      <c r="AO411" s="2">
        <v>46274</v>
      </c>
      <c r="AP411" s="1" t="s">
        <v>248</v>
      </c>
      <c r="AS411" s="1" t="s">
        <v>71</v>
      </c>
      <c r="AU411" s="1" t="s">
        <v>72</v>
      </c>
      <c r="AV411" s="1" t="s">
        <v>80</v>
      </c>
      <c r="AX411" s="1">
        <v>0</v>
      </c>
      <c r="BA411" s="1">
        <v>3</v>
      </c>
      <c r="BB411" s="1">
        <v>0</v>
      </c>
      <c r="BC411" s="1">
        <v>0</v>
      </c>
      <c r="BE411" s="1">
        <v>27186125</v>
      </c>
    </row>
    <row r="412" spans="1:57" x14ac:dyDescent="0.25">
      <c r="A412" s="1" t="str">
        <f>T("1944316620890117500")</f>
        <v>1944316620890117500</v>
      </c>
      <c r="B412" s="1" t="str">
        <f>T("249914377931")</f>
        <v>249914377931</v>
      </c>
      <c r="C412" s="1" t="str">
        <f>T("1941094470434950344")</f>
        <v>1941094470434950344</v>
      </c>
      <c r="AC412" s="1" t="s">
        <v>276</v>
      </c>
      <c r="AD412" s="1" t="s">
        <v>277</v>
      </c>
      <c r="AE412" s="1" t="s">
        <v>278</v>
      </c>
      <c r="AF412" s="1" t="s">
        <v>107</v>
      </c>
      <c r="AG412" s="1">
        <v>30</v>
      </c>
      <c r="AO412" s="2">
        <v>46274</v>
      </c>
      <c r="AP412" s="1" t="s">
        <v>248</v>
      </c>
      <c r="AS412" s="1" t="s">
        <v>71</v>
      </c>
      <c r="AU412" s="1" t="s">
        <v>72</v>
      </c>
      <c r="AV412" s="1" t="s">
        <v>80</v>
      </c>
      <c r="AX412" s="1">
        <v>0</v>
      </c>
      <c r="BA412" s="1">
        <v>3</v>
      </c>
      <c r="BB412" s="1">
        <v>0</v>
      </c>
      <c r="BC412" s="1">
        <v>0</v>
      </c>
      <c r="BE412" s="1">
        <v>27186125</v>
      </c>
    </row>
    <row r="413" spans="1:57" x14ac:dyDescent="0.25">
      <c r="A413" s="1" t="str">
        <f>T("1944316620894311408")</f>
        <v>1944316620894311408</v>
      </c>
      <c r="B413" s="1" t="str">
        <f>T("249913815139")</f>
        <v>249913815139</v>
      </c>
      <c r="C413" s="1" t="str">
        <f>T("1941094470434948544")</f>
        <v>1941094470434948544</v>
      </c>
      <c r="AC413" s="1" t="s">
        <v>276</v>
      </c>
      <c r="AD413" s="1" t="s">
        <v>277</v>
      </c>
      <c r="AE413" s="1" t="s">
        <v>278</v>
      </c>
      <c r="AF413" s="1" t="s">
        <v>107</v>
      </c>
      <c r="AG413" s="1">
        <v>35</v>
      </c>
      <c r="AO413" s="2">
        <v>46274</v>
      </c>
      <c r="AP413" s="1" t="s">
        <v>248</v>
      </c>
      <c r="AS413" s="1" t="s">
        <v>71</v>
      </c>
      <c r="AU413" s="1" t="s">
        <v>72</v>
      </c>
      <c r="AV413" s="1" t="s">
        <v>80</v>
      </c>
      <c r="AX413" s="1">
        <v>0</v>
      </c>
      <c r="BA413" s="1">
        <v>3</v>
      </c>
      <c r="BB413" s="1">
        <v>0</v>
      </c>
      <c r="BC413" s="1">
        <v>0</v>
      </c>
      <c r="BE413" s="1">
        <v>27186125</v>
      </c>
    </row>
    <row r="414" spans="1:57" x14ac:dyDescent="0.25">
      <c r="A414" s="1" t="str">
        <f>T("1944316620906895632")</f>
        <v>1944316620906895632</v>
      </c>
      <c r="B414" s="1" t="str">
        <f>T("249905039679")</f>
        <v>249905039679</v>
      </c>
      <c r="C414" s="1" t="str">
        <f>T("1941094470434950844")</f>
        <v>1941094470434950844</v>
      </c>
      <c r="AC414" s="1" t="s">
        <v>276</v>
      </c>
      <c r="AD414" s="1" t="s">
        <v>277</v>
      </c>
      <c r="AE414" s="1" t="s">
        <v>278</v>
      </c>
      <c r="AF414" s="1" t="s">
        <v>107</v>
      </c>
      <c r="AG414" s="1">
        <v>30</v>
      </c>
      <c r="AO414" s="2">
        <v>46274</v>
      </c>
      <c r="AP414" s="1" t="s">
        <v>248</v>
      </c>
      <c r="AS414" s="1" t="s">
        <v>71</v>
      </c>
      <c r="AU414" s="1" t="s">
        <v>72</v>
      </c>
      <c r="AV414" s="1" t="s">
        <v>80</v>
      </c>
      <c r="AX414" s="1">
        <v>0</v>
      </c>
      <c r="BA414" s="1">
        <v>3</v>
      </c>
      <c r="BB414" s="1">
        <v>0</v>
      </c>
      <c r="BC414" s="1">
        <v>0</v>
      </c>
      <c r="BE414" s="1">
        <v>27186125</v>
      </c>
    </row>
    <row r="415" spans="1:57" x14ac:dyDescent="0.25">
      <c r="A415" s="1" t="str">
        <f>T("1944316620911090040")</f>
        <v>1944316620911090040</v>
      </c>
      <c r="B415" s="1" t="str">
        <f>T("249963805417")</f>
        <v>249963805417</v>
      </c>
      <c r="C415" s="1" t="str">
        <f>T("1941094470439141552")</f>
        <v>1941094470439141552</v>
      </c>
      <c r="AC415" s="1" t="s">
        <v>276</v>
      </c>
      <c r="AD415" s="1" t="s">
        <v>277</v>
      </c>
      <c r="AE415" s="1" t="s">
        <v>278</v>
      </c>
      <c r="AF415" s="1" t="s">
        <v>144</v>
      </c>
      <c r="AG415" s="1">
        <v>20</v>
      </c>
      <c r="AO415" s="2">
        <v>46274</v>
      </c>
      <c r="AP415" s="1" t="s">
        <v>248</v>
      </c>
      <c r="AS415" s="1" t="s">
        <v>71</v>
      </c>
      <c r="AU415" s="1" t="s">
        <v>72</v>
      </c>
      <c r="AV415" s="1" t="s">
        <v>80</v>
      </c>
      <c r="AX415" s="1">
        <v>0</v>
      </c>
      <c r="BA415" s="1">
        <v>3</v>
      </c>
      <c r="BB415" s="1">
        <v>0</v>
      </c>
      <c r="BC415" s="1">
        <v>0</v>
      </c>
      <c r="BE415" s="1">
        <v>27186125</v>
      </c>
    </row>
    <row r="416" spans="1:57" x14ac:dyDescent="0.25">
      <c r="A416" s="1" t="str">
        <f>T("1944316620932059980")</f>
        <v>1944316620932059980</v>
      </c>
      <c r="B416" s="1" t="str">
        <f>T("249904502748")</f>
        <v>249904502748</v>
      </c>
      <c r="C416" s="1" t="str">
        <f>T("1941094470439142852")</f>
        <v>1941094470439142852</v>
      </c>
      <c r="AC416" s="1" t="s">
        <v>276</v>
      </c>
      <c r="AD416" s="1" t="s">
        <v>277</v>
      </c>
      <c r="AE416" s="1" t="s">
        <v>278</v>
      </c>
      <c r="AF416" s="1" t="s">
        <v>144</v>
      </c>
      <c r="AG416" s="1">
        <v>22</v>
      </c>
      <c r="AO416" s="2">
        <v>46274</v>
      </c>
      <c r="AP416" s="1" t="s">
        <v>248</v>
      </c>
      <c r="AS416" s="1" t="s">
        <v>71</v>
      </c>
      <c r="AU416" s="1" t="s">
        <v>72</v>
      </c>
      <c r="AV416" s="1" t="s">
        <v>80</v>
      </c>
      <c r="AX416" s="1">
        <v>0</v>
      </c>
      <c r="BA416" s="1">
        <v>3</v>
      </c>
      <c r="BB416" s="1">
        <v>0</v>
      </c>
      <c r="BC416" s="1">
        <v>0</v>
      </c>
      <c r="BE416" s="1">
        <v>27186125</v>
      </c>
    </row>
    <row r="417" spans="1:57" x14ac:dyDescent="0.25">
      <c r="A417" s="1" t="str">
        <f>T("1944316620940450696")</f>
        <v>1944316620940450696</v>
      </c>
      <c r="B417" s="1" t="str">
        <f>T("249127948820")</f>
        <v>249127948820</v>
      </c>
      <c r="C417" s="1" t="str">
        <f>T("1941094470439143252")</f>
        <v>1941094470439143252</v>
      </c>
      <c r="AC417" s="1" t="s">
        <v>276</v>
      </c>
      <c r="AD417" s="1" t="s">
        <v>277</v>
      </c>
      <c r="AE417" s="1" t="s">
        <v>278</v>
      </c>
      <c r="AF417" s="1" t="s">
        <v>144</v>
      </c>
      <c r="AG417" s="1">
        <v>19</v>
      </c>
      <c r="AO417" s="2">
        <v>46274</v>
      </c>
      <c r="AP417" s="1" t="s">
        <v>248</v>
      </c>
      <c r="AS417" s="1" t="s">
        <v>71</v>
      </c>
      <c r="AU417" s="1" t="s">
        <v>72</v>
      </c>
      <c r="AV417" s="1" t="s">
        <v>80</v>
      </c>
      <c r="AX417" s="1">
        <v>0</v>
      </c>
      <c r="BA417" s="1">
        <v>3</v>
      </c>
      <c r="BB417" s="1">
        <v>0</v>
      </c>
      <c r="BC417" s="1">
        <v>0</v>
      </c>
      <c r="BE417" s="1">
        <v>27186125</v>
      </c>
    </row>
    <row r="418" spans="1:57" x14ac:dyDescent="0.25">
      <c r="A418" s="1" t="str">
        <f>T("1944316620940451796")</f>
        <v>1944316620940451796</v>
      </c>
      <c r="B418" s="1" t="str">
        <f>T("249905780860")</f>
        <v>249905780860</v>
      </c>
      <c r="C418" s="1" t="str">
        <f>T("1941094470439143852")</f>
        <v>1941094470439143852</v>
      </c>
      <c r="AC418" s="1" t="s">
        <v>276</v>
      </c>
      <c r="AD418" s="1" t="s">
        <v>277</v>
      </c>
      <c r="AE418" s="1" t="s">
        <v>278</v>
      </c>
      <c r="AF418" s="1" t="s">
        <v>144</v>
      </c>
      <c r="AG418" s="1">
        <v>18</v>
      </c>
      <c r="AO418" s="2">
        <v>46274</v>
      </c>
      <c r="AP418" s="1" t="s">
        <v>248</v>
      </c>
      <c r="AS418" s="1" t="s">
        <v>71</v>
      </c>
      <c r="AU418" s="1" t="s">
        <v>72</v>
      </c>
      <c r="AV418" s="1" t="s">
        <v>80</v>
      </c>
      <c r="AX418" s="1">
        <v>0</v>
      </c>
      <c r="BA418" s="1">
        <v>3</v>
      </c>
      <c r="BB418" s="1">
        <v>0</v>
      </c>
      <c r="BC418" s="1">
        <v>0</v>
      </c>
      <c r="BE418" s="1">
        <v>27186125</v>
      </c>
    </row>
    <row r="419" spans="1:57" x14ac:dyDescent="0.25">
      <c r="A419" s="1" t="str">
        <f>T("1944316620957227428")</f>
        <v>1944316620957227428</v>
      </c>
      <c r="B419" s="1" t="str">
        <f>T("249907762751")</f>
        <v>249907762751</v>
      </c>
      <c r="C419" s="1" t="str">
        <f>T("1941094470439144852")</f>
        <v>1941094470439144852</v>
      </c>
      <c r="AC419" s="1" t="s">
        <v>276</v>
      </c>
      <c r="AD419" s="1" t="s">
        <v>277</v>
      </c>
      <c r="AE419" s="1" t="s">
        <v>278</v>
      </c>
      <c r="AF419" s="1" t="s">
        <v>107</v>
      </c>
      <c r="AG419" s="1">
        <v>38</v>
      </c>
      <c r="AO419" s="2">
        <v>46274</v>
      </c>
      <c r="AP419" s="1" t="s">
        <v>248</v>
      </c>
      <c r="AS419" s="1" t="s">
        <v>71</v>
      </c>
      <c r="AU419" s="1" t="s">
        <v>72</v>
      </c>
      <c r="AV419" s="1" t="s">
        <v>80</v>
      </c>
      <c r="AX419" s="1">
        <v>0</v>
      </c>
      <c r="BA419" s="1">
        <v>3</v>
      </c>
      <c r="BB419" s="1">
        <v>0</v>
      </c>
      <c r="BC419" s="1">
        <v>0</v>
      </c>
      <c r="BE419" s="1">
        <v>27186125</v>
      </c>
    </row>
    <row r="420" spans="1:57" x14ac:dyDescent="0.25">
      <c r="A420" s="1" t="str">
        <f>T("1944316620957228128")</f>
        <v>1944316620957228128</v>
      </c>
      <c r="B420" s="1" t="str">
        <f>T("249907527431")</f>
        <v>249907527431</v>
      </c>
      <c r="C420" s="1" t="str">
        <f>T("1941094470439144252")</f>
        <v>1941094470439144252</v>
      </c>
      <c r="AC420" s="1" t="s">
        <v>276</v>
      </c>
      <c r="AD420" s="1" t="s">
        <v>277</v>
      </c>
      <c r="AE420" s="1" t="s">
        <v>278</v>
      </c>
      <c r="AF420" s="1" t="s">
        <v>144</v>
      </c>
      <c r="AG420" s="1">
        <v>35</v>
      </c>
      <c r="AO420" s="2">
        <v>46274</v>
      </c>
      <c r="AP420" s="1" t="s">
        <v>248</v>
      </c>
      <c r="AS420" s="1" t="s">
        <v>71</v>
      </c>
      <c r="AU420" s="1" t="s">
        <v>72</v>
      </c>
      <c r="AV420" s="1" t="s">
        <v>115</v>
      </c>
      <c r="AX420" s="1">
        <v>0</v>
      </c>
      <c r="BA420" s="1">
        <v>3</v>
      </c>
      <c r="BB420" s="1">
        <v>0</v>
      </c>
      <c r="BC420" s="1">
        <v>0</v>
      </c>
      <c r="BE420" s="1">
        <v>27186125</v>
      </c>
    </row>
    <row r="421" spans="1:57" x14ac:dyDescent="0.25">
      <c r="A421" s="1" t="str">
        <f>T("1944316620961419936")</f>
        <v>1944316620961419936</v>
      </c>
      <c r="B421" s="1" t="str">
        <f>T("249912869774")</f>
        <v>249912869774</v>
      </c>
      <c r="C421" s="1" t="str">
        <f>T("1941094470439145252")</f>
        <v>1941094470439145252</v>
      </c>
      <c r="M421" s="1" t="s">
        <v>59</v>
      </c>
      <c r="O421" s="1" t="s">
        <v>65</v>
      </c>
      <c r="P421" s="1" t="s">
        <v>83</v>
      </c>
      <c r="Q421" s="1" t="s">
        <v>101</v>
      </c>
      <c r="R421" s="1" t="s">
        <v>93</v>
      </c>
      <c r="T421" s="1" t="s">
        <v>95</v>
      </c>
      <c r="U421" s="1" t="s">
        <v>65</v>
      </c>
      <c r="V421" s="1" t="s">
        <v>66</v>
      </c>
      <c r="W421" s="1" t="s">
        <v>60</v>
      </c>
      <c r="X421" s="1" t="s">
        <v>103</v>
      </c>
      <c r="Y421" s="1" t="s">
        <v>85</v>
      </c>
      <c r="AA421" s="1">
        <v>1</v>
      </c>
      <c r="AB421" s="1">
        <v>1</v>
      </c>
      <c r="AC421" s="1" t="s">
        <v>276</v>
      </c>
      <c r="AD421" s="1" t="s">
        <v>277</v>
      </c>
      <c r="AE421" s="1" t="s">
        <v>278</v>
      </c>
      <c r="AF421" s="1" t="s">
        <v>107</v>
      </c>
      <c r="AG421" s="1">
        <v>39</v>
      </c>
      <c r="AO421" s="2">
        <v>46274</v>
      </c>
      <c r="AP421" s="1" t="s">
        <v>248</v>
      </c>
      <c r="AQ421" s="2">
        <v>46274</v>
      </c>
      <c r="AR421" s="1" t="s">
        <v>279</v>
      </c>
      <c r="AS421" s="1" t="s">
        <v>71</v>
      </c>
      <c r="AU421" s="1" t="s">
        <v>78</v>
      </c>
      <c r="AV421" s="1" t="s">
        <v>80</v>
      </c>
      <c r="AW421" s="1">
        <v>241.84</v>
      </c>
      <c r="AX421" s="1">
        <v>0</v>
      </c>
      <c r="AZ421" s="1" t="s">
        <v>81</v>
      </c>
      <c r="BA421" s="1">
        <v>3</v>
      </c>
      <c r="BB421" s="1">
        <v>0</v>
      </c>
      <c r="BC421" s="1">
        <v>0</v>
      </c>
      <c r="BE421" s="1">
        <v>27186125</v>
      </c>
    </row>
    <row r="422" spans="1:57" x14ac:dyDescent="0.25">
      <c r="A422" s="1" t="str">
        <f>T("1944316620982394576")</f>
        <v>1944316620982394576</v>
      </c>
      <c r="B422" s="1" t="str">
        <f>T("249915527364")</f>
        <v>249915527364</v>
      </c>
      <c r="C422" s="1" t="str">
        <f>T("1941094470443335960")</f>
        <v>1941094470443335960</v>
      </c>
      <c r="AC422" s="1" t="s">
        <v>276</v>
      </c>
      <c r="AD422" s="1" t="s">
        <v>277</v>
      </c>
      <c r="AE422" s="1" t="s">
        <v>278</v>
      </c>
      <c r="AF422" s="1" t="s">
        <v>107</v>
      </c>
      <c r="AG422" s="1">
        <v>37</v>
      </c>
      <c r="AO422" s="2">
        <v>46274</v>
      </c>
      <c r="AP422" s="1" t="s">
        <v>248</v>
      </c>
      <c r="AS422" s="1" t="s">
        <v>71</v>
      </c>
      <c r="AU422" s="1" t="s">
        <v>72</v>
      </c>
      <c r="AV422" s="1" t="s">
        <v>80</v>
      </c>
      <c r="AX422" s="1">
        <v>0</v>
      </c>
      <c r="BA422" s="1">
        <v>3</v>
      </c>
      <c r="BB422" s="1">
        <v>0</v>
      </c>
      <c r="BC422" s="1">
        <v>0</v>
      </c>
      <c r="BE422" s="1">
        <v>27186125</v>
      </c>
    </row>
    <row r="423" spans="1:57" x14ac:dyDescent="0.25">
      <c r="A423" s="1" t="str">
        <f>T("1944316620999170808")</f>
        <v>1944316620999170808</v>
      </c>
      <c r="B423" s="1" t="str">
        <f>T("249915417986")</f>
        <v>249915417986</v>
      </c>
      <c r="C423" s="1" t="str">
        <f>T("1941094470443336460")</f>
        <v>1941094470443336460</v>
      </c>
      <c r="AC423" s="1" t="s">
        <v>276</v>
      </c>
      <c r="AD423" s="1" t="s">
        <v>277</v>
      </c>
      <c r="AE423" s="1" t="s">
        <v>278</v>
      </c>
      <c r="AF423" s="1" t="s">
        <v>107</v>
      </c>
      <c r="AG423" s="1">
        <v>35</v>
      </c>
      <c r="AO423" s="2">
        <v>46274</v>
      </c>
      <c r="AP423" s="1" t="s">
        <v>248</v>
      </c>
      <c r="AS423" s="1" t="s">
        <v>71</v>
      </c>
      <c r="AU423" s="1" t="s">
        <v>72</v>
      </c>
      <c r="AV423" s="1" t="s">
        <v>80</v>
      </c>
      <c r="AX423" s="1">
        <v>0</v>
      </c>
      <c r="BA423" s="1">
        <v>3</v>
      </c>
      <c r="BB423" s="1">
        <v>0</v>
      </c>
      <c r="BC423" s="1">
        <v>0</v>
      </c>
      <c r="BE423" s="1">
        <v>27186125</v>
      </c>
    </row>
    <row r="424" spans="1:57" x14ac:dyDescent="0.25">
      <c r="A424" s="1" t="str">
        <f>T("1944316621007560124")</f>
        <v>1944316621007560124</v>
      </c>
      <c r="B424" s="1" t="str">
        <f>T("249912180695")</f>
        <v>249912180695</v>
      </c>
      <c r="C424" s="1" t="str">
        <f>T("1941094470443336960")</f>
        <v>1941094470443336960</v>
      </c>
      <c r="AC424" s="1" t="s">
        <v>276</v>
      </c>
      <c r="AD424" s="1" t="s">
        <v>277</v>
      </c>
      <c r="AE424" s="1" t="s">
        <v>278</v>
      </c>
      <c r="AF424" s="1" t="s">
        <v>107</v>
      </c>
      <c r="AG424" s="1">
        <v>33</v>
      </c>
      <c r="AO424" s="2">
        <v>46274</v>
      </c>
      <c r="AP424" s="1" t="s">
        <v>248</v>
      </c>
      <c r="AS424" s="1" t="s">
        <v>71</v>
      </c>
      <c r="AU424" s="1" t="s">
        <v>72</v>
      </c>
      <c r="AV424" s="1" t="s">
        <v>80</v>
      </c>
      <c r="AX424" s="1">
        <v>0</v>
      </c>
      <c r="BA424" s="1">
        <v>3</v>
      </c>
      <c r="BB424" s="1">
        <v>0</v>
      </c>
      <c r="BC424" s="1">
        <v>0</v>
      </c>
      <c r="BE424" s="1">
        <v>27186125</v>
      </c>
    </row>
    <row r="425" spans="1:57" x14ac:dyDescent="0.25">
      <c r="A425" s="1" t="str">
        <f>T("1944316621011752032")</f>
        <v>1944316621011752032</v>
      </c>
      <c r="B425" s="1" t="str">
        <f>T("249911164277")</f>
        <v>249911164277</v>
      </c>
      <c r="C425" s="1" t="str">
        <f>T("1941094470443338060")</f>
        <v>1941094470443338060</v>
      </c>
      <c r="AC425" s="1" t="s">
        <v>276</v>
      </c>
      <c r="AD425" s="1" t="s">
        <v>277</v>
      </c>
      <c r="AE425" s="1" t="s">
        <v>280</v>
      </c>
      <c r="AF425" s="1" t="s">
        <v>144</v>
      </c>
      <c r="AG425" s="1">
        <v>25</v>
      </c>
      <c r="AO425" s="2">
        <v>46274</v>
      </c>
      <c r="AP425" s="1" t="s">
        <v>248</v>
      </c>
      <c r="AS425" s="1" t="s">
        <v>71</v>
      </c>
      <c r="AU425" s="1" t="s">
        <v>72</v>
      </c>
      <c r="AV425" s="1" t="s">
        <v>80</v>
      </c>
      <c r="AX425" s="1">
        <v>0</v>
      </c>
      <c r="BA425" s="1">
        <v>3</v>
      </c>
      <c r="BB425" s="1">
        <v>0</v>
      </c>
      <c r="BC425" s="1">
        <v>0</v>
      </c>
      <c r="BE425" s="1">
        <v>27186125</v>
      </c>
    </row>
    <row r="426" spans="1:57" x14ac:dyDescent="0.25">
      <c r="A426" s="1" t="str">
        <f>T("1944316621020141348")</f>
        <v>1944316621020141348</v>
      </c>
      <c r="B426" s="1" t="str">
        <f>T("249909788130")</f>
        <v>249909788130</v>
      </c>
      <c r="C426" s="1" t="str">
        <f>T("1941094470443337460")</f>
        <v>1941094470443337460</v>
      </c>
      <c r="AC426" s="1" t="s">
        <v>276</v>
      </c>
      <c r="AD426" s="1" t="s">
        <v>277</v>
      </c>
      <c r="AE426" s="1" t="s">
        <v>278</v>
      </c>
      <c r="AF426" s="1" t="s">
        <v>144</v>
      </c>
      <c r="AG426" s="1">
        <v>29</v>
      </c>
      <c r="AO426" s="2">
        <v>46274</v>
      </c>
      <c r="AP426" s="1" t="s">
        <v>248</v>
      </c>
      <c r="AS426" s="1" t="s">
        <v>71</v>
      </c>
      <c r="AU426" s="1" t="s">
        <v>72</v>
      </c>
      <c r="AV426" s="1" t="s">
        <v>126</v>
      </c>
      <c r="AX426" s="1">
        <v>0</v>
      </c>
      <c r="BA426" s="1">
        <v>3</v>
      </c>
      <c r="BB426" s="1">
        <v>0</v>
      </c>
      <c r="BC426" s="1">
        <v>0</v>
      </c>
      <c r="BE426" s="1">
        <v>27186125</v>
      </c>
    </row>
    <row r="427" spans="1:57" x14ac:dyDescent="0.25">
      <c r="A427" s="1" t="str">
        <f>T("1944316621024335956")</f>
        <v>1944316621024335956</v>
      </c>
      <c r="B427" s="1" t="str">
        <f>T("249917538478")</f>
        <v>249917538478</v>
      </c>
      <c r="C427" s="1" t="str">
        <f>T("1941094470443338560")</f>
        <v>1941094470443338560</v>
      </c>
      <c r="AC427" s="1" t="s">
        <v>276</v>
      </c>
      <c r="AD427" s="1" t="s">
        <v>277</v>
      </c>
      <c r="AE427" s="1" t="s">
        <v>281</v>
      </c>
      <c r="AF427" s="1" t="s">
        <v>144</v>
      </c>
      <c r="AG427" s="1">
        <v>34</v>
      </c>
      <c r="AO427" s="2">
        <v>46274</v>
      </c>
      <c r="AP427" s="1" t="s">
        <v>248</v>
      </c>
      <c r="AS427" s="1" t="s">
        <v>71</v>
      </c>
      <c r="AU427" s="1" t="s">
        <v>72</v>
      </c>
      <c r="AV427" s="1" t="s">
        <v>126</v>
      </c>
      <c r="AX427" s="1">
        <v>0</v>
      </c>
      <c r="BA427" s="1">
        <v>3</v>
      </c>
      <c r="BB427" s="1">
        <v>0</v>
      </c>
      <c r="BC427" s="1">
        <v>0</v>
      </c>
      <c r="BE427" s="1">
        <v>27186125</v>
      </c>
    </row>
    <row r="428" spans="1:57" x14ac:dyDescent="0.25">
      <c r="A428" s="1" t="str">
        <f>T("1944316621045307096")</f>
        <v>1944316621045307096</v>
      </c>
      <c r="B428" s="1" t="str">
        <f>T("249964252003")</f>
        <v>249964252003</v>
      </c>
      <c r="C428" s="1" t="str">
        <f>T("1941094470464310600")</f>
        <v>1941094470464310600</v>
      </c>
      <c r="AC428" s="1" t="s">
        <v>276</v>
      </c>
      <c r="AD428" s="1" t="s">
        <v>277</v>
      </c>
      <c r="AE428" s="1" t="s">
        <v>282</v>
      </c>
      <c r="AF428" s="1" t="s">
        <v>144</v>
      </c>
      <c r="AG428" s="1">
        <v>31</v>
      </c>
      <c r="AO428" s="2">
        <v>46274</v>
      </c>
      <c r="AP428" s="1" t="s">
        <v>248</v>
      </c>
      <c r="AS428" s="1" t="s">
        <v>71</v>
      </c>
      <c r="AU428" s="1" t="s">
        <v>72</v>
      </c>
      <c r="AV428" s="1" t="s">
        <v>126</v>
      </c>
      <c r="AX428" s="1">
        <v>0</v>
      </c>
      <c r="BA428" s="1">
        <v>3</v>
      </c>
      <c r="BB428" s="1">
        <v>0</v>
      </c>
      <c r="BC428" s="1">
        <v>0</v>
      </c>
      <c r="BE428" s="1">
        <v>27186125</v>
      </c>
    </row>
    <row r="429" spans="1:57" x14ac:dyDescent="0.25">
      <c r="A429" s="1" t="str">
        <f>T("1944316621049503104")</f>
        <v>1944316621049503104</v>
      </c>
      <c r="B429" s="1" t="str">
        <f>T("249904002728")</f>
        <v>249904002728</v>
      </c>
      <c r="C429" s="1" t="str">
        <f>T("1941094470468501808")</f>
        <v>1941094470468501808</v>
      </c>
      <c r="AC429" s="1" t="s">
        <v>276</v>
      </c>
      <c r="AD429" s="1" t="s">
        <v>277</v>
      </c>
      <c r="AE429" s="1" t="s">
        <v>283</v>
      </c>
      <c r="AF429" s="1" t="s">
        <v>144</v>
      </c>
      <c r="AG429" s="1">
        <v>37</v>
      </c>
      <c r="AO429" s="2">
        <v>46274</v>
      </c>
      <c r="AP429" s="1" t="s">
        <v>248</v>
      </c>
      <c r="AS429" s="1" t="s">
        <v>71</v>
      </c>
      <c r="AU429" s="1" t="s">
        <v>72</v>
      </c>
      <c r="AV429" s="1" t="s">
        <v>126</v>
      </c>
      <c r="AX429" s="1">
        <v>0</v>
      </c>
      <c r="BA429" s="1">
        <v>3</v>
      </c>
      <c r="BB429" s="1">
        <v>0</v>
      </c>
      <c r="BC429" s="1">
        <v>0</v>
      </c>
      <c r="BE429" s="1">
        <v>27186125</v>
      </c>
    </row>
    <row r="430" spans="1:57" x14ac:dyDescent="0.25">
      <c r="A430" s="1" t="str">
        <f>T("1944316621070472244")</f>
        <v>1944316621070472244</v>
      </c>
      <c r="B430" s="1" t="str">
        <f>T("24990678833")</f>
        <v>24990678833</v>
      </c>
      <c r="C430" s="1" t="str">
        <f>T("1941094470468502308")</f>
        <v>1941094470468502308</v>
      </c>
      <c r="AC430" s="1" t="s">
        <v>276</v>
      </c>
      <c r="AD430" s="1" t="s">
        <v>277</v>
      </c>
      <c r="AE430" s="1" t="s">
        <v>284</v>
      </c>
      <c r="AF430" s="1" t="s">
        <v>144</v>
      </c>
      <c r="AG430" s="1">
        <v>20</v>
      </c>
      <c r="AO430" s="2">
        <v>46274</v>
      </c>
      <c r="AP430" s="1" t="s">
        <v>248</v>
      </c>
      <c r="AS430" s="1" t="s">
        <v>71</v>
      </c>
      <c r="AU430" s="1" t="s">
        <v>72</v>
      </c>
      <c r="AV430" s="1" t="s">
        <v>126</v>
      </c>
      <c r="AX430" s="1">
        <v>0</v>
      </c>
      <c r="BA430" s="1">
        <v>3</v>
      </c>
      <c r="BB430" s="1">
        <v>0</v>
      </c>
      <c r="BC430" s="1">
        <v>0</v>
      </c>
      <c r="BE430" s="1">
        <v>27186125</v>
      </c>
    </row>
    <row r="431" spans="1:57" x14ac:dyDescent="0.25">
      <c r="A431" s="1" t="str">
        <f>T("1944316621083057068")</f>
        <v>1944316621083057068</v>
      </c>
      <c r="B431" s="1" t="str">
        <f>T("249122737192")</f>
        <v>249122737192</v>
      </c>
      <c r="C431" s="1" t="str">
        <f>T("1941094470468502808")</f>
        <v>1941094470468502808</v>
      </c>
      <c r="AC431" s="1" t="s">
        <v>276</v>
      </c>
      <c r="AD431" s="1" t="s">
        <v>277</v>
      </c>
      <c r="AE431" s="1" t="s">
        <v>285</v>
      </c>
      <c r="AF431" s="1" t="s">
        <v>144</v>
      </c>
      <c r="AG431" s="1">
        <v>35</v>
      </c>
      <c r="AO431" s="2">
        <v>46274</v>
      </c>
      <c r="AP431" s="1" t="s">
        <v>248</v>
      </c>
      <c r="AS431" s="1" t="s">
        <v>71</v>
      </c>
      <c r="AU431" s="1" t="s">
        <v>72</v>
      </c>
      <c r="AV431" s="1" t="s">
        <v>126</v>
      </c>
      <c r="AX431" s="1">
        <v>0</v>
      </c>
      <c r="BA431" s="1">
        <v>3</v>
      </c>
      <c r="BB431" s="1">
        <v>0</v>
      </c>
      <c r="BC431" s="1">
        <v>0</v>
      </c>
      <c r="BE431" s="1">
        <v>27186125</v>
      </c>
    </row>
    <row r="432" spans="1:57" x14ac:dyDescent="0.25">
      <c r="A432" s="1" t="str">
        <f>T("1944316621099831800")</f>
        <v>1944316621099831800</v>
      </c>
      <c r="B432" s="1" t="str">
        <f>T("249111442377")</f>
        <v>249111442377</v>
      </c>
      <c r="C432" s="1" t="str">
        <f>T("1941094470468503208")</f>
        <v>1941094470468503208</v>
      </c>
      <c r="AC432" s="1" t="s">
        <v>276</v>
      </c>
      <c r="AD432" s="1" t="s">
        <v>277</v>
      </c>
      <c r="AE432" s="1" t="s">
        <v>286</v>
      </c>
      <c r="AF432" s="1" t="s">
        <v>144</v>
      </c>
      <c r="AG432" s="1">
        <v>20</v>
      </c>
      <c r="AO432" s="2">
        <v>46274</v>
      </c>
      <c r="AP432" s="1" t="s">
        <v>248</v>
      </c>
      <c r="AS432" s="1" t="s">
        <v>71</v>
      </c>
      <c r="AU432" s="1" t="s">
        <v>72</v>
      </c>
      <c r="AV432" s="1" t="s">
        <v>126</v>
      </c>
      <c r="AX432" s="1">
        <v>0</v>
      </c>
      <c r="BA432" s="1">
        <v>3</v>
      </c>
      <c r="BB432" s="1">
        <v>0</v>
      </c>
      <c r="BC432" s="1">
        <v>0</v>
      </c>
      <c r="BE432" s="1">
        <v>27186125</v>
      </c>
    </row>
    <row r="433" spans="1:57" x14ac:dyDescent="0.25">
      <c r="A433" s="1" t="str">
        <f>T("1944316621099834100")</f>
        <v>1944316621099834100</v>
      </c>
      <c r="B433" s="1" t="str">
        <f>T("249918844626")</f>
        <v>249918844626</v>
      </c>
      <c r="C433" s="1" t="str">
        <f>T("1941094470468503908")</f>
        <v>1941094470468503908</v>
      </c>
      <c r="AC433" s="1" t="s">
        <v>276</v>
      </c>
      <c r="AD433" s="1" t="s">
        <v>277</v>
      </c>
      <c r="AE433" s="1" t="s">
        <v>287</v>
      </c>
      <c r="AF433" s="1" t="s">
        <v>144</v>
      </c>
      <c r="AG433" s="1">
        <v>23</v>
      </c>
      <c r="AO433" s="2">
        <v>46274</v>
      </c>
      <c r="AP433" s="1" t="s">
        <v>248</v>
      </c>
      <c r="AS433" s="1" t="s">
        <v>71</v>
      </c>
      <c r="AU433" s="1" t="s">
        <v>72</v>
      </c>
      <c r="AV433" s="1" t="s">
        <v>126</v>
      </c>
      <c r="AX433" s="1">
        <v>0</v>
      </c>
      <c r="BA433" s="1">
        <v>3</v>
      </c>
      <c r="BB433" s="1">
        <v>0</v>
      </c>
      <c r="BC433" s="1">
        <v>0</v>
      </c>
      <c r="BE433" s="1">
        <v>27186125</v>
      </c>
    </row>
    <row r="434" spans="1:57" x14ac:dyDescent="0.25">
      <c r="A434" s="1" t="str">
        <f>T("1944316621104028808")</f>
        <v>1944316621104028808</v>
      </c>
      <c r="B434" s="1" t="str">
        <f>T("249900027401")</f>
        <v>249900027401</v>
      </c>
      <c r="C434" s="1" t="str">
        <f>T("1941094470468503608")</f>
        <v>1941094470468503608</v>
      </c>
      <c r="AC434" s="1" t="s">
        <v>276</v>
      </c>
      <c r="AD434" s="1" t="s">
        <v>277</v>
      </c>
      <c r="AE434" s="1" t="s">
        <v>288</v>
      </c>
      <c r="AF434" s="1" t="s">
        <v>144</v>
      </c>
      <c r="AG434" s="1">
        <v>24</v>
      </c>
      <c r="AO434" s="2">
        <v>46274</v>
      </c>
      <c r="AP434" s="1" t="s">
        <v>248</v>
      </c>
      <c r="AS434" s="1" t="s">
        <v>71</v>
      </c>
      <c r="AU434" s="1" t="s">
        <v>72</v>
      </c>
      <c r="AV434" s="1" t="s">
        <v>126</v>
      </c>
      <c r="AX434" s="1">
        <v>0</v>
      </c>
      <c r="BA434" s="1">
        <v>3</v>
      </c>
      <c r="BB434" s="1">
        <v>0</v>
      </c>
      <c r="BC434" s="1">
        <v>0</v>
      </c>
      <c r="BE434" s="1">
        <v>27186125</v>
      </c>
    </row>
    <row r="435" spans="1:57" x14ac:dyDescent="0.25">
      <c r="A435" s="1" t="str">
        <f>T("1944316621112417524")</f>
        <v>1944316621112417524</v>
      </c>
      <c r="B435" s="1" t="str">
        <f>T("249916192073")</f>
        <v>249916192073</v>
      </c>
      <c r="C435" s="1" t="str">
        <f>T("1941094470472696516")</f>
        <v>1941094470472696516</v>
      </c>
      <c r="AC435" s="1" t="s">
        <v>276</v>
      </c>
      <c r="AD435" s="1" t="s">
        <v>277</v>
      </c>
      <c r="AE435" s="1" t="s">
        <v>289</v>
      </c>
      <c r="AF435" s="1" t="s">
        <v>144</v>
      </c>
      <c r="AG435" s="1">
        <v>34</v>
      </c>
      <c r="AO435" s="2">
        <v>46274</v>
      </c>
      <c r="AP435" s="1" t="s">
        <v>248</v>
      </c>
      <c r="AS435" s="1" t="s">
        <v>71</v>
      </c>
      <c r="AU435" s="1" t="s">
        <v>72</v>
      </c>
      <c r="AV435" s="1" t="s">
        <v>126</v>
      </c>
      <c r="AX435" s="1">
        <v>0</v>
      </c>
      <c r="BA435" s="1">
        <v>3</v>
      </c>
      <c r="BB435" s="1">
        <v>0</v>
      </c>
      <c r="BC435" s="1">
        <v>0</v>
      </c>
      <c r="BE435" s="1">
        <v>27186125</v>
      </c>
    </row>
    <row r="436" spans="1:57" x14ac:dyDescent="0.25">
      <c r="A436" s="1" t="str">
        <f>T("1944316621141775880")</f>
        <v>1944316621141775880</v>
      </c>
      <c r="B436" s="1" t="str">
        <f>T("24990452728")</f>
        <v>24990452728</v>
      </c>
      <c r="C436" s="1" t="str">
        <f>T("1941094470472697016")</f>
        <v>1941094470472697016</v>
      </c>
      <c r="AC436" s="1" t="s">
        <v>276</v>
      </c>
      <c r="AD436" s="1" t="s">
        <v>277</v>
      </c>
      <c r="AE436" s="1" t="s">
        <v>290</v>
      </c>
      <c r="AF436" s="1" t="s">
        <v>144</v>
      </c>
      <c r="AG436" s="1">
        <v>38</v>
      </c>
      <c r="AO436" s="2">
        <v>46274</v>
      </c>
      <c r="AP436" s="1" t="s">
        <v>248</v>
      </c>
      <c r="AS436" s="1" t="s">
        <v>71</v>
      </c>
      <c r="AU436" s="1" t="s">
        <v>72</v>
      </c>
      <c r="AV436" s="1" t="s">
        <v>126</v>
      </c>
      <c r="AX436" s="1">
        <v>0</v>
      </c>
      <c r="BA436" s="1">
        <v>3</v>
      </c>
      <c r="BB436" s="1">
        <v>0</v>
      </c>
      <c r="BC436" s="1">
        <v>0</v>
      </c>
      <c r="BE436" s="1">
        <v>27186125</v>
      </c>
    </row>
    <row r="437" spans="1:57" x14ac:dyDescent="0.25">
      <c r="A437" s="1" t="str">
        <f>T("1944316621145970088")</f>
        <v>1944316621145970088</v>
      </c>
      <c r="B437" s="1" t="str">
        <f>T("24978952748")</f>
        <v>24978952748</v>
      </c>
      <c r="C437" s="1" t="str">
        <f>T("1941094470472697516")</f>
        <v>1941094470472697516</v>
      </c>
      <c r="AC437" s="1" t="s">
        <v>276</v>
      </c>
      <c r="AD437" s="1" t="s">
        <v>277</v>
      </c>
      <c r="AE437" s="1" t="s">
        <v>291</v>
      </c>
      <c r="AF437" s="1" t="s">
        <v>144</v>
      </c>
      <c r="AG437" s="1">
        <v>35</v>
      </c>
      <c r="AO437" s="2">
        <v>46274</v>
      </c>
      <c r="AP437" s="1" t="s">
        <v>248</v>
      </c>
      <c r="AS437" s="1" t="s">
        <v>71</v>
      </c>
      <c r="AU437" s="1" t="s">
        <v>72</v>
      </c>
      <c r="AV437" s="1" t="s">
        <v>126</v>
      </c>
      <c r="AX437" s="1">
        <v>0</v>
      </c>
      <c r="BA437" s="1">
        <v>3</v>
      </c>
      <c r="BB437" s="1">
        <v>0</v>
      </c>
      <c r="BC437" s="1">
        <v>0</v>
      </c>
      <c r="BE437" s="1">
        <v>27186125</v>
      </c>
    </row>
    <row r="438" spans="1:57" x14ac:dyDescent="0.25">
      <c r="A438" s="1" t="str">
        <f>T("1944316621158553912")</f>
        <v>1944316621158553912</v>
      </c>
      <c r="B438" s="1" t="str">
        <f>T("249116578921")</f>
        <v>249116578921</v>
      </c>
      <c r="C438" s="1" t="str">
        <f>T("1941094470472697916")</f>
        <v>1941094470472697916</v>
      </c>
      <c r="AC438" s="1" t="s">
        <v>276</v>
      </c>
      <c r="AD438" s="1" t="s">
        <v>277</v>
      </c>
      <c r="AE438" s="1" t="s">
        <v>292</v>
      </c>
      <c r="AF438" s="1" t="s">
        <v>144</v>
      </c>
      <c r="AG438" s="1">
        <v>31</v>
      </c>
      <c r="AO438" s="2">
        <v>46274</v>
      </c>
      <c r="AP438" s="1" t="s">
        <v>248</v>
      </c>
      <c r="AS438" s="1" t="s">
        <v>71</v>
      </c>
      <c r="AU438" s="1" t="s">
        <v>72</v>
      </c>
      <c r="AV438" s="1" t="s">
        <v>126</v>
      </c>
      <c r="AX438" s="1">
        <v>0</v>
      </c>
      <c r="BA438" s="1">
        <v>3</v>
      </c>
      <c r="BB438" s="1">
        <v>0</v>
      </c>
      <c r="BC438" s="1">
        <v>0</v>
      </c>
      <c r="BE438" s="1">
        <v>27186125</v>
      </c>
    </row>
    <row r="439" spans="1:57" x14ac:dyDescent="0.25">
      <c r="A439" s="1" t="str">
        <f>T("1944316621171135036")</f>
        <v>1944316621171135036</v>
      </c>
      <c r="B439" s="1" t="str">
        <f>T("249966952970")</f>
        <v>249966952970</v>
      </c>
      <c r="C439" s="1" t="str">
        <f>T("1941094470472698316")</f>
        <v>1941094470472698316</v>
      </c>
      <c r="AC439" s="1" t="s">
        <v>276</v>
      </c>
      <c r="AD439" s="1" t="s">
        <v>277</v>
      </c>
      <c r="AE439" s="1" t="s">
        <v>293</v>
      </c>
      <c r="AF439" s="1" t="s">
        <v>144</v>
      </c>
      <c r="AG439" s="1">
        <v>20</v>
      </c>
      <c r="AO439" s="2">
        <v>46274</v>
      </c>
      <c r="AP439" s="1" t="s">
        <v>248</v>
      </c>
      <c r="AS439" s="1" t="s">
        <v>71</v>
      </c>
      <c r="AU439" s="1" t="s">
        <v>72</v>
      </c>
      <c r="AV439" s="1" t="s">
        <v>126</v>
      </c>
      <c r="AX439" s="1">
        <v>0</v>
      </c>
      <c r="BA439" s="1">
        <v>3</v>
      </c>
      <c r="BB439" s="1">
        <v>0</v>
      </c>
      <c r="BC439" s="1">
        <v>0</v>
      </c>
      <c r="BE439" s="1">
        <v>27186125</v>
      </c>
    </row>
    <row r="440" spans="1:57" x14ac:dyDescent="0.25">
      <c r="A440" s="1" t="str">
        <f>T("1944316621171136636")</f>
        <v>1944316621171136636</v>
      </c>
      <c r="B440" s="1" t="str">
        <f>T("249916578921")</f>
        <v>249916578921</v>
      </c>
      <c r="C440" s="1" t="str">
        <f>T("1941094470472699416")</f>
        <v>1941094470472699416</v>
      </c>
      <c r="AC440" s="1" t="s">
        <v>276</v>
      </c>
      <c r="AD440" s="1" t="s">
        <v>277</v>
      </c>
      <c r="AE440" s="1" t="s">
        <v>294</v>
      </c>
      <c r="AF440" s="1" t="s">
        <v>144</v>
      </c>
      <c r="AG440" s="1">
        <v>19</v>
      </c>
      <c r="AO440" s="2">
        <v>46274</v>
      </c>
      <c r="AP440" s="1" t="s">
        <v>248</v>
      </c>
      <c r="AS440" s="1" t="s">
        <v>71</v>
      </c>
      <c r="AU440" s="1" t="s">
        <v>72</v>
      </c>
      <c r="AV440" s="1" t="s">
        <v>126</v>
      </c>
      <c r="AX440" s="1">
        <v>0</v>
      </c>
      <c r="BA440" s="1">
        <v>3</v>
      </c>
      <c r="BB440" s="1">
        <v>0</v>
      </c>
      <c r="BC440" s="1">
        <v>0</v>
      </c>
      <c r="BE440" s="1">
        <v>27186125</v>
      </c>
    </row>
    <row r="441" spans="1:57" x14ac:dyDescent="0.25">
      <c r="A441" s="1" t="str">
        <f>T("1944316621175330544")</f>
        <v>1944316621175330544</v>
      </c>
      <c r="B441" s="1" t="str">
        <f>T("249907769490")</f>
        <v>249907769490</v>
      </c>
      <c r="C441" s="1" t="str">
        <f>T("1941094470472698716")</f>
        <v>1941094470472698716</v>
      </c>
      <c r="AC441" s="1" t="s">
        <v>276</v>
      </c>
      <c r="AD441" s="1" t="s">
        <v>277</v>
      </c>
      <c r="AE441" s="1" t="s">
        <v>295</v>
      </c>
      <c r="AF441" s="1" t="s">
        <v>144</v>
      </c>
      <c r="AG441" s="1">
        <v>30</v>
      </c>
      <c r="AO441" s="2">
        <v>46274</v>
      </c>
      <c r="AP441" s="1" t="s">
        <v>248</v>
      </c>
      <c r="AS441" s="1" t="s">
        <v>71</v>
      </c>
      <c r="AU441" s="1" t="s">
        <v>72</v>
      </c>
      <c r="AV441" s="1" t="s">
        <v>126</v>
      </c>
      <c r="AX441" s="1">
        <v>0</v>
      </c>
      <c r="BA441" s="1">
        <v>3</v>
      </c>
      <c r="BB441" s="1">
        <v>0</v>
      </c>
      <c r="BC441" s="1">
        <v>0</v>
      </c>
      <c r="BE441" s="1">
        <v>27186125</v>
      </c>
    </row>
    <row r="442" spans="1:57" x14ac:dyDescent="0.25">
      <c r="A442" s="1" t="str">
        <f>T("1944316621200495792")</f>
        <v>1944316621200495792</v>
      </c>
      <c r="B442" s="1" t="str">
        <f>T("249110231821")</f>
        <v>249110231821</v>
      </c>
      <c r="C442" s="1" t="str">
        <f>T("1941094470476890624")</f>
        <v>1941094470476890624</v>
      </c>
      <c r="AC442" s="1" t="s">
        <v>276</v>
      </c>
      <c r="AD442" s="1" t="s">
        <v>277</v>
      </c>
      <c r="AE442" s="1" t="s">
        <v>296</v>
      </c>
      <c r="AF442" s="1" t="s">
        <v>107</v>
      </c>
      <c r="AG442" s="1">
        <v>36</v>
      </c>
      <c r="AO442" s="2">
        <v>46274</v>
      </c>
      <c r="AP442" s="1" t="s">
        <v>248</v>
      </c>
      <c r="AS442" s="1" t="s">
        <v>71</v>
      </c>
      <c r="AU442" s="1" t="s">
        <v>72</v>
      </c>
      <c r="AV442" s="1" t="s">
        <v>73</v>
      </c>
      <c r="AX442" s="1">
        <v>0</v>
      </c>
      <c r="BA442" s="1">
        <v>3</v>
      </c>
      <c r="BB442" s="1">
        <v>0</v>
      </c>
      <c r="BC442" s="1">
        <v>0</v>
      </c>
      <c r="BE442" s="1">
        <v>27186125</v>
      </c>
    </row>
    <row r="443" spans="1:57" x14ac:dyDescent="0.25">
      <c r="A443" s="1" t="str">
        <f>T("1944316621200496692")</f>
        <v>1944316621200496692</v>
      </c>
      <c r="B443" s="1" t="str">
        <f>T("249116114186")</f>
        <v>249116114186</v>
      </c>
      <c r="C443" s="1" t="str">
        <f>T("1941094470476890124")</f>
        <v>1941094470476890124</v>
      </c>
      <c r="AA443" s="1">
        <v>1</v>
      </c>
      <c r="AC443" s="1" t="s">
        <v>276</v>
      </c>
      <c r="AD443" s="1" t="s">
        <v>277</v>
      </c>
      <c r="AE443" s="1" t="s">
        <v>297</v>
      </c>
      <c r="AF443" s="1" t="s">
        <v>107</v>
      </c>
      <c r="AG443" s="1">
        <v>38</v>
      </c>
      <c r="AO443" s="2">
        <v>46274</v>
      </c>
      <c r="AP443" s="1" t="s">
        <v>248</v>
      </c>
      <c r="AQ443" s="2">
        <v>46274</v>
      </c>
      <c r="AR443" s="1" t="s">
        <v>273</v>
      </c>
      <c r="AS443" s="1" t="s">
        <v>71</v>
      </c>
      <c r="AU443" s="1" t="s">
        <v>78</v>
      </c>
      <c r="AV443" s="1" t="s">
        <v>80</v>
      </c>
      <c r="AW443" s="1">
        <v>134.5</v>
      </c>
      <c r="AX443" s="1">
        <v>0</v>
      </c>
      <c r="AZ443" s="1" t="s">
        <v>81</v>
      </c>
      <c r="BA443" s="1">
        <v>2</v>
      </c>
      <c r="BB443" s="1">
        <v>0</v>
      </c>
      <c r="BC443" s="1">
        <v>0</v>
      </c>
      <c r="BE443" s="1">
        <v>27186125</v>
      </c>
    </row>
    <row r="444" spans="1:57" x14ac:dyDescent="0.25">
      <c r="A444" s="1" t="str">
        <f>T("1944316621221467232")</f>
        <v>1944316621221467232</v>
      </c>
      <c r="B444" s="1" t="str">
        <f>T("249918828283")</f>
        <v>249918828283</v>
      </c>
      <c r="C444" s="1" t="str">
        <f>T("1941094470476891024")</f>
        <v>1941094470476891024</v>
      </c>
      <c r="M444" s="1" t="s">
        <v>59</v>
      </c>
      <c r="O444" s="1" t="s">
        <v>60</v>
      </c>
      <c r="AA444" s="1">
        <v>1</v>
      </c>
      <c r="AC444" s="1" t="s">
        <v>276</v>
      </c>
      <c r="AD444" s="1" t="s">
        <v>298</v>
      </c>
      <c r="AE444" s="1" t="s">
        <v>299</v>
      </c>
      <c r="AF444" s="1" t="s">
        <v>107</v>
      </c>
      <c r="AG444" s="1">
        <v>40</v>
      </c>
      <c r="AO444" s="2">
        <v>46274</v>
      </c>
      <c r="AP444" s="1" t="s">
        <v>248</v>
      </c>
      <c r="AQ444" s="2">
        <v>46274</v>
      </c>
      <c r="AR444" s="1" t="s">
        <v>300</v>
      </c>
      <c r="AS444" s="1" t="s">
        <v>71</v>
      </c>
      <c r="AU444" s="1" t="s">
        <v>79</v>
      </c>
      <c r="AV444" s="1" t="s">
        <v>80</v>
      </c>
      <c r="AW444" s="1">
        <v>106.24</v>
      </c>
      <c r="AX444" s="1">
        <v>0</v>
      </c>
      <c r="AZ444" s="1" t="s">
        <v>81</v>
      </c>
      <c r="BA444" s="1">
        <v>2</v>
      </c>
      <c r="BB444" s="1">
        <v>0</v>
      </c>
      <c r="BC444" s="1">
        <v>0</v>
      </c>
      <c r="BE444" s="1">
        <v>27186125</v>
      </c>
    </row>
    <row r="445" spans="1:57" x14ac:dyDescent="0.25">
      <c r="A445" s="1" t="str">
        <f>T("1944377006645517888")</f>
        <v>1944377006645517888</v>
      </c>
      <c r="B445" s="1" t="str">
        <f>T("249909385805")</f>
        <v>249909385805</v>
      </c>
      <c r="C445" s="1" t="str">
        <f>T("1941094470476891524")</f>
        <v>1941094470476891524</v>
      </c>
      <c r="AA445" s="1">
        <v>1</v>
      </c>
      <c r="AC445" s="1" t="s">
        <v>276</v>
      </c>
      <c r="AD445" s="1" t="s">
        <v>298</v>
      </c>
      <c r="AE445" s="1" t="s">
        <v>299</v>
      </c>
      <c r="AF445" s="1" t="s">
        <v>107</v>
      </c>
      <c r="AG445" s="1">
        <v>60</v>
      </c>
      <c r="AO445" s="2">
        <v>46274</v>
      </c>
      <c r="AP445" s="1" t="s">
        <v>301</v>
      </c>
      <c r="AQ445" s="2">
        <v>46274</v>
      </c>
      <c r="AR445" s="1" t="s">
        <v>302</v>
      </c>
      <c r="AS445" s="1" t="s">
        <v>71</v>
      </c>
      <c r="AU445" s="1" t="s">
        <v>78</v>
      </c>
      <c r="AV445" s="1" t="s">
        <v>80</v>
      </c>
      <c r="AW445" s="1">
        <v>134.66</v>
      </c>
      <c r="AX445" s="1">
        <v>0</v>
      </c>
      <c r="AZ445" s="1" t="s">
        <v>81</v>
      </c>
      <c r="BA445" s="1">
        <v>1</v>
      </c>
      <c r="BB445" s="1">
        <v>0</v>
      </c>
      <c r="BC445" s="1">
        <v>0</v>
      </c>
      <c r="BE445" s="1">
        <v>27186309</v>
      </c>
    </row>
    <row r="446" spans="1:57" x14ac:dyDescent="0.25">
      <c r="A446" s="1" t="str">
        <f>T("1944377006872010320")</f>
        <v>1944377006872010320</v>
      </c>
      <c r="B446" s="1" t="str">
        <f>T("249906435673")</f>
        <v>249906435673</v>
      </c>
      <c r="C446" s="1" t="str">
        <f>T("1941094470476892124")</f>
        <v>1941094470476892124</v>
      </c>
      <c r="AC446" s="1" t="s">
        <v>276</v>
      </c>
      <c r="AD446" s="1" t="s">
        <v>298</v>
      </c>
      <c r="AE446" s="1" t="s">
        <v>299</v>
      </c>
      <c r="AF446" s="1" t="s">
        <v>107</v>
      </c>
      <c r="AG446" s="1">
        <v>45</v>
      </c>
      <c r="AO446" s="2">
        <v>46274</v>
      </c>
      <c r="AP446" s="1" t="s">
        <v>301</v>
      </c>
      <c r="AS446" s="1" t="s">
        <v>71</v>
      </c>
      <c r="AU446" s="1" t="s">
        <v>72</v>
      </c>
      <c r="AV446" s="1" t="s">
        <v>73</v>
      </c>
      <c r="AX446" s="1">
        <v>0</v>
      </c>
      <c r="BA446" s="1">
        <v>3</v>
      </c>
      <c r="BB446" s="1">
        <v>0</v>
      </c>
      <c r="BC446" s="1">
        <v>0</v>
      </c>
      <c r="BE446" s="1">
        <v>27186309</v>
      </c>
    </row>
    <row r="447" spans="1:57" x14ac:dyDescent="0.25">
      <c r="A447" s="1" t="str">
        <f>T("1944377006955894480")</f>
        <v>1944377006955894480</v>
      </c>
      <c r="B447" s="1" t="str">
        <f>T("249917886300")</f>
        <v>249917886300</v>
      </c>
      <c r="C447" s="1" t="str">
        <f>T("1941094470476892524")</f>
        <v>1941094470476892524</v>
      </c>
      <c r="M447" s="1" t="s">
        <v>59</v>
      </c>
      <c r="AA447" s="1">
        <v>1</v>
      </c>
      <c r="AC447" s="1" t="s">
        <v>276</v>
      </c>
      <c r="AD447" s="1" t="s">
        <v>298</v>
      </c>
      <c r="AE447" s="1" t="s">
        <v>299</v>
      </c>
      <c r="AF447" s="1" t="s">
        <v>107</v>
      </c>
      <c r="AG447" s="1">
        <v>40</v>
      </c>
      <c r="AO447" s="2">
        <v>46274</v>
      </c>
      <c r="AP447" s="1" t="s">
        <v>301</v>
      </c>
      <c r="AQ447" s="2">
        <v>46274</v>
      </c>
      <c r="AR447" s="1" t="s">
        <v>303</v>
      </c>
      <c r="AS447" s="1" t="s">
        <v>71</v>
      </c>
      <c r="AU447" s="1" t="s">
        <v>79</v>
      </c>
      <c r="AV447" s="1" t="s">
        <v>80</v>
      </c>
      <c r="AW447" s="1">
        <v>59.2</v>
      </c>
      <c r="AX447" s="1">
        <v>0</v>
      </c>
      <c r="AZ447" s="1" t="s">
        <v>81</v>
      </c>
      <c r="BA447" s="1">
        <v>1</v>
      </c>
      <c r="BB447" s="1">
        <v>0</v>
      </c>
      <c r="BC447" s="1">
        <v>0</v>
      </c>
      <c r="BE447" s="1">
        <v>27186309</v>
      </c>
    </row>
    <row r="448" spans="1:57" x14ac:dyDescent="0.25">
      <c r="A448" s="1" t="str">
        <f>T("1944377007035587032")</f>
        <v>1944377007035587032</v>
      </c>
      <c r="B448" s="1" t="str">
        <f>T("249916934126")</f>
        <v>249916934126</v>
      </c>
      <c r="C448" s="1" t="str">
        <f>T("1941094470476893024")</f>
        <v>1941094470476893024</v>
      </c>
      <c r="AC448" s="1" t="s">
        <v>276</v>
      </c>
      <c r="AD448" s="1" t="s">
        <v>298</v>
      </c>
      <c r="AE448" s="1" t="s">
        <v>299</v>
      </c>
      <c r="AF448" s="1" t="s">
        <v>107</v>
      </c>
      <c r="AG448" s="1">
        <v>40</v>
      </c>
      <c r="AO448" s="2">
        <v>46274</v>
      </c>
      <c r="AP448" s="1" t="s">
        <v>301</v>
      </c>
      <c r="AS448" s="1" t="s">
        <v>71</v>
      </c>
      <c r="AU448" s="1" t="s">
        <v>72</v>
      </c>
      <c r="AV448" s="1" t="s">
        <v>139</v>
      </c>
      <c r="AX448" s="1">
        <v>0</v>
      </c>
      <c r="BA448" s="1">
        <v>3</v>
      </c>
      <c r="BB448" s="1">
        <v>0</v>
      </c>
      <c r="BC448" s="1">
        <v>0</v>
      </c>
      <c r="BE448" s="1">
        <v>27186309</v>
      </c>
    </row>
    <row r="449" spans="1:57" x14ac:dyDescent="0.25">
      <c r="A449" s="1" t="str">
        <f>T("1944377007098499852")</f>
        <v>1944377007098499852</v>
      </c>
      <c r="B449" s="1" t="str">
        <f>T("249960238954")</f>
        <v>249960238954</v>
      </c>
      <c r="C449" s="1" t="str">
        <f>T("1941094470476893524")</f>
        <v>1941094470476893524</v>
      </c>
      <c r="M449" s="1" t="s">
        <v>59</v>
      </c>
      <c r="O449" s="1" t="s">
        <v>65</v>
      </c>
      <c r="AA449" s="1">
        <v>1</v>
      </c>
      <c r="AC449" s="1" t="s">
        <v>276</v>
      </c>
      <c r="AD449" s="1" t="s">
        <v>298</v>
      </c>
      <c r="AE449" s="1" t="s">
        <v>299</v>
      </c>
      <c r="AF449" s="1" t="s">
        <v>107</v>
      </c>
      <c r="AG449" s="1">
        <v>40</v>
      </c>
      <c r="AO449" s="2">
        <v>46274</v>
      </c>
      <c r="AP449" s="1" t="s">
        <v>301</v>
      </c>
      <c r="AQ449" s="2">
        <v>46274</v>
      </c>
      <c r="AR449" s="1" t="s">
        <v>302</v>
      </c>
      <c r="AS449" s="1" t="s">
        <v>71</v>
      </c>
      <c r="AU449" s="1" t="s">
        <v>79</v>
      </c>
      <c r="AV449" s="1" t="s">
        <v>80</v>
      </c>
      <c r="AW449" s="1">
        <v>82.58</v>
      </c>
      <c r="AX449" s="1">
        <v>0</v>
      </c>
      <c r="AZ449" s="1" t="s">
        <v>81</v>
      </c>
      <c r="BA449" s="1">
        <v>1</v>
      </c>
      <c r="BB449" s="1">
        <v>0</v>
      </c>
      <c r="BC449" s="1">
        <v>0</v>
      </c>
      <c r="BE449" s="1">
        <v>27186309</v>
      </c>
    </row>
    <row r="450" spans="1:57" x14ac:dyDescent="0.25">
      <c r="A450" s="1" t="str">
        <f>T("1944377007157220764")</f>
        <v>1944377007157220764</v>
      </c>
      <c r="B450" s="1" t="str">
        <f>T("249913889901")</f>
        <v>249913889901</v>
      </c>
      <c r="C450" s="1" t="str">
        <f>T("1941094470476893924")</f>
        <v>1941094470476893924</v>
      </c>
      <c r="AA450" s="1">
        <v>1</v>
      </c>
      <c r="AC450" s="1" t="s">
        <v>276</v>
      </c>
      <c r="AD450" s="1" t="s">
        <v>298</v>
      </c>
      <c r="AE450" s="1" t="s">
        <v>299</v>
      </c>
      <c r="AF450" s="1" t="s">
        <v>107</v>
      </c>
      <c r="AG450" s="1">
        <v>55</v>
      </c>
      <c r="AO450" s="2">
        <v>46274</v>
      </c>
      <c r="AP450" s="1" t="s">
        <v>301</v>
      </c>
      <c r="AQ450" s="2">
        <v>46274</v>
      </c>
      <c r="AR450" s="1" t="s">
        <v>304</v>
      </c>
      <c r="AS450" s="1" t="s">
        <v>71</v>
      </c>
      <c r="AU450" s="1" t="s">
        <v>78</v>
      </c>
      <c r="AV450" s="1" t="s">
        <v>80</v>
      </c>
      <c r="AW450" s="1">
        <v>134.6</v>
      </c>
      <c r="AX450" s="1">
        <v>0</v>
      </c>
      <c r="AZ450" s="1" t="s">
        <v>81</v>
      </c>
      <c r="BA450" s="1">
        <v>1</v>
      </c>
      <c r="BB450" s="1">
        <v>0</v>
      </c>
      <c r="BC450" s="1">
        <v>0</v>
      </c>
      <c r="BE450" s="1">
        <v>27186309</v>
      </c>
    </row>
    <row r="451" spans="1:57" x14ac:dyDescent="0.25">
      <c r="A451" s="1" t="str">
        <f>T("1944377007211746768")</f>
        <v>1944377007211746768</v>
      </c>
      <c r="B451" s="1" t="str">
        <f>T("24991834218")</f>
        <v>24991834218</v>
      </c>
      <c r="C451" s="1" t="str">
        <f>T("1941094470481084632")</f>
        <v>1941094470481084632</v>
      </c>
      <c r="AC451" s="1" t="s">
        <v>276</v>
      </c>
      <c r="AD451" s="1" t="s">
        <v>298</v>
      </c>
      <c r="AE451" s="1" t="s">
        <v>299</v>
      </c>
      <c r="AF451" s="1" t="s">
        <v>107</v>
      </c>
      <c r="AG451" s="1">
        <v>35</v>
      </c>
      <c r="AO451" s="2">
        <v>46274</v>
      </c>
      <c r="AP451" s="1" t="s">
        <v>301</v>
      </c>
      <c r="AS451" s="1" t="s">
        <v>71</v>
      </c>
      <c r="AU451" s="1" t="s">
        <v>72</v>
      </c>
      <c r="AV451" s="1" t="s">
        <v>73</v>
      </c>
      <c r="AX451" s="1">
        <v>0</v>
      </c>
      <c r="BA451" s="1">
        <v>3</v>
      </c>
      <c r="BB451" s="1">
        <v>0</v>
      </c>
      <c r="BC451" s="1">
        <v>0</v>
      </c>
      <c r="BE451" s="1">
        <v>27186309</v>
      </c>
    </row>
    <row r="452" spans="1:57" x14ac:dyDescent="0.25">
      <c r="A452" s="1" t="str">
        <f>T("1944377007270466580")</f>
        <v>1944377007270466580</v>
      </c>
      <c r="B452" s="1" t="str">
        <f>T("249906368456")</f>
        <v>249906368456</v>
      </c>
      <c r="C452" s="1" t="str">
        <f>T("1941094470481085232")</f>
        <v>1941094470481085232</v>
      </c>
      <c r="M452" s="1" t="s">
        <v>59</v>
      </c>
      <c r="O452" s="1" t="s">
        <v>65</v>
      </c>
      <c r="P452" s="1" t="s">
        <v>83</v>
      </c>
      <c r="Q452" s="1" t="s">
        <v>62</v>
      </c>
      <c r="R452" s="1" t="s">
        <v>84</v>
      </c>
      <c r="S452" s="1" t="s">
        <v>94</v>
      </c>
      <c r="U452" s="1" t="s">
        <v>65</v>
      </c>
      <c r="V452" s="1" t="s">
        <v>66</v>
      </c>
      <c r="W452" s="1" t="s">
        <v>67</v>
      </c>
      <c r="X452" s="1" t="s">
        <v>66</v>
      </c>
      <c r="Y452" s="1" t="s">
        <v>69</v>
      </c>
      <c r="AA452" s="1">
        <v>1</v>
      </c>
      <c r="AB452" s="1">
        <v>1</v>
      </c>
      <c r="AC452" s="1" t="s">
        <v>276</v>
      </c>
      <c r="AD452" s="1" t="s">
        <v>298</v>
      </c>
      <c r="AE452" s="1" t="s">
        <v>299</v>
      </c>
      <c r="AF452" s="1" t="s">
        <v>107</v>
      </c>
      <c r="AG452" s="1">
        <v>40</v>
      </c>
      <c r="AO452" s="2">
        <v>46274</v>
      </c>
      <c r="AP452" s="1" t="s">
        <v>301</v>
      </c>
      <c r="AQ452" s="2">
        <v>46274</v>
      </c>
      <c r="AR452" s="1" t="s">
        <v>305</v>
      </c>
      <c r="AS452" s="1" t="s">
        <v>71</v>
      </c>
      <c r="AU452" s="1" t="s">
        <v>78</v>
      </c>
      <c r="AV452" s="1" t="s">
        <v>80</v>
      </c>
      <c r="AW452" s="1">
        <v>194.54</v>
      </c>
      <c r="AX452" s="1">
        <v>0</v>
      </c>
      <c r="AZ452" s="1" t="s">
        <v>81</v>
      </c>
      <c r="BA452" s="1">
        <v>1</v>
      </c>
      <c r="BB452" s="1">
        <v>0</v>
      </c>
      <c r="BC452" s="1">
        <v>0</v>
      </c>
      <c r="BE452" s="1">
        <v>27186309</v>
      </c>
    </row>
    <row r="453" spans="1:57" x14ac:dyDescent="0.25">
      <c r="A453" s="1" t="str">
        <f>T("1944377007337577708")</f>
        <v>1944377007337577708</v>
      </c>
      <c r="B453" s="1" t="str">
        <f>T("249968738814")</f>
        <v>249968738814</v>
      </c>
      <c r="C453" s="1" t="str">
        <f>T("1941094470481086232")</f>
        <v>1941094470481086232</v>
      </c>
      <c r="AC453" s="1" t="s">
        <v>276</v>
      </c>
      <c r="AD453" s="1" t="s">
        <v>298</v>
      </c>
      <c r="AE453" s="1" t="s">
        <v>299</v>
      </c>
      <c r="AF453" s="1" t="s">
        <v>107</v>
      </c>
      <c r="AG453" s="1">
        <v>35</v>
      </c>
      <c r="AO453" s="2">
        <v>46274</v>
      </c>
      <c r="AP453" s="1" t="s">
        <v>301</v>
      </c>
      <c r="AS453" s="1" t="s">
        <v>71</v>
      </c>
      <c r="AU453" s="1" t="s">
        <v>72</v>
      </c>
      <c r="AV453" s="1" t="s">
        <v>115</v>
      </c>
      <c r="AX453" s="1">
        <v>0</v>
      </c>
      <c r="BA453" s="1">
        <v>3</v>
      </c>
      <c r="BB453" s="1">
        <v>0</v>
      </c>
      <c r="BC453" s="1">
        <v>0</v>
      </c>
      <c r="BE453" s="1">
        <v>27186309</v>
      </c>
    </row>
    <row r="454" spans="1:57" x14ac:dyDescent="0.25">
      <c r="A454" s="1" t="str">
        <f>T("1944377007421462868")</f>
        <v>1944377007421462868</v>
      </c>
      <c r="B454" s="1" t="str">
        <f>T("249969421902")</f>
        <v>249969421902</v>
      </c>
      <c r="C454" s="1" t="str">
        <f>T("1941094470481086732")</f>
        <v>1941094470481086732</v>
      </c>
      <c r="AC454" s="1" t="s">
        <v>276</v>
      </c>
      <c r="AD454" s="1" t="s">
        <v>298</v>
      </c>
      <c r="AE454" s="1" t="s">
        <v>299</v>
      </c>
      <c r="AF454" s="1" t="s">
        <v>107</v>
      </c>
      <c r="AG454" s="1">
        <v>40</v>
      </c>
      <c r="AO454" s="2">
        <v>46274</v>
      </c>
      <c r="AP454" s="1" t="s">
        <v>301</v>
      </c>
      <c r="AS454" s="1" t="s">
        <v>71</v>
      </c>
      <c r="AU454" s="1" t="s">
        <v>72</v>
      </c>
      <c r="AV454" s="1" t="s">
        <v>131</v>
      </c>
      <c r="AX454" s="1">
        <v>0</v>
      </c>
      <c r="BA454" s="1">
        <v>3</v>
      </c>
      <c r="BB454" s="1">
        <v>0</v>
      </c>
      <c r="BC454" s="1">
        <v>0</v>
      </c>
      <c r="BE454" s="1">
        <v>27186309</v>
      </c>
    </row>
    <row r="455" spans="1:57" x14ac:dyDescent="0.25">
      <c r="A455" s="1" t="str">
        <f>T("1944377007480184780")</f>
        <v>1944377007480184780</v>
      </c>
      <c r="B455" s="1" t="str">
        <f>T("249906512829")</f>
        <v>249906512829</v>
      </c>
      <c r="C455" s="1" t="str">
        <f>T("1941094470481087132")</f>
        <v>1941094470481087132</v>
      </c>
      <c r="M455" s="1" t="s">
        <v>59</v>
      </c>
      <c r="O455" s="1" t="s">
        <v>65</v>
      </c>
      <c r="P455" s="1" t="s">
        <v>83</v>
      </c>
      <c r="Q455" s="1" t="s">
        <v>101</v>
      </c>
      <c r="R455" s="1" t="s">
        <v>93</v>
      </c>
      <c r="T455" s="1" t="s">
        <v>95</v>
      </c>
      <c r="U455" s="1" t="s">
        <v>65</v>
      </c>
      <c r="V455" s="1" t="s">
        <v>66</v>
      </c>
      <c r="W455" s="1" t="s">
        <v>67</v>
      </c>
      <c r="X455" s="1" t="s">
        <v>66</v>
      </c>
      <c r="Y455" s="1" t="s">
        <v>160</v>
      </c>
      <c r="AA455" s="1">
        <v>1</v>
      </c>
      <c r="AB455" s="1">
        <v>1</v>
      </c>
      <c r="AC455" s="1" t="s">
        <v>276</v>
      </c>
      <c r="AD455" s="1" t="s">
        <v>298</v>
      </c>
      <c r="AE455" s="1" t="s">
        <v>299</v>
      </c>
      <c r="AF455" s="1" t="s">
        <v>107</v>
      </c>
      <c r="AG455" s="1">
        <v>38</v>
      </c>
      <c r="AO455" s="2">
        <v>46274</v>
      </c>
      <c r="AP455" s="1" t="s">
        <v>301</v>
      </c>
      <c r="AQ455" s="2">
        <v>46274</v>
      </c>
      <c r="AR455" s="1" t="s">
        <v>306</v>
      </c>
      <c r="AS455" s="1" t="s">
        <v>71</v>
      </c>
      <c r="AU455" s="1" t="s">
        <v>78</v>
      </c>
      <c r="AV455" s="1" t="s">
        <v>80</v>
      </c>
      <c r="AW455" s="1">
        <v>246.02</v>
      </c>
      <c r="AX455" s="1">
        <v>0</v>
      </c>
      <c r="AZ455" s="1" t="s">
        <v>81</v>
      </c>
      <c r="BA455" s="1">
        <v>1</v>
      </c>
      <c r="BB455" s="1">
        <v>0</v>
      </c>
      <c r="BC455" s="1">
        <v>0</v>
      </c>
      <c r="BE455" s="1">
        <v>27186309</v>
      </c>
    </row>
    <row r="456" spans="1:57" x14ac:dyDescent="0.25">
      <c r="A456" s="1" t="str">
        <f>T("1944377007551487316")</f>
        <v>1944377007551487316</v>
      </c>
      <c r="B456" s="1" t="str">
        <f>T("24991353795")</f>
        <v>24991353795</v>
      </c>
      <c r="C456" s="1" t="str">
        <f>T("1941094470481087632")</f>
        <v>1941094470481087632</v>
      </c>
      <c r="AC456" s="1" t="s">
        <v>276</v>
      </c>
      <c r="AD456" s="1" t="s">
        <v>298</v>
      </c>
      <c r="AE456" s="1" t="s">
        <v>299</v>
      </c>
      <c r="AF456" s="1" t="s">
        <v>107</v>
      </c>
      <c r="AG456" s="1">
        <v>35</v>
      </c>
      <c r="AO456" s="2">
        <v>46274</v>
      </c>
      <c r="AP456" s="1" t="s">
        <v>301</v>
      </c>
      <c r="AS456" s="1" t="s">
        <v>71</v>
      </c>
      <c r="AU456" s="1" t="s">
        <v>72</v>
      </c>
      <c r="AV456" s="1" t="s">
        <v>73</v>
      </c>
      <c r="AX456" s="1">
        <v>0</v>
      </c>
      <c r="BA456" s="1">
        <v>3</v>
      </c>
      <c r="BB456" s="1">
        <v>0</v>
      </c>
      <c r="BC456" s="1">
        <v>0</v>
      </c>
      <c r="BE456" s="1">
        <v>27186309</v>
      </c>
    </row>
    <row r="457" spans="1:57" x14ac:dyDescent="0.25">
      <c r="A457" s="1" t="str">
        <f>T("1944377007631176268")</f>
        <v>1944377007631176268</v>
      </c>
      <c r="B457" s="1" t="str">
        <f>T("249913131218")</f>
        <v>249913131218</v>
      </c>
      <c r="C457" s="1" t="str">
        <f>T("1941094470481088332")</f>
        <v>1941094470481088332</v>
      </c>
      <c r="AC457" s="1" t="s">
        <v>276</v>
      </c>
      <c r="AD457" s="1" t="s">
        <v>298</v>
      </c>
      <c r="AE457" s="1" t="s">
        <v>299</v>
      </c>
      <c r="AF457" s="1" t="s">
        <v>107</v>
      </c>
      <c r="AG457" s="1">
        <v>40</v>
      </c>
      <c r="AO457" s="2">
        <v>46274</v>
      </c>
      <c r="AP457" s="1" t="s">
        <v>301</v>
      </c>
      <c r="AS457" s="1" t="s">
        <v>71</v>
      </c>
      <c r="AU457" s="1" t="s">
        <v>72</v>
      </c>
      <c r="AV457" s="1" t="s">
        <v>115</v>
      </c>
      <c r="AX457" s="1">
        <v>0</v>
      </c>
      <c r="BA457" s="1">
        <v>3</v>
      </c>
      <c r="BB457" s="1">
        <v>0</v>
      </c>
      <c r="BC457" s="1">
        <v>0</v>
      </c>
      <c r="BE457" s="1">
        <v>27186309</v>
      </c>
    </row>
    <row r="458" spans="1:57" x14ac:dyDescent="0.25">
      <c r="A458" s="1" t="str">
        <f>T("1944377007710869720")</f>
        <v>1944377007710869720</v>
      </c>
      <c r="B458" s="1" t="str">
        <f>T("249916657117")</f>
        <v>249916657117</v>
      </c>
      <c r="C458" s="1" t="str">
        <f>T("1941094470485279040")</f>
        <v>1941094470485279040</v>
      </c>
      <c r="AA458" s="1">
        <v>1</v>
      </c>
      <c r="AC458" s="1" t="s">
        <v>276</v>
      </c>
      <c r="AD458" s="1" t="s">
        <v>298</v>
      </c>
      <c r="AE458" s="1" t="s">
        <v>299</v>
      </c>
      <c r="AF458" s="1" t="s">
        <v>107</v>
      </c>
      <c r="AG458" s="1">
        <v>55</v>
      </c>
      <c r="AO458" s="2">
        <v>46274</v>
      </c>
      <c r="AP458" s="1" t="s">
        <v>301</v>
      </c>
      <c r="AQ458" s="2">
        <v>46274</v>
      </c>
      <c r="AR458" s="1" t="s">
        <v>307</v>
      </c>
      <c r="AS458" s="1" t="s">
        <v>71</v>
      </c>
      <c r="AU458" s="1" t="s">
        <v>79</v>
      </c>
      <c r="AV458" s="1" t="s">
        <v>80</v>
      </c>
      <c r="AW458" s="1">
        <v>68.138000000000005</v>
      </c>
      <c r="AX458" s="1">
        <v>0</v>
      </c>
      <c r="AZ458" s="1" t="s">
        <v>81</v>
      </c>
      <c r="BA458" s="1">
        <v>1</v>
      </c>
      <c r="BB458" s="1">
        <v>0</v>
      </c>
      <c r="BC458" s="1">
        <v>0</v>
      </c>
      <c r="BE458" s="1">
        <v>27186309</v>
      </c>
    </row>
    <row r="459" spans="1:57" x14ac:dyDescent="0.25">
      <c r="A459" s="1" t="str">
        <f>T("1944377007773783340")</f>
        <v>1944377007773783340</v>
      </c>
      <c r="B459" s="1" t="str">
        <f>T("249918676283")</f>
        <v>249918676283</v>
      </c>
      <c r="C459" s="1" t="str">
        <f>T("1941094470485279440")</f>
        <v>1941094470485279440</v>
      </c>
      <c r="AC459" s="1" t="s">
        <v>276</v>
      </c>
      <c r="AD459" s="1" t="s">
        <v>298</v>
      </c>
      <c r="AE459" s="1" t="s">
        <v>299</v>
      </c>
      <c r="AF459" s="1" t="s">
        <v>107</v>
      </c>
      <c r="AG459" s="1">
        <v>40</v>
      </c>
      <c r="AO459" s="2">
        <v>46274</v>
      </c>
      <c r="AP459" s="1" t="s">
        <v>301</v>
      </c>
      <c r="AS459" s="1" t="s">
        <v>71</v>
      </c>
      <c r="AU459" s="1" t="s">
        <v>72</v>
      </c>
      <c r="AV459" s="1" t="s">
        <v>115</v>
      </c>
      <c r="AX459" s="1">
        <v>0</v>
      </c>
      <c r="BA459" s="1">
        <v>3</v>
      </c>
      <c r="BB459" s="1">
        <v>0</v>
      </c>
      <c r="BC459" s="1">
        <v>0</v>
      </c>
      <c r="BE459" s="1">
        <v>27186309</v>
      </c>
    </row>
    <row r="460" spans="1:57" x14ac:dyDescent="0.25">
      <c r="A460" s="1" t="str">
        <f>T("1944377007845086376")</f>
        <v>1944377007845086376</v>
      </c>
      <c r="B460" s="1" t="str">
        <f>T("249911606133")</f>
        <v>249911606133</v>
      </c>
      <c r="C460" s="1" t="str">
        <f>T("1941094470485279840")</f>
        <v>1941094470485279840</v>
      </c>
      <c r="M460" s="1" t="s">
        <v>59</v>
      </c>
      <c r="AA460" s="1">
        <v>1</v>
      </c>
      <c r="AC460" s="1" t="s">
        <v>276</v>
      </c>
      <c r="AD460" s="1" t="s">
        <v>298</v>
      </c>
      <c r="AE460" s="1" t="s">
        <v>299</v>
      </c>
      <c r="AF460" s="1" t="s">
        <v>107</v>
      </c>
      <c r="AG460" s="1">
        <v>35</v>
      </c>
      <c r="AO460" s="2">
        <v>46274</v>
      </c>
      <c r="AP460" s="1" t="s">
        <v>301</v>
      </c>
      <c r="AQ460" s="2">
        <v>46274</v>
      </c>
      <c r="AR460" s="1" t="s">
        <v>308</v>
      </c>
      <c r="AS460" s="1" t="s">
        <v>71</v>
      </c>
      <c r="AU460" s="1" t="s">
        <v>78</v>
      </c>
      <c r="AV460" s="1" t="s">
        <v>80</v>
      </c>
      <c r="AW460" s="1">
        <v>120.34</v>
      </c>
      <c r="AX460" s="1">
        <v>0</v>
      </c>
      <c r="AZ460" s="1" t="s">
        <v>81</v>
      </c>
      <c r="BA460" s="1">
        <v>1</v>
      </c>
      <c r="BB460" s="1">
        <v>0</v>
      </c>
      <c r="BC460" s="1">
        <v>0</v>
      </c>
      <c r="BE460" s="1">
        <v>27186309</v>
      </c>
    </row>
    <row r="461" spans="1:57" x14ac:dyDescent="0.25">
      <c r="A461" s="1" t="str">
        <f>T("1944377007912197404")</f>
        <v>1944377007912197404</v>
      </c>
      <c r="B461" s="1" t="str">
        <f>T("249912427308")</f>
        <v>249912427308</v>
      </c>
      <c r="C461" s="1" t="str">
        <f>T("1941094470485280240")</f>
        <v>1941094470485280240</v>
      </c>
      <c r="AA461" s="1">
        <v>1</v>
      </c>
      <c r="AC461" s="1" t="s">
        <v>276</v>
      </c>
      <c r="AD461" s="1" t="s">
        <v>298</v>
      </c>
      <c r="AE461" s="1" t="s">
        <v>299</v>
      </c>
      <c r="AF461" s="1" t="s">
        <v>107</v>
      </c>
      <c r="AG461" s="1">
        <v>60</v>
      </c>
      <c r="AO461" s="2">
        <v>46274</v>
      </c>
      <c r="AP461" s="1" t="s">
        <v>301</v>
      </c>
      <c r="AQ461" s="2">
        <v>46274</v>
      </c>
      <c r="AR461" s="1" t="s">
        <v>309</v>
      </c>
      <c r="AS461" s="1" t="s">
        <v>71</v>
      </c>
      <c r="AU461" s="1" t="s">
        <v>78</v>
      </c>
      <c r="AV461" s="1" t="s">
        <v>80</v>
      </c>
      <c r="AW461" s="1">
        <v>134.62</v>
      </c>
      <c r="AX461" s="1">
        <v>0</v>
      </c>
      <c r="AZ461" s="1" t="s">
        <v>81</v>
      </c>
      <c r="BA461" s="1">
        <v>1</v>
      </c>
      <c r="BB461" s="1">
        <v>0</v>
      </c>
      <c r="BC461" s="1">
        <v>0</v>
      </c>
      <c r="BE461" s="1">
        <v>27186309</v>
      </c>
    </row>
    <row r="462" spans="1:57" x14ac:dyDescent="0.25">
      <c r="A462" s="1" t="str">
        <f>T("1944377007975110824")</f>
        <v>1944377007975110824</v>
      </c>
      <c r="B462" s="1" t="str">
        <f>T("249910730288")</f>
        <v>249910730288</v>
      </c>
      <c r="C462" s="1" t="str">
        <f>T("1941094470485280840")</f>
        <v>1941094470485280840</v>
      </c>
      <c r="AC462" s="1" t="s">
        <v>276</v>
      </c>
      <c r="AD462" s="1" t="s">
        <v>298</v>
      </c>
      <c r="AE462" s="1" t="s">
        <v>299</v>
      </c>
      <c r="AF462" s="1" t="s">
        <v>107</v>
      </c>
      <c r="AG462" s="1">
        <v>35</v>
      </c>
      <c r="AO462" s="2">
        <v>46274</v>
      </c>
      <c r="AP462" s="1" t="s">
        <v>301</v>
      </c>
      <c r="AS462" s="1" t="s">
        <v>71</v>
      </c>
      <c r="AU462" s="1" t="s">
        <v>72</v>
      </c>
      <c r="AV462" s="1" t="s">
        <v>73</v>
      </c>
      <c r="AX462" s="1">
        <v>0</v>
      </c>
      <c r="BA462" s="1">
        <v>3</v>
      </c>
      <c r="BB462" s="1">
        <v>0</v>
      </c>
      <c r="BC462" s="1">
        <v>0</v>
      </c>
      <c r="BE462" s="1">
        <v>27186309</v>
      </c>
    </row>
    <row r="463" spans="1:57" x14ac:dyDescent="0.25">
      <c r="A463" s="1" t="str">
        <f>T("1944377008050607568")</f>
        <v>1944377008050607568</v>
      </c>
      <c r="B463" s="1" t="str">
        <f>T("249918891515")</f>
        <v>249918891515</v>
      </c>
      <c r="C463" s="1" t="str">
        <f>T("1941094470493668456")</f>
        <v>1941094470493668456</v>
      </c>
      <c r="AC463" s="1" t="s">
        <v>276</v>
      </c>
      <c r="AD463" s="1" t="s">
        <v>298</v>
      </c>
      <c r="AE463" s="1" t="s">
        <v>299</v>
      </c>
      <c r="AF463" s="1" t="s">
        <v>107</v>
      </c>
      <c r="AG463" s="1">
        <v>37</v>
      </c>
      <c r="AO463" s="2">
        <v>46274</v>
      </c>
      <c r="AP463" s="1" t="s">
        <v>301</v>
      </c>
      <c r="AQ463" s="2">
        <v>46274</v>
      </c>
      <c r="AR463" s="1" t="s">
        <v>303</v>
      </c>
      <c r="AS463" s="1" t="s">
        <v>71</v>
      </c>
      <c r="AU463" s="1" t="s">
        <v>79</v>
      </c>
      <c r="AV463" s="1" t="s">
        <v>80</v>
      </c>
      <c r="AW463" s="1">
        <v>5.62</v>
      </c>
      <c r="AX463" s="1">
        <v>0</v>
      </c>
      <c r="AZ463" s="1" t="s">
        <v>81</v>
      </c>
      <c r="BA463" s="1">
        <v>1</v>
      </c>
      <c r="BB463" s="1">
        <v>0</v>
      </c>
      <c r="BC463" s="1">
        <v>0</v>
      </c>
      <c r="BE463" s="1">
        <v>27186309</v>
      </c>
    </row>
    <row r="464" spans="1:57" x14ac:dyDescent="0.25">
      <c r="A464" s="1" t="str">
        <f>T("1944377008134493528")</f>
        <v>1944377008134493528</v>
      </c>
      <c r="B464" s="1" t="str">
        <f>T("249965227272")</f>
        <v>249965227272</v>
      </c>
      <c r="C464" s="1" t="str">
        <f>T("1941094470493669056")</f>
        <v>1941094470493669056</v>
      </c>
      <c r="AC464" s="1" t="s">
        <v>276</v>
      </c>
      <c r="AD464" s="1" t="s">
        <v>298</v>
      </c>
      <c r="AE464" s="1" t="s">
        <v>299</v>
      </c>
      <c r="AF464" s="1" t="s">
        <v>107</v>
      </c>
      <c r="AG464" s="1">
        <v>41</v>
      </c>
      <c r="AO464" s="2">
        <v>46274</v>
      </c>
      <c r="AP464" s="1" t="s">
        <v>301</v>
      </c>
      <c r="AS464" s="1" t="s">
        <v>71</v>
      </c>
      <c r="AU464" s="1" t="s">
        <v>72</v>
      </c>
      <c r="AV464" s="1" t="s">
        <v>115</v>
      </c>
      <c r="AX464" s="1">
        <v>0</v>
      </c>
      <c r="BA464" s="1">
        <v>3</v>
      </c>
      <c r="BB464" s="1">
        <v>0</v>
      </c>
      <c r="BC464" s="1">
        <v>0</v>
      </c>
      <c r="BE464" s="1">
        <v>27186309</v>
      </c>
    </row>
    <row r="465" spans="1:57" x14ac:dyDescent="0.25">
      <c r="A465" s="1" t="str">
        <f>T("1944377008197410248")</f>
        <v>1944377008197410248</v>
      </c>
      <c r="B465" s="1" t="str">
        <f>T("249905486710")</f>
        <v>249905486710</v>
      </c>
      <c r="C465" s="1" t="str">
        <f>T("1941094470493669556")</f>
        <v>1941094470493669556</v>
      </c>
      <c r="AC465" s="1" t="s">
        <v>276</v>
      </c>
      <c r="AD465" s="1" t="s">
        <v>298</v>
      </c>
      <c r="AE465" s="1" t="s">
        <v>299</v>
      </c>
      <c r="AF465" s="1" t="s">
        <v>107</v>
      </c>
      <c r="AG465" s="1">
        <v>37</v>
      </c>
      <c r="AO465" s="2">
        <v>46274</v>
      </c>
      <c r="AP465" s="1" t="s">
        <v>301</v>
      </c>
      <c r="AS465" s="1" t="s">
        <v>71</v>
      </c>
      <c r="AU465" s="1" t="s">
        <v>72</v>
      </c>
      <c r="AV465" s="1" t="s">
        <v>73</v>
      </c>
      <c r="AX465" s="1">
        <v>0</v>
      </c>
      <c r="BA465" s="1">
        <v>3</v>
      </c>
      <c r="BB465" s="1">
        <v>0</v>
      </c>
      <c r="BC465" s="1">
        <v>0</v>
      </c>
      <c r="BE465" s="1">
        <v>27186309</v>
      </c>
    </row>
    <row r="466" spans="1:57" x14ac:dyDescent="0.25">
      <c r="A466" s="1" t="str">
        <f>T("1944377008264519176")</f>
        <v>1944377008264519176</v>
      </c>
      <c r="B466" s="1" t="str">
        <f>T("249910408260")</f>
        <v>249910408260</v>
      </c>
      <c r="C466" s="1" t="str">
        <f>T("1941094470493670056")</f>
        <v>1941094470493670056</v>
      </c>
      <c r="AA466" s="1">
        <v>1</v>
      </c>
      <c r="AC466" s="1" t="s">
        <v>276</v>
      </c>
      <c r="AD466" s="1" t="s">
        <v>298</v>
      </c>
      <c r="AE466" s="1" t="s">
        <v>299</v>
      </c>
      <c r="AF466" s="1" t="s">
        <v>107</v>
      </c>
      <c r="AG466" s="1">
        <v>40</v>
      </c>
      <c r="AO466" s="2">
        <v>46274</v>
      </c>
      <c r="AP466" s="1" t="s">
        <v>301</v>
      </c>
      <c r="AQ466" s="2">
        <v>46274</v>
      </c>
      <c r="AR466" s="1" t="s">
        <v>309</v>
      </c>
      <c r="AS466" s="1" t="s">
        <v>71</v>
      </c>
      <c r="AU466" s="1" t="s">
        <v>79</v>
      </c>
      <c r="AV466" s="1" t="s">
        <v>80</v>
      </c>
      <c r="AW466" s="1">
        <v>61.42</v>
      </c>
      <c r="AX466" s="1">
        <v>0</v>
      </c>
      <c r="AZ466" s="1" t="s">
        <v>81</v>
      </c>
      <c r="BA466" s="1">
        <v>1</v>
      </c>
      <c r="BB466" s="1">
        <v>0</v>
      </c>
      <c r="BC466" s="1">
        <v>0</v>
      </c>
      <c r="BE466" s="1">
        <v>27186309</v>
      </c>
    </row>
    <row r="467" spans="1:57" x14ac:dyDescent="0.25">
      <c r="A467" s="1" t="str">
        <f>T("1944377008319043480")</f>
        <v>1944377008319043480</v>
      </c>
      <c r="B467" s="1" t="str">
        <f>T("249911606032")</f>
        <v>249911606032</v>
      </c>
      <c r="C467" s="1" t="str">
        <f>T("1941094470493670956")</f>
        <v>1941094470493670956</v>
      </c>
      <c r="M467" s="1" t="s">
        <v>59</v>
      </c>
      <c r="O467" s="1" t="s">
        <v>60</v>
      </c>
      <c r="P467" s="1" t="s">
        <v>83</v>
      </c>
      <c r="AA467" s="1">
        <v>1</v>
      </c>
      <c r="AC467" s="1" t="s">
        <v>276</v>
      </c>
      <c r="AD467" s="1" t="s">
        <v>298</v>
      </c>
      <c r="AE467" s="1" t="s">
        <v>299</v>
      </c>
      <c r="AF467" s="1" t="s">
        <v>107</v>
      </c>
      <c r="AG467" s="1">
        <v>45</v>
      </c>
      <c r="AO467" s="2">
        <v>46274</v>
      </c>
      <c r="AP467" s="1" t="s">
        <v>301</v>
      </c>
      <c r="AQ467" s="2">
        <v>46274</v>
      </c>
      <c r="AR467" s="1" t="s">
        <v>310</v>
      </c>
      <c r="AS467" s="1" t="s">
        <v>71</v>
      </c>
      <c r="AU467" s="1" t="s">
        <v>78</v>
      </c>
      <c r="AV467" s="1" t="s">
        <v>80</v>
      </c>
      <c r="AW467" s="1">
        <v>171.42</v>
      </c>
      <c r="AX467" s="1">
        <v>0</v>
      </c>
      <c r="AZ467" s="1" t="s">
        <v>81</v>
      </c>
      <c r="BA467" s="1">
        <v>1</v>
      </c>
      <c r="BB467" s="1">
        <v>0</v>
      </c>
      <c r="BC467" s="1">
        <v>0</v>
      </c>
      <c r="BE467" s="1">
        <v>27186309</v>
      </c>
    </row>
    <row r="468" spans="1:57" x14ac:dyDescent="0.25">
      <c r="A468" s="1" t="str">
        <f>T("1944377008381959700")</f>
        <v>1944377008381959700</v>
      </c>
      <c r="B468" s="1" t="str">
        <f>T("249919101100")</f>
        <v>249919101100</v>
      </c>
      <c r="C468" s="1" t="str">
        <f>T("1941094470497862464")</f>
        <v>1941094470497862464</v>
      </c>
      <c r="M468" s="1" t="s">
        <v>59</v>
      </c>
      <c r="O468" s="1" t="s">
        <v>60</v>
      </c>
      <c r="P468" s="1" t="s">
        <v>83</v>
      </c>
      <c r="Q468" s="1" t="s">
        <v>101</v>
      </c>
      <c r="R468" s="1" t="s">
        <v>63</v>
      </c>
      <c r="S468" s="1" t="s">
        <v>94</v>
      </c>
      <c r="U468" s="1" t="s">
        <v>60</v>
      </c>
      <c r="AA468" s="1">
        <v>1</v>
      </c>
      <c r="AC468" s="1" t="s">
        <v>276</v>
      </c>
      <c r="AD468" s="1" t="s">
        <v>311</v>
      </c>
      <c r="AE468" s="1" t="s">
        <v>312</v>
      </c>
      <c r="AF468" s="1" t="s">
        <v>144</v>
      </c>
      <c r="AG468" s="1" t="s">
        <v>313</v>
      </c>
      <c r="AO468" s="2">
        <v>46274</v>
      </c>
      <c r="AP468" s="1" t="s">
        <v>301</v>
      </c>
      <c r="AQ468" s="2">
        <v>46274</v>
      </c>
      <c r="AR468" s="1" t="s">
        <v>314</v>
      </c>
      <c r="AS468" s="1" t="s">
        <v>71</v>
      </c>
      <c r="AU468" s="1" t="s">
        <v>79</v>
      </c>
      <c r="AV468" s="1" t="s">
        <v>80</v>
      </c>
      <c r="AW468" s="1">
        <v>174.15899999999999</v>
      </c>
      <c r="AX468" s="1">
        <v>0</v>
      </c>
      <c r="AZ468" s="1" t="s">
        <v>81</v>
      </c>
      <c r="BA468" s="1">
        <v>1</v>
      </c>
      <c r="BB468" s="1">
        <v>0</v>
      </c>
      <c r="BC468" s="1">
        <v>0</v>
      </c>
      <c r="BE468" s="1">
        <v>27186309</v>
      </c>
    </row>
    <row r="469" spans="1:57" x14ac:dyDescent="0.25">
      <c r="A469" s="1" t="str">
        <f>T("1944377008457454544")</f>
        <v>1944377008457454544</v>
      </c>
      <c r="B469" s="1" t="str">
        <f>T("249903667288")</f>
        <v>249903667288</v>
      </c>
      <c r="C469" s="1" t="str">
        <f>T("1941094470497863164")</f>
        <v>1941094470497863164</v>
      </c>
      <c r="AC469" s="1" t="s">
        <v>276</v>
      </c>
      <c r="AD469" s="1" t="s">
        <v>311</v>
      </c>
      <c r="AE469" s="1" t="s">
        <v>312</v>
      </c>
      <c r="AF469" s="1" t="s">
        <v>144</v>
      </c>
      <c r="AG469" s="1" t="s">
        <v>313</v>
      </c>
      <c r="AO469" s="2">
        <v>46274</v>
      </c>
      <c r="AP469" s="1" t="s">
        <v>301</v>
      </c>
      <c r="AQ469" s="2">
        <v>46274</v>
      </c>
      <c r="AR469" s="1" t="s">
        <v>315</v>
      </c>
      <c r="AS469" s="1" t="s">
        <v>71</v>
      </c>
      <c r="AU469" s="1" t="s">
        <v>79</v>
      </c>
      <c r="AV469" s="1" t="s">
        <v>80</v>
      </c>
      <c r="AW469" s="1">
        <v>6.98</v>
      </c>
      <c r="AX469" s="1">
        <v>0</v>
      </c>
      <c r="AZ469" s="1" t="s">
        <v>81</v>
      </c>
      <c r="BA469" s="1">
        <v>1</v>
      </c>
      <c r="BB469" s="1">
        <v>0</v>
      </c>
      <c r="BC469" s="1">
        <v>0</v>
      </c>
      <c r="BE469" s="1">
        <v>27186309</v>
      </c>
    </row>
    <row r="470" spans="1:57" x14ac:dyDescent="0.25">
      <c r="A470" s="1" t="str">
        <f>T("1944377008537148396")</f>
        <v>1944377008537148396</v>
      </c>
      <c r="B470" s="1" t="str">
        <f>T("249910964963")</f>
        <v>249910964963</v>
      </c>
      <c r="C470" s="1" t="str">
        <f>T("1941094470497863664")</f>
        <v>1941094470497863664</v>
      </c>
      <c r="AC470" s="1" t="s">
        <v>276</v>
      </c>
      <c r="AD470" s="1" t="s">
        <v>311</v>
      </c>
      <c r="AE470" s="1" t="s">
        <v>312</v>
      </c>
      <c r="AF470" s="1" t="s">
        <v>144</v>
      </c>
      <c r="AG470" s="1" t="s">
        <v>313</v>
      </c>
      <c r="AO470" s="2">
        <v>46274</v>
      </c>
      <c r="AP470" s="1" t="s">
        <v>301</v>
      </c>
      <c r="AQ470" s="2">
        <v>46274</v>
      </c>
      <c r="AR470" s="1" t="s">
        <v>316</v>
      </c>
      <c r="AS470" s="1" t="s">
        <v>71</v>
      </c>
      <c r="AU470" s="1" t="s">
        <v>79</v>
      </c>
      <c r="AV470" s="1" t="s">
        <v>80</v>
      </c>
      <c r="AW470" s="1">
        <v>16.12</v>
      </c>
      <c r="AX470" s="1">
        <v>0</v>
      </c>
      <c r="AZ470" s="1" t="s">
        <v>81</v>
      </c>
      <c r="BA470" s="1">
        <v>1</v>
      </c>
      <c r="BB470" s="1">
        <v>0</v>
      </c>
      <c r="BC470" s="1">
        <v>0</v>
      </c>
      <c r="BE470" s="1">
        <v>27186309</v>
      </c>
    </row>
    <row r="471" spans="1:57" x14ac:dyDescent="0.25">
      <c r="A471" s="1" t="str">
        <f>T("1944377008604254224")</f>
        <v>1944377008604254224</v>
      </c>
      <c r="B471" s="1" t="str">
        <f>T("24964732296")</f>
        <v>24964732296</v>
      </c>
      <c r="C471" s="1" t="str">
        <f>T("1941094470497864164")</f>
        <v>1941094470497864164</v>
      </c>
      <c r="AC471" s="1" t="s">
        <v>276</v>
      </c>
      <c r="AD471" s="1" t="s">
        <v>311</v>
      </c>
      <c r="AE471" s="1" t="s">
        <v>312</v>
      </c>
      <c r="AF471" s="1" t="s">
        <v>144</v>
      </c>
      <c r="AG471" s="1" t="s">
        <v>313</v>
      </c>
      <c r="AO471" s="2">
        <v>46274</v>
      </c>
      <c r="AP471" s="1" t="s">
        <v>301</v>
      </c>
      <c r="AS471" s="1" t="s">
        <v>71</v>
      </c>
      <c r="AU471" s="1" t="s">
        <v>72</v>
      </c>
      <c r="AV471" s="1" t="s">
        <v>73</v>
      </c>
      <c r="AX471" s="1">
        <v>0</v>
      </c>
      <c r="BA471" s="1">
        <v>3</v>
      </c>
      <c r="BB471" s="1">
        <v>0</v>
      </c>
      <c r="BC471" s="1">
        <v>0</v>
      </c>
      <c r="BE471" s="1">
        <v>27186309</v>
      </c>
    </row>
    <row r="472" spans="1:57" x14ac:dyDescent="0.25">
      <c r="A472" s="1" t="str">
        <f>T("1944377008671364952")</f>
        <v>1944377008671364952</v>
      </c>
      <c r="B472" s="1" t="str">
        <f>T("249916657037")</f>
        <v>249916657037</v>
      </c>
      <c r="C472" s="1" t="str">
        <f>T("1941094470497864864")</f>
        <v>1941094470497864864</v>
      </c>
      <c r="AC472" s="1" t="s">
        <v>276</v>
      </c>
      <c r="AD472" s="1" t="s">
        <v>311</v>
      </c>
      <c r="AE472" s="1" t="s">
        <v>312</v>
      </c>
      <c r="AF472" s="1" t="s">
        <v>144</v>
      </c>
      <c r="AG472" s="1" t="s">
        <v>313</v>
      </c>
      <c r="AO472" s="2">
        <v>46274</v>
      </c>
      <c r="AP472" s="1" t="s">
        <v>301</v>
      </c>
      <c r="AQ472" s="2">
        <v>46274</v>
      </c>
      <c r="AR472" s="1" t="s">
        <v>317</v>
      </c>
      <c r="AS472" s="1" t="s">
        <v>71</v>
      </c>
      <c r="AU472" s="1" t="s">
        <v>79</v>
      </c>
      <c r="AV472" s="1" t="s">
        <v>80</v>
      </c>
      <c r="AW472" s="1">
        <v>24.78</v>
      </c>
      <c r="AX472" s="1">
        <v>0</v>
      </c>
      <c r="AZ472" s="1" t="s">
        <v>81</v>
      </c>
      <c r="BA472" s="1">
        <v>2</v>
      </c>
      <c r="BB472" s="1">
        <v>0</v>
      </c>
      <c r="BC472" s="1">
        <v>0</v>
      </c>
      <c r="BE472" s="1">
        <v>27186309</v>
      </c>
    </row>
    <row r="473" spans="1:57" x14ac:dyDescent="0.25">
      <c r="A473" s="1" t="str">
        <f>T("1944377008683948376")</f>
        <v>1944377008683948376</v>
      </c>
      <c r="B473" s="1" t="str">
        <f>T("249915300473")</f>
        <v>249915300473</v>
      </c>
      <c r="C473" s="1" t="str">
        <f>T("1941094470497865364")</f>
        <v>1941094470497865364</v>
      </c>
      <c r="AC473" s="1" t="s">
        <v>276</v>
      </c>
      <c r="AD473" s="1" t="s">
        <v>311</v>
      </c>
      <c r="AE473" s="1" t="s">
        <v>312</v>
      </c>
      <c r="AF473" s="1" t="s">
        <v>144</v>
      </c>
      <c r="AG473" s="1" t="s">
        <v>313</v>
      </c>
      <c r="AO473" s="2">
        <v>46274</v>
      </c>
      <c r="AP473" s="1" t="s">
        <v>301</v>
      </c>
      <c r="AS473" s="1" t="s">
        <v>71</v>
      </c>
      <c r="AU473" s="1" t="s">
        <v>72</v>
      </c>
      <c r="AV473" s="1" t="s">
        <v>131</v>
      </c>
      <c r="AX473" s="1">
        <v>0</v>
      </c>
      <c r="BA473" s="1">
        <v>3</v>
      </c>
      <c r="BB473" s="1">
        <v>0</v>
      </c>
      <c r="BC473" s="1">
        <v>0</v>
      </c>
      <c r="BE473" s="1">
        <v>27186309</v>
      </c>
    </row>
    <row r="474" spans="1:57" x14ac:dyDescent="0.25">
      <c r="A474" s="1" t="str">
        <f>T("1944377008696531800")</f>
        <v>1944377008696531800</v>
      </c>
      <c r="B474" s="1" t="str">
        <f>T("249964471044")</f>
        <v>249964471044</v>
      </c>
      <c r="C474" s="1" t="str">
        <f>T("1941094470502056072")</f>
        <v>1941094470502056072</v>
      </c>
      <c r="AA474" s="1">
        <v>1</v>
      </c>
      <c r="AC474" s="1" t="s">
        <v>276</v>
      </c>
      <c r="AD474" s="1" t="s">
        <v>311</v>
      </c>
      <c r="AE474" s="1" t="s">
        <v>312</v>
      </c>
      <c r="AF474" s="1" t="s">
        <v>144</v>
      </c>
      <c r="AG474" s="1" t="s">
        <v>313</v>
      </c>
      <c r="AO474" s="2">
        <v>46274</v>
      </c>
      <c r="AP474" s="1" t="s">
        <v>301</v>
      </c>
      <c r="AQ474" s="2">
        <v>46274</v>
      </c>
      <c r="AR474" s="1" t="s">
        <v>318</v>
      </c>
      <c r="AS474" s="1" t="s">
        <v>71</v>
      </c>
      <c r="AU474" s="1" t="s">
        <v>79</v>
      </c>
      <c r="AV474" s="1" t="s">
        <v>80</v>
      </c>
      <c r="AW474" s="1">
        <v>52.98</v>
      </c>
      <c r="AX474" s="1">
        <v>0</v>
      </c>
      <c r="AZ474" s="1" t="s">
        <v>81</v>
      </c>
      <c r="BA474" s="1">
        <v>1</v>
      </c>
      <c r="BB474" s="1">
        <v>0</v>
      </c>
      <c r="BC474" s="1">
        <v>0</v>
      </c>
      <c r="BE474" s="1">
        <v>27186309</v>
      </c>
    </row>
    <row r="475" spans="1:57" x14ac:dyDescent="0.25">
      <c r="A475" s="1" t="str">
        <f>T("1944377008763641528")</f>
        <v>1944377008763641528</v>
      </c>
      <c r="B475" s="1" t="str">
        <f>T("249960422882")</f>
        <v>249960422882</v>
      </c>
      <c r="C475" s="1" t="str">
        <f>T("1941094470502056572")</f>
        <v>1941094470502056572</v>
      </c>
      <c r="AA475" s="1">
        <v>1</v>
      </c>
      <c r="AC475" s="1" t="s">
        <v>276</v>
      </c>
      <c r="AD475" s="1" t="s">
        <v>311</v>
      </c>
      <c r="AE475" s="1" t="s">
        <v>312</v>
      </c>
      <c r="AF475" s="1" t="s">
        <v>144</v>
      </c>
      <c r="AG475" s="1" t="s">
        <v>313</v>
      </c>
      <c r="AO475" s="2">
        <v>46274</v>
      </c>
      <c r="AP475" s="1" t="s">
        <v>301</v>
      </c>
      <c r="AQ475" s="2">
        <v>46274</v>
      </c>
      <c r="AR475" s="1" t="s">
        <v>319</v>
      </c>
      <c r="AS475" s="1" t="s">
        <v>71</v>
      </c>
      <c r="AU475" s="1" t="s">
        <v>79</v>
      </c>
      <c r="AV475" s="1" t="s">
        <v>80</v>
      </c>
      <c r="AW475" s="1">
        <v>39.619999999999997</v>
      </c>
      <c r="AX475" s="1">
        <v>0</v>
      </c>
      <c r="AZ475" s="1" t="s">
        <v>81</v>
      </c>
      <c r="BA475" s="1">
        <v>1</v>
      </c>
      <c r="BB475" s="1">
        <v>0</v>
      </c>
      <c r="BC475" s="1">
        <v>0</v>
      </c>
      <c r="BE475" s="1">
        <v>27186309</v>
      </c>
    </row>
    <row r="476" spans="1:57" x14ac:dyDescent="0.25">
      <c r="A476" s="1" t="str">
        <f>T("1944377008801388900")</f>
        <v>1944377008801388900</v>
      </c>
      <c r="B476" s="1" t="str">
        <f>T("249960664098")</f>
        <v>249960664098</v>
      </c>
      <c r="C476" s="1" t="str">
        <f>T("1941094470502057072")</f>
        <v>1941094470502057072</v>
      </c>
      <c r="AC476" s="1" t="s">
        <v>276</v>
      </c>
      <c r="AD476" s="1" t="s">
        <v>311</v>
      </c>
      <c r="AE476" s="1" t="s">
        <v>312</v>
      </c>
      <c r="AF476" s="1" t="s">
        <v>144</v>
      </c>
      <c r="AG476" s="1" t="s">
        <v>313</v>
      </c>
      <c r="AO476" s="2">
        <v>46274</v>
      </c>
      <c r="AP476" s="1" t="s">
        <v>301</v>
      </c>
      <c r="AS476" s="1" t="s">
        <v>71</v>
      </c>
      <c r="AU476" s="1" t="s">
        <v>72</v>
      </c>
      <c r="AV476" s="1" t="s">
        <v>131</v>
      </c>
      <c r="AX476" s="1">
        <v>0</v>
      </c>
      <c r="BA476" s="1">
        <v>3</v>
      </c>
      <c r="BB476" s="1">
        <v>0</v>
      </c>
      <c r="BC476" s="1">
        <v>0</v>
      </c>
      <c r="BE476" s="1">
        <v>27186309</v>
      </c>
    </row>
    <row r="477" spans="1:57" x14ac:dyDescent="0.25">
      <c r="A477" s="1" t="str">
        <f>T("1944377008822360240")</f>
        <v>1944377008822360240</v>
      </c>
      <c r="B477" s="1" t="str">
        <f>T("249917600193")</f>
        <v>249917600193</v>
      </c>
      <c r="C477" s="1" t="str">
        <f>T("1941094470502057972")</f>
        <v>1941094470502057972</v>
      </c>
      <c r="M477" s="1" t="s">
        <v>59</v>
      </c>
      <c r="O477" s="1" t="s">
        <v>65</v>
      </c>
      <c r="P477" s="1" t="s">
        <v>111</v>
      </c>
      <c r="Q477" s="1" t="s">
        <v>101</v>
      </c>
      <c r="R477" s="1" t="s">
        <v>84</v>
      </c>
      <c r="S477" s="1" t="s">
        <v>61</v>
      </c>
      <c r="U477" s="1" t="s">
        <v>65</v>
      </c>
      <c r="V477" s="1" t="s">
        <v>103</v>
      </c>
      <c r="W477" s="1" t="s">
        <v>60</v>
      </c>
      <c r="X477" s="1" t="s">
        <v>103</v>
      </c>
      <c r="Y477" s="1" t="s">
        <v>69</v>
      </c>
      <c r="AA477" s="1">
        <v>1</v>
      </c>
      <c r="AB477" s="1">
        <v>1</v>
      </c>
      <c r="AC477" s="1" t="s">
        <v>276</v>
      </c>
      <c r="AD477" s="1" t="s">
        <v>311</v>
      </c>
      <c r="AE477" s="1" t="s">
        <v>312</v>
      </c>
      <c r="AF477" s="1" t="s">
        <v>144</v>
      </c>
      <c r="AG477" s="1" t="s">
        <v>313</v>
      </c>
      <c r="AO477" s="2">
        <v>46274</v>
      </c>
      <c r="AP477" s="1" t="s">
        <v>301</v>
      </c>
      <c r="AQ477" s="2">
        <v>46274</v>
      </c>
      <c r="AR477" s="1" t="s">
        <v>304</v>
      </c>
      <c r="AS477" s="1" t="s">
        <v>71</v>
      </c>
      <c r="AU477" s="1" t="s">
        <v>78</v>
      </c>
      <c r="AV477" s="1" t="s">
        <v>80</v>
      </c>
      <c r="AW477" s="1">
        <v>241.26</v>
      </c>
      <c r="AX477" s="1">
        <v>0</v>
      </c>
      <c r="AZ477" s="1" t="s">
        <v>81</v>
      </c>
      <c r="BA477" s="1">
        <v>1</v>
      </c>
      <c r="BB477" s="1">
        <v>0</v>
      </c>
      <c r="BC477" s="1">
        <v>0</v>
      </c>
      <c r="BE477" s="1">
        <v>27186309</v>
      </c>
    </row>
    <row r="478" spans="1:57" x14ac:dyDescent="0.25">
      <c r="A478" s="1" t="str">
        <f>T("1944377008826554048")</f>
        <v>1944377008826554048</v>
      </c>
      <c r="B478" s="1" t="str">
        <f>T("249967859697")</f>
        <v>249967859697</v>
      </c>
      <c r="C478" s="1" t="str">
        <f>T("1941094470502058472")</f>
        <v>1941094470502058472</v>
      </c>
      <c r="AC478" s="1" t="s">
        <v>276</v>
      </c>
      <c r="AD478" s="1" t="s">
        <v>311</v>
      </c>
      <c r="AE478" s="1" t="s">
        <v>312</v>
      </c>
      <c r="AF478" s="1" t="s">
        <v>144</v>
      </c>
      <c r="AG478" s="1" t="s">
        <v>313</v>
      </c>
      <c r="AO478" s="2">
        <v>46274</v>
      </c>
      <c r="AP478" s="1" t="s">
        <v>301</v>
      </c>
      <c r="AS478" s="1" t="s">
        <v>71</v>
      </c>
      <c r="AU478" s="1" t="s">
        <v>72</v>
      </c>
      <c r="AV478" s="1" t="s">
        <v>115</v>
      </c>
      <c r="AX478" s="1">
        <v>0</v>
      </c>
      <c r="BA478" s="1">
        <v>3</v>
      </c>
      <c r="BB478" s="1">
        <v>0</v>
      </c>
      <c r="BC478" s="1">
        <v>0</v>
      </c>
      <c r="BE478" s="1">
        <v>27186309</v>
      </c>
    </row>
    <row r="479" spans="1:57" x14ac:dyDescent="0.25">
      <c r="A479" s="1" t="str">
        <f>T("1944377008855914104")</f>
        <v>1944377008855914104</v>
      </c>
      <c r="B479" s="1" t="str">
        <f>T("249906463955")</f>
        <v>249906463955</v>
      </c>
      <c r="C479" s="1" t="str">
        <f>T("1941094470502059272")</f>
        <v>1941094470502059272</v>
      </c>
      <c r="AC479" s="1" t="s">
        <v>276</v>
      </c>
      <c r="AD479" s="1" t="s">
        <v>311</v>
      </c>
      <c r="AE479" s="1" t="s">
        <v>312</v>
      </c>
      <c r="AF479" s="1" t="s">
        <v>144</v>
      </c>
      <c r="AG479" s="1" t="s">
        <v>313</v>
      </c>
      <c r="AO479" s="2">
        <v>46274</v>
      </c>
      <c r="AP479" s="1" t="s">
        <v>301</v>
      </c>
      <c r="AS479" s="1" t="s">
        <v>71</v>
      </c>
      <c r="AU479" s="1" t="s">
        <v>72</v>
      </c>
      <c r="AV479" s="1" t="s">
        <v>115</v>
      </c>
      <c r="AX479" s="1">
        <v>0</v>
      </c>
      <c r="BA479" s="1">
        <v>3</v>
      </c>
      <c r="BB479" s="1">
        <v>0</v>
      </c>
      <c r="BC479" s="1">
        <v>0</v>
      </c>
      <c r="BE479" s="1">
        <v>27186309</v>
      </c>
    </row>
    <row r="480" spans="1:57" x14ac:dyDescent="0.25">
      <c r="A480" s="1" t="str">
        <f>T("1944377008885272760")</f>
        <v>1944377008885272760</v>
      </c>
      <c r="B480" s="1" t="str">
        <f>T("249963699198")</f>
        <v>249963699198</v>
      </c>
      <c r="C480" s="1" t="str">
        <f>T("1941094470502059672")</f>
        <v>1941094470502059672</v>
      </c>
      <c r="AC480" s="1" t="s">
        <v>276</v>
      </c>
      <c r="AD480" s="1" t="s">
        <v>311</v>
      </c>
      <c r="AE480" s="1" t="s">
        <v>312</v>
      </c>
      <c r="AF480" s="1" t="s">
        <v>144</v>
      </c>
      <c r="AG480" s="1" t="s">
        <v>313</v>
      </c>
      <c r="AO480" s="2">
        <v>46274</v>
      </c>
      <c r="AP480" s="1" t="s">
        <v>301</v>
      </c>
      <c r="AS480" s="1" t="s">
        <v>71</v>
      </c>
      <c r="AU480" s="1" t="s">
        <v>72</v>
      </c>
      <c r="AV480" s="1" t="s">
        <v>115</v>
      </c>
      <c r="AX480" s="1">
        <v>0</v>
      </c>
      <c r="BA480" s="1">
        <v>3</v>
      </c>
      <c r="BB480" s="1">
        <v>0</v>
      </c>
      <c r="BC480" s="1">
        <v>0</v>
      </c>
      <c r="BE480" s="1">
        <v>27186309</v>
      </c>
    </row>
    <row r="481" spans="1:57" x14ac:dyDescent="0.25">
      <c r="A481" s="1" t="str">
        <f>T("1944377008885274460")</f>
        <v>1944377008885274460</v>
      </c>
      <c r="B481" s="1" t="str">
        <f>T("249962607547")</f>
        <v>249962607547</v>
      </c>
      <c r="C481" s="1" t="str">
        <f>T("1941094470506250480")</f>
        <v>1941094470506250480</v>
      </c>
      <c r="AC481" s="1" t="s">
        <v>276</v>
      </c>
      <c r="AD481" s="1" t="s">
        <v>311</v>
      </c>
      <c r="AE481" s="1" t="s">
        <v>312</v>
      </c>
      <c r="AF481" s="1" t="s">
        <v>144</v>
      </c>
      <c r="AG481" s="1" t="s">
        <v>313</v>
      </c>
      <c r="AO481" s="2">
        <v>46274</v>
      </c>
      <c r="AP481" s="1" t="s">
        <v>301</v>
      </c>
      <c r="AS481" s="1" t="s">
        <v>71</v>
      </c>
      <c r="AU481" s="1" t="s">
        <v>72</v>
      </c>
      <c r="AV481" s="1" t="s">
        <v>73</v>
      </c>
      <c r="AX481" s="1">
        <v>0</v>
      </c>
      <c r="BA481" s="1">
        <v>3</v>
      </c>
      <c r="BB481" s="1">
        <v>0</v>
      </c>
      <c r="BC481" s="1">
        <v>0</v>
      </c>
      <c r="BE481" s="1">
        <v>27186309</v>
      </c>
    </row>
    <row r="482" spans="1:57" x14ac:dyDescent="0.25">
      <c r="A482" s="1" t="str">
        <f>T("1944377008927218540")</f>
        <v>1944377008927218540</v>
      </c>
      <c r="B482" s="1" t="str">
        <f>T("249903294895")</f>
        <v>249903294895</v>
      </c>
      <c r="C482" s="1" t="str">
        <f>T("1941094470506250980")</f>
        <v>1941094470506250980</v>
      </c>
      <c r="AA482" s="1">
        <v>1</v>
      </c>
      <c r="AC482" s="1" t="s">
        <v>276</v>
      </c>
      <c r="AD482" s="1" t="s">
        <v>311</v>
      </c>
      <c r="AE482" s="1" t="s">
        <v>312</v>
      </c>
      <c r="AF482" s="1" t="s">
        <v>144</v>
      </c>
      <c r="AG482" s="1" t="s">
        <v>313</v>
      </c>
      <c r="AO482" s="2">
        <v>46274</v>
      </c>
      <c r="AP482" s="1" t="s">
        <v>301</v>
      </c>
      <c r="AQ482" s="2">
        <v>46274</v>
      </c>
      <c r="AR482" s="1" t="s">
        <v>309</v>
      </c>
      <c r="AS482" s="1" t="s">
        <v>71</v>
      </c>
      <c r="AU482" s="1" t="s">
        <v>79</v>
      </c>
      <c r="AV482" s="1" t="s">
        <v>80</v>
      </c>
      <c r="AW482" s="1">
        <v>72.819999999999993</v>
      </c>
      <c r="AX482" s="1">
        <v>0</v>
      </c>
      <c r="AZ482" s="1" t="s">
        <v>81</v>
      </c>
      <c r="BA482" s="1">
        <v>1</v>
      </c>
      <c r="BB482" s="1">
        <v>0</v>
      </c>
      <c r="BC482" s="1">
        <v>0</v>
      </c>
      <c r="BE482" s="1">
        <v>27186309</v>
      </c>
    </row>
    <row r="483" spans="1:57" x14ac:dyDescent="0.25">
      <c r="A483" s="1" t="str">
        <f>T("1944377008939799564")</f>
        <v>1944377008939799564</v>
      </c>
      <c r="B483" s="1" t="str">
        <f>T("249915471159")</f>
        <v>249915471159</v>
      </c>
      <c r="C483" s="1" t="str">
        <f>T("1941094470506251980")</f>
        <v>1941094470506251980</v>
      </c>
      <c r="AC483" s="1" t="s">
        <v>276</v>
      </c>
      <c r="AD483" s="1" t="s">
        <v>311</v>
      </c>
      <c r="AE483" s="1" t="s">
        <v>312</v>
      </c>
      <c r="AF483" s="1" t="s">
        <v>107</v>
      </c>
      <c r="AG483" s="1" t="s">
        <v>313</v>
      </c>
      <c r="AO483" s="2">
        <v>46274</v>
      </c>
      <c r="AP483" s="1" t="s">
        <v>301</v>
      </c>
      <c r="AS483" s="1" t="s">
        <v>71</v>
      </c>
      <c r="AU483" s="1" t="s">
        <v>72</v>
      </c>
      <c r="AV483" s="1" t="s">
        <v>73</v>
      </c>
      <c r="AX483" s="1">
        <v>0</v>
      </c>
      <c r="BA483" s="1">
        <v>3</v>
      </c>
      <c r="BB483" s="1">
        <v>0</v>
      </c>
      <c r="BC483" s="1">
        <v>0</v>
      </c>
      <c r="BE483" s="1">
        <v>27186309</v>
      </c>
    </row>
    <row r="484" spans="1:57" x14ac:dyDescent="0.25">
      <c r="A484" s="1" t="str">
        <f>T("1944377008952381888")</f>
        <v>1944377008952381888</v>
      </c>
      <c r="B484" s="1" t="str">
        <f>T("249917975926")</f>
        <v>249917975926</v>
      </c>
      <c r="C484" s="1" t="str">
        <f>T("1941094470506251480")</f>
        <v>1941094470506251480</v>
      </c>
      <c r="AA484" s="1">
        <v>1</v>
      </c>
      <c r="AC484" s="1" t="s">
        <v>276</v>
      </c>
      <c r="AD484" s="1" t="s">
        <v>311</v>
      </c>
      <c r="AE484" s="1" t="s">
        <v>312</v>
      </c>
      <c r="AF484" s="1" t="s">
        <v>107</v>
      </c>
      <c r="AG484" s="1" t="s">
        <v>313</v>
      </c>
      <c r="AO484" s="2">
        <v>46274</v>
      </c>
      <c r="AP484" s="1" t="s">
        <v>301</v>
      </c>
      <c r="AQ484" s="2">
        <v>46274</v>
      </c>
      <c r="AR484" s="1" t="s">
        <v>303</v>
      </c>
      <c r="AS484" s="1" t="s">
        <v>71</v>
      </c>
      <c r="AU484" s="1" t="s">
        <v>79</v>
      </c>
      <c r="AV484" s="1" t="s">
        <v>80</v>
      </c>
      <c r="AW484" s="1">
        <v>52.04</v>
      </c>
      <c r="AX484" s="1">
        <v>0</v>
      </c>
      <c r="AZ484" s="1" t="s">
        <v>81</v>
      </c>
      <c r="BA484" s="1">
        <v>1</v>
      </c>
      <c r="BB484" s="1">
        <v>0</v>
      </c>
      <c r="BC484" s="1">
        <v>0</v>
      </c>
      <c r="BE484" s="1">
        <v>27186309</v>
      </c>
    </row>
    <row r="485" spans="1:57" x14ac:dyDescent="0.25">
      <c r="A485" s="1" t="str">
        <f>T("1944377008981744844")</f>
        <v>1944377008981744844</v>
      </c>
      <c r="B485" s="1" t="str">
        <f>T("249917923535")</f>
        <v>249917923535</v>
      </c>
      <c r="C485" s="1" t="str">
        <f>T("1941094470506252480")</f>
        <v>1941094470506252480</v>
      </c>
      <c r="AA485" s="1">
        <v>1</v>
      </c>
      <c r="AC485" s="1" t="s">
        <v>276</v>
      </c>
      <c r="AD485" s="1" t="s">
        <v>311</v>
      </c>
      <c r="AE485" s="1" t="s">
        <v>312</v>
      </c>
      <c r="AF485" s="1" t="s">
        <v>107</v>
      </c>
      <c r="AG485" s="1" t="s">
        <v>313</v>
      </c>
      <c r="AO485" s="2">
        <v>46274</v>
      </c>
      <c r="AP485" s="1" t="s">
        <v>301</v>
      </c>
      <c r="AQ485" s="2">
        <v>46274</v>
      </c>
      <c r="AR485" s="1" t="s">
        <v>315</v>
      </c>
      <c r="AS485" s="1" t="s">
        <v>71</v>
      </c>
      <c r="AU485" s="1" t="s">
        <v>79</v>
      </c>
      <c r="AV485" s="1" t="s">
        <v>80</v>
      </c>
      <c r="AW485" s="1">
        <v>46.96</v>
      </c>
      <c r="AX485" s="1">
        <v>0</v>
      </c>
      <c r="AZ485" s="1" t="s">
        <v>81</v>
      </c>
      <c r="BA485" s="1">
        <v>1</v>
      </c>
      <c r="BB485" s="1">
        <v>0</v>
      </c>
      <c r="BC485" s="1">
        <v>0</v>
      </c>
      <c r="BE485" s="1">
        <v>27186309</v>
      </c>
    </row>
    <row r="486" spans="1:57" x14ac:dyDescent="0.25">
      <c r="A486" s="1" t="str">
        <f>T("1944377009002715184")</f>
        <v>1944377009002715184</v>
      </c>
      <c r="B486" s="1" t="str">
        <f>T("249908541219")</f>
        <v>249908541219</v>
      </c>
      <c r="C486" s="1" t="str">
        <f>T("1941094470506253080")</f>
        <v>1941094470506253080</v>
      </c>
      <c r="AC486" s="1" t="s">
        <v>276</v>
      </c>
      <c r="AD486" s="1" t="s">
        <v>311</v>
      </c>
      <c r="AE486" s="1" t="s">
        <v>312</v>
      </c>
      <c r="AF486" s="1" t="s">
        <v>107</v>
      </c>
      <c r="AG486" s="1" t="s">
        <v>313</v>
      </c>
      <c r="AO486" s="2">
        <v>46274</v>
      </c>
      <c r="AP486" s="1" t="s">
        <v>301</v>
      </c>
      <c r="AS486" s="1" t="s">
        <v>71</v>
      </c>
      <c r="AU486" s="1" t="s">
        <v>72</v>
      </c>
      <c r="AV486" s="1" t="s">
        <v>131</v>
      </c>
      <c r="AX486" s="1">
        <v>0</v>
      </c>
      <c r="BA486" s="1">
        <v>3</v>
      </c>
      <c r="BB486" s="1">
        <v>0</v>
      </c>
      <c r="BC486" s="1">
        <v>0</v>
      </c>
      <c r="BE486" s="1">
        <v>27186309</v>
      </c>
    </row>
    <row r="487" spans="1:57" x14ac:dyDescent="0.25">
      <c r="A487" s="1" t="str">
        <f>T("1944377009019491816")</f>
        <v>1944377009019491816</v>
      </c>
      <c r="B487" s="1" t="str">
        <f>T("249917963808")</f>
        <v>249917963808</v>
      </c>
      <c r="C487" s="1" t="str">
        <f>T("1941094470506253580")</f>
        <v>1941094470506253580</v>
      </c>
      <c r="AC487" s="1" t="s">
        <v>276</v>
      </c>
      <c r="AD487" s="1" t="s">
        <v>311</v>
      </c>
      <c r="AE487" s="1" t="s">
        <v>312</v>
      </c>
      <c r="AF487" s="1" t="s">
        <v>107</v>
      </c>
      <c r="AG487" s="1" t="s">
        <v>313</v>
      </c>
      <c r="AO487" s="2">
        <v>46274</v>
      </c>
      <c r="AP487" s="1" t="s">
        <v>301</v>
      </c>
      <c r="AS487" s="1" t="s">
        <v>71</v>
      </c>
      <c r="AU487" s="1" t="s">
        <v>72</v>
      </c>
      <c r="AV487" s="1" t="s">
        <v>73</v>
      </c>
      <c r="AX487" s="1">
        <v>0</v>
      </c>
      <c r="BA487" s="1">
        <v>3</v>
      </c>
      <c r="BB487" s="1">
        <v>0</v>
      </c>
      <c r="BC487" s="1">
        <v>0</v>
      </c>
      <c r="BE487" s="1">
        <v>27186309</v>
      </c>
    </row>
    <row r="488" spans="1:57" x14ac:dyDescent="0.25">
      <c r="A488" s="1" t="str">
        <f>T("1944377009053046780")</f>
        <v>1944377009053046780</v>
      </c>
      <c r="B488" s="1" t="str">
        <f>T("249918895303")</f>
        <v>249918895303</v>
      </c>
      <c r="C488" s="1" t="str">
        <f>T("1941094470506254280")</f>
        <v>1941094470506254280</v>
      </c>
      <c r="M488" s="1" t="s">
        <v>59</v>
      </c>
      <c r="O488" s="1" t="s">
        <v>65</v>
      </c>
      <c r="P488" s="1" t="s">
        <v>111</v>
      </c>
      <c r="AA488" s="1">
        <v>1</v>
      </c>
      <c r="AC488" s="1" t="s">
        <v>276</v>
      </c>
      <c r="AD488" s="1" t="s">
        <v>311</v>
      </c>
      <c r="AE488" s="1" t="s">
        <v>312</v>
      </c>
      <c r="AF488" s="1" t="s">
        <v>107</v>
      </c>
      <c r="AG488" s="1" t="s">
        <v>313</v>
      </c>
      <c r="AO488" s="2">
        <v>46274</v>
      </c>
      <c r="AP488" s="1" t="s">
        <v>301</v>
      </c>
      <c r="AQ488" s="2">
        <v>46274</v>
      </c>
      <c r="AR488" s="1" t="s">
        <v>320</v>
      </c>
      <c r="AS488" s="1" t="s">
        <v>71</v>
      </c>
      <c r="AU488" s="1" t="s">
        <v>79</v>
      </c>
      <c r="AV488" s="1" t="s">
        <v>80</v>
      </c>
      <c r="AW488" s="1">
        <v>141.66</v>
      </c>
      <c r="AX488" s="1">
        <v>0</v>
      </c>
      <c r="AZ488" s="1" t="s">
        <v>81</v>
      </c>
      <c r="BA488" s="1">
        <v>1</v>
      </c>
      <c r="BB488" s="1">
        <v>0</v>
      </c>
      <c r="BC488" s="1">
        <v>0</v>
      </c>
      <c r="BE488" s="1">
        <v>27186309</v>
      </c>
    </row>
    <row r="489" spans="1:57" x14ac:dyDescent="0.25">
      <c r="A489" s="1" t="str">
        <f>T("1944377009061436396")</f>
        <v>1944377009061436396</v>
      </c>
      <c r="B489" s="1" t="str">
        <f>T("249909234703")</f>
        <v>249909234703</v>
      </c>
      <c r="C489" s="1" t="str">
        <f>T("1941094470510444988")</f>
        <v>1941094470510444988</v>
      </c>
      <c r="AC489" s="1" t="s">
        <v>276</v>
      </c>
      <c r="AD489" s="1" t="s">
        <v>311</v>
      </c>
      <c r="AE489" s="1" t="s">
        <v>312</v>
      </c>
      <c r="AF489" s="1" t="s">
        <v>144</v>
      </c>
      <c r="AG489" s="1" t="s">
        <v>313</v>
      </c>
      <c r="AO489" s="2">
        <v>46274</v>
      </c>
      <c r="AP489" s="1" t="s">
        <v>301</v>
      </c>
      <c r="AS489" s="1" t="s">
        <v>71</v>
      </c>
      <c r="AU489" s="1" t="s">
        <v>72</v>
      </c>
      <c r="AV489" s="1" t="s">
        <v>115</v>
      </c>
      <c r="AX489" s="1">
        <v>0</v>
      </c>
      <c r="BA489" s="1">
        <v>3</v>
      </c>
      <c r="BB489" s="1">
        <v>0</v>
      </c>
      <c r="BC489" s="1">
        <v>0</v>
      </c>
      <c r="BE489" s="1">
        <v>27186309</v>
      </c>
    </row>
    <row r="490" spans="1:57" x14ac:dyDescent="0.25">
      <c r="A490" s="1" t="str">
        <f>T("1944377009078212628")</f>
        <v>1944377009078212628</v>
      </c>
      <c r="B490" s="1" t="str">
        <f>T("249917944041")</f>
        <v>249917944041</v>
      </c>
      <c r="C490" s="1" t="str">
        <f>T("1941094470510445488")</f>
        <v>1941094470510445488</v>
      </c>
      <c r="M490" s="1" t="s">
        <v>59</v>
      </c>
      <c r="O490" s="1" t="s">
        <v>65</v>
      </c>
      <c r="P490" s="1" t="s">
        <v>111</v>
      </c>
      <c r="Q490" s="1" t="s">
        <v>101</v>
      </c>
      <c r="R490" s="1" t="s">
        <v>93</v>
      </c>
      <c r="T490" s="1" t="s">
        <v>95</v>
      </c>
      <c r="U490" s="1" t="s">
        <v>65</v>
      </c>
      <c r="V490" s="1" t="s">
        <v>68</v>
      </c>
      <c r="W490" s="1" t="s">
        <v>67</v>
      </c>
      <c r="X490" s="1" t="s">
        <v>66</v>
      </c>
      <c r="Y490" s="1" t="s">
        <v>160</v>
      </c>
      <c r="AA490" s="1">
        <v>1</v>
      </c>
      <c r="AB490" s="1">
        <v>1</v>
      </c>
      <c r="AC490" s="1" t="s">
        <v>276</v>
      </c>
      <c r="AD490" s="1" t="s">
        <v>311</v>
      </c>
      <c r="AE490" s="1" t="s">
        <v>312</v>
      </c>
      <c r="AF490" s="1" t="s">
        <v>107</v>
      </c>
      <c r="AG490" s="1" t="s">
        <v>313</v>
      </c>
      <c r="AO490" s="2">
        <v>46274</v>
      </c>
      <c r="AP490" s="1" t="s">
        <v>301</v>
      </c>
      <c r="AQ490" s="2">
        <v>46274</v>
      </c>
      <c r="AR490" s="1" t="s">
        <v>321</v>
      </c>
      <c r="AS490" s="1" t="s">
        <v>71</v>
      </c>
      <c r="AU490" s="1" t="s">
        <v>78</v>
      </c>
      <c r="AV490" s="1" t="s">
        <v>80</v>
      </c>
      <c r="AW490" s="1">
        <v>341.22</v>
      </c>
      <c r="AX490" s="1">
        <v>0</v>
      </c>
      <c r="AZ490" s="1" t="s">
        <v>81</v>
      </c>
      <c r="BA490" s="1">
        <v>2</v>
      </c>
      <c r="BB490" s="1">
        <v>0</v>
      </c>
      <c r="BC490" s="1">
        <v>0</v>
      </c>
      <c r="BE490" s="1">
        <v>27186309</v>
      </c>
    </row>
    <row r="491" spans="1:57" x14ac:dyDescent="0.25">
      <c r="A491" s="1" t="str">
        <f>T("1944377009107572884")</f>
        <v>1944377009107572884</v>
      </c>
      <c r="B491" s="1" t="str">
        <f>T("249911039239")</f>
        <v>249911039239</v>
      </c>
      <c r="C491" s="1" t="str">
        <f>T("1941094470510446288")</f>
        <v>1941094470510446288</v>
      </c>
      <c r="AC491" s="1" t="s">
        <v>276</v>
      </c>
      <c r="AD491" s="1" t="s">
        <v>311</v>
      </c>
      <c r="AE491" s="1" t="s">
        <v>322</v>
      </c>
      <c r="AF491" s="1" t="s">
        <v>107</v>
      </c>
      <c r="AG491" s="1" t="s">
        <v>313</v>
      </c>
      <c r="AO491" s="2">
        <v>46274</v>
      </c>
      <c r="AP491" s="1" t="s">
        <v>301</v>
      </c>
      <c r="AQ491" s="2">
        <v>46274</v>
      </c>
      <c r="AR491" s="1" t="s">
        <v>323</v>
      </c>
      <c r="AS491" s="1" t="s">
        <v>71</v>
      </c>
      <c r="AU491" s="1" t="s">
        <v>79</v>
      </c>
      <c r="AV491" s="1" t="s">
        <v>80</v>
      </c>
      <c r="AW491" s="1">
        <v>9.56</v>
      </c>
      <c r="AX491" s="1">
        <v>0</v>
      </c>
      <c r="AZ491" s="1" t="s">
        <v>81</v>
      </c>
      <c r="BA491" s="1">
        <v>1</v>
      </c>
      <c r="BB491" s="1">
        <v>0</v>
      </c>
      <c r="BC491" s="1">
        <v>0</v>
      </c>
      <c r="BE491" s="1">
        <v>27186309</v>
      </c>
    </row>
    <row r="492" spans="1:57" x14ac:dyDescent="0.25">
      <c r="A492" s="1" t="str">
        <f>T("1944377009111767092")</f>
        <v>1944377009111767092</v>
      </c>
      <c r="B492" s="1" t="str">
        <f>T("249962866599")</f>
        <v>249962866599</v>
      </c>
      <c r="C492" s="1" t="str">
        <f>T("1941094470510445888")</f>
        <v>1941094470510445888</v>
      </c>
      <c r="AA492" s="1">
        <v>1</v>
      </c>
      <c r="AC492" s="1" t="s">
        <v>276</v>
      </c>
      <c r="AD492" s="1" t="s">
        <v>311</v>
      </c>
      <c r="AE492" s="1" t="s">
        <v>312</v>
      </c>
      <c r="AF492" s="1" t="s">
        <v>144</v>
      </c>
      <c r="AG492" s="1" t="s">
        <v>313</v>
      </c>
      <c r="AO492" s="2">
        <v>46274</v>
      </c>
      <c r="AP492" s="1" t="s">
        <v>301</v>
      </c>
      <c r="AQ492" s="2">
        <v>46274</v>
      </c>
      <c r="AR492" s="1" t="s">
        <v>324</v>
      </c>
      <c r="AS492" s="1" t="s">
        <v>71</v>
      </c>
      <c r="AU492" s="1" t="s">
        <v>79</v>
      </c>
      <c r="AV492" s="1" t="s">
        <v>80</v>
      </c>
      <c r="AW492" s="1">
        <v>50.06</v>
      </c>
      <c r="AX492" s="1">
        <v>0</v>
      </c>
      <c r="AZ492" s="1" t="s">
        <v>81</v>
      </c>
      <c r="BA492" s="1">
        <v>1</v>
      </c>
      <c r="BB492" s="1">
        <v>0</v>
      </c>
      <c r="BC492" s="1">
        <v>0</v>
      </c>
      <c r="BE492" s="1">
        <v>27186309</v>
      </c>
    </row>
    <row r="493" spans="1:57" x14ac:dyDescent="0.25">
      <c r="A493" s="1" t="str">
        <f>T("1944377009136932740")</f>
        <v>1944377009136932740</v>
      </c>
      <c r="B493" s="1" t="str">
        <f>T("249966188433")</f>
        <v>249966188433</v>
      </c>
      <c r="C493" s="1" t="str">
        <f>T("1941094470510446988")</f>
        <v>1941094470510446988</v>
      </c>
      <c r="AC493" s="1" t="s">
        <v>276</v>
      </c>
      <c r="AD493" s="1" t="s">
        <v>311</v>
      </c>
      <c r="AE493" s="1" t="s">
        <v>322</v>
      </c>
      <c r="AF493" s="1" t="s">
        <v>107</v>
      </c>
      <c r="AG493" s="1" t="s">
        <v>313</v>
      </c>
      <c r="AO493" s="2">
        <v>46274</v>
      </c>
      <c r="AP493" s="1" t="s">
        <v>301</v>
      </c>
      <c r="AS493" s="1" t="s">
        <v>71</v>
      </c>
      <c r="AU493" s="1" t="s">
        <v>72</v>
      </c>
      <c r="AV493" s="1" t="s">
        <v>115</v>
      </c>
      <c r="AX493" s="1">
        <v>0</v>
      </c>
      <c r="BA493" s="1">
        <v>3</v>
      </c>
      <c r="BB493" s="1">
        <v>0</v>
      </c>
      <c r="BC493" s="1">
        <v>0</v>
      </c>
      <c r="BE493" s="1">
        <v>27186309</v>
      </c>
    </row>
    <row r="494" spans="1:57" x14ac:dyDescent="0.25">
      <c r="A494" s="1" t="str">
        <f>T("1944377009153709072")</f>
        <v>1944377009153709072</v>
      </c>
      <c r="B494" s="1" t="str">
        <f>T("249967750050")</f>
        <v>249967750050</v>
      </c>
      <c r="C494" s="1" t="str">
        <f>T("1941094470510447488")</f>
        <v>1941094470510447488</v>
      </c>
      <c r="M494" s="1" t="s">
        <v>59</v>
      </c>
      <c r="O494" s="1" t="s">
        <v>65</v>
      </c>
      <c r="P494" s="1" t="s">
        <v>83</v>
      </c>
      <c r="Q494" s="1" t="s">
        <v>101</v>
      </c>
      <c r="R494" s="1" t="s">
        <v>93</v>
      </c>
      <c r="T494" s="1" t="s">
        <v>119</v>
      </c>
      <c r="U494" s="1" t="s">
        <v>65</v>
      </c>
      <c r="V494" s="1" t="s">
        <v>66</v>
      </c>
      <c r="W494" s="1" t="s">
        <v>67</v>
      </c>
      <c r="X494" s="1" t="s">
        <v>66</v>
      </c>
      <c r="Y494" s="1" t="s">
        <v>69</v>
      </c>
      <c r="AA494" s="1">
        <v>1</v>
      </c>
      <c r="AB494" s="1">
        <v>1</v>
      </c>
      <c r="AC494" s="1" t="s">
        <v>276</v>
      </c>
      <c r="AD494" s="1" t="s">
        <v>311</v>
      </c>
      <c r="AE494" s="1" t="s">
        <v>322</v>
      </c>
      <c r="AF494" s="1" t="s">
        <v>107</v>
      </c>
      <c r="AG494" s="1" t="s">
        <v>313</v>
      </c>
      <c r="AO494" s="2">
        <v>46274</v>
      </c>
      <c r="AP494" s="1" t="s">
        <v>301</v>
      </c>
      <c r="AQ494" s="2">
        <v>46274</v>
      </c>
      <c r="AR494" s="1" t="s">
        <v>325</v>
      </c>
      <c r="AS494" s="1" t="s">
        <v>71</v>
      </c>
      <c r="AU494" s="1" t="s">
        <v>78</v>
      </c>
      <c r="AV494" s="1" t="s">
        <v>80</v>
      </c>
      <c r="AW494" s="1">
        <v>169.12</v>
      </c>
      <c r="AX494" s="1">
        <v>0</v>
      </c>
      <c r="AZ494" s="1" t="s">
        <v>81</v>
      </c>
      <c r="BA494" s="1">
        <v>1</v>
      </c>
      <c r="BB494" s="1">
        <v>0</v>
      </c>
      <c r="BC494" s="1">
        <v>0</v>
      </c>
      <c r="BE494" s="1">
        <v>27186309</v>
      </c>
    </row>
    <row r="495" spans="1:57" x14ac:dyDescent="0.25">
      <c r="A495" s="1" t="str">
        <f>T("1944377009162098688")</f>
        <v>1944377009162098688</v>
      </c>
      <c r="B495" s="1" t="str">
        <f>T("249908865725")</f>
        <v>249908865725</v>
      </c>
      <c r="C495" s="1" t="str">
        <f>T("1941094470510447988")</f>
        <v>1941094470510447988</v>
      </c>
      <c r="AA495" s="1">
        <v>1</v>
      </c>
      <c r="AC495" s="1" t="s">
        <v>276</v>
      </c>
      <c r="AD495" s="1" t="s">
        <v>311</v>
      </c>
      <c r="AE495" s="1" t="s">
        <v>322</v>
      </c>
      <c r="AF495" s="1" t="s">
        <v>107</v>
      </c>
      <c r="AG495" s="1" t="s">
        <v>313</v>
      </c>
      <c r="AO495" s="2">
        <v>46274</v>
      </c>
      <c r="AP495" s="1" t="s">
        <v>301</v>
      </c>
      <c r="AQ495" s="2">
        <v>46274</v>
      </c>
      <c r="AR495" s="1" t="s">
        <v>326</v>
      </c>
      <c r="AS495" s="1" t="s">
        <v>71</v>
      </c>
      <c r="AU495" s="1" t="s">
        <v>79</v>
      </c>
      <c r="AV495" s="1" t="s">
        <v>80</v>
      </c>
      <c r="AW495" s="1">
        <v>59.12</v>
      </c>
      <c r="AX495" s="1">
        <v>0</v>
      </c>
      <c r="AZ495" s="1" t="s">
        <v>81</v>
      </c>
      <c r="BA495" s="1">
        <v>1</v>
      </c>
      <c r="BB495" s="1">
        <v>0</v>
      </c>
      <c r="BC495" s="1">
        <v>0</v>
      </c>
      <c r="BE495" s="1">
        <v>27186309</v>
      </c>
    </row>
    <row r="496" spans="1:57" x14ac:dyDescent="0.25">
      <c r="A496" s="1" t="str">
        <f>T("1944377009204042668")</f>
        <v>1944377009204042668</v>
      </c>
      <c r="B496" s="1" t="str">
        <f>T("249906013491")</f>
        <v>249906013491</v>
      </c>
      <c r="C496" s="1" t="str">
        <f>T("1941094470510448388")</f>
        <v>1941094470510448388</v>
      </c>
      <c r="M496" s="1" t="s">
        <v>59</v>
      </c>
      <c r="O496" s="1" t="s">
        <v>60</v>
      </c>
      <c r="P496" s="1" t="s">
        <v>91</v>
      </c>
      <c r="Q496" s="1" t="s">
        <v>62</v>
      </c>
      <c r="R496" s="1" t="s">
        <v>63</v>
      </c>
      <c r="S496" s="1" t="s">
        <v>159</v>
      </c>
      <c r="U496" s="1" t="s">
        <v>65</v>
      </c>
      <c r="V496" s="1" t="s">
        <v>103</v>
      </c>
      <c r="W496" s="1" t="s">
        <v>60</v>
      </c>
      <c r="X496" s="1" t="s">
        <v>102</v>
      </c>
      <c r="Y496" s="1" t="s">
        <v>160</v>
      </c>
      <c r="AA496" s="1">
        <v>1</v>
      </c>
      <c r="AB496" s="1">
        <v>1</v>
      </c>
      <c r="AC496" s="1" t="s">
        <v>276</v>
      </c>
      <c r="AD496" s="1" t="s">
        <v>311</v>
      </c>
      <c r="AE496" s="1" t="s">
        <v>322</v>
      </c>
      <c r="AF496" s="1" t="s">
        <v>144</v>
      </c>
      <c r="AG496" s="1" t="s">
        <v>313</v>
      </c>
      <c r="AO496" s="2">
        <v>46274</v>
      </c>
      <c r="AP496" s="1" t="s">
        <v>301</v>
      </c>
      <c r="AQ496" s="2">
        <v>46274</v>
      </c>
      <c r="AR496" s="1" t="s">
        <v>327</v>
      </c>
      <c r="AS496" s="1" t="s">
        <v>71</v>
      </c>
      <c r="AU496" s="1" t="s">
        <v>78</v>
      </c>
      <c r="AV496" s="1" t="s">
        <v>80</v>
      </c>
      <c r="AW496" s="1">
        <v>259.48</v>
      </c>
      <c r="AX496" s="1">
        <v>0</v>
      </c>
      <c r="AZ496" s="1" t="s">
        <v>81</v>
      </c>
      <c r="BA496" s="1">
        <v>1</v>
      </c>
      <c r="BB496" s="1">
        <v>0</v>
      </c>
      <c r="BC496" s="1">
        <v>0</v>
      </c>
      <c r="BE496" s="1">
        <v>27186309</v>
      </c>
    </row>
    <row r="497" spans="1:57" x14ac:dyDescent="0.25">
      <c r="A497" s="1" t="str">
        <f>T("1944377009208235776")</f>
        <v>1944377009208235776</v>
      </c>
      <c r="B497" s="1" t="str">
        <f>T("249901898063")</f>
        <v>249901898063</v>
      </c>
      <c r="C497" s="1" t="str">
        <f>T("1941094470514639196")</f>
        <v>1941094470514639196</v>
      </c>
      <c r="AC497" s="1" t="s">
        <v>276</v>
      </c>
      <c r="AD497" s="1" t="s">
        <v>311</v>
      </c>
      <c r="AE497" s="1" t="s">
        <v>322</v>
      </c>
      <c r="AF497" s="1" t="s">
        <v>107</v>
      </c>
      <c r="AG497" s="1" t="s">
        <v>313</v>
      </c>
      <c r="AO497" s="2">
        <v>46274</v>
      </c>
      <c r="AP497" s="1" t="s">
        <v>301</v>
      </c>
      <c r="AQ497" s="2">
        <v>46274</v>
      </c>
      <c r="AR497" s="1" t="s">
        <v>328</v>
      </c>
      <c r="AS497" s="1" t="s">
        <v>71</v>
      </c>
      <c r="AU497" s="1" t="s">
        <v>79</v>
      </c>
      <c r="AV497" s="1" t="s">
        <v>80</v>
      </c>
      <c r="AW497" s="1">
        <v>35.880000000000003</v>
      </c>
      <c r="AX497" s="1">
        <v>0</v>
      </c>
      <c r="AZ497" s="1" t="s">
        <v>81</v>
      </c>
      <c r="BA497" s="1">
        <v>1</v>
      </c>
      <c r="BB497" s="1">
        <v>0</v>
      </c>
      <c r="BC497" s="1">
        <v>0</v>
      </c>
      <c r="BE497" s="1">
        <v>27186309</v>
      </c>
    </row>
    <row r="498" spans="1:57" x14ac:dyDescent="0.25">
      <c r="A498" s="1" t="str">
        <f>T("1944377009208236176")</f>
        <v>1944377009208236176</v>
      </c>
      <c r="B498" s="1" t="str">
        <f>T("249912705874")</f>
        <v>249912705874</v>
      </c>
      <c r="C498" s="1" t="str">
        <f>T("1941094470514639596")</f>
        <v>1941094470514639596</v>
      </c>
      <c r="AC498" s="1" t="s">
        <v>276</v>
      </c>
      <c r="AD498" s="1" t="s">
        <v>311</v>
      </c>
      <c r="AE498" s="1" t="s">
        <v>329</v>
      </c>
      <c r="AF498" s="1" t="s">
        <v>107</v>
      </c>
      <c r="AG498" s="1" t="s">
        <v>313</v>
      </c>
      <c r="AO498" s="2">
        <v>46274</v>
      </c>
      <c r="AP498" s="1" t="s">
        <v>301</v>
      </c>
      <c r="AS498" s="1" t="s">
        <v>71</v>
      </c>
      <c r="AU498" s="1" t="s">
        <v>72</v>
      </c>
      <c r="AV498" s="1" t="s">
        <v>73</v>
      </c>
      <c r="AX498" s="1">
        <v>0</v>
      </c>
      <c r="BA498" s="1">
        <v>3</v>
      </c>
      <c r="BB498" s="1">
        <v>0</v>
      </c>
      <c r="BC498" s="1">
        <v>0</v>
      </c>
      <c r="BE498" s="1">
        <v>27186309</v>
      </c>
    </row>
    <row r="499" spans="1:57" x14ac:dyDescent="0.25">
      <c r="A499" s="1" t="str">
        <f>T("1944377009266954688")</f>
        <v>1944377009266954688</v>
      </c>
      <c r="B499" s="1" t="str">
        <f>T("249910847476")</f>
        <v>249910847476</v>
      </c>
      <c r="C499" s="1" t="str">
        <f>T("1941094470514640496")</f>
        <v>1941094470514640496</v>
      </c>
      <c r="AC499" s="1" t="s">
        <v>276</v>
      </c>
      <c r="AD499" s="1" t="s">
        <v>311</v>
      </c>
      <c r="AE499" s="1" t="s">
        <v>329</v>
      </c>
      <c r="AF499" s="1" t="s">
        <v>144</v>
      </c>
      <c r="AG499" s="1" t="s">
        <v>313</v>
      </c>
      <c r="AO499" s="2">
        <v>46274</v>
      </c>
      <c r="AP499" s="1" t="s">
        <v>301</v>
      </c>
      <c r="AS499" s="1" t="s">
        <v>71</v>
      </c>
      <c r="AU499" s="1" t="s">
        <v>72</v>
      </c>
      <c r="AV499" s="1" t="s">
        <v>73</v>
      </c>
      <c r="AX499" s="1">
        <v>0</v>
      </c>
      <c r="BA499" s="1">
        <v>3</v>
      </c>
      <c r="BB499" s="1">
        <v>0</v>
      </c>
      <c r="BC499" s="1">
        <v>0</v>
      </c>
      <c r="BE499" s="1">
        <v>27186309</v>
      </c>
    </row>
    <row r="500" spans="1:57" x14ac:dyDescent="0.25">
      <c r="A500" s="1" t="str">
        <f>T("1944377009266954689")</f>
        <v>1944377009266954689</v>
      </c>
      <c r="B500" s="1" t="str">
        <f>T("249910830888")</f>
        <v>249910830888</v>
      </c>
      <c r="C500" s="1" t="str">
        <f>T("1941094470514640096")</f>
        <v>1941094470514640096</v>
      </c>
      <c r="AC500" s="1" t="s">
        <v>276</v>
      </c>
      <c r="AD500" s="1" t="s">
        <v>311</v>
      </c>
      <c r="AE500" s="1" t="s">
        <v>329</v>
      </c>
      <c r="AF500" s="1" t="s">
        <v>107</v>
      </c>
      <c r="AG500" s="1" t="s">
        <v>313</v>
      </c>
      <c r="AO500" s="2">
        <v>46274</v>
      </c>
      <c r="AP500" s="1" t="s">
        <v>301</v>
      </c>
      <c r="AQ500" s="2">
        <v>46274</v>
      </c>
      <c r="AR500" s="1" t="s">
        <v>320</v>
      </c>
      <c r="AS500" s="1" t="s">
        <v>71</v>
      </c>
      <c r="AU500" s="1" t="s">
        <v>79</v>
      </c>
      <c r="AV500" s="1" t="s">
        <v>80</v>
      </c>
      <c r="AW500" s="1">
        <v>9.1199999999999992</v>
      </c>
      <c r="AX500" s="1">
        <v>0</v>
      </c>
      <c r="AZ500" s="1" t="s">
        <v>81</v>
      </c>
      <c r="BA500" s="1">
        <v>1</v>
      </c>
      <c r="BB500" s="1">
        <v>0</v>
      </c>
      <c r="BC500" s="1">
        <v>0</v>
      </c>
      <c r="BE500" s="1">
        <v>27186309</v>
      </c>
    </row>
    <row r="501" spans="1:57" x14ac:dyDescent="0.25">
      <c r="A501" s="1" t="str">
        <f>T("1944377009275344004")</f>
        <v>1944377009275344004</v>
      </c>
      <c r="B501" s="1" t="str">
        <f>T("249910056677")</f>
        <v>249910056677</v>
      </c>
      <c r="C501" s="1" t="str">
        <f>T("1941094470514640896")</f>
        <v>1941094470514640896</v>
      </c>
      <c r="AC501" s="1" t="s">
        <v>276</v>
      </c>
      <c r="AD501" s="1" t="s">
        <v>311</v>
      </c>
      <c r="AE501" s="1" t="s">
        <v>329</v>
      </c>
      <c r="AF501" s="1" t="s">
        <v>144</v>
      </c>
      <c r="AG501" s="1" t="s">
        <v>313</v>
      </c>
      <c r="AO501" s="2">
        <v>46274</v>
      </c>
      <c r="AP501" s="1" t="s">
        <v>301</v>
      </c>
      <c r="AQ501" s="2">
        <v>46274</v>
      </c>
      <c r="AR501" s="1" t="s">
        <v>330</v>
      </c>
      <c r="AS501" s="1" t="s">
        <v>71</v>
      </c>
      <c r="AU501" s="1" t="s">
        <v>79</v>
      </c>
      <c r="AV501" s="1" t="s">
        <v>80</v>
      </c>
      <c r="AW501" s="1">
        <v>6.96</v>
      </c>
      <c r="AX501" s="1">
        <v>0</v>
      </c>
      <c r="AZ501" s="1" t="s">
        <v>81</v>
      </c>
      <c r="BA501" s="1">
        <v>1</v>
      </c>
      <c r="BB501" s="1">
        <v>0</v>
      </c>
      <c r="BC501" s="1">
        <v>0</v>
      </c>
      <c r="BE501" s="1">
        <v>27186309</v>
      </c>
    </row>
    <row r="502" spans="1:57" x14ac:dyDescent="0.25">
      <c r="A502" s="1" t="str">
        <f>T("1944377009338260624")</f>
        <v>1944377009338260624</v>
      </c>
      <c r="B502" s="1" t="str">
        <f>T("249912876277")</f>
        <v>249912876277</v>
      </c>
      <c r="C502" s="1" t="str">
        <f>T("1941094470514641296")</f>
        <v>1941094470514641296</v>
      </c>
      <c r="AC502" s="1" t="s">
        <v>276</v>
      </c>
      <c r="AD502" s="1" t="s">
        <v>298</v>
      </c>
      <c r="AE502" s="1" t="s">
        <v>331</v>
      </c>
      <c r="AF502" s="1" t="s">
        <v>107</v>
      </c>
      <c r="AG502" s="1" t="s">
        <v>313</v>
      </c>
      <c r="AO502" s="2">
        <v>46274</v>
      </c>
      <c r="AP502" s="1" t="s">
        <v>301</v>
      </c>
      <c r="AS502" s="1" t="s">
        <v>71</v>
      </c>
      <c r="AU502" s="1" t="s">
        <v>72</v>
      </c>
      <c r="AV502" s="1" t="s">
        <v>73</v>
      </c>
      <c r="AX502" s="1">
        <v>0</v>
      </c>
      <c r="BA502" s="1">
        <v>3</v>
      </c>
      <c r="BB502" s="1">
        <v>0</v>
      </c>
      <c r="BC502" s="1">
        <v>0</v>
      </c>
      <c r="BE502" s="1">
        <v>27186309</v>
      </c>
    </row>
    <row r="503" spans="1:57" x14ac:dyDescent="0.25">
      <c r="A503" s="1" t="str">
        <f>T("1944377009338261024")</f>
        <v>1944377009338261024</v>
      </c>
      <c r="B503" s="1" t="str">
        <f>T("249912821302")</f>
        <v>249912821302</v>
      </c>
      <c r="C503" s="1" t="str">
        <f>T("1941094470523030312")</f>
        <v>1941094470523030312</v>
      </c>
      <c r="AC503" s="1" t="s">
        <v>276</v>
      </c>
      <c r="AD503" s="1" t="s">
        <v>298</v>
      </c>
      <c r="AE503" s="1" t="s">
        <v>331</v>
      </c>
      <c r="AF503" s="1" t="s">
        <v>107</v>
      </c>
      <c r="AG503" s="1" t="s">
        <v>313</v>
      </c>
      <c r="AO503" s="2">
        <v>46274</v>
      </c>
      <c r="AP503" s="1" t="s">
        <v>301</v>
      </c>
      <c r="AQ503" s="2">
        <v>46274</v>
      </c>
      <c r="AR503" s="1" t="s">
        <v>332</v>
      </c>
      <c r="AS503" s="1" t="s">
        <v>71</v>
      </c>
      <c r="AU503" s="1" t="s">
        <v>79</v>
      </c>
      <c r="AV503" s="1" t="s">
        <v>80</v>
      </c>
      <c r="AW503" s="1">
        <v>30.5</v>
      </c>
      <c r="AX503" s="1">
        <v>0</v>
      </c>
      <c r="AZ503" s="1" t="s">
        <v>81</v>
      </c>
      <c r="BA503" s="1">
        <v>2</v>
      </c>
      <c r="BB503" s="1">
        <v>0</v>
      </c>
      <c r="BC503" s="1">
        <v>0</v>
      </c>
      <c r="BE503" s="1">
        <v>27186309</v>
      </c>
    </row>
    <row r="504" spans="1:57" x14ac:dyDescent="0.25">
      <c r="A504" s="1" t="str">
        <f>T("1944377009338261324")</f>
        <v>1944377009338261324</v>
      </c>
      <c r="B504" s="1" t="str">
        <f>T("249123083602")</f>
        <v>249123083602</v>
      </c>
      <c r="C504" s="1" t="str">
        <f>T("1941094470523029612")</f>
        <v>1941094470523029612</v>
      </c>
      <c r="AA504" s="1">
        <v>1</v>
      </c>
      <c r="AC504" s="1" t="s">
        <v>276</v>
      </c>
      <c r="AD504" s="1" t="s">
        <v>298</v>
      </c>
      <c r="AE504" s="1" t="s">
        <v>331</v>
      </c>
      <c r="AF504" s="1" t="s">
        <v>107</v>
      </c>
      <c r="AG504" s="1" t="s">
        <v>313</v>
      </c>
      <c r="AO504" s="2">
        <v>46274</v>
      </c>
      <c r="AP504" s="1" t="s">
        <v>301</v>
      </c>
      <c r="AQ504" s="2">
        <v>46274</v>
      </c>
      <c r="AR504" s="1" t="s">
        <v>333</v>
      </c>
      <c r="AS504" s="1" t="s">
        <v>71</v>
      </c>
      <c r="AU504" s="1" t="s">
        <v>78</v>
      </c>
      <c r="AV504" s="1" t="s">
        <v>80</v>
      </c>
      <c r="AW504" s="1">
        <v>134.62</v>
      </c>
      <c r="AX504" s="1">
        <v>0</v>
      </c>
      <c r="AZ504" s="1" t="s">
        <v>81</v>
      </c>
      <c r="BA504" s="1">
        <v>1</v>
      </c>
      <c r="BB504" s="1">
        <v>0</v>
      </c>
      <c r="BC504" s="1">
        <v>0</v>
      </c>
      <c r="BE504" s="1">
        <v>27186309</v>
      </c>
    </row>
    <row r="505" spans="1:57" x14ac:dyDescent="0.25">
      <c r="A505" s="1" t="str">
        <f>T("1944377009405368252")</f>
        <v>1944377009405368252</v>
      </c>
      <c r="B505" s="1" t="str">
        <f>T("249127113394")</f>
        <v>249127113394</v>
      </c>
      <c r="C505" s="1" t="str">
        <f>T("1941094470523030812")</f>
        <v>1941094470523030812</v>
      </c>
      <c r="AC505" s="1" t="s">
        <v>276</v>
      </c>
      <c r="AD505" s="1" t="s">
        <v>298</v>
      </c>
      <c r="AE505" s="1" t="s">
        <v>331</v>
      </c>
      <c r="AF505" s="1" t="s">
        <v>107</v>
      </c>
      <c r="AG505" s="1" t="s">
        <v>313</v>
      </c>
      <c r="AO505" s="2">
        <v>46274</v>
      </c>
      <c r="AP505" s="1" t="s">
        <v>301</v>
      </c>
      <c r="AS505" s="1" t="s">
        <v>71</v>
      </c>
      <c r="AU505" s="1" t="s">
        <v>72</v>
      </c>
      <c r="AV505" s="1" t="s">
        <v>73</v>
      </c>
      <c r="AX505" s="1">
        <v>0</v>
      </c>
      <c r="BA505" s="1">
        <v>3</v>
      </c>
      <c r="BB505" s="1">
        <v>0</v>
      </c>
      <c r="BC505" s="1">
        <v>0</v>
      </c>
      <c r="BE505" s="1">
        <v>27186309</v>
      </c>
    </row>
    <row r="506" spans="1:57" x14ac:dyDescent="0.25">
      <c r="A506" s="1" t="str">
        <f>T("1944377009409561360")</f>
        <v>1944377009409561360</v>
      </c>
      <c r="B506" s="1" t="str">
        <f>T("249914113933")</f>
        <v>249914113933</v>
      </c>
      <c r="C506" s="1" t="str">
        <f>T("1941094470527222020")</f>
        <v>1941094470527222020</v>
      </c>
      <c r="AC506" s="1" t="s">
        <v>276</v>
      </c>
      <c r="AD506" s="1" t="s">
        <v>298</v>
      </c>
      <c r="AE506" s="1" t="s">
        <v>331</v>
      </c>
      <c r="AF506" s="1" t="s">
        <v>107</v>
      </c>
      <c r="AG506" s="1" t="s">
        <v>313</v>
      </c>
      <c r="AO506" s="2">
        <v>46274</v>
      </c>
      <c r="AP506" s="1" t="s">
        <v>301</v>
      </c>
      <c r="AS506" s="1" t="s">
        <v>71</v>
      </c>
      <c r="AU506" s="1" t="s">
        <v>72</v>
      </c>
      <c r="AV506" s="1" t="s">
        <v>334</v>
      </c>
      <c r="AX506" s="1">
        <v>0</v>
      </c>
      <c r="BA506" s="1">
        <v>3</v>
      </c>
      <c r="BB506" s="1">
        <v>0</v>
      </c>
      <c r="BC506" s="1">
        <v>0</v>
      </c>
      <c r="BE506" s="1">
        <v>27186309</v>
      </c>
    </row>
    <row r="507" spans="1:57" x14ac:dyDescent="0.25">
      <c r="A507" s="1" t="str">
        <f>T("1944377009430534200")</f>
        <v>1944377009430534200</v>
      </c>
      <c r="B507" s="1" t="str">
        <f>T("249910710481")</f>
        <v>249910710481</v>
      </c>
      <c r="C507" s="1" t="str">
        <f>T("1941094470531416528")</f>
        <v>1941094470531416528</v>
      </c>
      <c r="AC507" s="1" t="s">
        <v>276</v>
      </c>
      <c r="AD507" s="1" t="s">
        <v>298</v>
      </c>
      <c r="AE507" s="1" t="s">
        <v>331</v>
      </c>
      <c r="AF507" s="1" t="s">
        <v>144</v>
      </c>
      <c r="AG507" s="1" t="s">
        <v>313</v>
      </c>
      <c r="AO507" s="2">
        <v>46274</v>
      </c>
      <c r="AP507" s="1" t="s">
        <v>301</v>
      </c>
      <c r="AS507" s="1" t="s">
        <v>71</v>
      </c>
      <c r="AU507" s="1" t="s">
        <v>72</v>
      </c>
      <c r="AV507" s="1" t="s">
        <v>139</v>
      </c>
      <c r="AX507" s="1">
        <v>0</v>
      </c>
      <c r="BA507" s="1">
        <v>3</v>
      </c>
      <c r="BB507" s="1">
        <v>0</v>
      </c>
      <c r="BC507" s="1">
        <v>0</v>
      </c>
      <c r="BE507" s="1">
        <v>27186309</v>
      </c>
    </row>
    <row r="508" spans="1:57" x14ac:dyDescent="0.25">
      <c r="A508" s="1" t="str">
        <f>T("1944377009485060704")</f>
        <v>1944377009485060704</v>
      </c>
      <c r="B508" s="1" t="str">
        <f>T("24991114668")</f>
        <v>24991114668</v>
      </c>
      <c r="C508" s="1" t="str">
        <f>T("1941094470531417028")</f>
        <v>1941094470531417028</v>
      </c>
      <c r="AC508" s="1" t="s">
        <v>276</v>
      </c>
      <c r="AD508" s="1" t="s">
        <v>298</v>
      </c>
      <c r="AE508" s="1" t="s">
        <v>331</v>
      </c>
      <c r="AF508" s="1" t="s">
        <v>107</v>
      </c>
      <c r="AG508" s="1" t="s">
        <v>313</v>
      </c>
      <c r="AO508" s="2">
        <v>46274</v>
      </c>
      <c r="AP508" s="1" t="s">
        <v>301</v>
      </c>
      <c r="AS508" s="1" t="s">
        <v>71</v>
      </c>
      <c r="AU508" s="1" t="s">
        <v>72</v>
      </c>
      <c r="AV508" s="1" t="s">
        <v>73</v>
      </c>
      <c r="AX508" s="1">
        <v>0</v>
      </c>
      <c r="BA508" s="1">
        <v>3</v>
      </c>
      <c r="BB508" s="1">
        <v>0</v>
      </c>
      <c r="BC508" s="1">
        <v>0</v>
      </c>
      <c r="BE508" s="1">
        <v>27186309</v>
      </c>
    </row>
    <row r="509" spans="1:57" x14ac:dyDescent="0.25">
      <c r="A509" s="1" t="str">
        <f>T("1944377009485061804")</f>
        <v>1944377009485061804</v>
      </c>
      <c r="B509" s="1" t="str">
        <f>T("249917722129")</f>
        <v>249917722129</v>
      </c>
      <c r="C509" s="1" t="str">
        <f>T("1941094470531417428")</f>
        <v>1941094470531417428</v>
      </c>
      <c r="AC509" s="1" t="s">
        <v>276</v>
      </c>
      <c r="AD509" s="1" t="s">
        <v>298</v>
      </c>
      <c r="AE509" s="1" t="s">
        <v>335</v>
      </c>
      <c r="AF509" s="1" t="s">
        <v>107</v>
      </c>
      <c r="AG509" s="1" t="s">
        <v>313</v>
      </c>
      <c r="AO509" s="2">
        <v>46274</v>
      </c>
      <c r="AP509" s="1" t="s">
        <v>301</v>
      </c>
      <c r="AS509" s="1" t="s">
        <v>71</v>
      </c>
      <c r="AU509" s="1" t="s">
        <v>72</v>
      </c>
      <c r="AV509" s="1" t="s">
        <v>336</v>
      </c>
      <c r="AX509" s="1">
        <v>0</v>
      </c>
      <c r="BA509" s="1">
        <v>1</v>
      </c>
      <c r="BB509" s="1">
        <v>0</v>
      </c>
      <c r="BC509" s="1">
        <v>0</v>
      </c>
      <c r="BE509" s="1">
        <v>27186309</v>
      </c>
    </row>
    <row r="510" spans="1:57" x14ac:dyDescent="0.25">
      <c r="A510" s="1" t="str">
        <f>T("1944377009514420160")</f>
        <v>1944377009514420160</v>
      </c>
      <c r="B510" s="1" t="str">
        <f>T("249918015263")</f>
        <v>249918015263</v>
      </c>
      <c r="C510" s="1" t="str">
        <f>T("1941094470531417828")</f>
        <v>1941094470531417828</v>
      </c>
      <c r="AA510" s="1">
        <v>1</v>
      </c>
      <c r="AC510" s="1" t="s">
        <v>276</v>
      </c>
      <c r="AD510" s="1" t="s">
        <v>298</v>
      </c>
      <c r="AE510" s="1" t="s">
        <v>335</v>
      </c>
      <c r="AF510" s="1" t="s">
        <v>107</v>
      </c>
      <c r="AG510" s="1" t="s">
        <v>313</v>
      </c>
      <c r="AO510" s="2">
        <v>46274</v>
      </c>
      <c r="AP510" s="1" t="s">
        <v>301</v>
      </c>
      <c r="AQ510" s="2">
        <v>46274</v>
      </c>
      <c r="AR510" s="1" t="s">
        <v>337</v>
      </c>
      <c r="AS510" s="1" t="s">
        <v>71</v>
      </c>
      <c r="AU510" s="1" t="s">
        <v>79</v>
      </c>
      <c r="AV510" s="1" t="s">
        <v>80</v>
      </c>
      <c r="AW510" s="1">
        <v>60.66</v>
      </c>
      <c r="AX510" s="1">
        <v>0</v>
      </c>
      <c r="AZ510" s="1" t="s">
        <v>81</v>
      </c>
      <c r="BA510" s="1">
        <v>1</v>
      </c>
      <c r="BB510" s="1">
        <v>0</v>
      </c>
      <c r="BC510" s="1">
        <v>0</v>
      </c>
      <c r="BE510" s="1">
        <v>27186309</v>
      </c>
    </row>
    <row r="511" spans="1:57" x14ac:dyDescent="0.25">
      <c r="A511" s="1" t="str">
        <f>T("1944377009560559148")</f>
        <v>1944377009560559148</v>
      </c>
      <c r="B511" s="1" t="str">
        <f>T("249908918592")</f>
        <v>249908918592</v>
      </c>
      <c r="C511" s="1" t="str">
        <f>T("1941094470531418628")</f>
        <v>1941094470531418628</v>
      </c>
      <c r="AC511" s="1" t="s">
        <v>276</v>
      </c>
      <c r="AD511" s="1" t="s">
        <v>298</v>
      </c>
      <c r="AE511" s="1" t="s">
        <v>335</v>
      </c>
      <c r="AF511" s="1" t="s">
        <v>107</v>
      </c>
      <c r="AG511" s="1" t="s">
        <v>313</v>
      </c>
      <c r="AO511" s="2">
        <v>46274</v>
      </c>
      <c r="AP511" s="1" t="s">
        <v>301</v>
      </c>
      <c r="AS511" s="1" t="s">
        <v>71</v>
      </c>
      <c r="AU511" s="1" t="s">
        <v>72</v>
      </c>
      <c r="AV511" s="1" t="s">
        <v>73</v>
      </c>
      <c r="AX511" s="1">
        <v>0</v>
      </c>
      <c r="BA511" s="1">
        <v>3</v>
      </c>
      <c r="BB511" s="1">
        <v>0</v>
      </c>
      <c r="BC511" s="1">
        <v>0</v>
      </c>
      <c r="BE511" s="1">
        <v>27186309</v>
      </c>
    </row>
    <row r="512" spans="1:57" x14ac:dyDescent="0.25">
      <c r="A512" s="1" t="str">
        <f>T("1944377009564750356")</f>
        <v>1944377009564750356</v>
      </c>
      <c r="B512" s="1" t="str">
        <f>T("249901071074")</f>
        <v>249901071074</v>
      </c>
      <c r="C512" s="1" t="str">
        <f>T("1941094470531418228")</f>
        <v>1941094470531418228</v>
      </c>
      <c r="AA512" s="1">
        <v>1</v>
      </c>
      <c r="AC512" s="1" t="s">
        <v>276</v>
      </c>
      <c r="AD512" s="1" t="s">
        <v>298</v>
      </c>
      <c r="AE512" s="1" t="s">
        <v>335</v>
      </c>
      <c r="AF512" s="1" t="s">
        <v>107</v>
      </c>
      <c r="AG512" s="1" t="s">
        <v>313</v>
      </c>
      <c r="AO512" s="2">
        <v>46274</v>
      </c>
      <c r="AP512" s="1" t="s">
        <v>301</v>
      </c>
      <c r="AQ512" s="2">
        <v>46274</v>
      </c>
      <c r="AR512" s="1" t="s">
        <v>338</v>
      </c>
      <c r="AS512" s="1" t="s">
        <v>71</v>
      </c>
      <c r="AU512" s="1" t="s">
        <v>79</v>
      </c>
      <c r="AV512" s="1" t="s">
        <v>80</v>
      </c>
      <c r="AW512" s="1">
        <v>86.28</v>
      </c>
      <c r="AX512" s="1">
        <v>0</v>
      </c>
      <c r="AZ512" s="1" t="s">
        <v>81</v>
      </c>
      <c r="BA512" s="1">
        <v>1</v>
      </c>
      <c r="BB512" s="1">
        <v>0</v>
      </c>
      <c r="BC512" s="1">
        <v>0</v>
      </c>
      <c r="BE512" s="1">
        <v>27186309</v>
      </c>
    </row>
    <row r="513" spans="1:57" x14ac:dyDescent="0.25">
      <c r="A513" s="1" t="str">
        <f>T("1944377009577333280")</f>
        <v>1944377009577333280</v>
      </c>
      <c r="B513" s="1" t="str">
        <f>T("249966141787")</f>
        <v>249966141787</v>
      </c>
      <c r="C513" s="1" t="str">
        <f>T("1941094470531419328")</f>
        <v>1941094470531419328</v>
      </c>
      <c r="M513" s="1" t="s">
        <v>59</v>
      </c>
      <c r="O513" s="1" t="s">
        <v>65</v>
      </c>
      <c r="P513" s="1" t="s">
        <v>61</v>
      </c>
      <c r="Q513" s="1" t="s">
        <v>101</v>
      </c>
      <c r="AA513" s="1">
        <v>1</v>
      </c>
      <c r="AC513" s="1" t="s">
        <v>276</v>
      </c>
      <c r="AD513" s="1" t="s">
        <v>298</v>
      </c>
      <c r="AE513" s="1" t="s">
        <v>335</v>
      </c>
      <c r="AF513" s="1" t="s">
        <v>107</v>
      </c>
      <c r="AG513" s="1" t="s">
        <v>313</v>
      </c>
      <c r="AO513" s="2">
        <v>46274</v>
      </c>
      <c r="AP513" s="1" t="s">
        <v>301</v>
      </c>
      <c r="AQ513" s="2">
        <v>46274</v>
      </c>
      <c r="AR513" s="1" t="s">
        <v>339</v>
      </c>
      <c r="AS513" s="1" t="s">
        <v>71</v>
      </c>
      <c r="AU513" s="1" t="s">
        <v>79</v>
      </c>
      <c r="AV513" s="1" t="s">
        <v>80</v>
      </c>
      <c r="AW513" s="1">
        <v>210.46</v>
      </c>
      <c r="AX513" s="1">
        <v>0</v>
      </c>
      <c r="AZ513" s="1" t="s">
        <v>81</v>
      </c>
      <c r="BA513" s="1">
        <v>1</v>
      </c>
      <c r="BB513" s="1">
        <v>0</v>
      </c>
      <c r="BC513" s="1">
        <v>0</v>
      </c>
      <c r="BE513" s="1">
        <v>27186309</v>
      </c>
    </row>
    <row r="514" spans="1:57" x14ac:dyDescent="0.25">
      <c r="A514" s="1" t="str">
        <f>T("1944377009615083252")</f>
        <v>1944377009615083252</v>
      </c>
      <c r="B514" s="1" t="str">
        <f>T("249910813409")</f>
        <v>249910813409</v>
      </c>
      <c r="C514" s="1" t="str">
        <f>T("1941094470523031312")</f>
        <v>1941094470523031312</v>
      </c>
      <c r="AC514" s="1" t="s">
        <v>276</v>
      </c>
      <c r="AD514" s="1" t="s">
        <v>298</v>
      </c>
      <c r="AE514" s="1" t="s">
        <v>331</v>
      </c>
      <c r="AF514" s="1" t="s">
        <v>107</v>
      </c>
      <c r="AG514" s="1" t="s">
        <v>313</v>
      </c>
      <c r="AO514" s="2">
        <v>46274</v>
      </c>
      <c r="AP514" s="1" t="s">
        <v>301</v>
      </c>
      <c r="AS514" s="1" t="s">
        <v>71</v>
      </c>
      <c r="AU514" s="1" t="s">
        <v>72</v>
      </c>
      <c r="AV514" s="1" t="s">
        <v>139</v>
      </c>
      <c r="AX514" s="1">
        <v>0</v>
      </c>
      <c r="BA514" s="1">
        <v>3</v>
      </c>
      <c r="BB514" s="1">
        <v>0</v>
      </c>
      <c r="BC514" s="1">
        <v>0</v>
      </c>
      <c r="BE514" s="1">
        <v>27186309</v>
      </c>
    </row>
    <row r="515" spans="1:57" x14ac:dyDescent="0.25">
      <c r="A515" s="1" t="str">
        <f>T("1944377009615084052")</f>
        <v>1944377009615084052</v>
      </c>
      <c r="B515" s="1" t="str">
        <f>T("249962913654")</f>
        <v>249962913654</v>
      </c>
      <c r="C515" s="1" t="str">
        <f>T("1941094470531419728")</f>
        <v>1941094470531419728</v>
      </c>
      <c r="M515" s="1" t="s">
        <v>59</v>
      </c>
      <c r="O515" s="1" t="s">
        <v>65</v>
      </c>
      <c r="P515" s="1" t="s">
        <v>83</v>
      </c>
      <c r="Q515" s="1" t="s">
        <v>112</v>
      </c>
      <c r="R515" s="1" t="s">
        <v>93</v>
      </c>
      <c r="T515" s="1" t="s">
        <v>61</v>
      </c>
      <c r="U515" s="1" t="s">
        <v>65</v>
      </c>
      <c r="V515" s="1" t="s">
        <v>68</v>
      </c>
      <c r="W515" s="1" t="s">
        <v>67</v>
      </c>
      <c r="X515" s="1" t="s">
        <v>66</v>
      </c>
      <c r="Y515" s="1" t="s">
        <v>69</v>
      </c>
      <c r="AA515" s="1">
        <v>1</v>
      </c>
      <c r="AB515" s="1">
        <v>1</v>
      </c>
      <c r="AC515" s="1" t="s">
        <v>276</v>
      </c>
      <c r="AD515" s="1" t="s">
        <v>298</v>
      </c>
      <c r="AE515" s="1" t="s">
        <v>335</v>
      </c>
      <c r="AF515" s="1" t="s">
        <v>107</v>
      </c>
      <c r="AG515" s="1" t="s">
        <v>313</v>
      </c>
      <c r="AO515" s="2">
        <v>46274</v>
      </c>
      <c r="AP515" s="1" t="s">
        <v>301</v>
      </c>
      <c r="AQ515" s="2">
        <v>46274</v>
      </c>
      <c r="AR515" s="1" t="s">
        <v>340</v>
      </c>
      <c r="AS515" s="1" t="s">
        <v>71</v>
      </c>
      <c r="AU515" s="1" t="s">
        <v>78</v>
      </c>
      <c r="AV515" s="1" t="s">
        <v>80</v>
      </c>
      <c r="AW515" s="1">
        <v>205.04</v>
      </c>
      <c r="AX515" s="1">
        <v>0</v>
      </c>
      <c r="AZ515" s="1" t="s">
        <v>81</v>
      </c>
      <c r="BA515" s="1">
        <v>1</v>
      </c>
      <c r="BB515" s="1">
        <v>0</v>
      </c>
      <c r="BC515" s="1">
        <v>0</v>
      </c>
      <c r="BE515" s="1">
        <v>27186309</v>
      </c>
    </row>
    <row r="516" spans="1:57" x14ac:dyDescent="0.25">
      <c r="A516" s="1" t="str">
        <f>T("1944377009619278060")</f>
        <v>1944377009619278060</v>
      </c>
      <c r="B516" s="1" t="str">
        <f>T("249917636621")</f>
        <v>249917636621</v>
      </c>
      <c r="C516" s="1" t="str">
        <f>T("1941094470535610436")</f>
        <v>1941094470535610436</v>
      </c>
      <c r="M516" s="1" t="s">
        <v>59</v>
      </c>
      <c r="O516" s="1" t="s">
        <v>65</v>
      </c>
      <c r="AA516" s="1">
        <v>1</v>
      </c>
      <c r="AC516" s="1" t="s">
        <v>276</v>
      </c>
      <c r="AD516" s="1" t="s">
        <v>298</v>
      </c>
      <c r="AE516" s="1" t="s">
        <v>335</v>
      </c>
      <c r="AF516" s="1" t="s">
        <v>107</v>
      </c>
      <c r="AG516" s="1" t="s">
        <v>313</v>
      </c>
      <c r="AO516" s="2">
        <v>46274</v>
      </c>
      <c r="AP516" s="1" t="s">
        <v>301</v>
      </c>
      <c r="AQ516" s="2">
        <v>46274</v>
      </c>
      <c r="AR516" s="1" t="s">
        <v>341</v>
      </c>
      <c r="AS516" s="1" t="s">
        <v>71</v>
      </c>
      <c r="AU516" s="1" t="s">
        <v>79</v>
      </c>
      <c r="AV516" s="1" t="s">
        <v>80</v>
      </c>
      <c r="AW516" s="1">
        <v>153.02000000000001</v>
      </c>
      <c r="AX516" s="1">
        <v>0</v>
      </c>
      <c r="AZ516" s="1" t="s">
        <v>81</v>
      </c>
      <c r="BA516" s="1">
        <v>1</v>
      </c>
      <c r="BB516" s="1">
        <v>0</v>
      </c>
      <c r="BC516" s="1">
        <v>0</v>
      </c>
      <c r="BE516" s="1">
        <v>27186309</v>
      </c>
    </row>
    <row r="517" spans="1:57" x14ac:dyDescent="0.25">
      <c r="A517" s="1" t="str">
        <f>T("1944377009627668176")</f>
        <v>1944377009627668176</v>
      </c>
      <c r="B517" s="1" t="str">
        <f>T("249962250034")</f>
        <v>249962250034</v>
      </c>
      <c r="C517" s="1" t="str">
        <f>T("1941094470535610836")</f>
        <v>1941094470535610836</v>
      </c>
      <c r="AC517" s="1" t="s">
        <v>276</v>
      </c>
      <c r="AD517" s="1" t="s">
        <v>298</v>
      </c>
      <c r="AE517" s="1" t="s">
        <v>335</v>
      </c>
      <c r="AF517" s="1" t="s">
        <v>107</v>
      </c>
      <c r="AG517" s="1" t="s">
        <v>313</v>
      </c>
      <c r="AO517" s="2">
        <v>46274</v>
      </c>
      <c r="AP517" s="1" t="s">
        <v>301</v>
      </c>
      <c r="AS517" s="1" t="s">
        <v>71</v>
      </c>
      <c r="AU517" s="1" t="s">
        <v>72</v>
      </c>
      <c r="AV517" s="1" t="s">
        <v>73</v>
      </c>
      <c r="AX517" s="1">
        <v>0</v>
      </c>
      <c r="BA517" s="1">
        <v>3</v>
      </c>
      <c r="BB517" s="1">
        <v>0</v>
      </c>
      <c r="BC517" s="1">
        <v>0</v>
      </c>
      <c r="BE517" s="1">
        <v>27186309</v>
      </c>
    </row>
    <row r="518" spans="1:57" x14ac:dyDescent="0.25">
      <c r="A518" s="1" t="str">
        <f>T("1944377009665414448")</f>
        <v>1944377009665414448</v>
      </c>
      <c r="B518" s="1" t="str">
        <f>T("249915189335")</f>
        <v>249915189335</v>
      </c>
      <c r="C518" s="1" t="str">
        <f>T("1941094470535611236")</f>
        <v>1941094470535611236</v>
      </c>
      <c r="AA518" s="1">
        <v>1</v>
      </c>
      <c r="AC518" s="1" t="s">
        <v>276</v>
      </c>
      <c r="AD518" s="1" t="s">
        <v>298</v>
      </c>
      <c r="AE518" s="1" t="s">
        <v>335</v>
      </c>
      <c r="AF518" s="1" t="s">
        <v>107</v>
      </c>
      <c r="AG518" s="1" t="s">
        <v>313</v>
      </c>
      <c r="AO518" s="2">
        <v>46274</v>
      </c>
      <c r="AP518" s="1" t="s">
        <v>301</v>
      </c>
      <c r="AQ518" s="2">
        <v>46274</v>
      </c>
      <c r="AR518" s="1" t="s">
        <v>342</v>
      </c>
      <c r="AS518" s="1" t="s">
        <v>71</v>
      </c>
      <c r="AU518" s="1" t="s">
        <v>79</v>
      </c>
      <c r="AV518" s="1" t="s">
        <v>80</v>
      </c>
      <c r="AW518" s="1">
        <v>126.86</v>
      </c>
      <c r="AX518" s="1">
        <v>0</v>
      </c>
      <c r="AZ518" s="1" t="s">
        <v>81</v>
      </c>
      <c r="BA518" s="1">
        <v>1</v>
      </c>
      <c r="BB518" s="1">
        <v>0</v>
      </c>
      <c r="BC518" s="1">
        <v>0</v>
      </c>
      <c r="BE518" s="1">
        <v>27186309</v>
      </c>
    </row>
    <row r="519" spans="1:57" x14ac:dyDescent="0.25">
      <c r="A519" s="1" t="str">
        <f>T("1944377009677996572")</f>
        <v>1944377009677996572</v>
      </c>
      <c r="B519" s="1" t="str">
        <f>T("249963075662")</f>
        <v>249963075662</v>
      </c>
      <c r="C519" s="1" t="str">
        <f>T("1941094470535611636")</f>
        <v>1941094470535611636</v>
      </c>
      <c r="AC519" s="1" t="s">
        <v>276</v>
      </c>
      <c r="AD519" s="1" t="s">
        <v>298</v>
      </c>
      <c r="AE519" s="1" t="s">
        <v>335</v>
      </c>
      <c r="AF519" s="1" t="s">
        <v>107</v>
      </c>
      <c r="AG519" s="1" t="s">
        <v>313</v>
      </c>
      <c r="AO519" s="2">
        <v>46274</v>
      </c>
      <c r="AP519" s="1" t="s">
        <v>301</v>
      </c>
      <c r="AQ519" s="2">
        <v>46274</v>
      </c>
      <c r="AR519" s="1" t="s">
        <v>343</v>
      </c>
      <c r="AS519" s="1" t="s">
        <v>71</v>
      </c>
      <c r="AU519" s="1" t="s">
        <v>79</v>
      </c>
      <c r="AV519" s="1" t="s">
        <v>80</v>
      </c>
      <c r="AW519" s="1">
        <v>33.28</v>
      </c>
      <c r="AX519" s="1">
        <v>0</v>
      </c>
      <c r="AZ519" s="1" t="s">
        <v>81</v>
      </c>
      <c r="BA519" s="1">
        <v>1</v>
      </c>
      <c r="BB519" s="1">
        <v>0</v>
      </c>
      <c r="BC519" s="1">
        <v>0</v>
      </c>
      <c r="BE519" s="1">
        <v>27186309</v>
      </c>
    </row>
    <row r="520" spans="1:57" x14ac:dyDescent="0.25">
      <c r="A520" s="1" t="str">
        <f>T("1944377009686384688")</f>
        <v>1944377009686384688</v>
      </c>
      <c r="B520" s="1" t="str">
        <f>T("249918970675")</f>
        <v>249918970675</v>
      </c>
      <c r="C520" s="1" t="str">
        <f>T("1941094470535612136")</f>
        <v>1941094470535612136</v>
      </c>
      <c r="M520" s="1" t="s">
        <v>59</v>
      </c>
      <c r="O520" s="1" t="s">
        <v>65</v>
      </c>
      <c r="P520" s="1" t="s">
        <v>83</v>
      </c>
      <c r="Q520" s="1" t="s">
        <v>101</v>
      </c>
      <c r="R520" s="1" t="s">
        <v>84</v>
      </c>
      <c r="S520" s="1" t="s">
        <v>64</v>
      </c>
      <c r="U520" s="1" t="s">
        <v>65</v>
      </c>
      <c r="V520" s="1" t="s">
        <v>68</v>
      </c>
      <c r="W520" s="1" t="s">
        <v>60</v>
      </c>
      <c r="X520" s="1" t="s">
        <v>103</v>
      </c>
      <c r="Y520" s="1" t="s">
        <v>160</v>
      </c>
      <c r="AA520" s="1">
        <v>1</v>
      </c>
      <c r="AB520" s="1">
        <v>1</v>
      </c>
      <c r="AC520" s="1" t="s">
        <v>344</v>
      </c>
      <c r="AD520" s="1" t="s">
        <v>345</v>
      </c>
      <c r="AE520" s="1" t="s">
        <v>346</v>
      </c>
      <c r="AF520" s="1" t="s">
        <v>107</v>
      </c>
      <c r="AG520" s="1">
        <v>60</v>
      </c>
      <c r="AO520" s="2">
        <v>46274</v>
      </c>
      <c r="AP520" s="1" t="s">
        <v>301</v>
      </c>
      <c r="AQ520" s="2">
        <v>46274</v>
      </c>
      <c r="AR520" s="1" t="s">
        <v>347</v>
      </c>
      <c r="AS520" s="1" t="s">
        <v>71</v>
      </c>
      <c r="AU520" s="1" t="s">
        <v>78</v>
      </c>
      <c r="AV520" s="1" t="s">
        <v>80</v>
      </c>
      <c r="AW520" s="1">
        <v>256.7</v>
      </c>
      <c r="AX520" s="1">
        <v>0</v>
      </c>
      <c r="AZ520" s="1" t="s">
        <v>81</v>
      </c>
      <c r="BA520" s="1">
        <v>1</v>
      </c>
      <c r="BB520" s="1">
        <v>0</v>
      </c>
      <c r="BC520" s="1">
        <v>0</v>
      </c>
      <c r="BE520" s="1">
        <v>27186309</v>
      </c>
    </row>
    <row r="521" spans="1:57" x14ac:dyDescent="0.25">
      <c r="A521" s="1" t="str">
        <f>T("1944377009711552836")</f>
        <v>1944377009711552836</v>
      </c>
      <c r="B521" s="1" t="str">
        <f>T("249910078425")</f>
        <v>249910078425</v>
      </c>
      <c r="C521" s="1" t="str">
        <f>T("1941094470535612536")</f>
        <v>1941094470535612536</v>
      </c>
      <c r="M521" s="1" t="s">
        <v>59</v>
      </c>
      <c r="O521" s="1" t="s">
        <v>60</v>
      </c>
      <c r="P521" s="1" t="s">
        <v>83</v>
      </c>
      <c r="Q521" s="1" t="s">
        <v>112</v>
      </c>
      <c r="R521" s="1" t="s">
        <v>84</v>
      </c>
      <c r="S521" s="1" t="s">
        <v>94</v>
      </c>
      <c r="U521" s="1" t="s">
        <v>60</v>
      </c>
      <c r="V521" s="1" t="s">
        <v>66</v>
      </c>
      <c r="W521" s="1" t="s">
        <v>67</v>
      </c>
      <c r="X521" s="1" t="s">
        <v>68</v>
      </c>
      <c r="Y521" s="1" t="s">
        <v>85</v>
      </c>
      <c r="AA521" s="1">
        <v>1</v>
      </c>
      <c r="AB521" s="1">
        <v>1</v>
      </c>
      <c r="AC521" s="1" t="s">
        <v>344</v>
      </c>
      <c r="AD521" s="1" t="s">
        <v>345</v>
      </c>
      <c r="AE521" s="1" t="s">
        <v>346</v>
      </c>
      <c r="AF521" s="1" t="s">
        <v>107</v>
      </c>
      <c r="AG521" s="1">
        <v>45</v>
      </c>
      <c r="AO521" s="2">
        <v>46274</v>
      </c>
      <c r="AP521" s="1" t="s">
        <v>301</v>
      </c>
      <c r="AQ521" s="2">
        <v>46274</v>
      </c>
      <c r="AR521" s="1" t="s">
        <v>348</v>
      </c>
      <c r="AS521" s="1" t="s">
        <v>71</v>
      </c>
      <c r="AU521" s="1" t="s">
        <v>78</v>
      </c>
      <c r="AV521" s="1" t="s">
        <v>80</v>
      </c>
      <c r="AW521" s="1">
        <v>239.56</v>
      </c>
      <c r="AX521" s="1">
        <v>0</v>
      </c>
      <c r="AZ521" s="1" t="s">
        <v>81</v>
      </c>
      <c r="BA521" s="1">
        <v>1</v>
      </c>
      <c r="BB521" s="1">
        <v>0</v>
      </c>
      <c r="BC521" s="1">
        <v>0</v>
      </c>
      <c r="BE521" s="1">
        <v>27186309</v>
      </c>
    </row>
    <row r="522" spans="1:57" x14ac:dyDescent="0.25">
      <c r="A522" s="1" t="str">
        <f>T("1944377009724135560")</f>
        <v>1944377009724135560</v>
      </c>
      <c r="B522" s="1" t="str">
        <f>T("249927448198")</f>
        <v>249927448198</v>
      </c>
      <c r="C522" s="1" t="str">
        <f>T("1941094470535612936")</f>
        <v>1941094470535612936</v>
      </c>
      <c r="AC522" s="1" t="s">
        <v>344</v>
      </c>
      <c r="AD522" s="1" t="s">
        <v>345</v>
      </c>
      <c r="AE522" s="1" t="s">
        <v>346</v>
      </c>
      <c r="AF522" s="1" t="s">
        <v>107</v>
      </c>
      <c r="AG522" s="1">
        <v>60</v>
      </c>
      <c r="AO522" s="2">
        <v>46274</v>
      </c>
      <c r="AP522" s="1" t="s">
        <v>301</v>
      </c>
      <c r="AS522" s="1" t="s">
        <v>71</v>
      </c>
      <c r="AU522" s="1" t="s">
        <v>72</v>
      </c>
      <c r="AV522" s="1" t="s">
        <v>73</v>
      </c>
      <c r="AX522" s="1">
        <v>0</v>
      </c>
      <c r="BA522" s="1">
        <v>3</v>
      </c>
      <c r="BB522" s="1">
        <v>0</v>
      </c>
      <c r="BC522" s="1">
        <v>0</v>
      </c>
      <c r="BE522" s="1">
        <v>27186309</v>
      </c>
    </row>
    <row r="523" spans="1:57" x14ac:dyDescent="0.25">
      <c r="A523" s="1" t="str">
        <f>T("1944377009736719584")</f>
        <v>1944377009736719584</v>
      </c>
      <c r="B523" s="1" t="str">
        <f>T("249908242810")</f>
        <v>249908242810</v>
      </c>
      <c r="C523" s="1" t="str">
        <f>T("1941094470535613336")</f>
        <v>1941094470535613336</v>
      </c>
      <c r="AA523" s="1">
        <v>1</v>
      </c>
      <c r="AC523" s="1" t="s">
        <v>344</v>
      </c>
      <c r="AD523" s="1" t="s">
        <v>345</v>
      </c>
      <c r="AE523" s="1" t="s">
        <v>346</v>
      </c>
      <c r="AF523" s="1" t="s">
        <v>107</v>
      </c>
      <c r="AG523" s="1">
        <v>50</v>
      </c>
      <c r="AO523" s="2">
        <v>46274</v>
      </c>
      <c r="AP523" s="1" t="s">
        <v>301</v>
      </c>
      <c r="AQ523" s="2">
        <v>46274</v>
      </c>
      <c r="AR523" s="1" t="s">
        <v>349</v>
      </c>
      <c r="AS523" s="1" t="s">
        <v>71</v>
      </c>
      <c r="AU523" s="1" t="s">
        <v>79</v>
      </c>
      <c r="AV523" s="1" t="s">
        <v>80</v>
      </c>
      <c r="AW523" s="1">
        <v>74.64</v>
      </c>
      <c r="AX523" s="1">
        <v>0</v>
      </c>
      <c r="AZ523" s="1" t="s">
        <v>81</v>
      </c>
      <c r="BA523" s="1">
        <v>1</v>
      </c>
      <c r="BB523" s="1">
        <v>0</v>
      </c>
      <c r="BC523" s="1">
        <v>0</v>
      </c>
      <c r="BE523" s="1">
        <v>27186309</v>
      </c>
    </row>
    <row r="524" spans="1:57" x14ac:dyDescent="0.25">
      <c r="A524" s="1" t="str">
        <f>T("1944377009770271548")</f>
        <v>1944377009770271548</v>
      </c>
      <c r="B524" s="1" t="str">
        <f>T("249917864584")</f>
        <v>249917864584</v>
      </c>
      <c r="C524" s="1" t="str">
        <f>T("1941094470535613936")</f>
        <v>1941094470535613936</v>
      </c>
      <c r="M524" s="1" t="s">
        <v>59</v>
      </c>
      <c r="O524" s="1" t="s">
        <v>65</v>
      </c>
      <c r="P524" s="1" t="s">
        <v>111</v>
      </c>
      <c r="Q524" s="1" t="s">
        <v>62</v>
      </c>
      <c r="R524" s="1" t="s">
        <v>63</v>
      </c>
      <c r="S524" s="1" t="s">
        <v>64</v>
      </c>
      <c r="AA524" s="1">
        <v>1</v>
      </c>
      <c r="AC524" s="1" t="s">
        <v>344</v>
      </c>
      <c r="AD524" s="1" t="s">
        <v>345</v>
      </c>
      <c r="AE524" s="1" t="s">
        <v>346</v>
      </c>
      <c r="AF524" s="1" t="s">
        <v>107</v>
      </c>
      <c r="AG524" s="1">
        <v>60</v>
      </c>
      <c r="AO524" s="2">
        <v>46274</v>
      </c>
      <c r="AP524" s="1" t="s">
        <v>301</v>
      </c>
      <c r="AQ524" s="2">
        <v>46274</v>
      </c>
      <c r="AR524" s="1" t="s">
        <v>350</v>
      </c>
      <c r="AS524" s="1" t="s">
        <v>71</v>
      </c>
      <c r="AU524" s="1" t="s">
        <v>78</v>
      </c>
      <c r="AV524" s="1" t="s">
        <v>80</v>
      </c>
      <c r="AW524" s="1">
        <v>165.34</v>
      </c>
      <c r="AX524" s="1">
        <v>0</v>
      </c>
      <c r="AZ524" s="1" t="s">
        <v>81</v>
      </c>
      <c r="BA524" s="1">
        <v>1</v>
      </c>
      <c r="BB524" s="1">
        <v>0</v>
      </c>
      <c r="BC524" s="1">
        <v>0</v>
      </c>
      <c r="BE524" s="1">
        <v>27186309</v>
      </c>
    </row>
    <row r="525" spans="1:57" x14ac:dyDescent="0.25">
      <c r="A525" s="1" t="str">
        <f>T("1944377009770273348")</f>
        <v>1944377009770273348</v>
      </c>
      <c r="B525" s="1" t="str">
        <f>T("249961580244")</f>
        <v>249961580244</v>
      </c>
      <c r="C525" s="1" t="str">
        <f>T("1941094470539804844")</f>
        <v>1941094470539804844</v>
      </c>
      <c r="AC525" s="1" t="s">
        <v>344</v>
      </c>
      <c r="AD525" s="1" t="s">
        <v>345</v>
      </c>
      <c r="AE525" s="1" t="s">
        <v>346</v>
      </c>
      <c r="AF525" s="1" t="s">
        <v>107</v>
      </c>
      <c r="AO525" s="2">
        <v>46274</v>
      </c>
      <c r="AP525" s="1" t="s">
        <v>301</v>
      </c>
      <c r="AQ525" s="2">
        <v>46274</v>
      </c>
      <c r="AR525" s="1" t="s">
        <v>351</v>
      </c>
      <c r="AS525" s="1" t="s">
        <v>71</v>
      </c>
      <c r="AU525" s="1" t="s">
        <v>79</v>
      </c>
      <c r="AV525" s="1" t="s">
        <v>80</v>
      </c>
      <c r="AW525" s="1">
        <v>13.22</v>
      </c>
      <c r="AX525" s="1">
        <v>0</v>
      </c>
      <c r="AZ525" s="1" t="s">
        <v>81</v>
      </c>
      <c r="BA525" s="1">
        <v>1</v>
      </c>
      <c r="BB525" s="1">
        <v>0</v>
      </c>
      <c r="BC525" s="1">
        <v>0</v>
      </c>
      <c r="BE525" s="1">
        <v>27186309</v>
      </c>
    </row>
    <row r="526" spans="1:57" x14ac:dyDescent="0.25">
      <c r="A526" s="1" t="str">
        <f>T("1944377009791243688")</f>
        <v>1944377009791243688</v>
      </c>
      <c r="B526" s="1" t="str">
        <f>T("249967327459")</f>
        <v>249967327459</v>
      </c>
      <c r="C526" s="1" t="str">
        <f>T("1941094470539805244")</f>
        <v>1941094470539805244</v>
      </c>
      <c r="AA526" s="1">
        <v>1</v>
      </c>
      <c r="AC526" s="1" t="s">
        <v>344</v>
      </c>
      <c r="AD526" s="1" t="s">
        <v>345</v>
      </c>
      <c r="AE526" s="1" t="s">
        <v>346</v>
      </c>
      <c r="AF526" s="1" t="s">
        <v>107</v>
      </c>
      <c r="AO526" s="2">
        <v>46274</v>
      </c>
      <c r="AP526" s="1" t="s">
        <v>301</v>
      </c>
      <c r="AQ526" s="2">
        <v>46274</v>
      </c>
      <c r="AR526" s="1" t="s">
        <v>352</v>
      </c>
      <c r="AS526" s="1" t="s">
        <v>71</v>
      </c>
      <c r="AU526" s="1" t="s">
        <v>79</v>
      </c>
      <c r="AV526" s="1" t="s">
        <v>80</v>
      </c>
      <c r="AW526" s="1">
        <v>60.52</v>
      </c>
      <c r="AX526" s="1">
        <v>0</v>
      </c>
      <c r="AZ526" s="1" t="s">
        <v>81</v>
      </c>
      <c r="BA526" s="1">
        <v>1</v>
      </c>
      <c r="BB526" s="1">
        <v>0</v>
      </c>
      <c r="BC526" s="1">
        <v>0</v>
      </c>
      <c r="BE526" s="1">
        <v>27186309</v>
      </c>
    </row>
    <row r="527" spans="1:57" x14ac:dyDescent="0.25">
      <c r="A527" s="1" t="str">
        <f>T("1944377009820603844")</f>
        <v>1944377009820603844</v>
      </c>
      <c r="B527" s="1" t="str">
        <f>T("249917077238")</f>
        <v>249917077238</v>
      </c>
      <c r="C527" s="1" t="str">
        <f>T("1941094470539808044")</f>
        <v>1941094470539808044</v>
      </c>
      <c r="AC527" s="1" t="s">
        <v>344</v>
      </c>
      <c r="AD527" s="1" t="s">
        <v>345</v>
      </c>
      <c r="AE527" s="1" t="s">
        <v>346</v>
      </c>
      <c r="AF527" s="1" t="s">
        <v>107</v>
      </c>
      <c r="AO527" s="2">
        <v>46274</v>
      </c>
      <c r="AP527" s="1" t="s">
        <v>301</v>
      </c>
      <c r="AS527" s="1" t="s">
        <v>71</v>
      </c>
      <c r="AU527" s="1" t="s">
        <v>72</v>
      </c>
      <c r="AV527" s="1" t="s">
        <v>115</v>
      </c>
      <c r="AX527" s="1">
        <v>0</v>
      </c>
      <c r="BA527" s="1">
        <v>3</v>
      </c>
      <c r="BB527" s="1">
        <v>0</v>
      </c>
      <c r="BC527" s="1">
        <v>0</v>
      </c>
      <c r="BE527" s="1">
        <v>27186309</v>
      </c>
    </row>
    <row r="528" spans="1:57" x14ac:dyDescent="0.25">
      <c r="A528" s="1" t="str">
        <f>T("1944377009845770192")</f>
        <v>1944377009845770192</v>
      </c>
      <c r="B528" s="1" t="str">
        <f>T("249904208930")</f>
        <v>249904208930</v>
      </c>
      <c r="C528" s="1" t="str">
        <f>T("1941094470544000952")</f>
        <v>1941094470544000952</v>
      </c>
      <c r="AA528" s="1">
        <v>1</v>
      </c>
      <c r="AC528" s="1" t="s">
        <v>344</v>
      </c>
      <c r="AD528" s="1" t="s">
        <v>345</v>
      </c>
      <c r="AE528" s="1" t="s">
        <v>346</v>
      </c>
      <c r="AF528" s="1" t="s">
        <v>144</v>
      </c>
      <c r="AO528" s="2">
        <v>46274</v>
      </c>
      <c r="AP528" s="1" t="s">
        <v>301</v>
      </c>
      <c r="AQ528" s="2">
        <v>46274</v>
      </c>
      <c r="AR528" s="1" t="s">
        <v>353</v>
      </c>
      <c r="AS528" s="1" t="s">
        <v>71</v>
      </c>
      <c r="AU528" s="1" t="s">
        <v>79</v>
      </c>
      <c r="AV528" s="1" t="s">
        <v>80</v>
      </c>
      <c r="AW528" s="1">
        <v>44.399000000000001</v>
      </c>
      <c r="AX528" s="1">
        <v>0</v>
      </c>
      <c r="AZ528" s="1" t="s">
        <v>81</v>
      </c>
      <c r="BA528" s="1">
        <v>1</v>
      </c>
      <c r="BB528" s="1">
        <v>0</v>
      </c>
      <c r="BC528" s="1">
        <v>0</v>
      </c>
      <c r="BE528" s="1">
        <v>27186309</v>
      </c>
    </row>
    <row r="529" spans="1:57" x14ac:dyDescent="0.25">
      <c r="A529" s="1" t="str">
        <f>T("1944377009854158308")</f>
        <v>1944377009854158308</v>
      </c>
      <c r="B529" s="1" t="str">
        <f>T("249966616730")</f>
        <v>249966616730</v>
      </c>
      <c r="C529" s="1" t="str">
        <f>T("1941094470548194360")</f>
        <v>1941094470548194360</v>
      </c>
      <c r="M529" s="1" t="s">
        <v>59</v>
      </c>
      <c r="O529" s="1" t="s">
        <v>65</v>
      </c>
      <c r="P529" s="1" t="s">
        <v>83</v>
      </c>
      <c r="Q529" s="1" t="s">
        <v>62</v>
      </c>
      <c r="R529" s="1" t="s">
        <v>63</v>
      </c>
      <c r="S529" s="1" t="s">
        <v>94</v>
      </c>
      <c r="U529" s="1" t="s">
        <v>65</v>
      </c>
      <c r="V529" s="1" t="s">
        <v>66</v>
      </c>
      <c r="W529" s="1" t="s">
        <v>67</v>
      </c>
      <c r="X529" s="1" t="s">
        <v>66</v>
      </c>
      <c r="Y529" s="1" t="s">
        <v>85</v>
      </c>
      <c r="AA529" s="1">
        <v>1</v>
      </c>
      <c r="AB529" s="1">
        <v>1</v>
      </c>
      <c r="AC529" s="1" t="s">
        <v>344</v>
      </c>
      <c r="AD529" s="1" t="s">
        <v>345</v>
      </c>
      <c r="AE529" s="1" t="s">
        <v>346</v>
      </c>
      <c r="AF529" s="1" t="s">
        <v>144</v>
      </c>
      <c r="AO529" s="2">
        <v>46274</v>
      </c>
      <c r="AP529" s="1" t="s">
        <v>301</v>
      </c>
      <c r="AQ529" s="2">
        <v>46274</v>
      </c>
      <c r="AR529" s="1" t="s">
        <v>354</v>
      </c>
      <c r="AS529" s="1" t="s">
        <v>71</v>
      </c>
      <c r="AU529" s="1" t="s">
        <v>78</v>
      </c>
      <c r="AV529" s="1" t="s">
        <v>80</v>
      </c>
      <c r="AW529" s="1">
        <v>223.68</v>
      </c>
      <c r="AX529" s="1">
        <v>0</v>
      </c>
      <c r="AZ529" s="1" t="s">
        <v>81</v>
      </c>
      <c r="BA529" s="1">
        <v>1</v>
      </c>
      <c r="BB529" s="1">
        <v>0</v>
      </c>
      <c r="BC529" s="1">
        <v>0</v>
      </c>
      <c r="BE529" s="1">
        <v>27186309</v>
      </c>
    </row>
    <row r="530" spans="1:57" x14ac:dyDescent="0.25">
      <c r="A530" s="1" t="str">
        <f>T("1944377009875130348")</f>
        <v>1944377009875130348</v>
      </c>
      <c r="B530" s="1" t="str">
        <f>T("249961124661")</f>
        <v>249961124661</v>
      </c>
      <c r="C530" s="1" t="str">
        <f>T("1941094470548193860")</f>
        <v>1941094470548193860</v>
      </c>
      <c r="AA530" s="1">
        <v>1</v>
      </c>
      <c r="AC530" s="1" t="s">
        <v>344</v>
      </c>
      <c r="AD530" s="1" t="s">
        <v>345</v>
      </c>
      <c r="AE530" s="1" t="s">
        <v>346</v>
      </c>
      <c r="AF530" s="1" t="s">
        <v>144</v>
      </c>
      <c r="AO530" s="2">
        <v>46274</v>
      </c>
      <c r="AP530" s="1" t="s">
        <v>301</v>
      </c>
      <c r="AQ530" s="2">
        <v>46274</v>
      </c>
      <c r="AR530" s="1" t="s">
        <v>355</v>
      </c>
      <c r="AS530" s="1" t="s">
        <v>71</v>
      </c>
      <c r="AU530" s="1" t="s">
        <v>78</v>
      </c>
      <c r="AV530" s="1" t="s">
        <v>80</v>
      </c>
      <c r="AW530" s="1">
        <v>134.84</v>
      </c>
      <c r="AX530" s="1">
        <v>0</v>
      </c>
      <c r="AZ530" s="1" t="s">
        <v>81</v>
      </c>
      <c r="BA530" s="1">
        <v>1</v>
      </c>
      <c r="BB530" s="1">
        <v>0</v>
      </c>
      <c r="BC530" s="1">
        <v>0</v>
      </c>
      <c r="BE530" s="1">
        <v>27186309</v>
      </c>
    </row>
    <row r="531" spans="1:57" x14ac:dyDescent="0.25">
      <c r="A531" s="1" t="str">
        <f>T("1944377009883520864")</f>
        <v>1944377009883520864</v>
      </c>
      <c r="B531" s="1" t="str">
        <f>T("249915024893")</f>
        <v>249915024893</v>
      </c>
      <c r="C531" s="1" t="str">
        <f>T("1941094470548194860")</f>
        <v>1941094470548194860</v>
      </c>
      <c r="AA531" s="1">
        <v>1</v>
      </c>
      <c r="AC531" s="1" t="s">
        <v>344</v>
      </c>
      <c r="AD531" s="1" t="s">
        <v>345</v>
      </c>
      <c r="AE531" s="1" t="s">
        <v>346</v>
      </c>
      <c r="AF531" s="1" t="s">
        <v>144</v>
      </c>
      <c r="AO531" s="2">
        <v>46274</v>
      </c>
      <c r="AP531" s="1" t="s">
        <v>301</v>
      </c>
      <c r="AQ531" s="2">
        <v>46274</v>
      </c>
      <c r="AR531" s="1" t="s">
        <v>356</v>
      </c>
      <c r="AS531" s="1" t="s">
        <v>71</v>
      </c>
      <c r="AU531" s="1" t="s">
        <v>79</v>
      </c>
      <c r="AV531" s="1" t="s">
        <v>80</v>
      </c>
      <c r="AW531" s="1">
        <v>68.48</v>
      </c>
      <c r="AX531" s="1">
        <v>0</v>
      </c>
      <c r="AZ531" s="1" t="s">
        <v>81</v>
      </c>
      <c r="BA531" s="1">
        <v>1</v>
      </c>
      <c r="BB531" s="1">
        <v>0</v>
      </c>
      <c r="BC531" s="1">
        <v>0</v>
      </c>
      <c r="BE531" s="1">
        <v>27186309</v>
      </c>
    </row>
    <row r="532" spans="1:57" x14ac:dyDescent="0.25">
      <c r="A532" s="1" t="str">
        <f>T("1944377009912880320")</f>
        <v>1944377009912880320</v>
      </c>
      <c r="B532" s="1" t="str">
        <f>T("249910377224")</f>
        <v>249910377224</v>
      </c>
      <c r="C532" s="1" t="str">
        <f>T("1941094470548195760")</f>
        <v>1941094470548195760</v>
      </c>
      <c r="AC532" s="1" t="s">
        <v>344</v>
      </c>
      <c r="AD532" s="1" t="s">
        <v>357</v>
      </c>
      <c r="AE532" s="1" t="s">
        <v>358</v>
      </c>
      <c r="AF532" s="1" t="s">
        <v>107</v>
      </c>
      <c r="AO532" s="2">
        <v>46274</v>
      </c>
      <c r="AP532" s="1" t="s">
        <v>301</v>
      </c>
      <c r="AS532" s="1" t="s">
        <v>71</v>
      </c>
      <c r="AU532" s="1" t="s">
        <v>72</v>
      </c>
      <c r="AV532" s="1" t="s">
        <v>73</v>
      </c>
      <c r="AX532" s="1">
        <v>0</v>
      </c>
      <c r="BA532" s="1">
        <v>3</v>
      </c>
      <c r="BB532" s="1">
        <v>0</v>
      </c>
      <c r="BC532" s="1">
        <v>0</v>
      </c>
      <c r="BE532" s="1">
        <v>27186309</v>
      </c>
    </row>
    <row r="533" spans="1:57" x14ac:dyDescent="0.25">
      <c r="A533" s="1" t="str">
        <f>T("1944377009921269536")</f>
        <v>1944377009921269536</v>
      </c>
      <c r="B533" s="1" t="str">
        <f>T("249965916628")</f>
        <v>249965916628</v>
      </c>
      <c r="C533" s="1" t="str">
        <f>T("1941094470548195360")</f>
        <v>1941094470548195360</v>
      </c>
      <c r="AC533" s="1" t="s">
        <v>344</v>
      </c>
      <c r="AD533" s="1" t="s">
        <v>357</v>
      </c>
      <c r="AE533" s="1" t="s">
        <v>358</v>
      </c>
      <c r="AF533" s="1" t="s">
        <v>107</v>
      </c>
      <c r="AO533" s="2">
        <v>46274</v>
      </c>
      <c r="AP533" s="1" t="s">
        <v>301</v>
      </c>
      <c r="AS533" s="1" t="s">
        <v>71</v>
      </c>
      <c r="AU533" s="1" t="s">
        <v>72</v>
      </c>
      <c r="AV533" s="1" t="s">
        <v>131</v>
      </c>
      <c r="AX533" s="1">
        <v>0</v>
      </c>
      <c r="BA533" s="1">
        <v>3</v>
      </c>
      <c r="BB533" s="1">
        <v>0</v>
      </c>
      <c r="BC533" s="1">
        <v>0</v>
      </c>
      <c r="BE533" s="1">
        <v>27186309</v>
      </c>
    </row>
    <row r="534" spans="1:57" x14ac:dyDescent="0.25">
      <c r="A534" s="1" t="str">
        <f>T("1944377009946435084")</f>
        <v>1944377009946435084</v>
      </c>
      <c r="B534" s="1" t="str">
        <f>T("249104601277")</f>
        <v>249104601277</v>
      </c>
      <c r="C534" s="1" t="str">
        <f>T("1941094470548196260")</f>
        <v>1941094470548196260</v>
      </c>
      <c r="AC534" s="1" t="s">
        <v>344</v>
      </c>
      <c r="AD534" s="1" t="s">
        <v>357</v>
      </c>
      <c r="AE534" s="1" t="s">
        <v>358</v>
      </c>
      <c r="AF534" s="1" t="s">
        <v>107</v>
      </c>
      <c r="AO534" s="2">
        <v>46274</v>
      </c>
      <c r="AP534" s="1" t="s">
        <v>301</v>
      </c>
      <c r="AS534" s="1" t="s">
        <v>71</v>
      </c>
      <c r="AU534" s="1" t="s">
        <v>72</v>
      </c>
      <c r="AV534" s="1" t="s">
        <v>73</v>
      </c>
      <c r="AX534" s="1">
        <v>0</v>
      </c>
      <c r="BA534" s="1">
        <v>3</v>
      </c>
      <c r="BB534" s="1">
        <v>0</v>
      </c>
      <c r="BC534" s="1">
        <v>0</v>
      </c>
      <c r="BE534" s="1">
        <v>27186309</v>
      </c>
    </row>
    <row r="535" spans="1:57" x14ac:dyDescent="0.25">
      <c r="A535" s="1" t="str">
        <f>T("1944377009975793640")</f>
        <v>1944377009975793640</v>
      </c>
      <c r="B535" s="1" t="str">
        <f>T("249916394742")</f>
        <v>249916394742</v>
      </c>
      <c r="C535" s="1" t="str">
        <f>T("1941094470548196860")</f>
        <v>1941094470548196860</v>
      </c>
      <c r="AA535" s="1">
        <v>1</v>
      </c>
      <c r="AC535" s="1" t="s">
        <v>344</v>
      </c>
      <c r="AD535" s="1" t="s">
        <v>357</v>
      </c>
      <c r="AE535" s="1" t="s">
        <v>358</v>
      </c>
      <c r="AF535" s="1" t="s">
        <v>107</v>
      </c>
      <c r="AO535" s="2">
        <v>46274</v>
      </c>
      <c r="AP535" s="1" t="s">
        <v>301</v>
      </c>
      <c r="AQ535" s="2">
        <v>46274</v>
      </c>
      <c r="AR535" s="1" t="s">
        <v>359</v>
      </c>
      <c r="AS535" s="1" t="s">
        <v>71</v>
      </c>
      <c r="AU535" s="1" t="s">
        <v>79</v>
      </c>
      <c r="AV535" s="1" t="s">
        <v>80</v>
      </c>
      <c r="AW535" s="1">
        <v>66.44</v>
      </c>
      <c r="AX535" s="1">
        <v>0</v>
      </c>
      <c r="AZ535" s="1" t="s">
        <v>81</v>
      </c>
      <c r="BA535" s="1">
        <v>2</v>
      </c>
      <c r="BB535" s="1">
        <v>0</v>
      </c>
      <c r="BC535" s="1">
        <v>0</v>
      </c>
      <c r="BE535" s="1">
        <v>27186309</v>
      </c>
    </row>
    <row r="536" spans="1:57" x14ac:dyDescent="0.25">
      <c r="A536" s="1" t="str">
        <f>T("1944377009996763780")</f>
        <v>1944377009996763780</v>
      </c>
      <c r="B536" s="1" t="str">
        <f>T("249919872685")</f>
        <v>249919872685</v>
      </c>
      <c r="C536" s="1" t="str">
        <f>T("1941094470552389468")</f>
        <v>1941094470552389468</v>
      </c>
      <c r="AA536" s="1">
        <v>1</v>
      </c>
      <c r="AC536" s="1" t="s">
        <v>344</v>
      </c>
      <c r="AD536" s="1" t="s">
        <v>357</v>
      </c>
      <c r="AE536" s="1" t="s">
        <v>358</v>
      </c>
      <c r="AF536" s="1" t="s">
        <v>107</v>
      </c>
      <c r="AO536" s="2">
        <v>46274</v>
      </c>
      <c r="AP536" s="1" t="s">
        <v>301</v>
      </c>
      <c r="AQ536" s="2">
        <v>46274</v>
      </c>
      <c r="AR536" s="1" t="s">
        <v>360</v>
      </c>
      <c r="AS536" s="1" t="s">
        <v>71</v>
      </c>
      <c r="AU536" s="1" t="s">
        <v>79</v>
      </c>
      <c r="AV536" s="1" t="s">
        <v>80</v>
      </c>
      <c r="AW536" s="1">
        <v>64.040000000000006</v>
      </c>
      <c r="AX536" s="1">
        <v>0</v>
      </c>
      <c r="AZ536" s="1" t="s">
        <v>81</v>
      </c>
      <c r="BA536" s="1">
        <v>2</v>
      </c>
      <c r="BB536" s="1">
        <v>0</v>
      </c>
      <c r="BC536" s="1">
        <v>0</v>
      </c>
      <c r="BE536" s="1">
        <v>27186309</v>
      </c>
    </row>
    <row r="537" spans="1:57" x14ac:dyDescent="0.25">
      <c r="A537" s="1" t="str">
        <f>T("1944377010005154696")</f>
        <v>1944377010005154696</v>
      </c>
      <c r="B537" s="1" t="str">
        <f>T("249966400685")</f>
        <v>249966400685</v>
      </c>
      <c r="C537" s="1" t="str">
        <f>T("1941094470569166500")</f>
        <v>1941094470569166500</v>
      </c>
      <c r="AA537" s="1">
        <v>1</v>
      </c>
      <c r="AC537" s="1" t="s">
        <v>344</v>
      </c>
      <c r="AD537" s="1" t="s">
        <v>357</v>
      </c>
      <c r="AE537" s="1" t="s">
        <v>361</v>
      </c>
      <c r="AF537" s="1" t="s">
        <v>107</v>
      </c>
      <c r="AO537" s="2">
        <v>46274</v>
      </c>
      <c r="AP537" s="1" t="s">
        <v>301</v>
      </c>
      <c r="AQ537" s="2">
        <v>46274</v>
      </c>
      <c r="AR537" s="1" t="s">
        <v>362</v>
      </c>
      <c r="AS537" s="1" t="s">
        <v>71</v>
      </c>
      <c r="AU537" s="1" t="s">
        <v>79</v>
      </c>
      <c r="AV537" s="1" t="s">
        <v>80</v>
      </c>
      <c r="AW537" s="1">
        <v>37.9</v>
      </c>
      <c r="AX537" s="1">
        <v>0</v>
      </c>
      <c r="AZ537" s="1" t="s">
        <v>81</v>
      </c>
      <c r="BA537" s="1">
        <v>2</v>
      </c>
      <c r="BB537" s="1">
        <v>0</v>
      </c>
      <c r="BC537" s="1">
        <v>0</v>
      </c>
      <c r="BE537" s="1">
        <v>27186309</v>
      </c>
    </row>
    <row r="538" spans="1:57" x14ac:dyDescent="0.25">
      <c r="A538" s="1" t="str">
        <f>T("1944377010017735220")</f>
        <v>1944377010017735220</v>
      </c>
      <c r="B538" s="1" t="str">
        <f>T("249910313278")</f>
        <v>249910313278</v>
      </c>
      <c r="C538" s="1" t="str">
        <f>T("1941094470564973892")</f>
        <v>1941094470564973892</v>
      </c>
      <c r="M538" s="1" t="s">
        <v>59</v>
      </c>
      <c r="O538" s="1" t="s">
        <v>65</v>
      </c>
      <c r="P538" s="1" t="s">
        <v>111</v>
      </c>
      <c r="AA538" s="1">
        <v>1</v>
      </c>
      <c r="AC538" s="1" t="s">
        <v>344</v>
      </c>
      <c r="AD538" s="1" t="s">
        <v>357</v>
      </c>
      <c r="AE538" s="1" t="s">
        <v>361</v>
      </c>
      <c r="AF538" s="1" t="s">
        <v>107</v>
      </c>
      <c r="AO538" s="2">
        <v>46274</v>
      </c>
      <c r="AP538" s="1" t="s">
        <v>301</v>
      </c>
      <c r="AQ538" s="2">
        <v>46274</v>
      </c>
      <c r="AR538" s="1" t="s">
        <v>363</v>
      </c>
      <c r="AS538" s="1" t="s">
        <v>71</v>
      </c>
      <c r="AU538" s="1" t="s">
        <v>79</v>
      </c>
      <c r="AV538" s="1" t="s">
        <v>80</v>
      </c>
      <c r="AW538" s="1">
        <v>121.14</v>
      </c>
      <c r="AX538" s="1">
        <v>0</v>
      </c>
      <c r="AZ538" s="1" t="s">
        <v>81</v>
      </c>
      <c r="BA538" s="1">
        <v>1</v>
      </c>
      <c r="BB538" s="1">
        <v>0</v>
      </c>
      <c r="BC538" s="1">
        <v>0</v>
      </c>
      <c r="BE538" s="1">
        <v>27186309</v>
      </c>
    </row>
    <row r="539" spans="1:57" x14ac:dyDescent="0.25">
      <c r="A539" s="1" t="str">
        <f>T("1944377010051290284")</f>
        <v>1944377010051290284</v>
      </c>
      <c r="B539" s="1" t="str">
        <f>T("249914348822")</f>
        <v>249914348822</v>
      </c>
      <c r="C539" s="1" t="str">
        <f>T("1941094470569167100")</f>
        <v>1941094470569167100</v>
      </c>
      <c r="AC539" s="1" t="s">
        <v>344</v>
      </c>
      <c r="AD539" s="1" t="s">
        <v>357</v>
      </c>
      <c r="AE539" s="1" t="s">
        <v>361</v>
      </c>
      <c r="AF539" s="1" t="s">
        <v>107</v>
      </c>
      <c r="AO539" s="2">
        <v>46274</v>
      </c>
      <c r="AP539" s="1" t="s">
        <v>301</v>
      </c>
      <c r="AS539" s="1" t="s">
        <v>71</v>
      </c>
      <c r="AU539" s="1" t="s">
        <v>72</v>
      </c>
      <c r="AV539" s="1" t="s">
        <v>73</v>
      </c>
      <c r="AX539" s="1">
        <v>0</v>
      </c>
      <c r="BA539" s="1">
        <v>3</v>
      </c>
      <c r="BB539" s="1">
        <v>0</v>
      </c>
      <c r="BC539" s="1">
        <v>0</v>
      </c>
      <c r="BE539" s="1">
        <v>27186309</v>
      </c>
    </row>
    <row r="540" spans="1:57" x14ac:dyDescent="0.25">
      <c r="A540" s="1" t="str">
        <f>T("1944377010051291084")</f>
        <v>1944377010051291084</v>
      </c>
      <c r="B540" s="1" t="str">
        <f>T("249919486095")</f>
        <v>249919486095</v>
      </c>
      <c r="C540" s="1" t="str">
        <f>T("1941094470569167500")</f>
        <v>1941094470569167500</v>
      </c>
      <c r="AC540" s="1" t="s">
        <v>344</v>
      </c>
      <c r="AD540" s="1" t="s">
        <v>357</v>
      </c>
      <c r="AE540" s="1" t="s">
        <v>361</v>
      </c>
      <c r="AF540" s="1" t="s">
        <v>107</v>
      </c>
      <c r="AO540" s="2">
        <v>46274</v>
      </c>
      <c r="AP540" s="1" t="s">
        <v>301</v>
      </c>
      <c r="AQ540" s="2">
        <v>46274</v>
      </c>
      <c r="AR540" s="1" t="s">
        <v>364</v>
      </c>
      <c r="AS540" s="1" t="s">
        <v>71</v>
      </c>
      <c r="AU540" s="1" t="s">
        <v>79</v>
      </c>
      <c r="AV540" s="1" t="s">
        <v>80</v>
      </c>
      <c r="AW540" s="1">
        <v>31.94</v>
      </c>
      <c r="AX540" s="1">
        <v>0</v>
      </c>
      <c r="AZ540" s="1" t="s">
        <v>81</v>
      </c>
      <c r="BA540" s="1">
        <v>1</v>
      </c>
      <c r="BB540" s="1">
        <v>0</v>
      </c>
      <c r="BC540" s="1">
        <v>0</v>
      </c>
      <c r="BE540" s="1">
        <v>27186309</v>
      </c>
    </row>
    <row r="541" spans="1:57" x14ac:dyDescent="0.25">
      <c r="A541" s="1" t="str">
        <f>T("1944377010059678400")</f>
        <v>1944377010059678400</v>
      </c>
      <c r="B541" s="1" t="str">
        <f>T("249908363325")</f>
        <v>249908363325</v>
      </c>
      <c r="C541" s="1" t="str">
        <f>T("1941094470569168000")</f>
        <v>1941094470569168000</v>
      </c>
      <c r="AA541" s="1">
        <v>1</v>
      </c>
      <c r="AC541" s="1" t="s">
        <v>344</v>
      </c>
      <c r="AD541" s="1" t="s">
        <v>357</v>
      </c>
      <c r="AE541" s="1" t="s">
        <v>361</v>
      </c>
      <c r="AF541" s="1" t="s">
        <v>107</v>
      </c>
      <c r="AO541" s="2">
        <v>46274</v>
      </c>
      <c r="AP541" s="1" t="s">
        <v>301</v>
      </c>
      <c r="AQ541" s="2">
        <v>46274</v>
      </c>
      <c r="AR541" s="1" t="s">
        <v>365</v>
      </c>
      <c r="AS541" s="1" t="s">
        <v>71</v>
      </c>
      <c r="AU541" s="1" t="s">
        <v>79</v>
      </c>
      <c r="AV541" s="1" t="s">
        <v>80</v>
      </c>
      <c r="AW541" s="1">
        <v>63.26</v>
      </c>
      <c r="AX541" s="1">
        <v>0</v>
      </c>
      <c r="AZ541" s="1" t="s">
        <v>81</v>
      </c>
      <c r="BA541" s="1">
        <v>1</v>
      </c>
      <c r="BB541" s="1">
        <v>0</v>
      </c>
      <c r="BC541" s="1">
        <v>0</v>
      </c>
      <c r="BE541" s="1">
        <v>27186309</v>
      </c>
    </row>
    <row r="542" spans="1:57" x14ac:dyDescent="0.25">
      <c r="A542" s="1" t="str">
        <f>T("1944377010063875708")</f>
        <v>1944377010063875708</v>
      </c>
      <c r="B542" s="1" t="str">
        <f>T("249914730559")</f>
        <v>249914730559</v>
      </c>
      <c r="C542" s="1" t="str">
        <f>T("1941094470569168600")</f>
        <v>1941094470569168600</v>
      </c>
      <c r="M542" s="1" t="s">
        <v>59</v>
      </c>
      <c r="O542" s="1" t="s">
        <v>65</v>
      </c>
      <c r="P542" s="1" t="s">
        <v>83</v>
      </c>
      <c r="Q542" s="1" t="s">
        <v>62</v>
      </c>
      <c r="R542" s="1" t="s">
        <v>93</v>
      </c>
      <c r="T542" s="1" t="s">
        <v>119</v>
      </c>
      <c r="U542" s="1" t="s">
        <v>60</v>
      </c>
      <c r="V542" s="1" t="s">
        <v>102</v>
      </c>
      <c r="W542" s="1" t="s">
        <v>60</v>
      </c>
      <c r="X542" s="1" t="s">
        <v>68</v>
      </c>
      <c r="Y542" s="1" t="s">
        <v>69</v>
      </c>
      <c r="AA542" s="1">
        <v>1</v>
      </c>
      <c r="AB542" s="1">
        <v>1</v>
      </c>
      <c r="AC542" s="1" t="s">
        <v>366</v>
      </c>
      <c r="AD542" s="1" t="s">
        <v>367</v>
      </c>
      <c r="AE542" s="1" t="s">
        <v>368</v>
      </c>
      <c r="AF542" s="1" t="s">
        <v>107</v>
      </c>
      <c r="AG542" s="1">
        <v>34</v>
      </c>
      <c r="AO542" s="2">
        <v>46274</v>
      </c>
      <c r="AP542" s="1" t="s">
        <v>301</v>
      </c>
      <c r="AQ542" s="2">
        <v>46274</v>
      </c>
      <c r="AR542" s="1" t="s">
        <v>369</v>
      </c>
      <c r="AS542" s="1" t="s">
        <v>71</v>
      </c>
      <c r="AU542" s="1" t="s">
        <v>78</v>
      </c>
      <c r="AV542" s="1" t="s">
        <v>80</v>
      </c>
      <c r="AW542" s="1">
        <v>242.76</v>
      </c>
      <c r="AX542" s="1">
        <v>0</v>
      </c>
      <c r="AZ542" s="1" t="s">
        <v>81</v>
      </c>
      <c r="BA542" s="1">
        <v>2</v>
      </c>
      <c r="BB542" s="1">
        <v>0</v>
      </c>
      <c r="BC542" s="1">
        <v>0</v>
      </c>
      <c r="BE542" s="1">
        <v>27186309</v>
      </c>
    </row>
    <row r="543" spans="1:57" x14ac:dyDescent="0.25">
      <c r="A543" s="1" t="str">
        <f>T("1944377010101622380")</f>
        <v>1944377010101622380</v>
      </c>
      <c r="B543" s="1" t="str">
        <f>T("249913614214")</f>
        <v>249913614214</v>
      </c>
      <c r="C543" s="1" t="str">
        <f>T("1941094470573362008")</f>
        <v>1941094470573362008</v>
      </c>
      <c r="AA543" s="1">
        <v>1</v>
      </c>
      <c r="AC543" s="1" t="s">
        <v>366</v>
      </c>
      <c r="AD543" s="1" t="s">
        <v>367</v>
      </c>
      <c r="AE543" s="1" t="s">
        <v>368</v>
      </c>
      <c r="AF543" s="1" t="s">
        <v>107</v>
      </c>
      <c r="AG543" s="1">
        <v>42</v>
      </c>
      <c r="AO543" s="2">
        <v>46274</v>
      </c>
      <c r="AP543" s="1" t="s">
        <v>301</v>
      </c>
      <c r="AQ543" s="2">
        <v>46274</v>
      </c>
      <c r="AR543" s="1" t="s">
        <v>370</v>
      </c>
      <c r="AS543" s="1" t="s">
        <v>71</v>
      </c>
      <c r="AU543" s="1" t="s">
        <v>79</v>
      </c>
      <c r="AV543" s="1" t="s">
        <v>80</v>
      </c>
      <c r="AW543" s="1">
        <v>67.06</v>
      </c>
      <c r="AX543" s="1">
        <v>0</v>
      </c>
      <c r="AZ543" s="1" t="s">
        <v>81</v>
      </c>
      <c r="BA543" s="1">
        <v>1</v>
      </c>
      <c r="BB543" s="1">
        <v>0</v>
      </c>
      <c r="BC543" s="1">
        <v>0</v>
      </c>
      <c r="BE543" s="1">
        <v>27186309</v>
      </c>
    </row>
    <row r="544" spans="1:57" x14ac:dyDescent="0.25">
      <c r="A544" s="1" t="str">
        <f>T("1944377010219065004")</f>
        <v>1944377010219065004</v>
      </c>
      <c r="B544" s="1" t="str">
        <f>T("249116141546")</f>
        <v>249116141546</v>
      </c>
      <c r="C544" s="1" t="str">
        <f>T("1941094470573361508")</f>
        <v>1941094470573361508</v>
      </c>
      <c r="AC544" s="1" t="s">
        <v>366</v>
      </c>
      <c r="AD544" s="1" t="s">
        <v>367</v>
      </c>
      <c r="AE544" s="1" t="s">
        <v>368</v>
      </c>
      <c r="AF544" s="1" t="s">
        <v>144</v>
      </c>
      <c r="AG544" s="1">
        <v>40</v>
      </c>
      <c r="AO544" s="2">
        <v>46274</v>
      </c>
      <c r="AP544" s="1" t="s">
        <v>301</v>
      </c>
      <c r="AS544" s="1" t="s">
        <v>71</v>
      </c>
      <c r="AU544" s="1" t="s">
        <v>72</v>
      </c>
      <c r="AV544" s="1" t="s">
        <v>73</v>
      </c>
      <c r="AX544" s="1">
        <v>0</v>
      </c>
      <c r="BA544" s="1">
        <v>3</v>
      </c>
      <c r="BB544" s="1">
        <v>0</v>
      </c>
      <c r="BC544" s="1">
        <v>0</v>
      </c>
      <c r="BE544" s="1">
        <v>27186309</v>
      </c>
    </row>
    <row r="545" spans="1:57" x14ac:dyDescent="0.25">
      <c r="A545" s="1" t="str">
        <f>T("1944467605541297968")</f>
        <v>1944467605541297968</v>
      </c>
      <c r="B545" s="1" t="str">
        <f>T("249919906082")</f>
        <v>249919906082</v>
      </c>
      <c r="C545" s="1" t="str">
        <f>T("1941094470573362708")</f>
        <v>1941094470573362708</v>
      </c>
      <c r="M545" s="1" t="s">
        <v>59</v>
      </c>
      <c r="O545" s="1" t="s">
        <v>60</v>
      </c>
      <c r="P545" s="1" t="s">
        <v>83</v>
      </c>
      <c r="Q545" s="1" t="s">
        <v>112</v>
      </c>
      <c r="R545" s="1" t="s">
        <v>93</v>
      </c>
      <c r="T545" s="1" t="s">
        <v>119</v>
      </c>
      <c r="U545" s="1" t="s">
        <v>60</v>
      </c>
      <c r="V545" s="1" t="s">
        <v>66</v>
      </c>
      <c r="W545" s="1" t="s">
        <v>60</v>
      </c>
      <c r="X545" s="1" t="s">
        <v>103</v>
      </c>
      <c r="Y545" s="1" t="s">
        <v>69</v>
      </c>
      <c r="AA545" s="1">
        <v>1</v>
      </c>
      <c r="AB545" s="1">
        <v>1</v>
      </c>
      <c r="AC545" s="1" t="s">
        <v>366</v>
      </c>
      <c r="AD545" s="1" t="s">
        <v>367</v>
      </c>
      <c r="AE545" s="1" t="s">
        <v>368</v>
      </c>
      <c r="AF545" s="1" t="s">
        <v>144</v>
      </c>
      <c r="AG545" s="1">
        <v>30</v>
      </c>
      <c r="AO545" s="2">
        <v>46274</v>
      </c>
      <c r="AP545" s="1" t="s">
        <v>226</v>
      </c>
      <c r="AQ545" s="2">
        <v>46274</v>
      </c>
      <c r="AR545" s="1" t="s">
        <v>371</v>
      </c>
      <c r="AS545" s="1" t="s">
        <v>71</v>
      </c>
      <c r="AU545" s="1" t="s">
        <v>78</v>
      </c>
      <c r="AV545" s="1" t="s">
        <v>80</v>
      </c>
      <c r="AW545" s="1">
        <v>200.52</v>
      </c>
      <c r="AX545" s="1">
        <v>0</v>
      </c>
      <c r="AZ545" s="1" t="s">
        <v>81</v>
      </c>
      <c r="BA545" s="1">
        <v>1</v>
      </c>
      <c r="BB545" s="1">
        <v>0</v>
      </c>
      <c r="BC545" s="1">
        <v>0</v>
      </c>
      <c r="BE545" s="1">
        <v>27186310</v>
      </c>
    </row>
    <row r="546" spans="1:57" x14ac:dyDescent="0.25">
      <c r="A546" s="1" t="str">
        <f>T("1944467605797149956")</f>
        <v>1944467605797149956</v>
      </c>
      <c r="B546" s="1" t="str">
        <f>T("249902298916")</f>
        <v>249902298916</v>
      </c>
      <c r="C546" s="1" t="str">
        <f>T("1941094470577553616")</f>
        <v>1941094470577553616</v>
      </c>
      <c r="AC546" s="1" t="s">
        <v>366</v>
      </c>
      <c r="AD546" s="1" t="s">
        <v>367</v>
      </c>
      <c r="AE546" s="1" t="s">
        <v>368</v>
      </c>
      <c r="AF546" s="1" t="s">
        <v>144</v>
      </c>
      <c r="AG546" s="1">
        <v>39</v>
      </c>
      <c r="AO546" s="2">
        <v>46274</v>
      </c>
      <c r="AP546" s="1" t="s">
        <v>226</v>
      </c>
      <c r="AS546" s="1" t="s">
        <v>71</v>
      </c>
      <c r="AU546" s="1" t="s">
        <v>72</v>
      </c>
      <c r="AV546" s="1" t="s">
        <v>131</v>
      </c>
      <c r="AX546" s="1">
        <v>0</v>
      </c>
      <c r="BA546" s="1">
        <v>3</v>
      </c>
      <c r="BB546" s="1">
        <v>0</v>
      </c>
      <c r="BC546" s="1">
        <v>0</v>
      </c>
      <c r="BE546" s="1">
        <v>27186310</v>
      </c>
    </row>
    <row r="547" spans="1:57" x14ac:dyDescent="0.25">
      <c r="A547" s="1" t="str">
        <f>T("1944467605906201264")</f>
        <v>1944467605906201264</v>
      </c>
      <c r="B547" s="1" t="str">
        <f>T("249914057837")</f>
        <v>249914057837</v>
      </c>
      <c r="C547" s="1" t="str">
        <f>T("1941094470577554016")</f>
        <v>1941094470577554016</v>
      </c>
      <c r="AC547" s="1" t="s">
        <v>344</v>
      </c>
      <c r="AD547" s="1" t="s">
        <v>372</v>
      </c>
      <c r="AE547" s="1" t="s">
        <v>373</v>
      </c>
      <c r="AF547" s="1" t="s">
        <v>144</v>
      </c>
      <c r="AG547" s="1">
        <v>29</v>
      </c>
      <c r="AO547" s="2">
        <v>46274</v>
      </c>
      <c r="AP547" s="1" t="s">
        <v>226</v>
      </c>
      <c r="AS547" s="1" t="s">
        <v>71</v>
      </c>
      <c r="AU547" s="1" t="s">
        <v>72</v>
      </c>
      <c r="AV547" s="1" t="s">
        <v>131</v>
      </c>
      <c r="AX547" s="1">
        <v>0</v>
      </c>
      <c r="BA547" s="1">
        <v>3</v>
      </c>
      <c r="BB547" s="1">
        <v>0</v>
      </c>
      <c r="BC547" s="1">
        <v>0</v>
      </c>
      <c r="BE547" s="1">
        <v>27186310</v>
      </c>
    </row>
    <row r="548" spans="1:57" x14ac:dyDescent="0.25">
      <c r="A548" s="1" t="str">
        <f>T("1944467605998474640")</f>
        <v>1944467605998474640</v>
      </c>
      <c r="B548" s="1" t="str">
        <f>T("249907805180")</f>
        <v>249907805180</v>
      </c>
      <c r="C548" s="1" t="str">
        <f>T("1941094470577554616")</f>
        <v>1941094470577554616</v>
      </c>
      <c r="AC548" s="1" t="s">
        <v>344</v>
      </c>
      <c r="AD548" s="1" t="s">
        <v>372</v>
      </c>
      <c r="AE548" s="1" t="s">
        <v>373</v>
      </c>
      <c r="AF548" s="1" t="s">
        <v>144</v>
      </c>
      <c r="AG548" s="1">
        <v>40</v>
      </c>
      <c r="AO548" s="2">
        <v>46274</v>
      </c>
      <c r="AP548" s="1" t="s">
        <v>226</v>
      </c>
      <c r="AS548" s="1" t="s">
        <v>71</v>
      </c>
      <c r="AU548" s="1" t="s">
        <v>72</v>
      </c>
      <c r="AV548" s="1" t="s">
        <v>73</v>
      </c>
      <c r="AX548" s="1">
        <v>0</v>
      </c>
      <c r="BA548" s="1">
        <v>3</v>
      </c>
      <c r="BB548" s="1">
        <v>0</v>
      </c>
      <c r="BC548" s="1">
        <v>0</v>
      </c>
      <c r="BE548" s="1">
        <v>27186310</v>
      </c>
    </row>
    <row r="549" spans="1:57" x14ac:dyDescent="0.25">
      <c r="A549" s="1" t="str">
        <f>T("1944467606124304380")</f>
        <v>1944467606124304380</v>
      </c>
      <c r="B549" s="1" t="str">
        <f>T("249904451260")</f>
        <v>249904451260</v>
      </c>
      <c r="C549" s="1" t="str">
        <f>T("1941094470577555016")</f>
        <v>1941094470577555016</v>
      </c>
      <c r="AC549" s="1" t="s">
        <v>344</v>
      </c>
      <c r="AD549" s="1" t="s">
        <v>372</v>
      </c>
      <c r="AE549" s="1" t="s">
        <v>373</v>
      </c>
      <c r="AF549" s="1" t="s">
        <v>144</v>
      </c>
      <c r="AG549" s="1">
        <v>49</v>
      </c>
      <c r="AO549" s="2">
        <v>46274</v>
      </c>
      <c r="AP549" s="1" t="s">
        <v>226</v>
      </c>
      <c r="AQ549" s="2">
        <v>46274</v>
      </c>
      <c r="AR549" s="1" t="s">
        <v>374</v>
      </c>
      <c r="AS549" s="1" t="s">
        <v>71</v>
      </c>
      <c r="AU549" s="1" t="s">
        <v>79</v>
      </c>
      <c r="AV549" s="1" t="s">
        <v>80</v>
      </c>
      <c r="AW549" s="1">
        <v>18.68</v>
      </c>
      <c r="AX549" s="1">
        <v>0</v>
      </c>
      <c r="AZ549" s="1" t="s">
        <v>81</v>
      </c>
      <c r="BA549" s="1">
        <v>1</v>
      </c>
      <c r="BB549" s="1">
        <v>0</v>
      </c>
      <c r="BC549" s="1">
        <v>0</v>
      </c>
      <c r="BE549" s="1">
        <v>27186310</v>
      </c>
    </row>
    <row r="550" spans="1:57" x14ac:dyDescent="0.25">
      <c r="A550" s="1" t="str">
        <f>T("1944467606220774164")</f>
        <v>1944467606220774164</v>
      </c>
      <c r="B550" s="1" t="str">
        <f>T("249967394968")</f>
        <v>249967394968</v>
      </c>
      <c r="C550" s="1" t="str">
        <f>T("1941094470577555516")</f>
        <v>1941094470577555516</v>
      </c>
      <c r="AC550" s="1" t="s">
        <v>344</v>
      </c>
      <c r="AD550" s="1" t="s">
        <v>372</v>
      </c>
      <c r="AE550" s="1" t="s">
        <v>375</v>
      </c>
      <c r="AF550" s="1" t="s">
        <v>144</v>
      </c>
      <c r="AG550" s="1">
        <v>45</v>
      </c>
      <c r="AO550" s="2">
        <v>46274</v>
      </c>
      <c r="AP550" s="1" t="s">
        <v>226</v>
      </c>
      <c r="AQ550" s="2">
        <v>46274</v>
      </c>
      <c r="AR550" s="1" t="s">
        <v>376</v>
      </c>
      <c r="AS550" s="1" t="s">
        <v>71</v>
      </c>
      <c r="AU550" s="1" t="s">
        <v>79</v>
      </c>
      <c r="AV550" s="1" t="s">
        <v>80</v>
      </c>
      <c r="AW550" s="1">
        <v>34.4</v>
      </c>
      <c r="AX550" s="1">
        <v>0</v>
      </c>
      <c r="AZ550" s="1" t="s">
        <v>81</v>
      </c>
      <c r="BA550" s="1">
        <v>3</v>
      </c>
      <c r="BB550" s="1">
        <v>0</v>
      </c>
      <c r="BC550" s="1">
        <v>0</v>
      </c>
      <c r="BE550" s="1">
        <v>27186310</v>
      </c>
    </row>
    <row r="551" spans="1:57" x14ac:dyDescent="0.25">
      <c r="A551" s="1" t="str">
        <f>T("1944467606304658524")</f>
        <v>1944467606304658524</v>
      </c>
      <c r="B551" s="1" t="str">
        <f>T("249915917606")</f>
        <v>249915917606</v>
      </c>
      <c r="C551" s="1" t="str">
        <f>T("1941094470577555916")</f>
        <v>1941094470577555916</v>
      </c>
      <c r="AA551" s="1">
        <v>1</v>
      </c>
      <c r="AC551" s="1" t="s">
        <v>344</v>
      </c>
      <c r="AD551" s="1" t="s">
        <v>372</v>
      </c>
      <c r="AE551" s="1" t="s">
        <v>375</v>
      </c>
      <c r="AF551" s="1" t="s">
        <v>144</v>
      </c>
      <c r="AG551" s="1">
        <v>43</v>
      </c>
      <c r="AO551" s="2">
        <v>46274</v>
      </c>
      <c r="AP551" s="1" t="s">
        <v>226</v>
      </c>
      <c r="AQ551" s="2">
        <v>46274</v>
      </c>
      <c r="AR551" s="1" t="s">
        <v>377</v>
      </c>
      <c r="AS551" s="1" t="s">
        <v>71</v>
      </c>
      <c r="AU551" s="1" t="s">
        <v>79</v>
      </c>
      <c r="AV551" s="1" t="s">
        <v>80</v>
      </c>
      <c r="AW551" s="1">
        <v>65.98</v>
      </c>
      <c r="AX551" s="1">
        <v>0</v>
      </c>
      <c r="AZ551" s="1" t="s">
        <v>81</v>
      </c>
      <c r="BA551" s="1">
        <v>3</v>
      </c>
      <c r="BB551" s="1">
        <v>0</v>
      </c>
      <c r="BC551" s="1">
        <v>0</v>
      </c>
      <c r="BE551" s="1">
        <v>27186310</v>
      </c>
    </row>
    <row r="552" spans="1:57" x14ac:dyDescent="0.25">
      <c r="A552" s="1" t="str">
        <f>T("1944467606409518624")</f>
        <v>1944467606409518624</v>
      </c>
      <c r="B552" s="1" t="str">
        <f>T("249960805672")</f>
        <v>249960805672</v>
      </c>
      <c r="C552" s="1" t="str">
        <f>T("1941094470577556416")</f>
        <v>1941094470577556416</v>
      </c>
      <c r="AC552" s="1" t="s">
        <v>344</v>
      </c>
      <c r="AD552" s="1" t="s">
        <v>372</v>
      </c>
      <c r="AE552" s="1" t="s">
        <v>375</v>
      </c>
      <c r="AF552" s="1" t="s">
        <v>144</v>
      </c>
      <c r="AG552" s="1">
        <v>34</v>
      </c>
      <c r="AO552" s="2">
        <v>46274</v>
      </c>
      <c r="AP552" s="1" t="s">
        <v>226</v>
      </c>
      <c r="AQ552" s="2">
        <v>46274</v>
      </c>
      <c r="AR552" s="1" t="s">
        <v>378</v>
      </c>
      <c r="AS552" s="1" t="s">
        <v>71</v>
      </c>
      <c r="AU552" s="1" t="s">
        <v>79</v>
      </c>
      <c r="AV552" s="1" t="s">
        <v>80</v>
      </c>
      <c r="AW552" s="1">
        <v>30.34</v>
      </c>
      <c r="AX552" s="1">
        <v>0</v>
      </c>
      <c r="AZ552" s="1" t="s">
        <v>81</v>
      </c>
      <c r="BA552" s="1">
        <v>1</v>
      </c>
      <c r="BB552" s="1">
        <v>0</v>
      </c>
      <c r="BC552" s="1">
        <v>0</v>
      </c>
      <c r="BE552" s="1">
        <v>27186310</v>
      </c>
    </row>
    <row r="553" spans="1:57" x14ac:dyDescent="0.25">
      <c r="A553" s="1" t="str">
        <f>T("1944467606485015668")</f>
        <v>1944467606485015668</v>
      </c>
      <c r="B553" s="1" t="str">
        <f>T("249111938368")</f>
        <v>249111938368</v>
      </c>
      <c r="C553" s="1" t="str">
        <f>T("1941094470581748024")</f>
        <v>1941094470581748024</v>
      </c>
      <c r="M553" s="1" t="s">
        <v>59</v>
      </c>
      <c r="O553" s="1" t="s">
        <v>65</v>
      </c>
      <c r="P553" s="1" t="s">
        <v>111</v>
      </c>
      <c r="Q553" s="1" t="s">
        <v>112</v>
      </c>
      <c r="R553" s="1" t="s">
        <v>93</v>
      </c>
      <c r="T553" s="1" t="s">
        <v>95</v>
      </c>
      <c r="U553" s="1" t="s">
        <v>65</v>
      </c>
      <c r="V553" s="1" t="s">
        <v>102</v>
      </c>
      <c r="W553" s="1" t="s">
        <v>60</v>
      </c>
      <c r="X553" s="1" t="s">
        <v>66</v>
      </c>
      <c r="Y553" s="1" t="s">
        <v>85</v>
      </c>
      <c r="AA553" s="1">
        <v>1</v>
      </c>
      <c r="AB553" s="1">
        <v>1</v>
      </c>
      <c r="AC553" s="1" t="s">
        <v>344</v>
      </c>
      <c r="AD553" s="1" t="s">
        <v>372</v>
      </c>
      <c r="AE553" s="1" t="s">
        <v>375</v>
      </c>
      <c r="AF553" s="1" t="s">
        <v>144</v>
      </c>
      <c r="AG553" s="1">
        <v>46</v>
      </c>
      <c r="AO553" s="2">
        <v>46274</v>
      </c>
      <c r="AP553" s="1" t="s">
        <v>226</v>
      </c>
      <c r="AQ553" s="2">
        <v>46274</v>
      </c>
      <c r="AR553" s="1" t="s">
        <v>379</v>
      </c>
      <c r="AS553" s="1" t="s">
        <v>71</v>
      </c>
      <c r="AU553" s="1" t="s">
        <v>78</v>
      </c>
      <c r="AV553" s="1" t="s">
        <v>80</v>
      </c>
      <c r="AW553" s="1">
        <v>238.68</v>
      </c>
      <c r="AX553" s="1">
        <v>0</v>
      </c>
      <c r="AZ553" s="1" t="s">
        <v>81</v>
      </c>
      <c r="BA553" s="1">
        <v>1</v>
      </c>
      <c r="BB553" s="1">
        <v>0</v>
      </c>
      <c r="BC553" s="1">
        <v>0</v>
      </c>
      <c r="BE553" s="1">
        <v>27186310</v>
      </c>
    </row>
    <row r="554" spans="1:57" x14ac:dyDescent="0.25">
      <c r="A554" s="1" t="str">
        <f>T("1944467606594067976")</f>
        <v>1944467606594067976</v>
      </c>
      <c r="B554" s="1" t="str">
        <f>T("249127887902")</f>
        <v>249127887902</v>
      </c>
      <c r="C554" s="1" t="str">
        <f>T("1941094470581748424")</f>
        <v>1941094470581748424</v>
      </c>
      <c r="M554" s="1" t="s">
        <v>59</v>
      </c>
      <c r="O554" s="1" t="s">
        <v>65</v>
      </c>
      <c r="P554" s="1" t="s">
        <v>83</v>
      </c>
      <c r="Q554" s="1" t="s">
        <v>112</v>
      </c>
      <c r="R554" s="1" t="s">
        <v>93</v>
      </c>
      <c r="T554" s="1" t="s">
        <v>119</v>
      </c>
      <c r="U554" s="1" t="s">
        <v>65</v>
      </c>
      <c r="V554" s="1" t="s">
        <v>102</v>
      </c>
      <c r="W554" s="1" t="s">
        <v>67</v>
      </c>
      <c r="X554" s="1" t="s">
        <v>66</v>
      </c>
      <c r="Y554" s="1" t="s">
        <v>85</v>
      </c>
      <c r="AA554" s="1">
        <v>1</v>
      </c>
      <c r="AB554" s="1">
        <v>1</v>
      </c>
      <c r="AC554" s="1" t="s">
        <v>344</v>
      </c>
      <c r="AD554" s="1" t="s">
        <v>372</v>
      </c>
      <c r="AE554" s="1" t="s">
        <v>375</v>
      </c>
      <c r="AF554" s="1" t="s">
        <v>144</v>
      </c>
      <c r="AG554" s="1">
        <v>31</v>
      </c>
      <c r="AO554" s="2">
        <v>46274</v>
      </c>
      <c r="AP554" s="1" t="s">
        <v>226</v>
      </c>
      <c r="AQ554" s="2">
        <v>46274</v>
      </c>
      <c r="AR554" s="1" t="s">
        <v>380</v>
      </c>
      <c r="AS554" s="1" t="s">
        <v>71</v>
      </c>
      <c r="AU554" s="1" t="s">
        <v>78</v>
      </c>
      <c r="AV554" s="1" t="s">
        <v>80</v>
      </c>
      <c r="AW554" s="1">
        <v>277.64</v>
      </c>
      <c r="AX554" s="1">
        <v>0</v>
      </c>
      <c r="AZ554" s="1" t="s">
        <v>81</v>
      </c>
      <c r="BA554" s="1">
        <v>1</v>
      </c>
      <c r="BB554" s="1">
        <v>0</v>
      </c>
      <c r="BC554" s="1">
        <v>0</v>
      </c>
      <c r="BE554" s="1">
        <v>27186310</v>
      </c>
    </row>
    <row r="555" spans="1:57" x14ac:dyDescent="0.25">
      <c r="A555" s="1" t="str">
        <f>T("1944467606803780776")</f>
        <v>1944467606803780776</v>
      </c>
      <c r="B555" s="1" t="str">
        <f>T("249915418849")</f>
        <v>249915418849</v>
      </c>
      <c r="C555" s="1" t="str">
        <f>T("1941094470581748924")</f>
        <v>1941094470581748924</v>
      </c>
      <c r="AA555" s="1">
        <v>1</v>
      </c>
      <c r="AC555" s="1" t="s">
        <v>344</v>
      </c>
      <c r="AD555" s="1" t="s">
        <v>372</v>
      </c>
      <c r="AE555" s="1" t="s">
        <v>375</v>
      </c>
      <c r="AF555" s="1" t="s">
        <v>144</v>
      </c>
      <c r="AG555" s="1">
        <v>36</v>
      </c>
      <c r="AO555" s="2">
        <v>46274</v>
      </c>
      <c r="AP555" s="1" t="s">
        <v>226</v>
      </c>
      <c r="AQ555" s="2">
        <v>46274</v>
      </c>
      <c r="AR555" s="1" t="s">
        <v>374</v>
      </c>
      <c r="AS555" s="1" t="s">
        <v>71</v>
      </c>
      <c r="AU555" s="1" t="s">
        <v>78</v>
      </c>
      <c r="AV555" s="1" t="s">
        <v>80</v>
      </c>
      <c r="AW555" s="1">
        <v>134.72</v>
      </c>
      <c r="AX555" s="1">
        <v>0</v>
      </c>
      <c r="AZ555" s="1" t="s">
        <v>81</v>
      </c>
      <c r="BA555" s="1">
        <v>1</v>
      </c>
      <c r="BB555" s="1">
        <v>0</v>
      </c>
      <c r="BC555" s="1">
        <v>0</v>
      </c>
      <c r="BE555" s="1">
        <v>27186310</v>
      </c>
    </row>
    <row r="556" spans="1:57" x14ac:dyDescent="0.25">
      <c r="A556" s="1" t="str">
        <f>T("1944467606933803624")</f>
        <v>1944467606933803624</v>
      </c>
      <c r="B556" s="1" t="str">
        <f>T("249936744719")</f>
        <v>249936744719</v>
      </c>
      <c r="C556" s="1" t="str">
        <f>T("1941094470581749424")</f>
        <v>1941094470581749424</v>
      </c>
      <c r="AC556" s="1" t="s">
        <v>344</v>
      </c>
      <c r="AD556" s="1" t="s">
        <v>372</v>
      </c>
      <c r="AE556" s="1" t="s">
        <v>375</v>
      </c>
      <c r="AF556" s="1" t="s">
        <v>144</v>
      </c>
      <c r="AG556" s="1">
        <v>36</v>
      </c>
      <c r="AO556" s="2">
        <v>46274</v>
      </c>
      <c r="AP556" s="1" t="s">
        <v>226</v>
      </c>
      <c r="AS556" s="1" t="s">
        <v>71</v>
      </c>
      <c r="AU556" s="1" t="s">
        <v>72</v>
      </c>
      <c r="AV556" s="1" t="s">
        <v>73</v>
      </c>
      <c r="AX556" s="1">
        <v>0</v>
      </c>
      <c r="BA556" s="1">
        <v>3</v>
      </c>
      <c r="BB556" s="1">
        <v>0</v>
      </c>
      <c r="BC556" s="1">
        <v>0</v>
      </c>
      <c r="BE556" s="1">
        <v>27186310</v>
      </c>
    </row>
    <row r="557" spans="1:57" x14ac:dyDescent="0.25">
      <c r="A557" s="1" t="str">
        <f>T("1944467607403568320")</f>
        <v>1944467607403568320</v>
      </c>
      <c r="B557" s="1" t="str">
        <f>T("249967070823")</f>
        <v>249967070823</v>
      </c>
      <c r="C557" s="1" t="str">
        <f>T("1941094470581749824")</f>
        <v>1941094470581749824</v>
      </c>
      <c r="AA557" s="1">
        <v>1</v>
      </c>
      <c r="AC557" s="1" t="s">
        <v>344</v>
      </c>
      <c r="AD557" s="1" t="s">
        <v>372</v>
      </c>
      <c r="AE557" s="1" t="s">
        <v>375</v>
      </c>
      <c r="AF557" s="1" t="s">
        <v>144</v>
      </c>
      <c r="AG557" s="1">
        <v>35</v>
      </c>
      <c r="AO557" s="2">
        <v>46274</v>
      </c>
      <c r="AP557" s="1" t="s">
        <v>226</v>
      </c>
      <c r="AQ557" s="2">
        <v>46274</v>
      </c>
      <c r="AR557" s="1" t="s">
        <v>381</v>
      </c>
      <c r="AS557" s="1" t="s">
        <v>71</v>
      </c>
      <c r="AU557" s="1" t="s">
        <v>79</v>
      </c>
      <c r="AV557" s="1" t="s">
        <v>80</v>
      </c>
      <c r="AW557" s="1">
        <v>50.96</v>
      </c>
      <c r="AX557" s="1">
        <v>0</v>
      </c>
      <c r="AZ557" s="1" t="s">
        <v>81</v>
      </c>
      <c r="BA557" s="1">
        <v>1</v>
      </c>
      <c r="BB557" s="1">
        <v>0</v>
      </c>
      <c r="BC557" s="1">
        <v>0</v>
      </c>
      <c r="BE557" s="1">
        <v>27186310</v>
      </c>
    </row>
    <row r="558" spans="1:57" x14ac:dyDescent="0.25">
      <c r="A558" s="1" t="str">
        <f>T("1944467607554562408")</f>
        <v>1944467607554562408</v>
      </c>
      <c r="B558" s="1" t="str">
        <f>T("249967507113")</f>
        <v>249967507113</v>
      </c>
      <c r="C558" s="1" t="str">
        <f>T("1941094470581750224")</f>
        <v>1941094470581750224</v>
      </c>
      <c r="AC558" s="1" t="s">
        <v>344</v>
      </c>
      <c r="AD558" s="1" t="s">
        <v>372</v>
      </c>
      <c r="AE558" s="1" t="s">
        <v>375</v>
      </c>
      <c r="AF558" s="1" t="s">
        <v>144</v>
      </c>
      <c r="AG558" s="1">
        <v>37</v>
      </c>
      <c r="AO558" s="2">
        <v>46274</v>
      </c>
      <c r="AP558" s="1" t="s">
        <v>226</v>
      </c>
      <c r="AQ558" s="2">
        <v>46274</v>
      </c>
      <c r="AR558" s="1" t="s">
        <v>382</v>
      </c>
      <c r="AS558" s="1" t="s">
        <v>71</v>
      </c>
      <c r="AU558" s="1" t="s">
        <v>79</v>
      </c>
      <c r="AV558" s="1" t="s">
        <v>80</v>
      </c>
      <c r="AW558" s="1">
        <v>7.52</v>
      </c>
      <c r="AX558" s="1">
        <v>0</v>
      </c>
      <c r="AZ558" s="1" t="s">
        <v>81</v>
      </c>
      <c r="BA558" s="1">
        <v>1</v>
      </c>
      <c r="BB558" s="1">
        <v>0</v>
      </c>
      <c r="BC558" s="1">
        <v>0</v>
      </c>
      <c r="BE558" s="1">
        <v>27186310</v>
      </c>
    </row>
    <row r="559" spans="1:57" x14ac:dyDescent="0.25">
      <c r="A559" s="1" t="str">
        <f>T("1944467607663615716")</f>
        <v>1944467607663615716</v>
      </c>
      <c r="B559" s="1" t="str">
        <f>T("249192716020")</f>
        <v>249192716020</v>
      </c>
      <c r="C559" s="1" t="str">
        <f>T("1941094470581750624")</f>
        <v>1941094470581750624</v>
      </c>
      <c r="AC559" s="1" t="s">
        <v>344</v>
      </c>
      <c r="AD559" s="1" t="s">
        <v>372</v>
      </c>
      <c r="AE559" s="1" t="s">
        <v>375</v>
      </c>
      <c r="AF559" s="1" t="s">
        <v>144</v>
      </c>
      <c r="AG559" s="1">
        <v>40</v>
      </c>
      <c r="AO559" s="2">
        <v>46274</v>
      </c>
      <c r="AP559" s="1" t="s">
        <v>226</v>
      </c>
      <c r="AS559" s="1" t="s">
        <v>71</v>
      </c>
      <c r="AU559" s="1" t="s">
        <v>72</v>
      </c>
      <c r="AV559" s="1" t="s">
        <v>73</v>
      </c>
      <c r="AX559" s="1">
        <v>0</v>
      </c>
      <c r="BA559" s="1">
        <v>3</v>
      </c>
      <c r="BB559" s="1">
        <v>0</v>
      </c>
      <c r="BC559" s="1">
        <v>0</v>
      </c>
      <c r="BE559" s="1">
        <v>27186310</v>
      </c>
    </row>
    <row r="560" spans="1:57" x14ac:dyDescent="0.25">
      <c r="A560" s="1" t="str">
        <f>T("1944467607776858832")</f>
        <v>1944467607776858832</v>
      </c>
      <c r="B560" s="1" t="str">
        <f>T("249919399303")</f>
        <v>249919399303</v>
      </c>
      <c r="C560" s="1" t="str">
        <f>T("1941094470581751324")</f>
        <v>1941094470581751324</v>
      </c>
      <c r="M560" s="1" t="s">
        <v>59</v>
      </c>
      <c r="O560" s="1" t="s">
        <v>60</v>
      </c>
      <c r="P560" s="1" t="s">
        <v>83</v>
      </c>
      <c r="Q560" s="1" t="s">
        <v>112</v>
      </c>
      <c r="R560" s="1" t="s">
        <v>84</v>
      </c>
      <c r="S560" s="1" t="s">
        <v>61</v>
      </c>
      <c r="U560" s="1" t="s">
        <v>60</v>
      </c>
      <c r="V560" s="1" t="s">
        <v>103</v>
      </c>
      <c r="W560" s="1" t="s">
        <v>60</v>
      </c>
      <c r="X560" s="1" t="s">
        <v>102</v>
      </c>
      <c r="Y560" s="1" t="s">
        <v>69</v>
      </c>
      <c r="AA560" s="1">
        <v>1</v>
      </c>
      <c r="AB560" s="1">
        <v>1</v>
      </c>
      <c r="AC560" s="1" t="s">
        <v>344</v>
      </c>
      <c r="AD560" s="1" t="s">
        <v>372</v>
      </c>
      <c r="AE560" s="1" t="s">
        <v>375</v>
      </c>
      <c r="AF560" s="1" t="s">
        <v>144</v>
      </c>
      <c r="AG560" s="1">
        <v>34</v>
      </c>
      <c r="AO560" s="2">
        <v>46274</v>
      </c>
      <c r="AP560" s="1" t="s">
        <v>226</v>
      </c>
      <c r="AQ560" s="2">
        <v>46274</v>
      </c>
      <c r="AR560" s="1" t="s">
        <v>240</v>
      </c>
      <c r="AS560" s="1" t="s">
        <v>71</v>
      </c>
      <c r="AU560" s="1" t="s">
        <v>78</v>
      </c>
      <c r="AV560" s="1" t="s">
        <v>80</v>
      </c>
      <c r="AW560" s="1">
        <v>211.32</v>
      </c>
      <c r="AX560" s="1">
        <v>0</v>
      </c>
      <c r="AZ560" s="1" t="s">
        <v>81</v>
      </c>
      <c r="BA560" s="1">
        <v>1</v>
      </c>
      <c r="BB560" s="1">
        <v>0</v>
      </c>
      <c r="BC560" s="1">
        <v>0</v>
      </c>
      <c r="BE560" s="1">
        <v>27186310</v>
      </c>
    </row>
    <row r="561" spans="1:57" x14ac:dyDescent="0.25">
      <c r="A561" s="1" t="str">
        <f>T("1944467607944633852")</f>
        <v>1944467607944633852</v>
      </c>
      <c r="B561" s="1" t="str">
        <f>T("249116717808")</f>
        <v>249116717808</v>
      </c>
      <c r="C561" s="1" t="str">
        <f>T("1941094470585942132")</f>
        <v>1941094470585942132</v>
      </c>
      <c r="M561" s="1" t="s">
        <v>59</v>
      </c>
      <c r="O561" s="1" t="s">
        <v>65</v>
      </c>
      <c r="P561" s="1" t="s">
        <v>61</v>
      </c>
      <c r="Q561" s="1" t="s">
        <v>112</v>
      </c>
      <c r="R561" s="1" t="s">
        <v>84</v>
      </c>
      <c r="S561" s="1" t="s">
        <v>94</v>
      </c>
      <c r="U561" s="1" t="s">
        <v>65</v>
      </c>
      <c r="V561" s="1" t="s">
        <v>66</v>
      </c>
      <c r="W561" s="1" t="s">
        <v>67</v>
      </c>
      <c r="X561" s="1" t="s">
        <v>68</v>
      </c>
      <c r="Y561" s="1" t="s">
        <v>69</v>
      </c>
      <c r="AA561" s="1">
        <v>1</v>
      </c>
      <c r="AB561" s="1">
        <v>1</v>
      </c>
      <c r="AC561" s="1" t="s">
        <v>344</v>
      </c>
      <c r="AD561" s="1" t="s">
        <v>383</v>
      </c>
      <c r="AE561" s="1" t="s">
        <v>384</v>
      </c>
      <c r="AF561" s="1" t="s">
        <v>144</v>
      </c>
      <c r="AG561" s="1">
        <v>29</v>
      </c>
      <c r="AO561" s="2">
        <v>46274</v>
      </c>
      <c r="AP561" s="1" t="s">
        <v>226</v>
      </c>
      <c r="AQ561" s="2">
        <v>46274</v>
      </c>
      <c r="AR561" s="1" t="s">
        <v>385</v>
      </c>
      <c r="AS561" s="1" t="s">
        <v>71</v>
      </c>
      <c r="AU561" s="1" t="s">
        <v>78</v>
      </c>
      <c r="AV561" s="1" t="s">
        <v>80</v>
      </c>
      <c r="AW561" s="1">
        <v>236.86</v>
      </c>
      <c r="AX561" s="1">
        <v>0</v>
      </c>
      <c r="AZ561" s="1" t="s">
        <v>81</v>
      </c>
      <c r="BA561" s="1">
        <v>2</v>
      </c>
      <c r="BB561" s="1">
        <v>0</v>
      </c>
      <c r="BC561" s="1">
        <v>0</v>
      </c>
      <c r="BE561" s="1">
        <v>27186310</v>
      </c>
    </row>
    <row r="562" spans="1:57" x14ac:dyDescent="0.25">
      <c r="A562" s="1" t="str">
        <f>T("1944467608116600080")</f>
        <v>1944467608116600080</v>
      </c>
      <c r="B562" s="1" t="str">
        <f>T("249903910130")</f>
        <v>249903910130</v>
      </c>
      <c r="C562" s="1" t="str">
        <f>T("1941094470585942532")</f>
        <v>1941094470585942532</v>
      </c>
      <c r="AC562" s="1" t="s">
        <v>344</v>
      </c>
      <c r="AD562" s="1" t="s">
        <v>383</v>
      </c>
      <c r="AE562" s="1" t="s">
        <v>384</v>
      </c>
      <c r="AF562" s="1" t="s">
        <v>144</v>
      </c>
      <c r="AG562" s="1">
        <v>30</v>
      </c>
      <c r="AO562" s="2">
        <v>46274</v>
      </c>
      <c r="AP562" s="1" t="s">
        <v>226</v>
      </c>
      <c r="AS562" s="1" t="s">
        <v>71</v>
      </c>
      <c r="AU562" s="1" t="s">
        <v>72</v>
      </c>
      <c r="AV562" s="1" t="s">
        <v>115</v>
      </c>
      <c r="AX562" s="1">
        <v>0</v>
      </c>
      <c r="BA562" s="1">
        <v>3</v>
      </c>
      <c r="BB562" s="1">
        <v>0</v>
      </c>
      <c r="BC562" s="1">
        <v>0</v>
      </c>
      <c r="BE562" s="1">
        <v>27186310</v>
      </c>
    </row>
    <row r="563" spans="1:57" x14ac:dyDescent="0.25">
      <c r="A563" s="1" t="str">
        <f>T("1944467608192097224")</f>
        <v>1944467608192097224</v>
      </c>
      <c r="B563" s="1" t="str">
        <f>T("249149599219")</f>
        <v>249149599219</v>
      </c>
      <c r="C563" s="1" t="str">
        <f>T("1941094470585943232")</f>
        <v>1941094470585943232</v>
      </c>
      <c r="AC563" s="1" t="s">
        <v>344</v>
      </c>
      <c r="AD563" s="1" t="s">
        <v>383</v>
      </c>
      <c r="AE563" s="1" t="s">
        <v>384</v>
      </c>
      <c r="AF563" s="1" t="s">
        <v>144</v>
      </c>
      <c r="AG563" s="1">
        <v>40</v>
      </c>
      <c r="AO563" s="2">
        <v>46274</v>
      </c>
      <c r="AP563" s="1" t="s">
        <v>226</v>
      </c>
      <c r="AS563" s="1" t="s">
        <v>71</v>
      </c>
      <c r="AU563" s="1" t="s">
        <v>72</v>
      </c>
      <c r="AV563" s="1" t="s">
        <v>73</v>
      </c>
      <c r="AX563" s="1">
        <v>0</v>
      </c>
      <c r="BA563" s="1">
        <v>3</v>
      </c>
      <c r="BB563" s="1">
        <v>0</v>
      </c>
      <c r="BC563" s="1">
        <v>0</v>
      </c>
      <c r="BE563" s="1">
        <v>27186310</v>
      </c>
    </row>
    <row r="564" spans="1:57" x14ac:dyDescent="0.25">
      <c r="A564" s="1" t="str">
        <f>T("1944467608280178292")</f>
        <v>1944467608280178292</v>
      </c>
      <c r="B564" s="1" t="str">
        <f>T("249905476058")</f>
        <v>249905476058</v>
      </c>
      <c r="C564" s="1" t="str">
        <f>T("1941094470585943632")</f>
        <v>1941094470585943632</v>
      </c>
      <c r="AC564" s="1" t="s">
        <v>344</v>
      </c>
      <c r="AD564" s="1" t="s">
        <v>383</v>
      </c>
      <c r="AE564" s="1" t="s">
        <v>386</v>
      </c>
      <c r="AF564" s="1" t="s">
        <v>144</v>
      </c>
      <c r="AG564" s="1">
        <v>40</v>
      </c>
      <c r="AO564" s="2">
        <v>46274</v>
      </c>
      <c r="AP564" s="1" t="s">
        <v>226</v>
      </c>
      <c r="AQ564" s="2">
        <v>46274</v>
      </c>
      <c r="AR564" s="1" t="s">
        <v>387</v>
      </c>
      <c r="AS564" s="1" t="s">
        <v>71</v>
      </c>
      <c r="AU564" s="1" t="s">
        <v>79</v>
      </c>
      <c r="AV564" s="1" t="s">
        <v>80</v>
      </c>
      <c r="AW564" s="1">
        <v>30.02</v>
      </c>
      <c r="AX564" s="1">
        <v>0</v>
      </c>
      <c r="AZ564" s="1" t="s">
        <v>81</v>
      </c>
      <c r="BA564" s="1">
        <v>1</v>
      </c>
      <c r="BB564" s="1">
        <v>0</v>
      </c>
      <c r="BC564" s="1">
        <v>0</v>
      </c>
      <c r="BE564" s="1">
        <v>27186310</v>
      </c>
    </row>
    <row r="565" spans="1:57" x14ac:dyDescent="0.25">
      <c r="A565" s="1" t="str">
        <f>T("1944467608376647376")</f>
        <v>1944467608376647376</v>
      </c>
      <c r="B565" s="1" t="str">
        <f>T("249116795386")</f>
        <v>249116795386</v>
      </c>
      <c r="C565" s="1" t="str">
        <f>T("1941094470585944032")</f>
        <v>1941094470585944032</v>
      </c>
      <c r="AC565" s="1" t="s">
        <v>344</v>
      </c>
      <c r="AD565" s="1" t="s">
        <v>372</v>
      </c>
      <c r="AE565" s="1" t="s">
        <v>388</v>
      </c>
      <c r="AF565" s="1" t="s">
        <v>144</v>
      </c>
      <c r="AG565" s="1">
        <v>27</v>
      </c>
      <c r="AO565" s="2">
        <v>46274</v>
      </c>
      <c r="AP565" s="1" t="s">
        <v>226</v>
      </c>
      <c r="AQ565" s="2">
        <v>46274</v>
      </c>
      <c r="AR565" s="1" t="s">
        <v>389</v>
      </c>
      <c r="AS565" s="1" t="s">
        <v>71</v>
      </c>
      <c r="AU565" s="1" t="s">
        <v>79</v>
      </c>
      <c r="AV565" s="1" t="s">
        <v>80</v>
      </c>
      <c r="AW565" s="1">
        <v>22.72</v>
      </c>
      <c r="AX565" s="1">
        <v>0</v>
      </c>
      <c r="AZ565" s="1" t="s">
        <v>81</v>
      </c>
      <c r="BA565" s="1">
        <v>2</v>
      </c>
      <c r="BB565" s="1">
        <v>0</v>
      </c>
      <c r="BC565" s="1">
        <v>0</v>
      </c>
      <c r="BE565" s="1">
        <v>27186310</v>
      </c>
    </row>
    <row r="566" spans="1:57" x14ac:dyDescent="0.25">
      <c r="A566" s="1" t="str">
        <f>T("1944467608456335828")</f>
        <v>1944467608456335828</v>
      </c>
      <c r="B566" s="1" t="str">
        <f>T("249991604170")</f>
        <v>249991604170</v>
      </c>
      <c r="C566" s="1" t="str">
        <f>T("1941094470585944532")</f>
        <v>1941094470585944532</v>
      </c>
      <c r="AC566" s="1" t="s">
        <v>344</v>
      </c>
      <c r="AD566" s="1" t="s">
        <v>372</v>
      </c>
      <c r="AE566" s="1" t="s">
        <v>388</v>
      </c>
      <c r="AF566" s="1" t="s">
        <v>144</v>
      </c>
      <c r="AG566" s="1">
        <v>19</v>
      </c>
      <c r="AO566" s="2">
        <v>46274</v>
      </c>
      <c r="AP566" s="1" t="s">
        <v>226</v>
      </c>
      <c r="AQ566" s="2">
        <v>46274</v>
      </c>
      <c r="AR566" s="1" t="s">
        <v>390</v>
      </c>
      <c r="AS566" s="1" t="s">
        <v>71</v>
      </c>
      <c r="AU566" s="1" t="s">
        <v>79</v>
      </c>
      <c r="AV566" s="1" t="s">
        <v>80</v>
      </c>
      <c r="AW566" s="1">
        <v>36.299999999999997</v>
      </c>
      <c r="AX566" s="1">
        <v>0</v>
      </c>
      <c r="AZ566" s="1" t="s">
        <v>81</v>
      </c>
      <c r="BA566" s="1">
        <v>1</v>
      </c>
      <c r="BB566" s="1">
        <v>0</v>
      </c>
      <c r="BC566" s="1">
        <v>0</v>
      </c>
      <c r="BE566" s="1">
        <v>27186310</v>
      </c>
    </row>
    <row r="567" spans="1:57" x14ac:dyDescent="0.25">
      <c r="A567" s="1" t="str">
        <f>T("1944467608536028780")</f>
        <v>1944467608536028780</v>
      </c>
      <c r="B567" s="1" t="str">
        <f>T("249110359944")</f>
        <v>249110359944</v>
      </c>
      <c r="C567" s="1" t="str">
        <f>T("1941094470585944932")</f>
        <v>1941094470585944932</v>
      </c>
      <c r="AC567" s="1" t="s">
        <v>344</v>
      </c>
      <c r="AD567" s="1" t="s">
        <v>372</v>
      </c>
      <c r="AE567" s="1" t="s">
        <v>388</v>
      </c>
      <c r="AF567" s="1" t="s">
        <v>144</v>
      </c>
      <c r="AG567" s="1">
        <v>29</v>
      </c>
      <c r="AO567" s="2">
        <v>46274</v>
      </c>
      <c r="AP567" s="1" t="s">
        <v>226</v>
      </c>
      <c r="AS567" s="1" t="s">
        <v>71</v>
      </c>
      <c r="AU567" s="1" t="s">
        <v>72</v>
      </c>
      <c r="AV567" s="1" t="s">
        <v>73</v>
      </c>
      <c r="AX567" s="1">
        <v>0</v>
      </c>
      <c r="BA567" s="1">
        <v>3</v>
      </c>
      <c r="BB567" s="1">
        <v>0</v>
      </c>
      <c r="BC567" s="1">
        <v>0</v>
      </c>
      <c r="BE567" s="1">
        <v>27186310</v>
      </c>
    </row>
    <row r="568" spans="1:57" x14ac:dyDescent="0.25">
      <c r="A568" s="1" t="str">
        <f>T("1944467608603136408")</f>
        <v>1944467608603136408</v>
      </c>
      <c r="B568" s="1" t="str">
        <f>T("249960340061")</f>
        <v>249960340061</v>
      </c>
      <c r="C568" s="1" t="str">
        <f>T("1941094470585945432")</f>
        <v>1941094470585945432</v>
      </c>
      <c r="AA568" s="1">
        <v>1</v>
      </c>
      <c r="AC568" s="1" t="s">
        <v>344</v>
      </c>
      <c r="AD568" s="1" t="s">
        <v>372</v>
      </c>
      <c r="AE568" s="1" t="s">
        <v>388</v>
      </c>
      <c r="AF568" s="1" t="s">
        <v>144</v>
      </c>
      <c r="AG568" s="1">
        <v>35</v>
      </c>
      <c r="AO568" s="2">
        <v>46274</v>
      </c>
      <c r="AP568" s="1" t="s">
        <v>226</v>
      </c>
      <c r="AQ568" s="2">
        <v>46274</v>
      </c>
      <c r="AR568" s="1" t="s">
        <v>391</v>
      </c>
      <c r="AS568" s="1" t="s">
        <v>71</v>
      </c>
      <c r="AU568" s="1" t="s">
        <v>78</v>
      </c>
      <c r="AV568" s="1" t="s">
        <v>80</v>
      </c>
      <c r="AW568" s="1">
        <v>134.74</v>
      </c>
      <c r="AX568" s="1">
        <v>0</v>
      </c>
      <c r="AZ568" s="1" t="s">
        <v>81</v>
      </c>
      <c r="BA568" s="1">
        <v>1</v>
      </c>
      <c r="BB568" s="1">
        <v>0</v>
      </c>
      <c r="BC568" s="1">
        <v>0</v>
      </c>
      <c r="BE568" s="1">
        <v>27186310</v>
      </c>
    </row>
    <row r="569" spans="1:57" x14ac:dyDescent="0.25">
      <c r="A569" s="1" t="str">
        <f>T("1944467608720576932")</f>
        <v>1944467608720576932</v>
      </c>
      <c r="B569" s="1" t="str">
        <f>T("249968638940")</f>
        <v>249968638940</v>
      </c>
      <c r="C569" s="1" t="str">
        <f>T("1941094470585945932")</f>
        <v>1941094470585945932</v>
      </c>
      <c r="AC569" s="1" t="s">
        <v>344</v>
      </c>
      <c r="AD569" s="1" t="s">
        <v>372</v>
      </c>
      <c r="AE569" s="1" t="s">
        <v>388</v>
      </c>
      <c r="AF569" s="1" t="s">
        <v>144</v>
      </c>
      <c r="AG569" s="1">
        <v>33</v>
      </c>
      <c r="AO569" s="2">
        <v>46274</v>
      </c>
      <c r="AP569" s="1" t="s">
        <v>226</v>
      </c>
      <c r="AS569" s="1" t="s">
        <v>71</v>
      </c>
      <c r="AU569" s="1" t="s">
        <v>72</v>
      </c>
      <c r="AV569" s="1" t="s">
        <v>131</v>
      </c>
      <c r="AX569" s="1">
        <v>0</v>
      </c>
      <c r="BA569" s="1">
        <v>3</v>
      </c>
      <c r="BB569" s="1">
        <v>0</v>
      </c>
      <c r="BC569" s="1">
        <v>0</v>
      </c>
      <c r="BE569" s="1">
        <v>27186310</v>
      </c>
    </row>
    <row r="570" spans="1:57" x14ac:dyDescent="0.25">
      <c r="A570" s="1" t="str">
        <f>T("1944467608854797588")</f>
        <v>1944467608854797588</v>
      </c>
      <c r="B570" s="1" t="str">
        <f>T("249905291572")</f>
        <v>249905291572</v>
      </c>
      <c r="C570" s="1" t="str">
        <f>T("1941094470590136740")</f>
        <v>1941094470590136740</v>
      </c>
      <c r="AC570" s="1" t="s">
        <v>344</v>
      </c>
      <c r="AD570" s="1" t="s">
        <v>372</v>
      </c>
      <c r="AE570" s="1" t="s">
        <v>388</v>
      </c>
      <c r="AF570" s="1" t="s">
        <v>144</v>
      </c>
      <c r="AG570" s="1">
        <v>35</v>
      </c>
      <c r="AO570" s="2">
        <v>46274</v>
      </c>
      <c r="AP570" s="1" t="s">
        <v>226</v>
      </c>
      <c r="AS570" s="1" t="s">
        <v>71</v>
      </c>
      <c r="AU570" s="1" t="s">
        <v>72</v>
      </c>
      <c r="AV570" s="1" t="s">
        <v>131</v>
      </c>
      <c r="AX570" s="1">
        <v>0</v>
      </c>
      <c r="BA570" s="1">
        <v>3</v>
      </c>
      <c r="BB570" s="1">
        <v>0</v>
      </c>
      <c r="BC570" s="1">
        <v>0</v>
      </c>
      <c r="BE570" s="1">
        <v>27186310</v>
      </c>
    </row>
    <row r="571" spans="1:57" x14ac:dyDescent="0.25">
      <c r="A571" s="1" t="str">
        <f>T("1944467608955460480")</f>
        <v>1944467608955460480</v>
      </c>
      <c r="B571" s="1" t="str">
        <f>T("249905678036")</f>
        <v>249905678036</v>
      </c>
      <c r="C571" s="1" t="str">
        <f>T("1941094470590137240")</f>
        <v>1941094470590137240</v>
      </c>
      <c r="M571" s="1" t="s">
        <v>59</v>
      </c>
      <c r="O571" s="1" t="s">
        <v>65</v>
      </c>
      <c r="P571" s="1" t="s">
        <v>61</v>
      </c>
      <c r="Q571" s="1" t="s">
        <v>101</v>
      </c>
      <c r="R571" s="1" t="s">
        <v>63</v>
      </c>
      <c r="S571" s="1" t="s">
        <v>159</v>
      </c>
      <c r="U571" s="1" t="s">
        <v>60</v>
      </c>
      <c r="V571" s="1" t="s">
        <v>66</v>
      </c>
      <c r="W571" s="1" t="s">
        <v>67</v>
      </c>
      <c r="X571" s="1" t="s">
        <v>103</v>
      </c>
      <c r="Y571" s="1" t="s">
        <v>85</v>
      </c>
      <c r="AA571" s="1">
        <v>1</v>
      </c>
      <c r="AB571" s="1">
        <v>1</v>
      </c>
      <c r="AC571" s="1" t="s">
        <v>344</v>
      </c>
      <c r="AD571" s="1" t="s">
        <v>372</v>
      </c>
      <c r="AE571" s="1" t="s">
        <v>388</v>
      </c>
      <c r="AF571" s="1" t="s">
        <v>144</v>
      </c>
      <c r="AG571" s="1">
        <v>32</v>
      </c>
      <c r="AO571" s="2">
        <v>46274</v>
      </c>
      <c r="AP571" s="1" t="s">
        <v>226</v>
      </c>
      <c r="AQ571" s="2">
        <v>46274</v>
      </c>
      <c r="AR571" s="1" t="s">
        <v>378</v>
      </c>
      <c r="AS571" s="1" t="s">
        <v>71</v>
      </c>
      <c r="AU571" s="1" t="s">
        <v>78</v>
      </c>
      <c r="AV571" s="1" t="s">
        <v>80</v>
      </c>
      <c r="AW571" s="1">
        <v>215.28</v>
      </c>
      <c r="AX571" s="1">
        <v>0</v>
      </c>
      <c r="AZ571" s="1" t="s">
        <v>81</v>
      </c>
      <c r="BA571" s="1">
        <v>1</v>
      </c>
      <c r="BB571" s="1">
        <v>0</v>
      </c>
      <c r="BC571" s="1">
        <v>0</v>
      </c>
      <c r="BE571" s="1">
        <v>27186310</v>
      </c>
    </row>
    <row r="572" spans="1:57" x14ac:dyDescent="0.25">
      <c r="A572" s="1" t="str">
        <f>T("1944467609056122672")</f>
        <v>1944467609056122672</v>
      </c>
      <c r="B572" s="1" t="str">
        <f>T("249965675606")</f>
        <v>249965675606</v>
      </c>
      <c r="C572" s="1" t="str">
        <f>T("1941094470590137640")</f>
        <v>1941094470590137640</v>
      </c>
      <c r="M572" s="1" t="s">
        <v>148</v>
      </c>
      <c r="N572" s="1" t="s">
        <v>60</v>
      </c>
      <c r="O572" s="1" t="s">
        <v>65</v>
      </c>
      <c r="P572" s="1" t="s">
        <v>91</v>
      </c>
      <c r="Q572" s="1" t="s">
        <v>62</v>
      </c>
      <c r="R572" s="1" t="s">
        <v>93</v>
      </c>
      <c r="T572" s="1" t="s">
        <v>95</v>
      </c>
      <c r="U572" s="1" t="s">
        <v>65</v>
      </c>
      <c r="V572" s="1" t="s">
        <v>68</v>
      </c>
      <c r="W572" s="1" t="s">
        <v>60</v>
      </c>
      <c r="X572" s="1" t="s">
        <v>66</v>
      </c>
      <c r="Y572" s="1" t="s">
        <v>69</v>
      </c>
      <c r="AA572" s="1">
        <v>1</v>
      </c>
      <c r="AB572" s="1">
        <v>1</v>
      </c>
      <c r="AC572" s="1" t="s">
        <v>104</v>
      </c>
      <c r="AD572" s="1" t="s">
        <v>151</v>
      </c>
      <c r="AE572" s="1" t="s">
        <v>392</v>
      </c>
      <c r="AF572" s="1" t="s">
        <v>144</v>
      </c>
      <c r="AG572" s="1">
        <v>43</v>
      </c>
      <c r="AO572" s="2">
        <v>46274</v>
      </c>
      <c r="AP572" s="1" t="s">
        <v>226</v>
      </c>
      <c r="AQ572" s="2">
        <v>46274</v>
      </c>
      <c r="AR572" s="1" t="s">
        <v>382</v>
      </c>
      <c r="AS572" s="1" t="s">
        <v>71</v>
      </c>
      <c r="AU572" s="1" t="s">
        <v>78</v>
      </c>
      <c r="AV572" s="1" t="s">
        <v>80</v>
      </c>
      <c r="AW572" s="1">
        <v>244.54</v>
      </c>
      <c r="AX572" s="1">
        <v>0</v>
      </c>
      <c r="AZ572" s="1" t="s">
        <v>81</v>
      </c>
      <c r="BA572" s="1">
        <v>1</v>
      </c>
      <c r="BB572" s="1">
        <v>0</v>
      </c>
      <c r="BC572" s="1">
        <v>0</v>
      </c>
      <c r="BE572" s="1">
        <v>27186310</v>
      </c>
    </row>
    <row r="573" spans="1:57" x14ac:dyDescent="0.25">
      <c r="A573" s="1" t="str">
        <f>T("1944467609270033280")</f>
        <v>1944467609270033280</v>
      </c>
      <c r="B573" s="1" t="str">
        <f>T("249926633088")</f>
        <v>249926633088</v>
      </c>
      <c r="C573" s="1" t="str">
        <f>T("1941094470590138740")</f>
        <v>1941094470590138740</v>
      </c>
      <c r="AC573" s="1" t="s">
        <v>104</v>
      </c>
      <c r="AD573" s="1" t="s">
        <v>151</v>
      </c>
      <c r="AE573" s="1" t="s">
        <v>392</v>
      </c>
      <c r="AF573" s="1" t="s">
        <v>144</v>
      </c>
      <c r="AG573" s="1">
        <v>34</v>
      </c>
      <c r="AO573" s="2">
        <v>46274</v>
      </c>
      <c r="AP573" s="1" t="s">
        <v>226</v>
      </c>
      <c r="AS573" s="1" t="s">
        <v>71</v>
      </c>
      <c r="AU573" s="1" t="s">
        <v>72</v>
      </c>
      <c r="AV573" s="1" t="s">
        <v>393</v>
      </c>
      <c r="AX573" s="1">
        <v>0</v>
      </c>
      <c r="BA573" s="1">
        <v>3</v>
      </c>
      <c r="BB573" s="1">
        <v>0</v>
      </c>
      <c r="BC573" s="1">
        <v>0</v>
      </c>
      <c r="BE573" s="1">
        <v>27186310</v>
      </c>
    </row>
    <row r="574" spans="1:57" x14ac:dyDescent="0.25">
      <c r="A574" s="1" t="str">
        <f>T("1944467609366502764")</f>
        <v>1944467609366502764</v>
      </c>
      <c r="B574" s="1" t="str">
        <f>T("249115799690")</f>
        <v>249115799690</v>
      </c>
      <c r="C574" s="1" t="str">
        <f>T("1941094470590139140")</f>
        <v>1941094470590139140</v>
      </c>
      <c r="AC574" s="1" t="s">
        <v>104</v>
      </c>
      <c r="AD574" s="1" t="s">
        <v>151</v>
      </c>
      <c r="AE574" s="1" t="s">
        <v>392</v>
      </c>
      <c r="AF574" s="1" t="s">
        <v>144</v>
      </c>
      <c r="AG574" s="1">
        <v>29</v>
      </c>
      <c r="AO574" s="2">
        <v>46274</v>
      </c>
      <c r="AP574" s="1" t="s">
        <v>226</v>
      </c>
      <c r="AS574" s="1" t="s">
        <v>71</v>
      </c>
      <c r="AU574" s="1" t="s">
        <v>72</v>
      </c>
      <c r="AV574" s="1" t="s">
        <v>73</v>
      </c>
      <c r="AX574" s="1">
        <v>0</v>
      </c>
      <c r="BA574" s="1">
        <v>3</v>
      </c>
      <c r="BB574" s="1">
        <v>0</v>
      </c>
      <c r="BC574" s="1">
        <v>0</v>
      </c>
      <c r="BE574" s="1">
        <v>27186310</v>
      </c>
    </row>
    <row r="575" spans="1:57" x14ac:dyDescent="0.25">
      <c r="A575" s="1" t="str">
        <f>T("1944467609454579932")</f>
        <v>1944467609454579932</v>
      </c>
      <c r="B575" s="1" t="str">
        <f>T("249964743691")</f>
        <v>249964743691</v>
      </c>
      <c r="C575" s="1" t="str">
        <f>T("1941094470590139840")</f>
        <v>1941094470590139840</v>
      </c>
      <c r="AC575" s="1" t="s">
        <v>104</v>
      </c>
      <c r="AD575" s="1" t="s">
        <v>151</v>
      </c>
      <c r="AE575" s="1" t="s">
        <v>392</v>
      </c>
      <c r="AF575" s="1" t="s">
        <v>144</v>
      </c>
      <c r="AG575" s="1">
        <v>35</v>
      </c>
      <c r="AO575" s="2">
        <v>46274</v>
      </c>
      <c r="AP575" s="1" t="s">
        <v>226</v>
      </c>
      <c r="AQ575" s="2">
        <v>46274</v>
      </c>
      <c r="AR575" s="1" t="s">
        <v>378</v>
      </c>
      <c r="AS575" s="1" t="s">
        <v>71</v>
      </c>
      <c r="AU575" s="1" t="s">
        <v>79</v>
      </c>
      <c r="AV575" s="1" t="s">
        <v>80</v>
      </c>
      <c r="AW575" s="1">
        <v>21.3</v>
      </c>
      <c r="AX575" s="1">
        <v>0</v>
      </c>
      <c r="AZ575" s="1" t="s">
        <v>81</v>
      </c>
      <c r="BA575" s="1">
        <v>1</v>
      </c>
      <c r="BB575" s="1">
        <v>0</v>
      </c>
      <c r="BC575" s="1">
        <v>0</v>
      </c>
      <c r="BE575" s="1">
        <v>27186310</v>
      </c>
    </row>
    <row r="576" spans="1:57" x14ac:dyDescent="0.25">
      <c r="A576" s="1" t="str">
        <f>T("1944467609521689160")</f>
        <v>1944467609521689160</v>
      </c>
      <c r="B576" s="1" t="str">
        <f>T("249111522854")</f>
        <v>249111522854</v>
      </c>
      <c r="C576" s="1" t="str">
        <f>T("1941094470594330648")</f>
        <v>1941094470594330648</v>
      </c>
      <c r="AC576" s="1" t="s">
        <v>104</v>
      </c>
      <c r="AD576" s="1" t="s">
        <v>151</v>
      </c>
      <c r="AE576" s="1" t="s">
        <v>392</v>
      </c>
      <c r="AF576" s="1" t="s">
        <v>144</v>
      </c>
      <c r="AG576" s="1">
        <v>27</v>
      </c>
      <c r="AO576" s="2">
        <v>46274</v>
      </c>
      <c r="AP576" s="1" t="s">
        <v>226</v>
      </c>
      <c r="AS576" s="1" t="s">
        <v>71</v>
      </c>
      <c r="AU576" s="1" t="s">
        <v>72</v>
      </c>
      <c r="AV576" s="1" t="s">
        <v>73</v>
      </c>
      <c r="AX576" s="1">
        <v>0</v>
      </c>
      <c r="BA576" s="1">
        <v>3</v>
      </c>
      <c r="BB576" s="1">
        <v>0</v>
      </c>
      <c r="BC576" s="1">
        <v>0</v>
      </c>
      <c r="BE576" s="1">
        <v>27186310</v>
      </c>
    </row>
    <row r="577" spans="1:57" x14ac:dyDescent="0.25">
      <c r="A577" s="1" t="str">
        <f>T("1944467609592994896")</f>
        <v>1944467609592994896</v>
      </c>
      <c r="B577" s="1" t="str">
        <f>T("249117712565")</f>
        <v>249117712565</v>
      </c>
      <c r="C577" s="1" t="str">
        <f>T("1941094470598527256")</f>
        <v>1941094470598527256</v>
      </c>
      <c r="AA577" s="1">
        <v>1</v>
      </c>
      <c r="AC577" s="1" t="s">
        <v>104</v>
      </c>
      <c r="AD577" s="1" t="s">
        <v>151</v>
      </c>
      <c r="AE577" s="1" t="s">
        <v>392</v>
      </c>
      <c r="AF577" s="1" t="s">
        <v>144</v>
      </c>
      <c r="AG577" s="1">
        <v>31</v>
      </c>
      <c r="AO577" s="2">
        <v>46274</v>
      </c>
      <c r="AP577" s="1" t="s">
        <v>226</v>
      </c>
      <c r="AQ577" s="2">
        <v>46274</v>
      </c>
      <c r="AR577" s="1" t="s">
        <v>233</v>
      </c>
      <c r="AS577" s="1" t="s">
        <v>71</v>
      </c>
      <c r="AU577" s="1" t="s">
        <v>79</v>
      </c>
      <c r="AV577" s="1" t="s">
        <v>80</v>
      </c>
      <c r="AW577" s="1">
        <v>65.599999999999994</v>
      </c>
      <c r="AX577" s="1">
        <v>0</v>
      </c>
      <c r="AZ577" s="1" t="s">
        <v>81</v>
      </c>
      <c r="BA577" s="1">
        <v>1</v>
      </c>
      <c r="BB577" s="1">
        <v>0</v>
      </c>
      <c r="BC577" s="1">
        <v>0</v>
      </c>
      <c r="BE577" s="1">
        <v>27186310</v>
      </c>
    </row>
    <row r="578" spans="1:57" x14ac:dyDescent="0.25">
      <c r="A578" s="1" t="str">
        <f>T("1944467609681075064")</f>
        <v>1944467609681075064</v>
      </c>
      <c r="B578" s="1" t="str">
        <f>T("249900575925")</f>
        <v>249900575925</v>
      </c>
      <c r="C578" s="1" t="str">
        <f>T("1941094470598527856")</f>
        <v>1941094470598527856</v>
      </c>
      <c r="AC578" s="1" t="s">
        <v>104</v>
      </c>
      <c r="AD578" s="1" t="s">
        <v>151</v>
      </c>
      <c r="AE578" s="1" t="s">
        <v>392</v>
      </c>
      <c r="AF578" s="1" t="s">
        <v>144</v>
      </c>
      <c r="AG578" s="1">
        <v>34</v>
      </c>
      <c r="AO578" s="2">
        <v>46274</v>
      </c>
      <c r="AP578" s="1" t="s">
        <v>226</v>
      </c>
      <c r="AS578" s="1" t="s">
        <v>71</v>
      </c>
      <c r="AU578" s="1" t="s">
        <v>72</v>
      </c>
      <c r="AV578" s="1" t="s">
        <v>73</v>
      </c>
      <c r="AX578" s="1">
        <v>0</v>
      </c>
      <c r="BA578" s="1">
        <v>3</v>
      </c>
      <c r="BB578" s="1">
        <v>0</v>
      </c>
      <c r="BC578" s="1">
        <v>0</v>
      </c>
      <c r="BE578" s="1">
        <v>27186310</v>
      </c>
    </row>
    <row r="579" spans="1:57" x14ac:dyDescent="0.25">
      <c r="A579" s="1" t="str">
        <f>T("1944467609760764816")</f>
        <v>1944467609760764816</v>
      </c>
      <c r="B579" s="1" t="str">
        <f>T("249995099499")</f>
        <v>249995099499</v>
      </c>
      <c r="C579" s="1" t="str">
        <f>T("1941094470598528556")</f>
        <v>1941094470598528556</v>
      </c>
      <c r="AC579" s="1" t="s">
        <v>104</v>
      </c>
      <c r="AD579" s="1" t="s">
        <v>151</v>
      </c>
      <c r="AE579" s="1" t="s">
        <v>392</v>
      </c>
      <c r="AF579" s="1" t="s">
        <v>144</v>
      </c>
      <c r="AG579" s="1">
        <v>42</v>
      </c>
      <c r="AO579" s="2">
        <v>46274</v>
      </c>
      <c r="AP579" s="1" t="s">
        <v>226</v>
      </c>
      <c r="AS579" s="1" t="s">
        <v>71</v>
      </c>
      <c r="AU579" s="1" t="s">
        <v>72</v>
      </c>
      <c r="AV579" s="1" t="s">
        <v>73</v>
      </c>
      <c r="AX579" s="1">
        <v>0</v>
      </c>
      <c r="BA579" s="1">
        <v>3</v>
      </c>
      <c r="BB579" s="1">
        <v>0</v>
      </c>
      <c r="BC579" s="1">
        <v>0</v>
      </c>
      <c r="BE579" s="1">
        <v>27186310</v>
      </c>
    </row>
    <row r="580" spans="1:57" x14ac:dyDescent="0.25">
      <c r="A580" s="1" t="str">
        <f>T("1944467609857234000")</f>
        <v>1944467609857234000</v>
      </c>
      <c r="B580" s="1" t="str">
        <f>T("249992043237")</f>
        <v>249992043237</v>
      </c>
      <c r="C580" s="1" t="str">
        <f>T("1941094470602719464")</f>
        <v>1941094470602719464</v>
      </c>
      <c r="AC580" s="1" t="s">
        <v>104</v>
      </c>
      <c r="AD580" s="1" t="s">
        <v>151</v>
      </c>
      <c r="AE580" s="1" t="s">
        <v>392</v>
      </c>
      <c r="AF580" s="1" t="s">
        <v>144</v>
      </c>
      <c r="AG580" s="1">
        <v>27</v>
      </c>
      <c r="AO580" s="2">
        <v>46274</v>
      </c>
      <c r="AP580" s="1" t="s">
        <v>226</v>
      </c>
      <c r="AQ580" s="2">
        <v>46274</v>
      </c>
      <c r="AR580" s="1" t="s">
        <v>394</v>
      </c>
      <c r="AS580" s="1" t="s">
        <v>71</v>
      </c>
      <c r="AU580" s="1" t="s">
        <v>79</v>
      </c>
      <c r="AV580" s="1" t="s">
        <v>80</v>
      </c>
      <c r="AW580" s="1">
        <v>7.26</v>
      </c>
      <c r="AX580" s="1">
        <v>0</v>
      </c>
      <c r="AZ580" s="1" t="s">
        <v>81</v>
      </c>
      <c r="BA580" s="1">
        <v>1</v>
      </c>
      <c r="BB580" s="1">
        <v>0</v>
      </c>
      <c r="BC580" s="1">
        <v>0</v>
      </c>
      <c r="BE580" s="1">
        <v>27186310</v>
      </c>
    </row>
    <row r="581" spans="1:57" x14ac:dyDescent="0.25">
      <c r="A581" s="1" t="str">
        <f>T("1944467609999841072")</f>
        <v>1944467609999841072</v>
      </c>
      <c r="B581" s="1" t="str">
        <f>T("249909855262")</f>
        <v>249909855262</v>
      </c>
      <c r="C581" s="1" t="str">
        <f>T("1941094470602719864")</f>
        <v>1941094470602719864</v>
      </c>
      <c r="AA581" s="1">
        <v>1</v>
      </c>
      <c r="AC581" s="1" t="s">
        <v>104</v>
      </c>
      <c r="AD581" s="1" t="s">
        <v>151</v>
      </c>
      <c r="AE581" s="1" t="s">
        <v>392</v>
      </c>
      <c r="AF581" s="1" t="s">
        <v>144</v>
      </c>
      <c r="AG581" s="1">
        <v>36</v>
      </c>
      <c r="AO581" s="2">
        <v>46274</v>
      </c>
      <c r="AP581" s="1" t="s">
        <v>226</v>
      </c>
      <c r="AQ581" s="2">
        <v>46274</v>
      </c>
      <c r="AR581" s="1" t="s">
        <v>395</v>
      </c>
      <c r="AS581" s="1" t="s">
        <v>71</v>
      </c>
      <c r="AU581" s="1" t="s">
        <v>79</v>
      </c>
      <c r="AV581" s="1" t="s">
        <v>80</v>
      </c>
      <c r="AW581" s="1">
        <v>71.64</v>
      </c>
      <c r="AX581" s="1">
        <v>0</v>
      </c>
      <c r="AZ581" s="1" t="s">
        <v>81</v>
      </c>
      <c r="BA581" s="1">
        <v>2</v>
      </c>
      <c r="BB581" s="1">
        <v>0</v>
      </c>
      <c r="BC581" s="1">
        <v>0</v>
      </c>
      <c r="BE581" s="1">
        <v>27186310</v>
      </c>
    </row>
    <row r="582" spans="1:57" x14ac:dyDescent="0.25">
      <c r="A582" s="1" t="str">
        <f>T("1944467610096312056")</f>
        <v>1944467610096312056</v>
      </c>
      <c r="B582" s="1" t="str">
        <f>T("249113934745")</f>
        <v>249113934745</v>
      </c>
      <c r="C582" s="1" t="str">
        <f>T("1941094470602720864")</f>
        <v>1941094470602720864</v>
      </c>
      <c r="AA582" s="1">
        <v>1</v>
      </c>
      <c r="AC582" s="1" t="s">
        <v>104</v>
      </c>
      <c r="AD582" s="1" t="s">
        <v>151</v>
      </c>
      <c r="AE582" s="1" t="s">
        <v>392</v>
      </c>
      <c r="AF582" s="1" t="s">
        <v>144</v>
      </c>
      <c r="AG582" s="1">
        <v>42</v>
      </c>
      <c r="AO582" s="2">
        <v>46274</v>
      </c>
      <c r="AP582" s="1" t="s">
        <v>226</v>
      </c>
      <c r="AQ582" s="2">
        <v>46274</v>
      </c>
      <c r="AR582" s="1" t="s">
        <v>396</v>
      </c>
      <c r="AS582" s="1" t="s">
        <v>71</v>
      </c>
      <c r="AU582" s="1" t="s">
        <v>79</v>
      </c>
      <c r="AV582" s="1" t="s">
        <v>80</v>
      </c>
      <c r="AW582" s="1">
        <v>105.72</v>
      </c>
      <c r="AX582" s="1">
        <v>0</v>
      </c>
      <c r="AZ582" s="1" t="s">
        <v>81</v>
      </c>
      <c r="BA582" s="1">
        <v>1</v>
      </c>
      <c r="BB582" s="1">
        <v>0</v>
      </c>
      <c r="BC582" s="1">
        <v>0</v>
      </c>
      <c r="BE582" s="1">
        <v>27186310</v>
      </c>
    </row>
    <row r="583" spans="1:57" x14ac:dyDescent="0.25">
      <c r="A583" s="1" t="str">
        <f>T("1944467610264083176")</f>
        <v>1944467610264083176</v>
      </c>
      <c r="B583" s="1" t="str">
        <f>T("249901509574")</f>
        <v>249901509574</v>
      </c>
      <c r="C583" s="1" t="str">
        <f>T("1941094470602721364")</f>
        <v>1941094470602721364</v>
      </c>
      <c r="M583" s="1" t="s">
        <v>59</v>
      </c>
      <c r="O583" s="1" t="s">
        <v>60</v>
      </c>
      <c r="P583" s="1" t="s">
        <v>61</v>
      </c>
      <c r="Q583" s="1" t="s">
        <v>112</v>
      </c>
      <c r="R583" s="1" t="s">
        <v>63</v>
      </c>
      <c r="AA583" s="1">
        <v>1</v>
      </c>
      <c r="AC583" s="1" t="s">
        <v>104</v>
      </c>
      <c r="AD583" s="1" t="s">
        <v>151</v>
      </c>
      <c r="AE583" s="1" t="s">
        <v>392</v>
      </c>
      <c r="AF583" s="1" t="s">
        <v>144</v>
      </c>
      <c r="AG583" s="1">
        <v>34</v>
      </c>
      <c r="AO583" s="2">
        <v>46274</v>
      </c>
      <c r="AP583" s="1" t="s">
        <v>226</v>
      </c>
      <c r="AQ583" s="2">
        <v>46274</v>
      </c>
      <c r="AR583" s="1" t="s">
        <v>397</v>
      </c>
      <c r="AS583" s="1" t="s">
        <v>71</v>
      </c>
      <c r="AU583" s="1" t="s">
        <v>79</v>
      </c>
      <c r="AV583" s="1" t="s">
        <v>80</v>
      </c>
      <c r="AW583" s="1">
        <v>122.94</v>
      </c>
      <c r="AX583" s="1">
        <v>0</v>
      </c>
      <c r="AZ583" s="1" t="s">
        <v>81</v>
      </c>
      <c r="BA583" s="1">
        <v>1</v>
      </c>
      <c r="BB583" s="1">
        <v>0</v>
      </c>
      <c r="BC583" s="1">
        <v>0</v>
      </c>
      <c r="BE583" s="1">
        <v>27186310</v>
      </c>
    </row>
    <row r="584" spans="1:57" x14ac:dyDescent="0.25">
      <c r="A584" s="1" t="str">
        <f>T("1944467610285053216")</f>
        <v>1944467610285053216</v>
      </c>
      <c r="B584" s="1" t="str">
        <f>T("249926578060")</f>
        <v>249926578060</v>
      </c>
      <c r="C584" s="1" t="str">
        <f>T("1941094470602721764")</f>
        <v>1941094470602721764</v>
      </c>
      <c r="AC584" s="1" t="s">
        <v>104</v>
      </c>
      <c r="AD584" s="1" t="s">
        <v>151</v>
      </c>
      <c r="AE584" s="1" t="s">
        <v>392</v>
      </c>
      <c r="AF584" s="1" t="s">
        <v>144</v>
      </c>
      <c r="AG584" s="1">
        <v>39</v>
      </c>
      <c r="AO584" s="2">
        <v>46274</v>
      </c>
      <c r="AP584" s="1" t="s">
        <v>226</v>
      </c>
      <c r="AS584" s="1" t="s">
        <v>71</v>
      </c>
      <c r="AU584" s="1" t="s">
        <v>72</v>
      </c>
      <c r="AV584" s="1" t="s">
        <v>73</v>
      </c>
      <c r="AX584" s="1">
        <v>0</v>
      </c>
      <c r="BA584" s="1">
        <v>3</v>
      </c>
      <c r="BB584" s="1">
        <v>0</v>
      </c>
      <c r="BC584" s="1">
        <v>0</v>
      </c>
      <c r="BE584" s="1">
        <v>27186310</v>
      </c>
    </row>
    <row r="585" spans="1:57" x14ac:dyDescent="0.25">
      <c r="A585" s="1" t="str">
        <f>T("1944467610406688748")</f>
        <v>1944467610406688748</v>
      </c>
      <c r="B585" s="1" t="str">
        <f>T("249907022412")</f>
        <v>249907022412</v>
      </c>
      <c r="C585" s="1" t="str">
        <f>T("1941094470602722264")</f>
        <v>1941094470602722264</v>
      </c>
      <c r="AC585" s="1" t="s">
        <v>104</v>
      </c>
      <c r="AD585" s="1" t="s">
        <v>151</v>
      </c>
      <c r="AE585" s="1" t="s">
        <v>392</v>
      </c>
      <c r="AF585" s="1" t="s">
        <v>144</v>
      </c>
      <c r="AG585" s="1">
        <v>23</v>
      </c>
      <c r="AO585" s="2">
        <v>46274</v>
      </c>
      <c r="AP585" s="1" t="s">
        <v>226</v>
      </c>
      <c r="AS585" s="1" t="s">
        <v>71</v>
      </c>
      <c r="AU585" s="1" t="s">
        <v>72</v>
      </c>
      <c r="AV585" s="1" t="s">
        <v>115</v>
      </c>
      <c r="AX585" s="1">
        <v>0</v>
      </c>
      <c r="BA585" s="1">
        <v>3</v>
      </c>
      <c r="BB585" s="1">
        <v>0</v>
      </c>
      <c r="BC585" s="1">
        <v>0</v>
      </c>
      <c r="BE585" s="1">
        <v>27186310</v>
      </c>
    </row>
    <row r="586" spans="1:57" x14ac:dyDescent="0.25">
      <c r="A586" s="1" t="str">
        <f>T("1944467610469603968")</f>
        <v>1944467610469603968</v>
      </c>
      <c r="B586" s="1" t="str">
        <f>T("249928722410")</f>
        <v>249928722410</v>
      </c>
      <c r="C586" s="1" t="str">
        <f>T("1941094470602722764")</f>
        <v>1941094470602722764</v>
      </c>
      <c r="AC586" s="1" t="s">
        <v>104</v>
      </c>
      <c r="AD586" s="1" t="s">
        <v>151</v>
      </c>
      <c r="AE586" s="1" t="s">
        <v>392</v>
      </c>
      <c r="AF586" s="1" t="s">
        <v>144</v>
      </c>
      <c r="AG586" s="1">
        <v>28</v>
      </c>
      <c r="AO586" s="2">
        <v>46274</v>
      </c>
      <c r="AP586" s="1" t="s">
        <v>226</v>
      </c>
      <c r="AS586" s="1" t="s">
        <v>71</v>
      </c>
      <c r="AU586" s="1" t="s">
        <v>72</v>
      </c>
      <c r="AV586" s="1" t="s">
        <v>73</v>
      </c>
      <c r="AX586" s="1">
        <v>0</v>
      </c>
      <c r="BA586" s="1">
        <v>3</v>
      </c>
      <c r="BB586" s="1">
        <v>0</v>
      </c>
      <c r="BC586" s="1">
        <v>0</v>
      </c>
      <c r="BE586" s="1">
        <v>27186310</v>
      </c>
    </row>
    <row r="587" spans="1:57" x14ac:dyDescent="0.25">
      <c r="A587" s="1" t="str">
        <f>T("1944467610482187992")</f>
        <v>1944467610482187992</v>
      </c>
      <c r="B587" s="1" t="str">
        <f>T("249964661843")</f>
        <v>249964661843</v>
      </c>
      <c r="C587" s="1" t="str">
        <f>T("1941094470602723264")</f>
        <v>1941094470602723264</v>
      </c>
      <c r="M587" s="1" t="s">
        <v>59</v>
      </c>
      <c r="O587" s="1" t="s">
        <v>65</v>
      </c>
      <c r="P587" s="1" t="s">
        <v>61</v>
      </c>
      <c r="Q587" s="1" t="s">
        <v>62</v>
      </c>
      <c r="R587" s="1" t="s">
        <v>93</v>
      </c>
      <c r="T587" s="1" t="s">
        <v>61</v>
      </c>
      <c r="U587" s="1" t="s">
        <v>65</v>
      </c>
      <c r="V587" s="1" t="s">
        <v>66</v>
      </c>
      <c r="W587" s="1" t="s">
        <v>60</v>
      </c>
      <c r="X587" s="1" t="s">
        <v>103</v>
      </c>
      <c r="Y587" s="1" t="s">
        <v>160</v>
      </c>
      <c r="AA587" s="1">
        <v>1</v>
      </c>
      <c r="AB587" s="1">
        <v>1</v>
      </c>
      <c r="AC587" s="1" t="s">
        <v>104</v>
      </c>
      <c r="AD587" s="1" t="s">
        <v>151</v>
      </c>
      <c r="AE587" s="1" t="s">
        <v>392</v>
      </c>
      <c r="AF587" s="1" t="s">
        <v>144</v>
      </c>
      <c r="AG587" s="1">
        <v>44</v>
      </c>
      <c r="AO587" s="2">
        <v>46274</v>
      </c>
      <c r="AP587" s="1" t="s">
        <v>226</v>
      </c>
      <c r="AQ587" s="2">
        <v>46274</v>
      </c>
      <c r="AR587" s="1" t="s">
        <v>398</v>
      </c>
      <c r="AS587" s="1" t="s">
        <v>71</v>
      </c>
      <c r="AU587" s="1" t="s">
        <v>78</v>
      </c>
      <c r="AV587" s="1" t="s">
        <v>80</v>
      </c>
      <c r="AW587" s="1">
        <v>324.52</v>
      </c>
      <c r="AX587" s="1">
        <v>0</v>
      </c>
      <c r="AZ587" s="1" t="s">
        <v>81</v>
      </c>
      <c r="BA587" s="1">
        <v>1</v>
      </c>
      <c r="BB587" s="1">
        <v>0</v>
      </c>
      <c r="BC587" s="1">
        <v>0</v>
      </c>
      <c r="BE587" s="1">
        <v>27186310</v>
      </c>
    </row>
    <row r="588" spans="1:57" x14ac:dyDescent="0.25">
      <c r="A588" s="1" t="str">
        <f>T("1944467610549294620")</f>
        <v>1944467610549294620</v>
      </c>
      <c r="B588" s="1" t="str">
        <f>T("249909930522")</f>
        <v>249909930522</v>
      </c>
      <c r="C588" s="1" t="str">
        <f>T("1941094470606914172")</f>
        <v>1941094470606914172</v>
      </c>
      <c r="AA588" s="1">
        <v>1</v>
      </c>
      <c r="AC588" s="1" t="s">
        <v>104</v>
      </c>
      <c r="AD588" s="1" t="s">
        <v>151</v>
      </c>
      <c r="AE588" s="1" t="s">
        <v>392</v>
      </c>
      <c r="AF588" s="1" t="s">
        <v>144</v>
      </c>
      <c r="AG588" s="1">
        <v>31</v>
      </c>
      <c r="AO588" s="2">
        <v>46274</v>
      </c>
      <c r="AP588" s="1" t="s">
        <v>226</v>
      </c>
      <c r="AQ588" s="2">
        <v>46274</v>
      </c>
      <c r="AR588" s="1" t="s">
        <v>399</v>
      </c>
      <c r="AS588" s="1" t="s">
        <v>71</v>
      </c>
      <c r="AU588" s="1" t="s">
        <v>78</v>
      </c>
      <c r="AV588" s="1" t="s">
        <v>80</v>
      </c>
      <c r="AW588" s="1">
        <v>134.78</v>
      </c>
      <c r="AX588" s="1">
        <v>0</v>
      </c>
      <c r="AZ588" s="1" t="s">
        <v>81</v>
      </c>
      <c r="BA588" s="1">
        <v>2</v>
      </c>
      <c r="BB588" s="1">
        <v>0</v>
      </c>
      <c r="BC588" s="1">
        <v>0</v>
      </c>
      <c r="BE588" s="1">
        <v>27186310</v>
      </c>
    </row>
    <row r="589" spans="1:57" x14ac:dyDescent="0.25">
      <c r="A589" s="1" t="str">
        <f>T("1944467610574461868")</f>
        <v>1944467610574461868</v>
      </c>
      <c r="B589" s="1" t="str">
        <f>T("249900317830")</f>
        <v>249900317830</v>
      </c>
      <c r="C589" s="1" t="str">
        <f>T("1941094470606914672")</f>
        <v>1941094470606914672</v>
      </c>
      <c r="AA589" s="1">
        <v>1</v>
      </c>
      <c r="AC589" s="1" t="s">
        <v>104</v>
      </c>
      <c r="AD589" s="1" t="s">
        <v>151</v>
      </c>
      <c r="AE589" s="1" t="s">
        <v>392</v>
      </c>
      <c r="AF589" s="1" t="s">
        <v>144</v>
      </c>
      <c r="AG589" s="1">
        <v>23</v>
      </c>
      <c r="AO589" s="2">
        <v>46274</v>
      </c>
      <c r="AP589" s="1" t="s">
        <v>226</v>
      </c>
      <c r="AQ589" s="2">
        <v>46274</v>
      </c>
      <c r="AR589" s="1" t="s">
        <v>400</v>
      </c>
      <c r="AS589" s="1" t="s">
        <v>71</v>
      </c>
      <c r="AU589" s="1" t="s">
        <v>78</v>
      </c>
      <c r="AV589" s="1" t="s">
        <v>80</v>
      </c>
      <c r="AW589" s="1">
        <v>134.69900000000001</v>
      </c>
      <c r="AX589" s="1">
        <v>0</v>
      </c>
      <c r="AZ589" s="1" t="s">
        <v>81</v>
      </c>
      <c r="BA589" s="1">
        <v>1</v>
      </c>
      <c r="BB589" s="1">
        <v>0</v>
      </c>
      <c r="BC589" s="1">
        <v>0</v>
      </c>
      <c r="BE589" s="1">
        <v>27186310</v>
      </c>
    </row>
    <row r="590" spans="1:57" x14ac:dyDescent="0.25">
      <c r="A590" s="1" t="str">
        <f>T("1944467610612211540")</f>
        <v>1944467610612211540</v>
      </c>
      <c r="B590" s="1" t="str">
        <f>T("249991173036")</f>
        <v>249991173036</v>
      </c>
      <c r="C590" s="1" t="str">
        <f>T("1941094470606915072")</f>
        <v>1941094470606915072</v>
      </c>
      <c r="M590" s="1" t="s">
        <v>59</v>
      </c>
      <c r="O590" s="1" t="s">
        <v>60</v>
      </c>
      <c r="AA590" s="1">
        <v>1</v>
      </c>
      <c r="AC590" s="1" t="s">
        <v>104</v>
      </c>
      <c r="AD590" s="1" t="s">
        <v>105</v>
      </c>
      <c r="AE590" s="1" t="s">
        <v>401</v>
      </c>
      <c r="AF590" s="1" t="s">
        <v>144</v>
      </c>
      <c r="AG590" s="1">
        <v>29</v>
      </c>
      <c r="AO590" s="2">
        <v>46274</v>
      </c>
      <c r="AP590" s="1" t="s">
        <v>226</v>
      </c>
      <c r="AQ590" s="2">
        <v>46274</v>
      </c>
      <c r="AR590" s="1" t="s">
        <v>402</v>
      </c>
      <c r="AS590" s="1" t="s">
        <v>71</v>
      </c>
      <c r="AU590" s="1" t="s">
        <v>79</v>
      </c>
      <c r="AV590" s="1" t="s">
        <v>80</v>
      </c>
      <c r="AW590" s="1">
        <v>105.04</v>
      </c>
      <c r="AX590" s="1">
        <v>0</v>
      </c>
      <c r="AZ590" s="1" t="s">
        <v>81</v>
      </c>
      <c r="BA590" s="1">
        <v>2</v>
      </c>
      <c r="BB590" s="1">
        <v>0</v>
      </c>
      <c r="BC590" s="1">
        <v>0</v>
      </c>
      <c r="BE590" s="1">
        <v>27186310</v>
      </c>
    </row>
    <row r="591" spans="1:57" x14ac:dyDescent="0.25">
      <c r="A591" s="1" t="str">
        <f>T("1944467610645764604")</f>
        <v>1944467610645764604</v>
      </c>
      <c r="B591" s="1" t="str">
        <f>T("249912680505")</f>
        <v>249912680505</v>
      </c>
      <c r="C591" s="1" t="str">
        <f>T("1941094470606915472")</f>
        <v>1941094470606915472</v>
      </c>
      <c r="AC591" s="1" t="s">
        <v>104</v>
      </c>
      <c r="AD591" s="1" t="s">
        <v>105</v>
      </c>
      <c r="AE591" s="1" t="s">
        <v>401</v>
      </c>
      <c r="AF591" s="1" t="s">
        <v>144</v>
      </c>
      <c r="AG591" s="1">
        <v>48</v>
      </c>
      <c r="AO591" s="2">
        <v>46274</v>
      </c>
      <c r="AP591" s="1" t="s">
        <v>226</v>
      </c>
      <c r="AQ591" s="2">
        <v>46274</v>
      </c>
      <c r="AR591" s="1" t="s">
        <v>403</v>
      </c>
      <c r="AS591" s="1" t="s">
        <v>71</v>
      </c>
      <c r="AU591" s="1" t="s">
        <v>79</v>
      </c>
      <c r="AV591" s="1" t="s">
        <v>80</v>
      </c>
      <c r="AW591" s="1">
        <v>37.22</v>
      </c>
      <c r="AX591" s="1">
        <v>0</v>
      </c>
      <c r="AZ591" s="1" t="s">
        <v>81</v>
      </c>
      <c r="BA591" s="1">
        <v>1</v>
      </c>
      <c r="BB591" s="1">
        <v>0</v>
      </c>
      <c r="BC591" s="1">
        <v>0</v>
      </c>
      <c r="BE591" s="1">
        <v>27186310</v>
      </c>
    </row>
    <row r="592" spans="1:57" x14ac:dyDescent="0.25">
      <c r="A592" s="1" t="str">
        <f>T("1944467610712872632")</f>
        <v>1944467610712872632</v>
      </c>
      <c r="B592" s="1" t="str">
        <f>T("249911232214")</f>
        <v>249911232214</v>
      </c>
      <c r="C592" s="1" t="str">
        <f>T("1941094470606915872")</f>
        <v>1941094470606915872</v>
      </c>
      <c r="AA592" s="1">
        <v>1</v>
      </c>
      <c r="AC592" s="1" t="s">
        <v>104</v>
      </c>
      <c r="AD592" s="1" t="s">
        <v>105</v>
      </c>
      <c r="AE592" s="1" t="s">
        <v>401</v>
      </c>
      <c r="AF592" s="1" t="s">
        <v>144</v>
      </c>
      <c r="AG592" s="1">
        <v>45</v>
      </c>
      <c r="AO592" s="2">
        <v>46274</v>
      </c>
      <c r="AP592" s="1" t="s">
        <v>226</v>
      </c>
      <c r="AQ592" s="2">
        <v>46274</v>
      </c>
      <c r="AR592" s="1" t="s">
        <v>404</v>
      </c>
      <c r="AS592" s="1" t="s">
        <v>71</v>
      </c>
      <c r="AU592" s="1" t="s">
        <v>79</v>
      </c>
      <c r="AV592" s="1" t="s">
        <v>80</v>
      </c>
      <c r="AW592" s="1">
        <v>42.14</v>
      </c>
      <c r="AX592" s="1">
        <v>0</v>
      </c>
      <c r="AZ592" s="1" t="s">
        <v>81</v>
      </c>
      <c r="BA592" s="1">
        <v>1</v>
      </c>
      <c r="BB592" s="1">
        <v>0</v>
      </c>
      <c r="BC592" s="1">
        <v>0</v>
      </c>
      <c r="BE592" s="1">
        <v>27186310</v>
      </c>
    </row>
    <row r="593" spans="1:57" x14ac:dyDescent="0.25">
      <c r="A593" s="1" t="str">
        <f>T("1944467610742231188")</f>
        <v>1944467610742231188</v>
      </c>
      <c r="B593" s="1" t="str">
        <f>T("249912683072")</f>
        <v>249912683072</v>
      </c>
      <c r="C593" s="1" t="str">
        <f>T("1941094470606916272")</f>
        <v>1941094470606916272</v>
      </c>
      <c r="M593" s="1" t="s">
        <v>133</v>
      </c>
      <c r="N593" s="1" t="s">
        <v>60</v>
      </c>
      <c r="O593" s="1" t="s">
        <v>65</v>
      </c>
      <c r="P593" s="1" t="s">
        <v>111</v>
      </c>
      <c r="Q593" s="1" t="s">
        <v>101</v>
      </c>
      <c r="R593" s="1" t="s">
        <v>93</v>
      </c>
      <c r="T593" s="1" t="s">
        <v>95</v>
      </c>
      <c r="U593" s="1" t="s">
        <v>65</v>
      </c>
      <c r="V593" s="1" t="s">
        <v>102</v>
      </c>
      <c r="W593" s="1" t="s">
        <v>60</v>
      </c>
      <c r="X593" s="1" t="s">
        <v>66</v>
      </c>
      <c r="Y593" s="1" t="s">
        <v>69</v>
      </c>
      <c r="AA593" s="1">
        <v>1</v>
      </c>
      <c r="AB593" s="1">
        <v>1</v>
      </c>
      <c r="AC593" s="1" t="s">
        <v>104</v>
      </c>
      <c r="AD593" s="1" t="s">
        <v>105</v>
      </c>
      <c r="AE593" s="1" t="s">
        <v>401</v>
      </c>
      <c r="AF593" s="1" t="s">
        <v>144</v>
      </c>
      <c r="AG593" s="1">
        <v>27</v>
      </c>
      <c r="AO593" s="2">
        <v>46274</v>
      </c>
      <c r="AP593" s="1" t="s">
        <v>226</v>
      </c>
      <c r="AQ593" s="2">
        <v>46274</v>
      </c>
      <c r="AR593" s="1" t="s">
        <v>405</v>
      </c>
      <c r="AS593" s="1" t="s">
        <v>71</v>
      </c>
      <c r="AU593" s="1" t="s">
        <v>78</v>
      </c>
      <c r="AV593" s="1" t="s">
        <v>80</v>
      </c>
      <c r="AW593" s="1">
        <v>239.74</v>
      </c>
      <c r="AX593" s="1">
        <v>0</v>
      </c>
      <c r="AZ593" s="1" t="s">
        <v>81</v>
      </c>
      <c r="BA593" s="1">
        <v>2</v>
      </c>
      <c r="BB593" s="1">
        <v>0</v>
      </c>
      <c r="BC593" s="1">
        <v>0</v>
      </c>
      <c r="BE593" s="1">
        <v>27186310</v>
      </c>
    </row>
    <row r="594" spans="1:57" x14ac:dyDescent="0.25">
      <c r="A594" s="1" t="str">
        <f>T("1944467610838703072")</f>
        <v>1944467610838703072</v>
      </c>
      <c r="B594" s="1" t="str">
        <f>T("249911005126")</f>
        <v>249911005126</v>
      </c>
      <c r="C594" s="1" t="str">
        <f>T("1941094470606916672")</f>
        <v>1941094470606916672</v>
      </c>
      <c r="M594" s="1" t="s">
        <v>406</v>
      </c>
      <c r="O594" s="1" t="s">
        <v>65</v>
      </c>
      <c r="P594" s="1" t="s">
        <v>83</v>
      </c>
      <c r="Q594" s="1" t="s">
        <v>112</v>
      </c>
      <c r="R594" s="1" t="s">
        <v>84</v>
      </c>
      <c r="S594" s="1" t="s">
        <v>159</v>
      </c>
      <c r="U594" s="1" t="s">
        <v>65</v>
      </c>
      <c r="V594" s="1" t="s">
        <v>66</v>
      </c>
      <c r="W594" s="1" t="s">
        <v>67</v>
      </c>
      <c r="X594" s="1" t="s">
        <v>68</v>
      </c>
      <c r="AA594" s="1">
        <v>1</v>
      </c>
      <c r="AC594" s="1" t="s">
        <v>104</v>
      </c>
      <c r="AD594" s="1" t="s">
        <v>105</v>
      </c>
      <c r="AE594" s="1" t="s">
        <v>401</v>
      </c>
      <c r="AF594" s="1" t="s">
        <v>144</v>
      </c>
      <c r="AG594" s="1">
        <v>45</v>
      </c>
      <c r="AO594" s="2">
        <v>46274</v>
      </c>
      <c r="AP594" s="1" t="s">
        <v>226</v>
      </c>
      <c r="AQ594" s="2">
        <v>46274</v>
      </c>
      <c r="AR594" s="1" t="s">
        <v>407</v>
      </c>
      <c r="AS594" s="1" t="s">
        <v>71</v>
      </c>
      <c r="AU594" s="1" t="s">
        <v>79</v>
      </c>
      <c r="AV594" s="1" t="s">
        <v>80</v>
      </c>
      <c r="AW594" s="1">
        <v>336.42</v>
      </c>
      <c r="AX594" s="1">
        <v>0</v>
      </c>
      <c r="AZ594" s="1" t="s">
        <v>81</v>
      </c>
      <c r="BA594" s="1">
        <v>1</v>
      </c>
      <c r="BB594" s="1">
        <v>0</v>
      </c>
      <c r="BC594" s="1">
        <v>0</v>
      </c>
      <c r="BE594" s="1">
        <v>27186310</v>
      </c>
    </row>
    <row r="595" spans="1:57" x14ac:dyDescent="0.25">
      <c r="A595" s="1" t="str">
        <f>T("1944467610897420584")</f>
        <v>1944467610897420584</v>
      </c>
      <c r="B595" s="1" t="str">
        <f>T("249995736495")</f>
        <v>249995736495</v>
      </c>
      <c r="C595" s="1" t="str">
        <f>T("1941094470606917172")</f>
        <v>1941094470606917172</v>
      </c>
      <c r="AA595" s="1">
        <v>1</v>
      </c>
      <c r="AC595" s="1" t="s">
        <v>104</v>
      </c>
      <c r="AD595" s="1" t="s">
        <v>105</v>
      </c>
      <c r="AE595" s="1" t="s">
        <v>401</v>
      </c>
      <c r="AF595" s="1" t="s">
        <v>144</v>
      </c>
      <c r="AG595" s="1">
        <v>47</v>
      </c>
      <c r="AO595" s="2">
        <v>46274</v>
      </c>
      <c r="AP595" s="1" t="s">
        <v>226</v>
      </c>
      <c r="AQ595" s="2">
        <v>46274</v>
      </c>
      <c r="AR595" s="1" t="s">
        <v>408</v>
      </c>
      <c r="AS595" s="1" t="s">
        <v>71</v>
      </c>
      <c r="AU595" s="1" t="s">
        <v>78</v>
      </c>
      <c r="AV595" s="1" t="s">
        <v>80</v>
      </c>
      <c r="AW595" s="1">
        <v>134.78</v>
      </c>
      <c r="AX595" s="1">
        <v>0</v>
      </c>
      <c r="AZ595" s="1" t="s">
        <v>81</v>
      </c>
      <c r="BA595" s="1">
        <v>1</v>
      </c>
      <c r="BB595" s="1">
        <v>0</v>
      </c>
      <c r="BC595" s="1">
        <v>0</v>
      </c>
      <c r="BE595" s="1">
        <v>27186310</v>
      </c>
    </row>
    <row r="596" spans="1:57" x14ac:dyDescent="0.25">
      <c r="A596" s="1" t="str">
        <f>T("1944467610989698060")</f>
        <v>1944467610989698060</v>
      </c>
      <c r="B596" s="1" t="str">
        <f>T("249962176764")</f>
        <v>249962176764</v>
      </c>
      <c r="C596" s="1" t="str">
        <f>T("1941094470606917572")</f>
        <v>1941094470606917572</v>
      </c>
      <c r="AC596" s="1" t="s">
        <v>344</v>
      </c>
      <c r="AD596" s="1" t="s">
        <v>372</v>
      </c>
      <c r="AE596" s="1" t="s">
        <v>409</v>
      </c>
      <c r="AF596" s="1" t="s">
        <v>107</v>
      </c>
      <c r="AG596" s="1">
        <v>37</v>
      </c>
      <c r="AO596" s="2">
        <v>46274</v>
      </c>
      <c r="AP596" s="1" t="s">
        <v>226</v>
      </c>
      <c r="AS596" s="1" t="s">
        <v>71</v>
      </c>
      <c r="AU596" s="1" t="s">
        <v>72</v>
      </c>
      <c r="AV596" s="1" t="s">
        <v>115</v>
      </c>
      <c r="AX596" s="1">
        <v>0</v>
      </c>
      <c r="BA596" s="1">
        <v>3</v>
      </c>
      <c r="BB596" s="1">
        <v>0</v>
      </c>
      <c r="BC596" s="1">
        <v>0</v>
      </c>
      <c r="BE596" s="1">
        <v>27186310</v>
      </c>
    </row>
    <row r="597" spans="1:57" x14ac:dyDescent="0.25">
      <c r="A597" s="1" t="str">
        <f>T("1944467610998087476")</f>
        <v>1944467610998087476</v>
      </c>
      <c r="B597" s="1" t="str">
        <f>T("249899053964")</f>
        <v>249899053964</v>
      </c>
      <c r="C597" s="1" t="str">
        <f>T("1941094470611108180")</f>
        <v>1941094470611108180</v>
      </c>
      <c r="AC597" s="1" t="s">
        <v>344</v>
      </c>
      <c r="AD597" s="1" t="s">
        <v>372</v>
      </c>
      <c r="AE597" s="1" t="s">
        <v>410</v>
      </c>
      <c r="AF597" s="1" t="s">
        <v>107</v>
      </c>
      <c r="AG597" s="1">
        <v>31</v>
      </c>
      <c r="AO597" s="2">
        <v>46274</v>
      </c>
      <c r="AP597" s="1" t="s">
        <v>226</v>
      </c>
      <c r="AS597" s="1" t="s">
        <v>71</v>
      </c>
      <c r="AU597" s="1" t="s">
        <v>72</v>
      </c>
      <c r="AV597" s="1" t="s">
        <v>73</v>
      </c>
      <c r="AX597" s="1">
        <v>0</v>
      </c>
      <c r="BA597" s="1">
        <v>3</v>
      </c>
      <c r="BB597" s="1">
        <v>0</v>
      </c>
      <c r="BC597" s="1">
        <v>0</v>
      </c>
      <c r="BE597" s="1">
        <v>27186310</v>
      </c>
    </row>
    <row r="598" spans="1:57" x14ac:dyDescent="0.25">
      <c r="A598" s="1" t="str">
        <f>T("1944467611144887456")</f>
        <v>1944467611144887456</v>
      </c>
      <c r="B598" s="1" t="str">
        <f>T("249125027786")</f>
        <v>249125027786</v>
      </c>
      <c r="C598" s="1" t="str">
        <f>T("1941094470611108680")</f>
        <v>1941094470611108680</v>
      </c>
      <c r="AA598" s="1">
        <v>1</v>
      </c>
      <c r="AC598" s="1" t="s">
        <v>104</v>
      </c>
      <c r="AD598" s="1" t="s">
        <v>151</v>
      </c>
      <c r="AE598" s="1" t="s">
        <v>392</v>
      </c>
      <c r="AF598" s="1" t="s">
        <v>107</v>
      </c>
      <c r="AG598" s="1">
        <v>41</v>
      </c>
      <c r="AO598" s="2">
        <v>46274</v>
      </c>
      <c r="AP598" s="1" t="s">
        <v>226</v>
      </c>
      <c r="AQ598" s="2">
        <v>46274</v>
      </c>
      <c r="AR598" s="1" t="s">
        <v>411</v>
      </c>
      <c r="AS598" s="1" t="s">
        <v>71</v>
      </c>
      <c r="AU598" s="1" t="s">
        <v>79</v>
      </c>
      <c r="AV598" s="1" t="s">
        <v>80</v>
      </c>
      <c r="AW598" s="1">
        <v>79.16</v>
      </c>
      <c r="AX598" s="1">
        <v>0</v>
      </c>
      <c r="AZ598" s="1" t="s">
        <v>81</v>
      </c>
      <c r="BA598" s="1">
        <v>1</v>
      </c>
      <c r="BB598" s="1">
        <v>0</v>
      </c>
      <c r="BC598" s="1">
        <v>0</v>
      </c>
      <c r="BE598" s="1">
        <v>27186310</v>
      </c>
    </row>
    <row r="599" spans="1:57" x14ac:dyDescent="0.25">
      <c r="A599" s="1" t="str">
        <f>T("1944467611157467280")</f>
        <v>1944467611157467280</v>
      </c>
      <c r="B599" s="1" t="str">
        <f>T("249911055333")</f>
        <v>249911055333</v>
      </c>
      <c r="C599" s="1" t="str">
        <f>T("1941094470611109080")</f>
        <v>1941094470611109080</v>
      </c>
      <c r="AC599" s="1" t="s">
        <v>104</v>
      </c>
      <c r="AD599" s="1" t="s">
        <v>151</v>
      </c>
      <c r="AE599" s="1" t="s">
        <v>392</v>
      </c>
      <c r="AF599" s="1" t="s">
        <v>107</v>
      </c>
      <c r="AG599" s="1">
        <v>22</v>
      </c>
      <c r="AO599" s="2">
        <v>46274</v>
      </c>
      <c r="AP599" s="1" t="s">
        <v>226</v>
      </c>
      <c r="AQ599" s="2">
        <v>46274</v>
      </c>
      <c r="AR599" s="1" t="s">
        <v>243</v>
      </c>
      <c r="AS599" s="1" t="s">
        <v>71</v>
      </c>
      <c r="AU599" s="1" t="s">
        <v>79</v>
      </c>
      <c r="AV599" s="1" t="s">
        <v>80</v>
      </c>
      <c r="AW599" s="1">
        <v>13.36</v>
      </c>
      <c r="AX599" s="1">
        <v>0</v>
      </c>
      <c r="AZ599" s="1" t="s">
        <v>81</v>
      </c>
      <c r="BA599" s="1">
        <v>1</v>
      </c>
      <c r="BB599" s="1">
        <v>0</v>
      </c>
      <c r="BC599" s="1">
        <v>0</v>
      </c>
      <c r="BE599" s="1">
        <v>27186310</v>
      </c>
    </row>
    <row r="600" spans="1:57" x14ac:dyDescent="0.25">
      <c r="A600" s="1" t="str">
        <f>T("1944467611211994484")</f>
        <v>1944467611211994484</v>
      </c>
      <c r="B600" s="1" t="str">
        <f>T("249114065150")</f>
        <v>249114065150</v>
      </c>
      <c r="C600" s="1" t="str">
        <f>T("1941094470611109480")</f>
        <v>1941094470611109480</v>
      </c>
      <c r="AC600" s="1" t="s">
        <v>104</v>
      </c>
      <c r="AD600" s="1" t="s">
        <v>151</v>
      </c>
      <c r="AE600" s="1" t="s">
        <v>392</v>
      </c>
      <c r="AF600" s="1" t="s">
        <v>107</v>
      </c>
      <c r="AG600" s="1">
        <v>28</v>
      </c>
      <c r="AO600" s="2">
        <v>46274</v>
      </c>
      <c r="AP600" s="1" t="s">
        <v>226</v>
      </c>
      <c r="AS600" s="1" t="s">
        <v>71</v>
      </c>
      <c r="AU600" s="1" t="s">
        <v>72</v>
      </c>
      <c r="AV600" s="1" t="s">
        <v>412</v>
      </c>
      <c r="AX600" s="1">
        <v>0</v>
      </c>
      <c r="BA600" s="1">
        <v>3</v>
      </c>
      <c r="BB600" s="1">
        <v>0</v>
      </c>
      <c r="BC600" s="1">
        <v>0</v>
      </c>
      <c r="BE600" s="1">
        <v>27186310</v>
      </c>
    </row>
    <row r="601" spans="1:57" x14ac:dyDescent="0.25">
      <c r="A601" s="1" t="str">
        <f>T("1944467611211996984")</f>
        <v>1944467611211996984</v>
      </c>
      <c r="B601" s="1" t="str">
        <f>T("249908357843")</f>
        <v>249908357843</v>
      </c>
      <c r="C601" s="1" t="str">
        <f>T("1941094470611109780")</f>
        <v>1941094470611109780</v>
      </c>
      <c r="AC601" s="1" t="s">
        <v>104</v>
      </c>
      <c r="AD601" s="1" t="s">
        <v>151</v>
      </c>
      <c r="AE601" s="1" t="s">
        <v>392</v>
      </c>
      <c r="AF601" s="1" t="s">
        <v>107</v>
      </c>
      <c r="AG601" s="1">
        <v>21</v>
      </c>
      <c r="AO601" s="2">
        <v>46274</v>
      </c>
      <c r="AP601" s="1" t="s">
        <v>226</v>
      </c>
      <c r="AQ601" s="2">
        <v>46274</v>
      </c>
      <c r="AR601" s="1" t="s">
        <v>241</v>
      </c>
      <c r="AS601" s="1" t="s">
        <v>71</v>
      </c>
      <c r="AU601" s="1" t="s">
        <v>79</v>
      </c>
      <c r="AV601" s="1" t="s">
        <v>80</v>
      </c>
      <c r="AW601" s="1">
        <v>16.920000000000002</v>
      </c>
      <c r="AX601" s="1">
        <v>0</v>
      </c>
      <c r="AZ601" s="1" t="s">
        <v>81</v>
      </c>
      <c r="BA601" s="1">
        <v>1</v>
      </c>
      <c r="BB601" s="1">
        <v>0</v>
      </c>
      <c r="BC601" s="1">
        <v>0</v>
      </c>
      <c r="BE601" s="1">
        <v>27186310</v>
      </c>
    </row>
    <row r="602" spans="1:57" x14ac:dyDescent="0.25">
      <c r="A602" s="1" t="str">
        <f>T("1944467611308463168")</f>
        <v>1944467611308463168</v>
      </c>
      <c r="B602" s="1" t="str">
        <f>T("249911377140")</f>
        <v>249911377140</v>
      </c>
      <c r="C602" s="1" t="str">
        <f>T("1941094470611110080")</f>
        <v>1941094470611110080</v>
      </c>
      <c r="AA602" s="1">
        <v>1</v>
      </c>
      <c r="AC602" s="1" t="s">
        <v>104</v>
      </c>
      <c r="AD602" s="1" t="s">
        <v>151</v>
      </c>
      <c r="AE602" s="1" t="s">
        <v>392</v>
      </c>
      <c r="AF602" s="1" t="s">
        <v>107</v>
      </c>
      <c r="AG602" s="1">
        <v>19</v>
      </c>
      <c r="AO602" s="2">
        <v>46274</v>
      </c>
      <c r="AP602" s="1" t="s">
        <v>226</v>
      </c>
      <c r="AQ602" s="2">
        <v>46274</v>
      </c>
      <c r="AR602" s="1" t="s">
        <v>413</v>
      </c>
      <c r="AS602" s="1" t="s">
        <v>71</v>
      </c>
      <c r="AU602" s="1" t="s">
        <v>79</v>
      </c>
      <c r="AV602" s="1" t="s">
        <v>80</v>
      </c>
      <c r="AW602" s="1">
        <v>59.5</v>
      </c>
      <c r="AX602" s="1">
        <v>0</v>
      </c>
      <c r="AZ602" s="1" t="s">
        <v>81</v>
      </c>
      <c r="BA602" s="1">
        <v>1</v>
      </c>
      <c r="BB602" s="1">
        <v>0</v>
      </c>
      <c r="BC602" s="1">
        <v>0</v>
      </c>
      <c r="BE602" s="1">
        <v>27186310</v>
      </c>
    </row>
    <row r="603" spans="1:57" x14ac:dyDescent="0.25">
      <c r="A603" s="1" t="str">
        <f>T("1944467611316854084")</f>
        <v>1944467611316854084</v>
      </c>
      <c r="B603" s="1" t="str">
        <f>T("249905417051")</f>
        <v>249905417051</v>
      </c>
      <c r="C603" s="1" t="str">
        <f>T("1941094470611110880")</f>
        <v>1941094470611110880</v>
      </c>
      <c r="M603" s="1" t="s">
        <v>59</v>
      </c>
      <c r="O603" s="1" t="s">
        <v>65</v>
      </c>
      <c r="P603" s="1" t="s">
        <v>61</v>
      </c>
      <c r="Q603" s="1" t="s">
        <v>101</v>
      </c>
      <c r="AA603" s="1">
        <v>1</v>
      </c>
      <c r="AC603" s="1" t="s">
        <v>104</v>
      </c>
      <c r="AD603" s="1" t="s">
        <v>151</v>
      </c>
      <c r="AE603" s="1" t="s">
        <v>392</v>
      </c>
      <c r="AF603" s="1" t="s">
        <v>107</v>
      </c>
      <c r="AG603" s="1">
        <v>25</v>
      </c>
      <c r="AO603" s="2">
        <v>46274</v>
      </c>
      <c r="AP603" s="1" t="s">
        <v>226</v>
      </c>
      <c r="AQ603" s="2">
        <v>46274</v>
      </c>
      <c r="AR603" s="1" t="s">
        <v>414</v>
      </c>
      <c r="AS603" s="1" t="s">
        <v>71</v>
      </c>
      <c r="AU603" s="1" t="s">
        <v>79</v>
      </c>
      <c r="AV603" s="1" t="s">
        <v>80</v>
      </c>
      <c r="AW603" s="1">
        <v>125.66</v>
      </c>
      <c r="AX603" s="1">
        <v>0</v>
      </c>
      <c r="AZ603" s="1" t="s">
        <v>81</v>
      </c>
      <c r="BA603" s="1">
        <v>2</v>
      </c>
      <c r="BB603" s="1">
        <v>0</v>
      </c>
      <c r="BC603" s="1">
        <v>0</v>
      </c>
      <c r="BE603" s="1">
        <v>27186310</v>
      </c>
    </row>
    <row r="604" spans="1:57" x14ac:dyDescent="0.25">
      <c r="A604" s="1" t="str">
        <f>T("1944467611484624704")</f>
        <v>1944467611484624704</v>
      </c>
      <c r="B604" s="1" t="str">
        <f>T("249908569280")</f>
        <v>249908569280</v>
      </c>
      <c r="C604" s="1" t="str">
        <f>T("1941094470611111380")</f>
        <v>1941094470611111380</v>
      </c>
      <c r="AC604" s="1" t="s">
        <v>104</v>
      </c>
      <c r="AD604" s="1" t="s">
        <v>151</v>
      </c>
      <c r="AE604" s="1" t="s">
        <v>392</v>
      </c>
      <c r="AF604" s="1" t="s">
        <v>107</v>
      </c>
      <c r="AG604" s="1">
        <v>39</v>
      </c>
      <c r="AO604" s="2">
        <v>46274</v>
      </c>
      <c r="AP604" s="1" t="s">
        <v>226</v>
      </c>
      <c r="AS604" s="1" t="s">
        <v>71</v>
      </c>
      <c r="AU604" s="1" t="s">
        <v>72</v>
      </c>
      <c r="AV604" s="1" t="s">
        <v>73</v>
      </c>
      <c r="AX604" s="1">
        <v>0</v>
      </c>
      <c r="BA604" s="1">
        <v>3</v>
      </c>
      <c r="BB604" s="1">
        <v>0</v>
      </c>
      <c r="BC604" s="1">
        <v>0</v>
      </c>
      <c r="BE604" s="1">
        <v>27186310</v>
      </c>
    </row>
    <row r="605" spans="1:57" x14ac:dyDescent="0.25">
      <c r="A605" s="1" t="str">
        <f>T("1944467611488818512")</f>
        <v>1944467611488818512</v>
      </c>
      <c r="B605" s="1" t="str">
        <f>T("249969290223")</f>
        <v>249969290223</v>
      </c>
      <c r="C605" s="1" t="str">
        <f>T("1941094470611111780")</f>
        <v>1941094470611111780</v>
      </c>
      <c r="AA605" s="1">
        <v>1</v>
      </c>
      <c r="AC605" s="1" t="s">
        <v>104</v>
      </c>
      <c r="AD605" s="1" t="s">
        <v>151</v>
      </c>
      <c r="AE605" s="1" t="s">
        <v>392</v>
      </c>
      <c r="AF605" s="1" t="s">
        <v>107</v>
      </c>
      <c r="AG605" s="1">
        <v>26</v>
      </c>
      <c r="AO605" s="2">
        <v>46274</v>
      </c>
      <c r="AP605" s="1" t="s">
        <v>226</v>
      </c>
      <c r="AQ605" s="2">
        <v>46274</v>
      </c>
      <c r="AR605" s="1" t="s">
        <v>402</v>
      </c>
      <c r="AS605" s="1" t="s">
        <v>71</v>
      </c>
      <c r="AU605" s="1" t="s">
        <v>78</v>
      </c>
      <c r="AV605" s="1" t="s">
        <v>80</v>
      </c>
      <c r="AW605" s="1">
        <v>136.13999999999999</v>
      </c>
      <c r="AX605" s="1">
        <v>0</v>
      </c>
      <c r="AZ605" s="1" t="s">
        <v>81</v>
      </c>
      <c r="BA605" s="1">
        <v>2</v>
      </c>
      <c r="BB605" s="1">
        <v>0</v>
      </c>
      <c r="BC605" s="1">
        <v>0</v>
      </c>
      <c r="BE605" s="1">
        <v>27186310</v>
      </c>
    </row>
    <row r="606" spans="1:57" x14ac:dyDescent="0.25">
      <c r="A606" s="1" t="str">
        <f>T("1944467611572705172")</f>
        <v>1944467611572705172</v>
      </c>
      <c r="B606" s="1" t="str">
        <f>T("249965584523")</f>
        <v>249965584523</v>
      </c>
      <c r="C606" s="1" t="str">
        <f>T("1941094470615302788")</f>
        <v>1941094470615302788</v>
      </c>
      <c r="AC606" s="1" t="s">
        <v>104</v>
      </c>
      <c r="AD606" s="1" t="s">
        <v>151</v>
      </c>
      <c r="AE606" s="1" t="s">
        <v>392</v>
      </c>
      <c r="AF606" s="1" t="s">
        <v>107</v>
      </c>
      <c r="AG606" s="1">
        <v>27</v>
      </c>
      <c r="AO606" s="2">
        <v>46274</v>
      </c>
      <c r="AP606" s="1" t="s">
        <v>226</v>
      </c>
      <c r="AQ606" s="2">
        <v>46274</v>
      </c>
      <c r="AR606" s="1" t="s">
        <v>415</v>
      </c>
      <c r="AS606" s="1" t="s">
        <v>71</v>
      </c>
      <c r="AU606" s="1" t="s">
        <v>79</v>
      </c>
      <c r="AV606" s="1" t="s">
        <v>80</v>
      </c>
      <c r="AW606" s="1">
        <v>15.3</v>
      </c>
      <c r="AX606" s="1">
        <v>0</v>
      </c>
      <c r="AZ606" s="1" t="s">
        <v>81</v>
      </c>
      <c r="BA606" s="1">
        <v>2</v>
      </c>
      <c r="BB606" s="1">
        <v>0</v>
      </c>
      <c r="BC606" s="1">
        <v>0</v>
      </c>
      <c r="BE606" s="1">
        <v>27186310</v>
      </c>
    </row>
    <row r="607" spans="1:57" x14ac:dyDescent="0.25">
      <c r="A607" s="1" t="str">
        <f>T("1944467611572706772")</f>
        <v>1944467611572706772</v>
      </c>
      <c r="B607" s="1" t="str">
        <f>T("249920242339")</f>
        <v>249920242339</v>
      </c>
      <c r="C607" s="1" t="str">
        <f>T("1941094470615302388")</f>
        <v>1941094470615302388</v>
      </c>
      <c r="M607" s="1" t="s">
        <v>59</v>
      </c>
      <c r="O607" s="1" t="s">
        <v>65</v>
      </c>
      <c r="P607" s="1" t="s">
        <v>91</v>
      </c>
      <c r="Q607" s="1" t="s">
        <v>112</v>
      </c>
      <c r="R607" s="1" t="s">
        <v>93</v>
      </c>
      <c r="T607" s="1" t="s">
        <v>119</v>
      </c>
      <c r="U607" s="1" t="s">
        <v>60</v>
      </c>
      <c r="V607" s="1" t="s">
        <v>102</v>
      </c>
      <c r="W607" s="1" t="s">
        <v>67</v>
      </c>
      <c r="X607" s="1" t="s">
        <v>102</v>
      </c>
      <c r="Y607" s="1" t="s">
        <v>85</v>
      </c>
      <c r="AA607" s="1">
        <v>1</v>
      </c>
      <c r="AB607" s="1">
        <v>1</v>
      </c>
      <c r="AC607" s="1" t="s">
        <v>104</v>
      </c>
      <c r="AD607" s="1" t="s">
        <v>151</v>
      </c>
      <c r="AE607" s="1" t="s">
        <v>392</v>
      </c>
      <c r="AF607" s="1" t="s">
        <v>107</v>
      </c>
      <c r="AG607" s="1">
        <v>34</v>
      </c>
      <c r="AO607" s="2">
        <v>46274</v>
      </c>
      <c r="AP607" s="1" t="s">
        <v>226</v>
      </c>
      <c r="AQ607" s="2">
        <v>46274</v>
      </c>
      <c r="AR607" s="1" t="s">
        <v>416</v>
      </c>
      <c r="AS607" s="1" t="s">
        <v>71</v>
      </c>
      <c r="AU607" s="1" t="s">
        <v>78</v>
      </c>
      <c r="AV607" s="1" t="s">
        <v>80</v>
      </c>
      <c r="AW607" s="1">
        <v>208.8</v>
      </c>
      <c r="AX607" s="1">
        <v>0</v>
      </c>
      <c r="AZ607" s="1" t="s">
        <v>81</v>
      </c>
      <c r="BA607" s="1">
        <v>1</v>
      </c>
      <c r="BB607" s="1">
        <v>0</v>
      </c>
      <c r="BC607" s="1">
        <v>0</v>
      </c>
      <c r="BE607" s="1">
        <v>27186310</v>
      </c>
    </row>
    <row r="608" spans="1:57" x14ac:dyDescent="0.25">
      <c r="A608" s="1" t="str">
        <f>T("1944467611669173056")</f>
        <v>1944467611669173056</v>
      </c>
      <c r="B608" s="1" t="str">
        <f>T("249998292350")</f>
        <v>249998292350</v>
      </c>
      <c r="C608" s="1" t="str">
        <f>T("1941094470615303188")</f>
        <v>1941094470615303188</v>
      </c>
      <c r="AC608" s="1" t="s">
        <v>104</v>
      </c>
      <c r="AD608" s="1" t="s">
        <v>151</v>
      </c>
      <c r="AE608" s="1" t="s">
        <v>392</v>
      </c>
      <c r="AF608" s="1" t="s">
        <v>107</v>
      </c>
      <c r="AG608" s="1">
        <v>28</v>
      </c>
      <c r="AO608" s="2">
        <v>46274</v>
      </c>
      <c r="AP608" s="1" t="s">
        <v>226</v>
      </c>
      <c r="AS608" s="1" t="s">
        <v>71</v>
      </c>
      <c r="AU608" s="1" t="s">
        <v>72</v>
      </c>
      <c r="AV608" s="1" t="s">
        <v>131</v>
      </c>
      <c r="AX608" s="1">
        <v>0</v>
      </c>
      <c r="BA608" s="1">
        <v>3</v>
      </c>
      <c r="BB608" s="1">
        <v>0</v>
      </c>
      <c r="BC608" s="1">
        <v>0</v>
      </c>
      <c r="BE608" s="1">
        <v>27186310</v>
      </c>
    </row>
    <row r="609" spans="1:57" x14ac:dyDescent="0.25">
      <c r="A609" s="1" t="str">
        <f>T("1944467611677562372")</f>
        <v>1944467611677562372</v>
      </c>
      <c r="B609" s="1" t="str">
        <f>T("249921037242")</f>
        <v>249921037242</v>
      </c>
      <c r="C609" s="1" t="str">
        <f>T("1941094470615303688")</f>
        <v>1941094470615303688</v>
      </c>
      <c r="AA609" s="1">
        <v>1</v>
      </c>
      <c r="AC609" s="1" t="s">
        <v>104</v>
      </c>
      <c r="AD609" s="1" t="s">
        <v>105</v>
      </c>
      <c r="AE609" s="1" t="s">
        <v>401</v>
      </c>
      <c r="AF609" s="1" t="s">
        <v>107</v>
      </c>
      <c r="AG609" s="1">
        <v>20</v>
      </c>
      <c r="AO609" s="2">
        <v>46274</v>
      </c>
      <c r="AP609" s="1" t="s">
        <v>226</v>
      </c>
      <c r="AQ609" s="2">
        <v>46274</v>
      </c>
      <c r="AR609" s="1" t="s">
        <v>417</v>
      </c>
      <c r="AS609" s="1" t="s">
        <v>71</v>
      </c>
      <c r="AU609" s="1" t="s">
        <v>79</v>
      </c>
      <c r="AV609" s="1" t="s">
        <v>80</v>
      </c>
      <c r="AW609" s="1">
        <v>55.56</v>
      </c>
      <c r="AX609" s="1">
        <v>0</v>
      </c>
      <c r="AZ609" s="1" t="s">
        <v>81</v>
      </c>
      <c r="BA609" s="1">
        <v>2</v>
      </c>
      <c r="BB609" s="1">
        <v>0</v>
      </c>
      <c r="BC609" s="1">
        <v>0</v>
      </c>
      <c r="BE609" s="1">
        <v>27186310</v>
      </c>
    </row>
    <row r="610" spans="1:57" x14ac:dyDescent="0.25">
      <c r="A610" s="1" t="str">
        <f>T("1944467611916638428")</f>
        <v>1944467611916638428</v>
      </c>
      <c r="B610" s="1" t="str">
        <f>T("249920421690")</f>
        <v>249920421690</v>
      </c>
      <c r="C610" s="1" t="str">
        <f>T("1941094470615304088")</f>
        <v>1941094470615304088</v>
      </c>
      <c r="AC610" s="1" t="s">
        <v>104</v>
      </c>
      <c r="AD610" s="1" t="s">
        <v>105</v>
      </c>
      <c r="AE610" s="1" t="s">
        <v>401</v>
      </c>
      <c r="AF610" s="1" t="s">
        <v>107</v>
      </c>
      <c r="AG610" s="1">
        <v>22</v>
      </c>
      <c r="AO610" s="2">
        <v>46274</v>
      </c>
      <c r="AP610" s="1" t="s">
        <v>226</v>
      </c>
      <c r="AS610" s="1" t="s">
        <v>71</v>
      </c>
      <c r="AU610" s="1" t="s">
        <v>72</v>
      </c>
      <c r="AV610" s="1" t="s">
        <v>73</v>
      </c>
      <c r="AX610" s="1">
        <v>0</v>
      </c>
      <c r="BA610" s="1">
        <v>3</v>
      </c>
      <c r="BB610" s="1">
        <v>0</v>
      </c>
      <c r="BC610" s="1">
        <v>0</v>
      </c>
      <c r="BE610" s="1">
        <v>27186310</v>
      </c>
    </row>
    <row r="611" spans="1:57" x14ac:dyDescent="0.25">
      <c r="A611" s="1" t="str">
        <f>T("1944467611920831136")</f>
        <v>1944467611920831136</v>
      </c>
      <c r="B611" s="1" t="str">
        <f>T("249927814650")</f>
        <v>249927814650</v>
      </c>
      <c r="C611" s="1" t="str">
        <f>T("1941094470615304388")</f>
        <v>1941094470615304388</v>
      </c>
      <c r="AC611" s="1" t="s">
        <v>104</v>
      </c>
      <c r="AD611" s="1" t="s">
        <v>105</v>
      </c>
      <c r="AE611" s="1" t="s">
        <v>401</v>
      </c>
      <c r="AF611" s="1" t="s">
        <v>107</v>
      </c>
      <c r="AG611" s="1">
        <v>24</v>
      </c>
      <c r="AO611" s="2">
        <v>46274</v>
      </c>
      <c r="AP611" s="1" t="s">
        <v>226</v>
      </c>
      <c r="AS611" s="1" t="s">
        <v>71</v>
      </c>
      <c r="AU611" s="1" t="s">
        <v>72</v>
      </c>
      <c r="AV611" s="1" t="s">
        <v>73</v>
      </c>
      <c r="AX611" s="1">
        <v>0</v>
      </c>
      <c r="BA611" s="1">
        <v>3</v>
      </c>
      <c r="BB611" s="1">
        <v>0</v>
      </c>
      <c r="BC611" s="1">
        <v>0</v>
      </c>
      <c r="BE611" s="1">
        <v>27186310</v>
      </c>
    </row>
    <row r="612" spans="1:57" x14ac:dyDescent="0.25">
      <c r="A612" s="1" t="str">
        <f>T("1944467612004719796")</f>
        <v>1944467612004719796</v>
      </c>
      <c r="B612" s="1" t="str">
        <f>T("249929625095")</f>
        <v>249929625095</v>
      </c>
      <c r="C612" s="1" t="str">
        <f>T("1941094470615304788")</f>
        <v>1941094470615304788</v>
      </c>
      <c r="M612" s="1" t="s">
        <v>59</v>
      </c>
      <c r="O612" s="1" t="s">
        <v>65</v>
      </c>
      <c r="P612" s="1" t="s">
        <v>61</v>
      </c>
      <c r="Q612" s="1" t="s">
        <v>101</v>
      </c>
      <c r="R612" s="1" t="s">
        <v>93</v>
      </c>
      <c r="T612" s="1" t="s">
        <v>119</v>
      </c>
      <c r="U612" s="1" t="s">
        <v>65</v>
      </c>
      <c r="V612" s="1" t="s">
        <v>103</v>
      </c>
      <c r="W612" s="1" t="s">
        <v>60</v>
      </c>
      <c r="X612" s="1" t="s">
        <v>103</v>
      </c>
      <c r="Y612" s="1" t="s">
        <v>160</v>
      </c>
      <c r="AA612" s="1">
        <v>1</v>
      </c>
      <c r="AB612" s="1">
        <v>1</v>
      </c>
      <c r="AC612" s="1" t="s">
        <v>104</v>
      </c>
      <c r="AD612" s="1" t="s">
        <v>105</v>
      </c>
      <c r="AE612" s="1" t="s">
        <v>401</v>
      </c>
      <c r="AF612" s="1" t="s">
        <v>107</v>
      </c>
      <c r="AG612" s="1">
        <v>36</v>
      </c>
      <c r="AO612" s="2">
        <v>46274</v>
      </c>
      <c r="AP612" s="1" t="s">
        <v>226</v>
      </c>
      <c r="AQ612" s="2">
        <v>46274</v>
      </c>
      <c r="AR612" s="1" t="s">
        <v>242</v>
      </c>
      <c r="AS612" s="1" t="s">
        <v>71</v>
      </c>
      <c r="AU612" s="1" t="s">
        <v>78</v>
      </c>
      <c r="AV612" s="1" t="s">
        <v>80</v>
      </c>
      <c r="AW612" s="1">
        <v>223.48</v>
      </c>
      <c r="AX612" s="1">
        <v>0</v>
      </c>
      <c r="AZ612" s="1" t="s">
        <v>81</v>
      </c>
      <c r="BA612" s="1">
        <v>1</v>
      </c>
      <c r="BB612" s="1">
        <v>0</v>
      </c>
      <c r="BC612" s="1">
        <v>0</v>
      </c>
      <c r="BE612" s="1">
        <v>27186310</v>
      </c>
    </row>
    <row r="613" spans="1:57" x14ac:dyDescent="0.25">
      <c r="A613" s="1" t="str">
        <f>T("1944467612017302220")</f>
        <v>1944467612017302220</v>
      </c>
      <c r="B613" s="1" t="str">
        <f>T("249927731854")</f>
        <v>249927731854</v>
      </c>
      <c r="C613" s="1" t="str">
        <f>T("1941094470615305188")</f>
        <v>1941094470615305188</v>
      </c>
      <c r="AC613" s="1" t="s">
        <v>104</v>
      </c>
      <c r="AD613" s="1" t="s">
        <v>105</v>
      </c>
      <c r="AE613" s="1" t="s">
        <v>401</v>
      </c>
      <c r="AF613" s="1" t="s">
        <v>107</v>
      </c>
      <c r="AG613" s="1">
        <v>30</v>
      </c>
      <c r="AO613" s="2">
        <v>46274</v>
      </c>
      <c r="AP613" s="1" t="s">
        <v>226</v>
      </c>
      <c r="AQ613" s="2">
        <v>46274</v>
      </c>
      <c r="AR613" s="1" t="s">
        <v>418</v>
      </c>
      <c r="AS613" s="1" t="s">
        <v>71</v>
      </c>
      <c r="AU613" s="1" t="s">
        <v>79</v>
      </c>
      <c r="AV613" s="1" t="s">
        <v>80</v>
      </c>
      <c r="AW613" s="1">
        <v>37.44</v>
      </c>
      <c r="AX613" s="1">
        <v>0</v>
      </c>
      <c r="AZ613" s="1" t="s">
        <v>81</v>
      </c>
      <c r="BA613" s="1">
        <v>1</v>
      </c>
      <c r="BB613" s="1">
        <v>0</v>
      </c>
      <c r="BC613" s="1">
        <v>0</v>
      </c>
      <c r="BE613" s="1">
        <v>27186310</v>
      </c>
    </row>
    <row r="614" spans="1:57" x14ac:dyDescent="0.25">
      <c r="A614" s="1" t="str">
        <f>T("1944467612092798664")</f>
        <v>1944467612092798664</v>
      </c>
      <c r="B614" s="1" t="str">
        <f>T("249915403623")</f>
        <v>249915403623</v>
      </c>
      <c r="C614" s="1" t="str">
        <f>T("1941094470615305688")</f>
        <v>1941094470615305688</v>
      </c>
      <c r="M614" s="1" t="s">
        <v>59</v>
      </c>
      <c r="O614" s="1" t="s">
        <v>65</v>
      </c>
      <c r="P614" s="1" t="s">
        <v>61</v>
      </c>
      <c r="Q614" s="1" t="s">
        <v>101</v>
      </c>
      <c r="R614" s="1" t="s">
        <v>84</v>
      </c>
      <c r="S614" s="1" t="s">
        <v>61</v>
      </c>
      <c r="U614" s="1" t="s">
        <v>65</v>
      </c>
      <c r="V614" s="1" t="s">
        <v>102</v>
      </c>
      <c r="W614" s="1" t="s">
        <v>60</v>
      </c>
      <c r="X614" s="1" t="s">
        <v>66</v>
      </c>
      <c r="Y614" s="1" t="s">
        <v>69</v>
      </c>
      <c r="AA614" s="1">
        <v>1</v>
      </c>
      <c r="AB614" s="1">
        <v>1</v>
      </c>
      <c r="AC614" s="1" t="s">
        <v>104</v>
      </c>
      <c r="AD614" s="1" t="s">
        <v>105</v>
      </c>
      <c r="AE614" s="1" t="s">
        <v>401</v>
      </c>
      <c r="AF614" s="1" t="s">
        <v>107</v>
      </c>
      <c r="AG614" s="1">
        <v>29</v>
      </c>
      <c r="AO614" s="2">
        <v>46274</v>
      </c>
      <c r="AP614" s="1" t="s">
        <v>226</v>
      </c>
      <c r="AQ614" s="2">
        <v>46274</v>
      </c>
      <c r="AR614" s="1" t="s">
        <v>419</v>
      </c>
      <c r="AS614" s="1" t="s">
        <v>71</v>
      </c>
      <c r="AU614" s="1" t="s">
        <v>78</v>
      </c>
      <c r="AV614" s="1" t="s">
        <v>80</v>
      </c>
      <c r="AW614" s="1">
        <v>264.64</v>
      </c>
      <c r="AX614" s="1">
        <v>0</v>
      </c>
      <c r="AZ614" s="1" t="s">
        <v>81</v>
      </c>
      <c r="BA614" s="1">
        <v>1</v>
      </c>
      <c r="BB614" s="1">
        <v>0</v>
      </c>
      <c r="BC614" s="1">
        <v>0</v>
      </c>
      <c r="BE614" s="1">
        <v>27186310</v>
      </c>
    </row>
    <row r="615" spans="1:57" x14ac:dyDescent="0.25">
      <c r="A615" s="1" t="str">
        <f>T("1944467612105381088")</f>
        <v>1944467612105381088</v>
      </c>
      <c r="B615" s="1" t="str">
        <f>T("249923214247")</f>
        <v>249923214247</v>
      </c>
      <c r="C615" s="1" t="str">
        <f>T("1941094470615306188")</f>
        <v>1941094470615306188</v>
      </c>
      <c r="AC615" s="1" t="s">
        <v>104</v>
      </c>
      <c r="AD615" s="1" t="s">
        <v>105</v>
      </c>
      <c r="AE615" s="1" t="s">
        <v>401</v>
      </c>
      <c r="AF615" s="1" t="s">
        <v>107</v>
      </c>
      <c r="AG615" s="1">
        <v>26</v>
      </c>
      <c r="AO615" s="2">
        <v>46274</v>
      </c>
      <c r="AP615" s="1" t="s">
        <v>226</v>
      </c>
      <c r="AQ615" s="2">
        <v>46274</v>
      </c>
      <c r="AR615" s="1" t="s">
        <v>420</v>
      </c>
      <c r="AS615" s="1" t="s">
        <v>71</v>
      </c>
      <c r="AU615" s="1" t="s">
        <v>79</v>
      </c>
      <c r="AV615" s="1" t="s">
        <v>80</v>
      </c>
      <c r="AW615" s="1">
        <v>34.54</v>
      </c>
      <c r="AX615" s="1">
        <v>0</v>
      </c>
      <c r="AZ615" s="1" t="s">
        <v>81</v>
      </c>
      <c r="BA615" s="1">
        <v>1</v>
      </c>
      <c r="BB615" s="1">
        <v>0</v>
      </c>
      <c r="BC615" s="1">
        <v>0</v>
      </c>
      <c r="BE615" s="1">
        <v>27186310</v>
      </c>
    </row>
    <row r="616" spans="1:57" x14ac:dyDescent="0.25">
      <c r="A616" s="1" t="str">
        <f>T("1944467612147323768")</f>
        <v>1944467612147323768</v>
      </c>
      <c r="B616" s="1" t="str">
        <f>T("249926292779")</f>
        <v>249926292779</v>
      </c>
      <c r="C616" s="1" t="str">
        <f>T("1941094470619496796")</f>
        <v>1941094470619496796</v>
      </c>
      <c r="AC616" s="1" t="s">
        <v>104</v>
      </c>
      <c r="AD616" s="1" t="s">
        <v>105</v>
      </c>
      <c r="AE616" s="1" t="s">
        <v>401</v>
      </c>
      <c r="AF616" s="1" t="s">
        <v>107</v>
      </c>
      <c r="AG616" s="1">
        <v>48</v>
      </c>
      <c r="AO616" s="2">
        <v>46274</v>
      </c>
      <c r="AP616" s="1" t="s">
        <v>226</v>
      </c>
      <c r="AS616" s="1" t="s">
        <v>71</v>
      </c>
      <c r="AU616" s="1" t="s">
        <v>72</v>
      </c>
      <c r="AV616" s="1" t="s">
        <v>73</v>
      </c>
      <c r="AX616" s="1">
        <v>0</v>
      </c>
      <c r="BA616" s="1">
        <v>3</v>
      </c>
      <c r="BB616" s="1">
        <v>0</v>
      </c>
      <c r="BC616" s="1">
        <v>0</v>
      </c>
      <c r="BE616" s="1">
        <v>27186310</v>
      </c>
    </row>
    <row r="617" spans="1:57" x14ac:dyDescent="0.25">
      <c r="A617" s="1" t="str">
        <f>T("1944467612159909592")</f>
        <v>1944467612159909592</v>
      </c>
      <c r="B617" s="1" t="str">
        <f>T("249902433147")</f>
        <v>249902433147</v>
      </c>
      <c r="C617" s="1" t="str">
        <f>T("1941094470619497196")</f>
        <v>1941094470619497196</v>
      </c>
      <c r="AC617" s="1" t="s">
        <v>104</v>
      </c>
      <c r="AD617" s="1" t="s">
        <v>105</v>
      </c>
      <c r="AE617" s="1" t="s">
        <v>401</v>
      </c>
      <c r="AF617" s="1" t="s">
        <v>107</v>
      </c>
      <c r="AG617" s="1">
        <v>28</v>
      </c>
      <c r="AO617" s="2">
        <v>46274</v>
      </c>
      <c r="AP617" s="1" t="s">
        <v>226</v>
      </c>
      <c r="AS617" s="1" t="s">
        <v>71</v>
      </c>
      <c r="AU617" s="1" t="s">
        <v>72</v>
      </c>
      <c r="AV617" s="1" t="s">
        <v>131</v>
      </c>
      <c r="AX617" s="1">
        <v>0</v>
      </c>
      <c r="BA617" s="1">
        <v>3</v>
      </c>
      <c r="BB617" s="1">
        <v>0</v>
      </c>
      <c r="BC617" s="1">
        <v>0</v>
      </c>
      <c r="BE617" s="1">
        <v>27186310</v>
      </c>
    </row>
    <row r="618" spans="1:57" x14ac:dyDescent="0.25">
      <c r="A618" s="1" t="str">
        <f>T("1944467612206046280")</f>
        <v>1944467612206046280</v>
      </c>
      <c r="B618" s="1" t="str">
        <f>T("249999663037")</f>
        <v>249999663037</v>
      </c>
      <c r="C618" s="1" t="str">
        <f>T("1941094470619497596")</f>
        <v>1941094470619497596</v>
      </c>
      <c r="AC618" s="1" t="s">
        <v>104</v>
      </c>
      <c r="AD618" s="1" t="s">
        <v>105</v>
      </c>
      <c r="AE618" s="1" t="s">
        <v>401</v>
      </c>
      <c r="AF618" s="1" t="s">
        <v>107</v>
      </c>
      <c r="AG618" s="1">
        <v>19</v>
      </c>
      <c r="AO618" s="2">
        <v>46274</v>
      </c>
      <c r="AP618" s="1" t="s">
        <v>226</v>
      </c>
      <c r="AS618" s="1" t="s">
        <v>71</v>
      </c>
      <c r="AU618" s="1" t="s">
        <v>72</v>
      </c>
      <c r="AV618" s="1" t="s">
        <v>131</v>
      </c>
      <c r="AX618" s="1">
        <v>0</v>
      </c>
      <c r="BA618" s="1">
        <v>3</v>
      </c>
      <c r="BB618" s="1">
        <v>0</v>
      </c>
      <c r="BC618" s="1">
        <v>0</v>
      </c>
      <c r="BE618" s="1">
        <v>27186310</v>
      </c>
    </row>
    <row r="619" spans="1:57" x14ac:dyDescent="0.25">
      <c r="A619" s="1" t="str">
        <f>T("1944467612218629104")</f>
        <v>1944467612218629104</v>
      </c>
      <c r="B619" s="1" t="str">
        <f>T("249113909281")</f>
        <v>249113909281</v>
      </c>
      <c r="C619" s="1" t="str">
        <f>T("1941094470619497996")</f>
        <v>1941094470619497996</v>
      </c>
      <c r="AA619" s="1">
        <v>1</v>
      </c>
      <c r="AC619" s="1" t="s">
        <v>104</v>
      </c>
      <c r="AD619" s="1" t="s">
        <v>105</v>
      </c>
      <c r="AE619" s="1" t="s">
        <v>401</v>
      </c>
      <c r="AF619" s="1" t="s">
        <v>107</v>
      </c>
      <c r="AG619" s="1">
        <v>20</v>
      </c>
      <c r="AO619" s="2">
        <v>46274</v>
      </c>
      <c r="AP619" s="1" t="s">
        <v>226</v>
      </c>
      <c r="AQ619" s="2">
        <v>46274</v>
      </c>
      <c r="AR619" s="1" t="s">
        <v>421</v>
      </c>
      <c r="AS619" s="1" t="s">
        <v>71</v>
      </c>
      <c r="AU619" s="1" t="s">
        <v>79</v>
      </c>
      <c r="AV619" s="1" t="s">
        <v>126</v>
      </c>
      <c r="AW619" s="1">
        <v>46.6</v>
      </c>
      <c r="AX619" s="1">
        <v>0</v>
      </c>
      <c r="AZ619" s="1" t="s">
        <v>81</v>
      </c>
      <c r="BA619" s="1">
        <v>1</v>
      </c>
      <c r="BB619" s="1">
        <v>0</v>
      </c>
      <c r="BC619" s="1">
        <v>0</v>
      </c>
      <c r="BE619" s="1">
        <v>27186310</v>
      </c>
    </row>
    <row r="620" spans="1:57" x14ac:dyDescent="0.25">
      <c r="A620" s="1" t="str">
        <f>T("1944467612277348616")</f>
        <v>1944467612277348616</v>
      </c>
      <c r="B620" s="1" t="str">
        <f>T("249912762287")</f>
        <v>249912762287</v>
      </c>
      <c r="C620" s="1" t="str">
        <f>T("1941094470619498396")</f>
        <v>1941094470619498396</v>
      </c>
      <c r="M620" s="1" t="s">
        <v>59</v>
      </c>
      <c r="O620" s="1" t="s">
        <v>65</v>
      </c>
      <c r="P620" s="1" t="s">
        <v>83</v>
      </c>
      <c r="Q620" s="1" t="s">
        <v>112</v>
      </c>
      <c r="R620" s="1" t="s">
        <v>63</v>
      </c>
      <c r="S620" s="1" t="s">
        <v>61</v>
      </c>
      <c r="U620" s="1" t="s">
        <v>65</v>
      </c>
      <c r="V620" s="1" t="s">
        <v>66</v>
      </c>
      <c r="W620" s="1" t="s">
        <v>60</v>
      </c>
      <c r="X620" s="1" t="s">
        <v>103</v>
      </c>
      <c r="Y620" s="1" t="s">
        <v>69</v>
      </c>
      <c r="AA620" s="1">
        <v>1</v>
      </c>
      <c r="AB620" s="1">
        <v>1</v>
      </c>
      <c r="AC620" s="1" t="s">
        <v>104</v>
      </c>
      <c r="AD620" s="1" t="s">
        <v>105</v>
      </c>
      <c r="AE620" s="1" t="s">
        <v>401</v>
      </c>
      <c r="AF620" s="1" t="s">
        <v>107</v>
      </c>
      <c r="AG620" s="1">
        <v>36</v>
      </c>
      <c r="AO620" s="2">
        <v>46274</v>
      </c>
      <c r="AP620" s="1" t="s">
        <v>226</v>
      </c>
      <c r="AQ620" s="2">
        <v>46274</v>
      </c>
      <c r="AR620" s="1" t="s">
        <v>422</v>
      </c>
      <c r="AS620" s="1" t="s">
        <v>71</v>
      </c>
      <c r="AU620" s="1" t="s">
        <v>78</v>
      </c>
      <c r="AV620" s="1" t="s">
        <v>80</v>
      </c>
      <c r="AW620" s="1">
        <v>245.38</v>
      </c>
      <c r="AX620" s="1">
        <v>0</v>
      </c>
      <c r="AZ620" s="1" t="s">
        <v>81</v>
      </c>
      <c r="BA620" s="1">
        <v>2</v>
      </c>
      <c r="BB620" s="1">
        <v>0</v>
      </c>
      <c r="BC620" s="1">
        <v>0</v>
      </c>
      <c r="BE620" s="1">
        <v>27186310</v>
      </c>
    </row>
    <row r="621" spans="1:57" x14ac:dyDescent="0.25">
      <c r="A621" s="1" t="str">
        <f>T("1944467612289931640")</f>
        <v>1944467612289931640</v>
      </c>
      <c r="B621" s="1" t="str">
        <f>T("249922782005")</f>
        <v>249922782005</v>
      </c>
      <c r="C621" s="1" t="str">
        <f>T("1941094470619498896")</f>
        <v>1941094470619498896</v>
      </c>
      <c r="AA621" s="1">
        <v>1</v>
      </c>
      <c r="AC621" s="1" t="s">
        <v>104</v>
      </c>
      <c r="AD621" s="1" t="s">
        <v>105</v>
      </c>
      <c r="AE621" s="1" t="s">
        <v>401</v>
      </c>
      <c r="AF621" s="1" t="s">
        <v>107</v>
      </c>
      <c r="AG621" s="1">
        <v>22</v>
      </c>
      <c r="AO621" s="2">
        <v>46274</v>
      </c>
      <c r="AP621" s="1" t="s">
        <v>226</v>
      </c>
      <c r="AQ621" s="2">
        <v>46274</v>
      </c>
      <c r="AR621" s="1" t="s">
        <v>423</v>
      </c>
      <c r="AS621" s="1" t="s">
        <v>71</v>
      </c>
      <c r="AU621" s="1" t="s">
        <v>78</v>
      </c>
      <c r="AV621" s="1" t="s">
        <v>80</v>
      </c>
      <c r="AW621" s="1">
        <v>135.221</v>
      </c>
      <c r="AX621" s="1">
        <v>0</v>
      </c>
      <c r="AZ621" s="1" t="s">
        <v>81</v>
      </c>
      <c r="BA621" s="1">
        <v>1</v>
      </c>
      <c r="BB621" s="1">
        <v>0</v>
      </c>
      <c r="BC621" s="1">
        <v>0</v>
      </c>
      <c r="BE621" s="1">
        <v>27186310</v>
      </c>
    </row>
    <row r="622" spans="1:57" x14ac:dyDescent="0.25">
      <c r="A622" s="1" t="str">
        <f>T("1944467612466092376")</f>
        <v>1944467612466092376</v>
      </c>
      <c r="B622" s="1" t="str">
        <f>T("249922376188")</f>
        <v>249922376188</v>
      </c>
      <c r="C622" s="1" t="str">
        <f>T("1941094470619499296")</f>
        <v>1941094470619499296</v>
      </c>
      <c r="M622" s="1" t="s">
        <v>59</v>
      </c>
      <c r="O622" s="1" t="s">
        <v>65</v>
      </c>
      <c r="P622" s="1" t="s">
        <v>61</v>
      </c>
      <c r="Q622" s="1" t="s">
        <v>101</v>
      </c>
      <c r="R622" s="1" t="s">
        <v>84</v>
      </c>
      <c r="S622" s="1" t="s">
        <v>61</v>
      </c>
      <c r="U622" s="1" t="s">
        <v>65</v>
      </c>
      <c r="V622" s="1" t="s">
        <v>66</v>
      </c>
      <c r="W622" s="1" t="s">
        <v>60</v>
      </c>
      <c r="X622" s="1" t="s">
        <v>103</v>
      </c>
      <c r="Y622" s="1" t="s">
        <v>160</v>
      </c>
      <c r="AA622" s="1">
        <v>1</v>
      </c>
      <c r="AB622" s="1">
        <v>1</v>
      </c>
      <c r="AC622" s="1" t="s">
        <v>104</v>
      </c>
      <c r="AD622" s="1" t="s">
        <v>105</v>
      </c>
      <c r="AE622" s="1" t="s">
        <v>401</v>
      </c>
      <c r="AF622" s="1" t="s">
        <v>107</v>
      </c>
      <c r="AG622" s="1">
        <v>25</v>
      </c>
      <c r="AO622" s="2">
        <v>46274</v>
      </c>
      <c r="AP622" s="1" t="s">
        <v>226</v>
      </c>
      <c r="AQ622" s="2">
        <v>46274</v>
      </c>
      <c r="AR622" s="1" t="s">
        <v>417</v>
      </c>
      <c r="AS622" s="1" t="s">
        <v>71</v>
      </c>
      <c r="AU622" s="1" t="s">
        <v>78</v>
      </c>
      <c r="AV622" s="1" t="s">
        <v>80</v>
      </c>
      <c r="AW622" s="1">
        <v>234.8</v>
      </c>
      <c r="AX622" s="1">
        <v>0</v>
      </c>
      <c r="AZ622" s="1" t="s">
        <v>81</v>
      </c>
      <c r="BA622" s="1">
        <v>1</v>
      </c>
      <c r="BB622" s="1">
        <v>0</v>
      </c>
      <c r="BC622" s="1">
        <v>0</v>
      </c>
      <c r="BE622" s="1">
        <v>27186310</v>
      </c>
    </row>
    <row r="623" spans="1:57" x14ac:dyDescent="0.25">
      <c r="A623" s="1" t="str">
        <f>T("1944467612491256024")</f>
        <v>1944467612491256024</v>
      </c>
      <c r="B623" s="1" t="str">
        <f>T("249927381310")</f>
        <v>249927381310</v>
      </c>
      <c r="C623" s="1" t="str">
        <f>T("1941094470619499796")</f>
        <v>1941094470619499796</v>
      </c>
      <c r="AC623" s="1" t="s">
        <v>104</v>
      </c>
      <c r="AD623" s="1" t="s">
        <v>105</v>
      </c>
      <c r="AE623" s="1" t="s">
        <v>401</v>
      </c>
      <c r="AF623" s="1" t="s">
        <v>107</v>
      </c>
      <c r="AG623" s="1">
        <v>53</v>
      </c>
      <c r="AO623" s="2">
        <v>46274</v>
      </c>
      <c r="AP623" s="1" t="s">
        <v>226</v>
      </c>
      <c r="AS623" s="1" t="s">
        <v>71</v>
      </c>
      <c r="AU623" s="1" t="s">
        <v>72</v>
      </c>
      <c r="AV623" s="1" t="s">
        <v>73</v>
      </c>
      <c r="AX623" s="1">
        <v>0</v>
      </c>
      <c r="BA623" s="1">
        <v>3</v>
      </c>
      <c r="BB623" s="1">
        <v>0</v>
      </c>
      <c r="BC623" s="1">
        <v>0</v>
      </c>
      <c r="BE623" s="1">
        <v>27186310</v>
      </c>
    </row>
    <row r="624" spans="1:57" x14ac:dyDescent="0.25">
      <c r="A624" s="1" t="str">
        <f>T("1944467612667417560")</f>
        <v>1944467612667417560</v>
      </c>
      <c r="B624" s="1" t="str">
        <f>T("249965008302")</f>
        <v>249965008302</v>
      </c>
      <c r="C624" s="1" t="str">
        <f>T("1941094470619500096")</f>
        <v>1941094470619500096</v>
      </c>
      <c r="AC624" s="1" t="s">
        <v>104</v>
      </c>
      <c r="AD624" s="1" t="s">
        <v>105</v>
      </c>
      <c r="AE624" s="1" t="s">
        <v>401</v>
      </c>
      <c r="AF624" s="1" t="s">
        <v>107</v>
      </c>
      <c r="AG624" s="1">
        <v>49</v>
      </c>
      <c r="AO624" s="2">
        <v>46274</v>
      </c>
      <c r="AP624" s="1" t="s">
        <v>226</v>
      </c>
      <c r="AS624" s="1" t="s">
        <v>71</v>
      </c>
      <c r="AU624" s="1" t="s">
        <v>72</v>
      </c>
      <c r="AV624" s="1" t="s">
        <v>115</v>
      </c>
      <c r="AX624" s="1">
        <v>0</v>
      </c>
      <c r="BA624" s="1">
        <v>3</v>
      </c>
      <c r="BB624" s="1">
        <v>0</v>
      </c>
      <c r="BC624" s="1">
        <v>0</v>
      </c>
      <c r="BE624" s="1">
        <v>27186310</v>
      </c>
    </row>
    <row r="625" spans="1:57" x14ac:dyDescent="0.25">
      <c r="A625" s="1" t="str">
        <f>T("1944467612793245800")</f>
        <v>1944467612793245800</v>
      </c>
      <c r="B625" s="1" t="str">
        <f>T("249912276541")</f>
        <v>249912276541</v>
      </c>
      <c r="C625" s="1" t="str">
        <f>T("1941094470619500496")</f>
        <v>1941094470619500496</v>
      </c>
      <c r="AA625" s="1">
        <v>1</v>
      </c>
      <c r="AC625" s="1" t="s">
        <v>104</v>
      </c>
      <c r="AD625" s="1" t="s">
        <v>105</v>
      </c>
      <c r="AE625" s="1" t="s">
        <v>401</v>
      </c>
      <c r="AF625" s="1" t="s">
        <v>107</v>
      </c>
      <c r="AG625" s="1">
        <v>52</v>
      </c>
      <c r="AO625" s="2">
        <v>46274</v>
      </c>
      <c r="AP625" s="1" t="s">
        <v>226</v>
      </c>
      <c r="AQ625" s="2">
        <v>46274</v>
      </c>
      <c r="AR625" s="1" t="s">
        <v>424</v>
      </c>
      <c r="AS625" s="1" t="s">
        <v>71</v>
      </c>
      <c r="AU625" s="1" t="s">
        <v>79</v>
      </c>
      <c r="AV625" s="1" t="s">
        <v>80</v>
      </c>
      <c r="AW625" s="1">
        <v>62.96</v>
      </c>
      <c r="AX625" s="1">
        <v>0</v>
      </c>
      <c r="AZ625" s="1" t="s">
        <v>81</v>
      </c>
      <c r="BA625" s="1">
        <v>1</v>
      </c>
      <c r="BB625" s="1">
        <v>0</v>
      </c>
      <c r="BC625" s="1">
        <v>0</v>
      </c>
      <c r="BE625" s="1">
        <v>27186310</v>
      </c>
    </row>
    <row r="626" spans="1:57" x14ac:dyDescent="0.25">
      <c r="A626" s="1" t="str">
        <f>T("1944467612826801164")</f>
        <v>1944467612826801164</v>
      </c>
      <c r="B626" s="1" t="str">
        <f>T("249995598583")</f>
        <v>249995598583</v>
      </c>
      <c r="C626" s="1" t="str">
        <f>T("1941094470623691104")</f>
        <v>1941094470623691104</v>
      </c>
      <c r="AA626" s="1">
        <v>1</v>
      </c>
      <c r="AC626" s="1" t="s">
        <v>104</v>
      </c>
      <c r="AD626" s="1" t="s">
        <v>105</v>
      </c>
      <c r="AE626" s="1" t="s">
        <v>401</v>
      </c>
      <c r="AF626" s="1" t="s">
        <v>107</v>
      </c>
      <c r="AG626" s="1">
        <v>30</v>
      </c>
      <c r="AO626" s="2">
        <v>46274</v>
      </c>
      <c r="AP626" s="1" t="s">
        <v>226</v>
      </c>
      <c r="AQ626" s="2">
        <v>46274</v>
      </c>
      <c r="AR626" s="1" t="s">
        <v>425</v>
      </c>
      <c r="AS626" s="1" t="s">
        <v>71</v>
      </c>
      <c r="AU626" s="1" t="s">
        <v>79</v>
      </c>
      <c r="AV626" s="1" t="s">
        <v>80</v>
      </c>
      <c r="AW626" s="1">
        <v>85.08</v>
      </c>
      <c r="AX626" s="1">
        <v>0</v>
      </c>
      <c r="AZ626" s="1" t="s">
        <v>81</v>
      </c>
      <c r="BA626" s="1">
        <v>1</v>
      </c>
      <c r="BB626" s="1">
        <v>0</v>
      </c>
      <c r="BC626" s="1">
        <v>0</v>
      </c>
      <c r="BE626" s="1">
        <v>27186310</v>
      </c>
    </row>
    <row r="627" spans="1:57" x14ac:dyDescent="0.25">
      <c r="A627" s="1" t="str">
        <f>T("1944467612868745544")</f>
        <v>1944467612868745544</v>
      </c>
      <c r="B627" s="1" t="str">
        <f>T("249111510778")</f>
        <v>249111510778</v>
      </c>
      <c r="C627" s="1" t="str">
        <f>T("1941094470623691404")</f>
        <v>1941094470623691404</v>
      </c>
      <c r="AA627" s="1">
        <v>1</v>
      </c>
      <c r="AC627" s="1" t="s">
        <v>104</v>
      </c>
      <c r="AD627" s="1" t="s">
        <v>105</v>
      </c>
      <c r="AE627" s="1" t="s">
        <v>401</v>
      </c>
      <c r="AF627" s="1" t="s">
        <v>107</v>
      </c>
      <c r="AG627" s="1">
        <v>29</v>
      </c>
      <c r="AO627" s="2">
        <v>46274</v>
      </c>
      <c r="AP627" s="1" t="s">
        <v>226</v>
      </c>
      <c r="AQ627" s="2">
        <v>46274</v>
      </c>
      <c r="AR627" s="1" t="s">
        <v>426</v>
      </c>
      <c r="AS627" s="1" t="s">
        <v>71</v>
      </c>
      <c r="AU627" s="1" t="s">
        <v>78</v>
      </c>
      <c r="AV627" s="1" t="s">
        <v>80</v>
      </c>
      <c r="AW627" s="1">
        <v>135.38</v>
      </c>
      <c r="AX627" s="1">
        <v>0</v>
      </c>
      <c r="AZ627" s="1" t="s">
        <v>81</v>
      </c>
      <c r="BA627" s="1">
        <v>1</v>
      </c>
      <c r="BB627" s="1">
        <v>0</v>
      </c>
      <c r="BC627" s="1">
        <v>0</v>
      </c>
      <c r="BE627" s="1">
        <v>27186310</v>
      </c>
    </row>
    <row r="628" spans="1:57" x14ac:dyDescent="0.25">
      <c r="A628" s="1" t="str">
        <f>T("1944467612898103500")</f>
        <v>1944467612898103500</v>
      </c>
      <c r="B628" s="1" t="str">
        <f>T("249994056046")</f>
        <v>249994056046</v>
      </c>
      <c r="C628" s="1" t="str">
        <f>T("1941094470623691804")</f>
        <v>1941094470623691804</v>
      </c>
      <c r="AA628" s="1">
        <v>1</v>
      </c>
      <c r="AC628" s="1" t="s">
        <v>104</v>
      </c>
      <c r="AD628" s="1" t="s">
        <v>105</v>
      </c>
      <c r="AE628" s="1" t="s">
        <v>401</v>
      </c>
      <c r="AF628" s="1" t="s">
        <v>107</v>
      </c>
      <c r="AG628" s="1">
        <v>37</v>
      </c>
      <c r="AO628" s="2">
        <v>46274</v>
      </c>
      <c r="AP628" s="1" t="s">
        <v>226</v>
      </c>
      <c r="AQ628" s="2">
        <v>46274</v>
      </c>
      <c r="AR628" s="1" t="s">
        <v>427</v>
      </c>
      <c r="AS628" s="1" t="s">
        <v>71</v>
      </c>
      <c r="AU628" s="1" t="s">
        <v>79</v>
      </c>
      <c r="AV628" s="1" t="s">
        <v>80</v>
      </c>
      <c r="AW628" s="1">
        <v>59.44</v>
      </c>
      <c r="AX628" s="1">
        <v>0</v>
      </c>
      <c r="AZ628" s="1" t="s">
        <v>81</v>
      </c>
      <c r="BA628" s="1">
        <v>1</v>
      </c>
      <c r="BB628" s="1">
        <v>0</v>
      </c>
      <c r="BC628" s="1">
        <v>0</v>
      </c>
      <c r="BE628" s="1">
        <v>27186310</v>
      </c>
    </row>
    <row r="629" spans="1:57" x14ac:dyDescent="0.25">
      <c r="A629" s="1" t="str">
        <f>T("1944467612965215128")</f>
        <v>1944467612965215128</v>
      </c>
      <c r="B629" s="1" t="str">
        <f>T("249925591531")</f>
        <v>249925591531</v>
      </c>
      <c r="C629" s="1" t="str">
        <f>T("1941094470623692104")</f>
        <v>1941094470623692104</v>
      </c>
      <c r="AA629" s="1">
        <v>1</v>
      </c>
      <c r="AC629" s="1" t="s">
        <v>104</v>
      </c>
      <c r="AD629" s="1" t="s">
        <v>105</v>
      </c>
      <c r="AE629" s="1" t="s">
        <v>401</v>
      </c>
      <c r="AF629" s="1" t="s">
        <v>107</v>
      </c>
      <c r="AG629" s="1">
        <v>32</v>
      </c>
      <c r="AO629" s="2">
        <v>46274</v>
      </c>
      <c r="AP629" s="1" t="s">
        <v>226</v>
      </c>
      <c r="AQ629" s="2">
        <v>46274</v>
      </c>
      <c r="AR629" s="1" t="s">
        <v>426</v>
      </c>
      <c r="AS629" s="1" t="s">
        <v>71</v>
      </c>
      <c r="AU629" s="1" t="s">
        <v>78</v>
      </c>
      <c r="AV629" s="1" t="s">
        <v>80</v>
      </c>
      <c r="AW629" s="1">
        <v>135.82</v>
      </c>
      <c r="AX629" s="1">
        <v>0</v>
      </c>
      <c r="AZ629" s="1" t="s">
        <v>81</v>
      </c>
      <c r="BA629" s="1">
        <v>1</v>
      </c>
      <c r="BB629" s="1">
        <v>0</v>
      </c>
      <c r="BC629" s="1">
        <v>0</v>
      </c>
      <c r="BE629" s="1">
        <v>27186310</v>
      </c>
    </row>
    <row r="630" spans="1:57" x14ac:dyDescent="0.25">
      <c r="A630" s="1" t="str">
        <f>T("1944467613015544724")</f>
        <v>1944467613015544724</v>
      </c>
      <c r="B630" s="1" t="str">
        <f>T("249922711164")</f>
        <v>249922711164</v>
      </c>
      <c r="C630" s="1" t="str">
        <f>T("1941094470627887312")</f>
        <v>1941094470627887312</v>
      </c>
      <c r="M630" s="1" t="s">
        <v>59</v>
      </c>
      <c r="O630" s="1" t="s">
        <v>65</v>
      </c>
      <c r="P630" s="1" t="s">
        <v>61</v>
      </c>
      <c r="Q630" s="1" t="s">
        <v>101</v>
      </c>
      <c r="R630" s="1" t="s">
        <v>93</v>
      </c>
      <c r="T630" s="1" t="s">
        <v>95</v>
      </c>
      <c r="U630" s="1" t="s">
        <v>65</v>
      </c>
      <c r="V630" s="1" t="s">
        <v>102</v>
      </c>
      <c r="W630" s="1" t="s">
        <v>60</v>
      </c>
      <c r="X630" s="1" t="s">
        <v>66</v>
      </c>
      <c r="Y630" s="1" t="s">
        <v>69</v>
      </c>
      <c r="AA630" s="1">
        <v>1</v>
      </c>
      <c r="AB630" s="1">
        <v>1</v>
      </c>
      <c r="AC630" s="1" t="s">
        <v>104</v>
      </c>
      <c r="AD630" s="1" t="s">
        <v>105</v>
      </c>
      <c r="AE630" s="1" t="s">
        <v>401</v>
      </c>
      <c r="AF630" s="1" t="s">
        <v>107</v>
      </c>
      <c r="AG630" s="1">
        <v>45</v>
      </c>
      <c r="AO630" s="2">
        <v>46274</v>
      </c>
      <c r="AP630" s="1" t="s">
        <v>226</v>
      </c>
      <c r="AQ630" s="2">
        <v>46274</v>
      </c>
      <c r="AR630" s="1" t="s">
        <v>428</v>
      </c>
      <c r="AS630" s="1" t="s">
        <v>71</v>
      </c>
      <c r="AU630" s="1" t="s">
        <v>78</v>
      </c>
      <c r="AV630" s="1" t="s">
        <v>80</v>
      </c>
      <c r="AW630" s="1">
        <v>282.85899999999998</v>
      </c>
      <c r="AX630" s="1">
        <v>0</v>
      </c>
      <c r="AZ630" s="1" t="s">
        <v>81</v>
      </c>
      <c r="BA630" s="1">
        <v>1</v>
      </c>
      <c r="BB630" s="1">
        <v>0</v>
      </c>
      <c r="BC630" s="1">
        <v>0</v>
      </c>
      <c r="BE630" s="1">
        <v>27186310</v>
      </c>
    </row>
    <row r="631" spans="1:57" x14ac:dyDescent="0.25">
      <c r="A631" s="1" t="str">
        <f>T("1944467613212676300")</f>
        <v>1944467613212676300</v>
      </c>
      <c r="B631" s="1" t="str">
        <f>T("249119656341")</f>
        <v>249119656341</v>
      </c>
      <c r="C631" s="1" t="str">
        <f>T("1941094470632080020")</f>
        <v>1941094470632080020</v>
      </c>
      <c r="AC631" s="1" t="s">
        <v>104</v>
      </c>
      <c r="AD631" s="1" t="s">
        <v>151</v>
      </c>
      <c r="AE631" s="1" t="s">
        <v>392</v>
      </c>
      <c r="AF631" s="1" t="s">
        <v>107</v>
      </c>
      <c r="AG631" s="1">
        <v>74</v>
      </c>
      <c r="AO631" s="2">
        <v>46274</v>
      </c>
      <c r="AP631" s="1" t="s">
        <v>226</v>
      </c>
      <c r="AS631" s="1" t="s">
        <v>71</v>
      </c>
      <c r="AU631" s="1" t="s">
        <v>72</v>
      </c>
      <c r="AV631" s="1" t="s">
        <v>115</v>
      </c>
      <c r="AX631" s="1">
        <v>0</v>
      </c>
      <c r="BA631" s="1">
        <v>3</v>
      </c>
      <c r="BB631" s="1">
        <v>0</v>
      </c>
      <c r="BC631" s="1">
        <v>0</v>
      </c>
      <c r="BE631" s="1">
        <v>27186310</v>
      </c>
    </row>
    <row r="632" spans="1:57" x14ac:dyDescent="0.25">
      <c r="A632" s="1" t="str">
        <f>T("1944467613229456132")</f>
        <v>1944467613229456132</v>
      </c>
      <c r="B632" s="1" t="str">
        <f>T("249912425413")</f>
        <v>249912425413</v>
      </c>
      <c r="C632" s="1" t="str">
        <f>T("1941094470632080520")</f>
        <v>1941094470632080520</v>
      </c>
      <c r="M632" s="1" t="s">
        <v>59</v>
      </c>
      <c r="O632" s="1" t="s">
        <v>65</v>
      </c>
      <c r="P632" s="1" t="s">
        <v>83</v>
      </c>
      <c r="Q632" s="1" t="s">
        <v>101</v>
      </c>
      <c r="R632" s="1" t="s">
        <v>93</v>
      </c>
      <c r="T632" s="1" t="s">
        <v>61</v>
      </c>
      <c r="U632" s="1" t="s">
        <v>65</v>
      </c>
      <c r="V632" s="1" t="s">
        <v>66</v>
      </c>
      <c r="W632" s="1" t="s">
        <v>67</v>
      </c>
      <c r="X632" s="1" t="s">
        <v>66</v>
      </c>
      <c r="Y632" s="1" t="s">
        <v>69</v>
      </c>
      <c r="AA632" s="1">
        <v>1</v>
      </c>
      <c r="AB632" s="1">
        <v>1</v>
      </c>
      <c r="AC632" s="1" t="s">
        <v>104</v>
      </c>
      <c r="AD632" s="1" t="s">
        <v>151</v>
      </c>
      <c r="AE632" s="1" t="s">
        <v>392</v>
      </c>
      <c r="AF632" s="1" t="s">
        <v>107</v>
      </c>
      <c r="AG632" s="1">
        <v>47</v>
      </c>
      <c r="AO632" s="2">
        <v>46274</v>
      </c>
      <c r="AP632" s="1" t="s">
        <v>226</v>
      </c>
      <c r="AQ632" s="2">
        <v>46274</v>
      </c>
      <c r="AR632" s="1" t="s">
        <v>429</v>
      </c>
      <c r="AS632" s="1" t="s">
        <v>71</v>
      </c>
      <c r="AU632" s="1" t="s">
        <v>78</v>
      </c>
      <c r="AV632" s="1" t="s">
        <v>80</v>
      </c>
      <c r="AW632" s="1">
        <v>264.64</v>
      </c>
      <c r="AX632" s="1">
        <v>0</v>
      </c>
      <c r="AZ632" s="1" t="s">
        <v>81</v>
      </c>
      <c r="BA632" s="1">
        <v>1</v>
      </c>
      <c r="BB632" s="1">
        <v>0</v>
      </c>
      <c r="BC632" s="1">
        <v>0</v>
      </c>
      <c r="BE632" s="1">
        <v>27186310</v>
      </c>
    </row>
    <row r="633" spans="1:57" x14ac:dyDescent="0.25">
      <c r="A633" s="1" t="str">
        <f>T("1944467613292371352")</f>
        <v>1944467613292371352</v>
      </c>
      <c r="B633" s="1" t="str">
        <f>T("249969443835")</f>
        <v>249969443835</v>
      </c>
      <c r="C633" s="1" t="str">
        <f>T("1941094470632081020")</f>
        <v>1941094470632081020</v>
      </c>
      <c r="AC633" s="1" t="s">
        <v>344</v>
      </c>
      <c r="AD633" s="1" t="s">
        <v>430</v>
      </c>
      <c r="AE633" s="1" t="s">
        <v>431</v>
      </c>
      <c r="AF633" s="1" t="s">
        <v>107</v>
      </c>
      <c r="AG633" s="1">
        <v>28</v>
      </c>
      <c r="AO633" s="2">
        <v>46274</v>
      </c>
      <c r="AP633" s="1" t="s">
        <v>226</v>
      </c>
      <c r="AS633" s="1" t="s">
        <v>71</v>
      </c>
      <c r="AU633" s="1" t="s">
        <v>72</v>
      </c>
      <c r="AV633" s="1" t="s">
        <v>73</v>
      </c>
      <c r="AX633" s="1">
        <v>0</v>
      </c>
      <c r="BA633" s="1">
        <v>3</v>
      </c>
      <c r="BB633" s="1">
        <v>0</v>
      </c>
      <c r="BC633" s="1">
        <v>0</v>
      </c>
      <c r="BE633" s="1">
        <v>27186310</v>
      </c>
    </row>
    <row r="634" spans="1:57" x14ac:dyDescent="0.25">
      <c r="A634" s="1" t="str">
        <f>T("1944467613330120524")</f>
        <v>1944467613330120524</v>
      </c>
      <c r="B634" s="1" t="str">
        <f>T("249139158696")</f>
        <v>249139158696</v>
      </c>
      <c r="C634" s="1" t="str">
        <f>T("1941094470640469136")</f>
        <v>1941094470640469136</v>
      </c>
      <c r="AC634" s="1" t="s">
        <v>344</v>
      </c>
      <c r="AD634" s="1" t="s">
        <v>430</v>
      </c>
      <c r="AE634" s="1" t="s">
        <v>431</v>
      </c>
      <c r="AF634" s="1" t="s">
        <v>107</v>
      </c>
      <c r="AG634" s="1">
        <v>35</v>
      </c>
      <c r="AO634" s="2">
        <v>46274</v>
      </c>
      <c r="AP634" s="1" t="s">
        <v>226</v>
      </c>
      <c r="AS634" s="1" t="s">
        <v>71</v>
      </c>
      <c r="AU634" s="1" t="s">
        <v>72</v>
      </c>
      <c r="AV634" s="1" t="s">
        <v>73</v>
      </c>
      <c r="AX634" s="1">
        <v>0</v>
      </c>
      <c r="BA634" s="1">
        <v>3</v>
      </c>
      <c r="BB634" s="1">
        <v>0</v>
      </c>
      <c r="BC634" s="1">
        <v>0</v>
      </c>
      <c r="BE634" s="1">
        <v>27186310</v>
      </c>
    </row>
    <row r="635" spans="1:57" x14ac:dyDescent="0.25">
      <c r="A635" s="1" t="str">
        <f>T("1944467613372062804")</f>
        <v>1944467613372062804</v>
      </c>
      <c r="B635" s="1" t="str">
        <f>T("249960321188")</f>
        <v>249960321188</v>
      </c>
      <c r="C635" s="1" t="str">
        <f>T("1941094470640469636")</f>
        <v>1941094470640469636</v>
      </c>
      <c r="M635" s="1" t="s">
        <v>59</v>
      </c>
      <c r="O635" s="1" t="s">
        <v>65</v>
      </c>
      <c r="P635" s="1" t="s">
        <v>111</v>
      </c>
      <c r="AA635" s="1">
        <v>1</v>
      </c>
      <c r="AC635" s="1" t="s">
        <v>344</v>
      </c>
      <c r="AD635" s="1" t="s">
        <v>430</v>
      </c>
      <c r="AE635" s="1" t="s">
        <v>431</v>
      </c>
      <c r="AF635" s="1" t="s">
        <v>107</v>
      </c>
      <c r="AG635" s="1">
        <v>30</v>
      </c>
      <c r="AO635" s="2">
        <v>46274</v>
      </c>
      <c r="AP635" s="1" t="s">
        <v>226</v>
      </c>
      <c r="AQ635" s="2">
        <v>46274</v>
      </c>
      <c r="AR635" s="1" t="s">
        <v>432</v>
      </c>
      <c r="AS635" s="1" t="s">
        <v>71</v>
      </c>
      <c r="AU635" s="1" t="s">
        <v>79</v>
      </c>
      <c r="AV635" s="1" t="s">
        <v>80</v>
      </c>
      <c r="AW635" s="1">
        <v>155.56</v>
      </c>
      <c r="AX635" s="1">
        <v>0</v>
      </c>
      <c r="AZ635" s="1" t="s">
        <v>81</v>
      </c>
      <c r="BA635" s="1">
        <v>1</v>
      </c>
      <c r="BB635" s="1">
        <v>0</v>
      </c>
      <c r="BC635" s="1">
        <v>0</v>
      </c>
      <c r="BE635" s="1">
        <v>27186310</v>
      </c>
    </row>
    <row r="636" spans="1:57" x14ac:dyDescent="0.25">
      <c r="A636" s="1" t="str">
        <f>T("1944467613393033944")</f>
        <v>1944467613393033944</v>
      </c>
      <c r="B636" s="1" t="str">
        <f>T("249931128628")</f>
        <v>249931128628</v>
      </c>
      <c r="C636" s="1" t="str">
        <f>T("1941094470644662844")</f>
        <v>1941094470644662844</v>
      </c>
      <c r="AC636" s="1" t="s">
        <v>344</v>
      </c>
      <c r="AD636" s="1" t="s">
        <v>430</v>
      </c>
      <c r="AE636" s="1" t="s">
        <v>431</v>
      </c>
      <c r="AF636" s="1" t="s">
        <v>144</v>
      </c>
      <c r="AG636" s="1">
        <v>28</v>
      </c>
      <c r="AO636" s="2">
        <v>46274</v>
      </c>
      <c r="AP636" s="1" t="s">
        <v>226</v>
      </c>
      <c r="AS636" s="1" t="s">
        <v>71</v>
      </c>
      <c r="AU636" s="1" t="s">
        <v>72</v>
      </c>
      <c r="AV636" s="1" t="s">
        <v>73</v>
      </c>
      <c r="AX636" s="1">
        <v>0</v>
      </c>
      <c r="BA636" s="1">
        <v>3</v>
      </c>
      <c r="BB636" s="1">
        <v>0</v>
      </c>
      <c r="BC636" s="1">
        <v>0</v>
      </c>
      <c r="BE636" s="1">
        <v>27186310</v>
      </c>
    </row>
    <row r="637" spans="1:57" x14ac:dyDescent="0.25">
      <c r="A637" s="1" t="str">
        <f>T("1944467613447557648")</f>
        <v>1944467613447557648</v>
      </c>
      <c r="B637" s="1" t="str">
        <f>T("249960106369")</f>
        <v>249960106369</v>
      </c>
      <c r="C637" s="1" t="str">
        <f>T("1941094470648857152")</f>
        <v>1941094470648857152</v>
      </c>
      <c r="AA637" s="1">
        <v>1</v>
      </c>
      <c r="AC637" s="1" t="s">
        <v>344</v>
      </c>
      <c r="AD637" s="1" t="s">
        <v>430</v>
      </c>
      <c r="AE637" s="1" t="s">
        <v>431</v>
      </c>
      <c r="AF637" s="1" t="s">
        <v>107</v>
      </c>
      <c r="AG637" s="1">
        <v>45</v>
      </c>
      <c r="AO637" s="2">
        <v>46274</v>
      </c>
      <c r="AP637" s="1" t="s">
        <v>226</v>
      </c>
      <c r="AQ637" s="2">
        <v>46274</v>
      </c>
      <c r="AR637" s="1" t="s">
        <v>433</v>
      </c>
      <c r="AS637" s="1" t="s">
        <v>71</v>
      </c>
      <c r="AU637" s="1" t="s">
        <v>78</v>
      </c>
      <c r="AV637" s="1" t="s">
        <v>80</v>
      </c>
      <c r="AW637" s="1">
        <v>136.84</v>
      </c>
      <c r="AX637" s="1">
        <v>0</v>
      </c>
      <c r="AZ637" s="1" t="s">
        <v>81</v>
      </c>
      <c r="BA637" s="1">
        <v>2</v>
      </c>
      <c r="BB637" s="1">
        <v>0</v>
      </c>
      <c r="BC637" s="1">
        <v>0</v>
      </c>
      <c r="BE637" s="1">
        <v>27186310</v>
      </c>
    </row>
    <row r="638" spans="1:57" x14ac:dyDescent="0.25">
      <c r="A638" s="1" t="str">
        <f>T("1944467613460142372")</f>
        <v>1944467613460142372</v>
      </c>
      <c r="B638" s="1" t="str">
        <f>T("249901514949")</f>
        <v>249901514949</v>
      </c>
      <c r="C638" s="1" t="str">
        <f>T("1941094470648857752")</f>
        <v>1941094470648857752</v>
      </c>
      <c r="AC638" s="1" t="s">
        <v>344</v>
      </c>
      <c r="AD638" s="1" t="s">
        <v>430</v>
      </c>
      <c r="AE638" s="1" t="s">
        <v>431</v>
      </c>
      <c r="AF638" s="1" t="s">
        <v>144</v>
      </c>
      <c r="AG638" s="1">
        <v>50</v>
      </c>
      <c r="AO638" s="2">
        <v>46274</v>
      </c>
      <c r="AP638" s="1" t="s">
        <v>226</v>
      </c>
      <c r="AS638" s="1" t="s">
        <v>71</v>
      </c>
      <c r="AU638" s="1" t="s">
        <v>72</v>
      </c>
      <c r="AV638" s="1" t="s">
        <v>73</v>
      </c>
      <c r="AX638" s="1">
        <v>0</v>
      </c>
      <c r="BA638" s="1">
        <v>3</v>
      </c>
      <c r="BB638" s="1">
        <v>0</v>
      </c>
      <c r="BC638" s="1">
        <v>0</v>
      </c>
      <c r="BE638" s="1">
        <v>27186310</v>
      </c>
    </row>
    <row r="639" spans="1:57" x14ac:dyDescent="0.25">
      <c r="A639" s="1" t="str">
        <f>T("1944467613762131348")</f>
        <v>1944467613762131348</v>
      </c>
      <c r="B639" s="1" t="str">
        <f>T("249902181993")</f>
        <v>249902181993</v>
      </c>
      <c r="C639" s="1" t="str">
        <f>T("1941094470648860652")</f>
        <v>1941094470648860652</v>
      </c>
      <c r="M639" s="1" t="s">
        <v>148</v>
      </c>
      <c r="N639" s="1" t="s">
        <v>65</v>
      </c>
      <c r="O639" s="1" t="s">
        <v>65</v>
      </c>
      <c r="P639" s="1" t="s">
        <v>61</v>
      </c>
      <c r="Q639" s="1" t="s">
        <v>62</v>
      </c>
      <c r="R639" s="1" t="s">
        <v>93</v>
      </c>
      <c r="T639" s="1" t="s">
        <v>95</v>
      </c>
      <c r="U639" s="1" t="s">
        <v>60</v>
      </c>
      <c r="V639" s="1" t="s">
        <v>103</v>
      </c>
      <c r="W639" s="1" t="s">
        <v>67</v>
      </c>
      <c r="X639" s="1" t="s">
        <v>68</v>
      </c>
      <c r="Y639" s="1" t="s">
        <v>69</v>
      </c>
      <c r="AA639" s="1">
        <v>1</v>
      </c>
      <c r="AB639" s="1">
        <v>1</v>
      </c>
      <c r="AC639" s="1" t="s">
        <v>344</v>
      </c>
      <c r="AD639" s="1" t="s">
        <v>430</v>
      </c>
      <c r="AE639" s="1" t="s">
        <v>431</v>
      </c>
      <c r="AF639" s="1" t="s">
        <v>107</v>
      </c>
      <c r="AG639" s="1">
        <v>37</v>
      </c>
      <c r="AO639" s="2">
        <v>46274</v>
      </c>
      <c r="AP639" s="1" t="s">
        <v>226</v>
      </c>
      <c r="AQ639" s="2">
        <v>46274</v>
      </c>
      <c r="AR639" s="1" t="s">
        <v>434</v>
      </c>
      <c r="AS639" s="1" t="s">
        <v>71</v>
      </c>
      <c r="AU639" s="1" t="s">
        <v>78</v>
      </c>
      <c r="AV639" s="1" t="s">
        <v>80</v>
      </c>
      <c r="AW639" s="1">
        <v>331.36</v>
      </c>
      <c r="AX639" s="1">
        <v>0</v>
      </c>
      <c r="AZ639" s="1" t="s">
        <v>81</v>
      </c>
      <c r="BA639" s="1">
        <v>2</v>
      </c>
      <c r="BB639" s="1">
        <v>0</v>
      </c>
      <c r="BC639" s="1">
        <v>0</v>
      </c>
      <c r="BE639" s="1">
        <v>27186310</v>
      </c>
    </row>
    <row r="640" spans="1:57" x14ac:dyDescent="0.25">
      <c r="A640" s="1" t="str">
        <f>T("1944467613791491804")</f>
        <v>1944467613791491804</v>
      </c>
      <c r="B640" s="1" t="str">
        <f>T("249969199543")</f>
        <v>249969199543</v>
      </c>
      <c r="C640" s="1" t="str">
        <f>T("1941094470653051460")</f>
        <v>1941094470653051460</v>
      </c>
      <c r="AC640" s="1" t="s">
        <v>344</v>
      </c>
      <c r="AD640" s="1" t="s">
        <v>430</v>
      </c>
      <c r="AE640" s="1" t="s">
        <v>435</v>
      </c>
      <c r="AF640" s="1" t="s">
        <v>144</v>
      </c>
      <c r="AO640" s="2">
        <v>46274</v>
      </c>
      <c r="AP640" s="1" t="s">
        <v>226</v>
      </c>
      <c r="AS640" s="1" t="s">
        <v>71</v>
      </c>
      <c r="AU640" s="1" t="s">
        <v>72</v>
      </c>
      <c r="AV640" s="1" t="s">
        <v>73</v>
      </c>
      <c r="AX640" s="1">
        <v>0</v>
      </c>
      <c r="BA640" s="1">
        <v>3</v>
      </c>
      <c r="BB640" s="1">
        <v>0</v>
      </c>
      <c r="BC640" s="1">
        <v>0</v>
      </c>
      <c r="BE640" s="1">
        <v>27186310</v>
      </c>
    </row>
    <row r="641" spans="1:57" x14ac:dyDescent="0.25">
      <c r="A641" s="1" t="str">
        <f>T("1944467613846020008")</f>
        <v>1944467613846020008</v>
      </c>
      <c r="B641" s="1" t="str">
        <f>T("249918410980")</f>
        <v>249918410980</v>
      </c>
      <c r="C641" s="1" t="str">
        <f>T("1941094470653052160")</f>
        <v>1941094470653052160</v>
      </c>
      <c r="M641" s="1" t="s">
        <v>59</v>
      </c>
      <c r="O641" s="1" t="s">
        <v>60</v>
      </c>
      <c r="P641" s="1" t="s">
        <v>91</v>
      </c>
      <c r="Q641" s="1" t="s">
        <v>101</v>
      </c>
      <c r="R641" s="1" t="s">
        <v>63</v>
      </c>
      <c r="S641" s="1" t="s">
        <v>94</v>
      </c>
      <c r="U641" s="1" t="s">
        <v>65</v>
      </c>
      <c r="V641" s="1" t="s">
        <v>103</v>
      </c>
      <c r="W641" s="1" t="s">
        <v>60</v>
      </c>
      <c r="X641" s="1" t="s">
        <v>102</v>
      </c>
      <c r="Y641" s="1" t="s">
        <v>69</v>
      </c>
      <c r="AA641" s="1">
        <v>1</v>
      </c>
      <c r="AB641" s="1">
        <v>1</v>
      </c>
      <c r="AC641" s="1" t="s">
        <v>344</v>
      </c>
      <c r="AD641" s="1" t="s">
        <v>430</v>
      </c>
      <c r="AE641" s="1" t="s">
        <v>435</v>
      </c>
      <c r="AF641" s="1" t="s">
        <v>144</v>
      </c>
      <c r="AO641" s="2">
        <v>46274</v>
      </c>
      <c r="AP641" s="1" t="s">
        <v>226</v>
      </c>
      <c r="AQ641" s="2">
        <v>46274</v>
      </c>
      <c r="AR641" s="1" t="s">
        <v>436</v>
      </c>
      <c r="AS641" s="1" t="s">
        <v>71</v>
      </c>
      <c r="AU641" s="1" t="s">
        <v>78</v>
      </c>
      <c r="AV641" s="1" t="s">
        <v>80</v>
      </c>
      <c r="AW641" s="1">
        <v>324.94</v>
      </c>
      <c r="AX641" s="1">
        <v>0</v>
      </c>
      <c r="AZ641" s="1" t="s">
        <v>81</v>
      </c>
      <c r="BA641" s="1">
        <v>1</v>
      </c>
      <c r="BB641" s="1">
        <v>0</v>
      </c>
      <c r="BC641" s="1">
        <v>0</v>
      </c>
      <c r="BE641" s="1">
        <v>27186310</v>
      </c>
    </row>
    <row r="642" spans="1:57" x14ac:dyDescent="0.25">
      <c r="A642" s="1" t="str">
        <f>T("1944467613866989748")</f>
        <v>1944467613866989748</v>
      </c>
      <c r="B642" s="1" t="str">
        <f>T("249995908839")</f>
        <v>249995908839</v>
      </c>
      <c r="C642" s="1" t="str">
        <f>T("1941094470653052660")</f>
        <v>1941094470653052660</v>
      </c>
      <c r="AC642" s="1" t="s">
        <v>344</v>
      </c>
      <c r="AD642" s="1" t="s">
        <v>430</v>
      </c>
      <c r="AE642" s="1" t="s">
        <v>435</v>
      </c>
      <c r="AF642" s="1" t="s">
        <v>144</v>
      </c>
      <c r="AO642" s="2">
        <v>46274</v>
      </c>
      <c r="AP642" s="1" t="s">
        <v>226</v>
      </c>
      <c r="AS642" s="1" t="s">
        <v>71</v>
      </c>
      <c r="AU642" s="1" t="s">
        <v>72</v>
      </c>
      <c r="AV642" s="1" t="s">
        <v>73</v>
      </c>
      <c r="AX642" s="1">
        <v>0</v>
      </c>
      <c r="BA642" s="1">
        <v>3</v>
      </c>
      <c r="BB642" s="1">
        <v>0</v>
      </c>
      <c r="BC642" s="1">
        <v>0</v>
      </c>
      <c r="BE642" s="1">
        <v>27186310</v>
      </c>
    </row>
    <row r="643" spans="1:57" x14ac:dyDescent="0.25">
      <c r="A643" s="1" t="str">
        <f>T("1944467613929903268")</f>
        <v>1944467613929903268</v>
      </c>
      <c r="B643" s="1" t="str">
        <f>T("249902180568")</f>
        <v>249902180568</v>
      </c>
      <c r="C643" s="1" t="str">
        <f>T("1941094470653053260")</f>
        <v>1941094470653053260</v>
      </c>
      <c r="AC643" s="1" t="s">
        <v>344</v>
      </c>
      <c r="AD643" s="1" t="s">
        <v>430</v>
      </c>
      <c r="AE643" s="1" t="s">
        <v>435</v>
      </c>
      <c r="AF643" s="1" t="s">
        <v>107</v>
      </c>
      <c r="AO643" s="2">
        <v>46274</v>
      </c>
      <c r="AP643" s="1" t="s">
        <v>226</v>
      </c>
      <c r="AS643" s="1" t="s">
        <v>71</v>
      </c>
      <c r="AU643" s="1" t="s">
        <v>72</v>
      </c>
      <c r="AV643" s="1" t="s">
        <v>115</v>
      </c>
      <c r="AX643" s="1">
        <v>0</v>
      </c>
      <c r="BA643" s="1">
        <v>3</v>
      </c>
      <c r="BB643" s="1">
        <v>0</v>
      </c>
      <c r="BC643" s="1">
        <v>0</v>
      </c>
      <c r="BE643" s="1">
        <v>27186310</v>
      </c>
    </row>
    <row r="644" spans="1:57" x14ac:dyDescent="0.25">
      <c r="A644" s="1" t="str">
        <f>T("1944467613934099176")</f>
        <v>1944467613934099176</v>
      </c>
      <c r="B644" s="1" t="str">
        <f>T("249960894411")</f>
        <v>249960894411</v>
      </c>
      <c r="C644" s="1" t="str">
        <f>T("1941094470653053960")</f>
        <v>1941094470653053960</v>
      </c>
      <c r="AC644" s="1" t="s">
        <v>344</v>
      </c>
      <c r="AD644" s="1" t="s">
        <v>430</v>
      </c>
      <c r="AE644" s="1" t="s">
        <v>435</v>
      </c>
      <c r="AF644" s="1" t="s">
        <v>144</v>
      </c>
      <c r="AO644" s="2">
        <v>46274</v>
      </c>
      <c r="AP644" s="1" t="s">
        <v>226</v>
      </c>
      <c r="AS644" s="1" t="s">
        <v>71</v>
      </c>
      <c r="AU644" s="1" t="s">
        <v>72</v>
      </c>
      <c r="AV644" s="1" t="s">
        <v>73</v>
      </c>
      <c r="AX644" s="1">
        <v>0</v>
      </c>
      <c r="BA644" s="1">
        <v>3</v>
      </c>
      <c r="BB644" s="1">
        <v>0</v>
      </c>
      <c r="BC644" s="1">
        <v>0</v>
      </c>
      <c r="BE644" s="1">
        <v>27186310</v>
      </c>
    </row>
    <row r="645" spans="1:57" x14ac:dyDescent="0.25">
      <c r="A645" s="1" t="str">
        <f>T("1944679003810631868")</f>
        <v>1944679003810631868</v>
      </c>
      <c r="B645" s="1" t="str">
        <f>T("249918123250")</f>
        <v>249918123250</v>
      </c>
      <c r="C645" s="1" t="str">
        <f>T("1941094470653054460")</f>
        <v>1941094470653054460</v>
      </c>
      <c r="AC645" s="1" t="s">
        <v>344</v>
      </c>
      <c r="AD645" s="1" t="s">
        <v>430</v>
      </c>
      <c r="AE645" s="1" t="s">
        <v>435</v>
      </c>
      <c r="AF645" s="1" t="s">
        <v>144</v>
      </c>
      <c r="AO645" s="2">
        <v>46275</v>
      </c>
      <c r="AP645" s="1" t="s">
        <v>248</v>
      </c>
      <c r="AS645" s="1" t="s">
        <v>71</v>
      </c>
      <c r="AU645" s="1" t="s">
        <v>72</v>
      </c>
      <c r="AV645" s="1" t="s">
        <v>437</v>
      </c>
      <c r="AX645" s="1">
        <v>0</v>
      </c>
      <c r="BA645" s="1">
        <v>9</v>
      </c>
      <c r="BB645" s="1">
        <v>0</v>
      </c>
      <c r="BC645" s="1">
        <v>0</v>
      </c>
      <c r="BE645" s="1">
        <v>27188496</v>
      </c>
    </row>
    <row r="646" spans="1:57" x14ac:dyDescent="0.25">
      <c r="A646" s="1" t="str">
        <f>T("1944679004037127100")</f>
        <v>1944679004037127100</v>
      </c>
      <c r="B646" s="1" t="str">
        <f>T("249928154081")</f>
        <v>249928154081</v>
      </c>
      <c r="C646" s="1" t="str">
        <f>T("1941094470653054960")</f>
        <v>1941094470653054960</v>
      </c>
      <c r="AC646" s="1" t="s">
        <v>344</v>
      </c>
      <c r="AD646" s="1" t="s">
        <v>430</v>
      </c>
      <c r="AE646" s="1" t="s">
        <v>435</v>
      </c>
      <c r="AF646" s="1" t="s">
        <v>107</v>
      </c>
      <c r="AO646" s="2">
        <v>46275</v>
      </c>
      <c r="AP646" s="1" t="s">
        <v>248</v>
      </c>
      <c r="AS646" s="1" t="s">
        <v>71</v>
      </c>
      <c r="AU646" s="1" t="s">
        <v>72</v>
      </c>
      <c r="AV646" s="1" t="s">
        <v>334</v>
      </c>
      <c r="AX646" s="1">
        <v>0</v>
      </c>
      <c r="BA646" s="1">
        <v>9</v>
      </c>
      <c r="BB646" s="1">
        <v>0</v>
      </c>
      <c r="BC646" s="1">
        <v>0</v>
      </c>
      <c r="BE646" s="1">
        <v>27188496</v>
      </c>
    </row>
    <row r="647" spans="1:57" x14ac:dyDescent="0.25">
      <c r="A647" s="1" t="str">
        <f>T("1944679004108427636")</f>
        <v>1944679004108427636</v>
      </c>
      <c r="B647" s="1" t="str">
        <f>T("249919258735")</f>
        <v>249919258735</v>
      </c>
      <c r="C647" s="1" t="str">
        <f>T("1941094470657246368")</f>
        <v>1941094470657246368</v>
      </c>
      <c r="AC647" s="1" t="s">
        <v>344</v>
      </c>
      <c r="AD647" s="1" t="s">
        <v>430</v>
      </c>
      <c r="AE647" s="1" t="s">
        <v>435</v>
      </c>
      <c r="AF647" s="1" t="s">
        <v>107</v>
      </c>
      <c r="AO647" s="2">
        <v>46275</v>
      </c>
      <c r="AP647" s="1" t="s">
        <v>248</v>
      </c>
      <c r="AS647" s="1" t="s">
        <v>71</v>
      </c>
      <c r="AU647" s="1" t="s">
        <v>72</v>
      </c>
      <c r="AV647" s="1" t="s">
        <v>437</v>
      </c>
      <c r="AX647" s="1">
        <v>0</v>
      </c>
      <c r="BA647" s="1">
        <v>9</v>
      </c>
      <c r="BB647" s="1">
        <v>0</v>
      </c>
      <c r="BC647" s="1">
        <v>0</v>
      </c>
      <c r="BE647" s="1">
        <v>27188496</v>
      </c>
    </row>
    <row r="648" spans="1:57" x14ac:dyDescent="0.25">
      <c r="A648" s="1" t="str">
        <f>T("1944679004179732572")</f>
        <v>1944679004179732572</v>
      </c>
      <c r="B648" s="1" t="str">
        <f>T("249912485072")</f>
        <v>249912485072</v>
      </c>
      <c r="C648" s="1" t="str">
        <f>T("1941094470657246968")</f>
        <v>1941094470657246968</v>
      </c>
      <c r="AC648" s="1" t="s">
        <v>344</v>
      </c>
      <c r="AD648" s="1" t="s">
        <v>430</v>
      </c>
      <c r="AE648" s="1" t="s">
        <v>438</v>
      </c>
      <c r="AF648" s="1" t="s">
        <v>107</v>
      </c>
      <c r="AO648" s="2">
        <v>46275</v>
      </c>
      <c r="AP648" s="1" t="s">
        <v>248</v>
      </c>
      <c r="AS648" s="1" t="s">
        <v>71</v>
      </c>
      <c r="AU648" s="1" t="s">
        <v>72</v>
      </c>
      <c r="AV648" s="1" t="s">
        <v>437</v>
      </c>
      <c r="AX648" s="1">
        <v>0</v>
      </c>
      <c r="BA648" s="1">
        <v>9</v>
      </c>
      <c r="BB648" s="1">
        <v>0</v>
      </c>
      <c r="BC648" s="1">
        <v>0</v>
      </c>
      <c r="BE648" s="1">
        <v>27188496</v>
      </c>
    </row>
    <row r="649" spans="1:57" x14ac:dyDescent="0.25">
      <c r="A649" s="1" t="str">
        <f>T("1944679004246842600")</f>
        <v>1944679004246842600</v>
      </c>
      <c r="B649" s="1" t="str">
        <f>T("249902680116")</f>
        <v>249902680116</v>
      </c>
      <c r="C649" s="1" t="str">
        <f>T("1941094470657247368")</f>
        <v>1941094470657247368</v>
      </c>
      <c r="AC649" s="1" t="s">
        <v>344</v>
      </c>
      <c r="AD649" s="1" t="s">
        <v>430</v>
      </c>
      <c r="AE649" s="1" t="s">
        <v>438</v>
      </c>
      <c r="AF649" s="1" t="s">
        <v>107</v>
      </c>
      <c r="AO649" s="2">
        <v>46275</v>
      </c>
      <c r="AP649" s="1" t="s">
        <v>248</v>
      </c>
      <c r="AS649" s="1" t="s">
        <v>71</v>
      </c>
      <c r="AU649" s="1" t="s">
        <v>72</v>
      </c>
      <c r="AV649" s="1" t="s">
        <v>73</v>
      </c>
      <c r="AX649" s="1">
        <v>0</v>
      </c>
      <c r="BA649" s="1">
        <v>9</v>
      </c>
      <c r="BB649" s="1">
        <v>0</v>
      </c>
      <c r="BC649" s="1">
        <v>0</v>
      </c>
      <c r="BE649" s="1">
        <v>27188496</v>
      </c>
    </row>
    <row r="650" spans="1:57" x14ac:dyDescent="0.25">
      <c r="A650" s="1" t="str">
        <f>T("1944679004318145036")</f>
        <v>1944679004318145036</v>
      </c>
      <c r="B650" s="1" t="str">
        <f>T("249916039723")</f>
        <v>249916039723</v>
      </c>
      <c r="C650" s="1" t="str">
        <f>T("1941094470661439976")</f>
        <v>1941094470661439976</v>
      </c>
      <c r="AC650" s="1" t="s">
        <v>344</v>
      </c>
      <c r="AD650" s="1" t="s">
        <v>430</v>
      </c>
      <c r="AE650" s="1" t="s">
        <v>438</v>
      </c>
      <c r="AF650" s="1" t="s">
        <v>144</v>
      </c>
      <c r="AO650" s="2">
        <v>46275</v>
      </c>
      <c r="AP650" s="1" t="s">
        <v>248</v>
      </c>
      <c r="AS650" s="1" t="s">
        <v>71</v>
      </c>
      <c r="AU650" s="1" t="s">
        <v>72</v>
      </c>
      <c r="AV650" s="1" t="s">
        <v>437</v>
      </c>
      <c r="AX650" s="1">
        <v>0</v>
      </c>
      <c r="BA650" s="1">
        <v>9</v>
      </c>
      <c r="BB650" s="1">
        <v>0</v>
      </c>
      <c r="BC650" s="1">
        <v>0</v>
      </c>
      <c r="BE650" s="1">
        <v>27188496</v>
      </c>
    </row>
    <row r="651" spans="1:57" x14ac:dyDescent="0.25">
      <c r="A651" s="1" t="str">
        <f>T("1944679004381059456")</f>
        <v>1944679004381059456</v>
      </c>
      <c r="B651" s="1" t="str">
        <f>T("249961287135")</f>
        <v>249961287135</v>
      </c>
      <c r="C651" s="1" t="str">
        <f>T("1941094470661440476")</f>
        <v>1941094470661440476</v>
      </c>
      <c r="AC651" s="1" t="s">
        <v>344</v>
      </c>
      <c r="AD651" s="1" t="s">
        <v>430</v>
      </c>
      <c r="AE651" s="1" t="s">
        <v>438</v>
      </c>
      <c r="AF651" s="1" t="s">
        <v>144</v>
      </c>
      <c r="AO651" s="2">
        <v>46275</v>
      </c>
      <c r="AP651" s="1" t="s">
        <v>248</v>
      </c>
      <c r="AS651" s="1" t="s">
        <v>71</v>
      </c>
      <c r="AU651" s="1" t="s">
        <v>72</v>
      </c>
      <c r="AV651" s="1" t="s">
        <v>437</v>
      </c>
      <c r="AX651" s="1">
        <v>0</v>
      </c>
      <c r="BA651" s="1">
        <v>9</v>
      </c>
      <c r="BB651" s="1">
        <v>0</v>
      </c>
      <c r="BC651" s="1">
        <v>0</v>
      </c>
      <c r="BE651" s="1">
        <v>27188496</v>
      </c>
    </row>
    <row r="652" spans="1:57" x14ac:dyDescent="0.25">
      <c r="A652" s="1" t="str">
        <f>T("1944679004452360292")</f>
        <v>1944679004452360292</v>
      </c>
      <c r="B652" s="1" t="str">
        <f>T("249962978868")</f>
        <v>249962978868</v>
      </c>
      <c r="C652" s="1" t="str">
        <f>T("1941094470661441476")</f>
        <v>1941094470661441476</v>
      </c>
      <c r="AC652" s="1" t="s">
        <v>344</v>
      </c>
      <c r="AD652" s="1" t="s">
        <v>430</v>
      </c>
      <c r="AE652" s="1" t="s">
        <v>438</v>
      </c>
      <c r="AF652" s="1" t="s">
        <v>144</v>
      </c>
      <c r="AO652" s="2">
        <v>46275</v>
      </c>
      <c r="AP652" s="1" t="s">
        <v>248</v>
      </c>
      <c r="AS652" s="1" t="s">
        <v>71</v>
      </c>
      <c r="AU652" s="1" t="s">
        <v>72</v>
      </c>
      <c r="AV652" s="1" t="s">
        <v>73</v>
      </c>
      <c r="AX652" s="1">
        <v>0</v>
      </c>
      <c r="BA652" s="1">
        <v>9</v>
      </c>
      <c r="BB652" s="1">
        <v>0</v>
      </c>
      <c r="BC652" s="1">
        <v>0</v>
      </c>
      <c r="BE652" s="1">
        <v>27188496</v>
      </c>
    </row>
    <row r="653" spans="1:57" x14ac:dyDescent="0.25">
      <c r="A653" s="1" t="str">
        <f>T("1944679004519469820")</f>
        <v>1944679004519469820</v>
      </c>
      <c r="B653" s="1" t="str">
        <f>T("249962565357")</f>
        <v>249962565357</v>
      </c>
      <c r="C653" s="1" t="str">
        <f>T("1941094470665634184")</f>
        <v>1941094470665634184</v>
      </c>
      <c r="AC653" s="1" t="s">
        <v>344</v>
      </c>
      <c r="AD653" s="1" t="s">
        <v>430</v>
      </c>
      <c r="AE653" s="1" t="s">
        <v>438</v>
      </c>
      <c r="AF653" s="1" t="s">
        <v>107</v>
      </c>
      <c r="AO653" s="2">
        <v>46275</v>
      </c>
      <c r="AP653" s="1" t="s">
        <v>248</v>
      </c>
      <c r="AS653" s="1" t="s">
        <v>71</v>
      </c>
      <c r="AU653" s="1" t="s">
        <v>72</v>
      </c>
      <c r="AV653" s="1" t="s">
        <v>73</v>
      </c>
      <c r="AX653" s="1">
        <v>0</v>
      </c>
      <c r="BA653" s="1">
        <v>9</v>
      </c>
      <c r="BB653" s="1">
        <v>0</v>
      </c>
      <c r="BC653" s="1">
        <v>0</v>
      </c>
      <c r="BE653" s="1">
        <v>27188496</v>
      </c>
    </row>
    <row r="654" spans="1:57" x14ac:dyDescent="0.25">
      <c r="A654" s="1" t="str">
        <f>T("1944679004578190132")</f>
        <v>1944679004578190132</v>
      </c>
      <c r="B654" s="1" t="str">
        <f>T("249112673091")</f>
        <v>249112673091</v>
      </c>
      <c r="C654" s="1" t="str">
        <f>T("1941094470665634584")</f>
        <v>1941094470665634584</v>
      </c>
      <c r="AC654" s="1" t="s">
        <v>344</v>
      </c>
      <c r="AD654" s="1" t="s">
        <v>430</v>
      </c>
      <c r="AE654" s="1" t="s">
        <v>438</v>
      </c>
      <c r="AF654" s="1" t="s">
        <v>144</v>
      </c>
      <c r="AO654" s="2">
        <v>46275</v>
      </c>
      <c r="AP654" s="1" t="s">
        <v>248</v>
      </c>
      <c r="AS654" s="1" t="s">
        <v>71</v>
      </c>
      <c r="AU654" s="1" t="s">
        <v>72</v>
      </c>
      <c r="AV654" s="1" t="s">
        <v>73</v>
      </c>
      <c r="AX654" s="1">
        <v>0</v>
      </c>
      <c r="BA654" s="1">
        <v>9</v>
      </c>
      <c r="BB654" s="1">
        <v>0</v>
      </c>
      <c r="BC654" s="1">
        <v>0</v>
      </c>
      <c r="BE654" s="1">
        <v>27188496</v>
      </c>
    </row>
    <row r="655" spans="1:57" x14ac:dyDescent="0.25">
      <c r="A655" s="1" t="str">
        <f>T("1944679004632718736")</f>
        <v>1944679004632718736</v>
      </c>
      <c r="B655" s="1" t="str">
        <f>T("249917562583")</f>
        <v>249917562583</v>
      </c>
      <c r="C655" s="1" t="str">
        <f>T("1941094470665635084")</f>
        <v>1941094470665635084</v>
      </c>
      <c r="AC655" s="1" t="s">
        <v>344</v>
      </c>
      <c r="AD655" s="1" t="s">
        <v>430</v>
      </c>
      <c r="AE655" s="1" t="s">
        <v>438</v>
      </c>
      <c r="AF655" s="1" t="s">
        <v>144</v>
      </c>
      <c r="AO655" s="2">
        <v>46275</v>
      </c>
      <c r="AP655" s="1" t="s">
        <v>248</v>
      </c>
      <c r="AS655" s="1" t="s">
        <v>71</v>
      </c>
      <c r="AU655" s="1" t="s">
        <v>72</v>
      </c>
      <c r="AV655" s="1" t="s">
        <v>73</v>
      </c>
      <c r="AX655" s="1">
        <v>0</v>
      </c>
      <c r="BA655" s="1">
        <v>9</v>
      </c>
      <c r="BB655" s="1">
        <v>0</v>
      </c>
      <c r="BC655" s="1">
        <v>0</v>
      </c>
      <c r="BE655" s="1">
        <v>27188496</v>
      </c>
    </row>
    <row r="656" spans="1:57" x14ac:dyDescent="0.25">
      <c r="A656" s="1" t="str">
        <f>T("1944679004695633456")</f>
        <v>1944679004695633456</v>
      </c>
      <c r="B656" s="1" t="str">
        <f>T("249904687760")</f>
        <v>249904687760</v>
      </c>
      <c r="C656" s="1" t="str">
        <f>T("1941094470665635484")</f>
        <v>1941094470665635484</v>
      </c>
      <c r="AC656" s="1" t="s">
        <v>344</v>
      </c>
      <c r="AD656" s="1" t="s">
        <v>430</v>
      </c>
      <c r="AE656" s="1" t="s">
        <v>438</v>
      </c>
      <c r="AF656" s="1" t="s">
        <v>107</v>
      </c>
      <c r="AO656" s="2">
        <v>46275</v>
      </c>
      <c r="AP656" s="1" t="s">
        <v>248</v>
      </c>
      <c r="AS656" s="1" t="s">
        <v>71</v>
      </c>
      <c r="AU656" s="1" t="s">
        <v>72</v>
      </c>
      <c r="AV656" s="1" t="s">
        <v>437</v>
      </c>
      <c r="AX656" s="1">
        <v>0</v>
      </c>
      <c r="BA656" s="1">
        <v>9</v>
      </c>
      <c r="BB656" s="1">
        <v>0</v>
      </c>
      <c r="BC656" s="1">
        <v>0</v>
      </c>
      <c r="BE656" s="1">
        <v>27188496</v>
      </c>
    </row>
    <row r="657" spans="1:57" x14ac:dyDescent="0.25">
      <c r="A657" s="1" t="str">
        <f>T("1944679004762739984")</f>
        <v>1944679004762739984</v>
      </c>
      <c r="B657" s="1" t="str">
        <f>T("249915120166")</f>
        <v>249915120166</v>
      </c>
      <c r="C657" s="1" t="str">
        <f>T("1941094470665635984")</f>
        <v>1941094470665635984</v>
      </c>
      <c r="AC657" s="1" t="s">
        <v>344</v>
      </c>
      <c r="AD657" s="1" t="s">
        <v>430</v>
      </c>
      <c r="AE657" s="1" t="s">
        <v>439</v>
      </c>
      <c r="AF657" s="1" t="s">
        <v>144</v>
      </c>
      <c r="AO657" s="2">
        <v>46275</v>
      </c>
      <c r="AP657" s="1" t="s">
        <v>248</v>
      </c>
      <c r="AS657" s="1" t="s">
        <v>71</v>
      </c>
      <c r="AU657" s="1" t="s">
        <v>72</v>
      </c>
      <c r="AV657" s="1" t="s">
        <v>73</v>
      </c>
      <c r="AX657" s="1">
        <v>0</v>
      </c>
      <c r="BA657" s="1">
        <v>9</v>
      </c>
      <c r="BB657" s="1">
        <v>0</v>
      </c>
      <c r="BC657" s="1">
        <v>0</v>
      </c>
      <c r="BE657" s="1">
        <v>27188496</v>
      </c>
    </row>
    <row r="658" spans="1:57" x14ac:dyDescent="0.25">
      <c r="A658" s="1" t="str">
        <f>T("1944679004825653404")</f>
        <v>1944679004825653404</v>
      </c>
      <c r="B658" s="1" t="str">
        <f>T("249940619637")</f>
        <v>249940619637</v>
      </c>
      <c r="C658" s="1" t="str">
        <f>T("1941094470665636284")</f>
        <v>1941094470665636284</v>
      </c>
      <c r="AC658" s="1" t="s">
        <v>344</v>
      </c>
      <c r="AD658" s="1" t="s">
        <v>430</v>
      </c>
      <c r="AE658" s="1" t="s">
        <v>439</v>
      </c>
      <c r="AF658" s="1" t="s">
        <v>144</v>
      </c>
      <c r="AO658" s="2">
        <v>46275</v>
      </c>
      <c r="AP658" s="1" t="s">
        <v>248</v>
      </c>
      <c r="AS658" s="1" t="s">
        <v>71</v>
      </c>
      <c r="AU658" s="1" t="s">
        <v>72</v>
      </c>
      <c r="AV658" s="1" t="s">
        <v>73</v>
      </c>
      <c r="AX658" s="1">
        <v>0</v>
      </c>
      <c r="BA658" s="1">
        <v>9</v>
      </c>
      <c r="BB658" s="1">
        <v>0</v>
      </c>
      <c r="BC658" s="1">
        <v>0</v>
      </c>
      <c r="BE658" s="1">
        <v>27188496</v>
      </c>
    </row>
    <row r="659" spans="1:57" x14ac:dyDescent="0.25">
      <c r="A659" s="1" t="str">
        <f>T("1944679004884375616")</f>
        <v>1944679004884375616</v>
      </c>
      <c r="B659" s="1" t="str">
        <f>T("249917346290")</f>
        <v>249917346290</v>
      </c>
      <c r="C659" s="1" t="str">
        <f>T("1941094470665636684")</f>
        <v>1941094470665636684</v>
      </c>
      <c r="AC659" s="1" t="s">
        <v>344</v>
      </c>
      <c r="AD659" s="1" t="s">
        <v>430</v>
      </c>
      <c r="AE659" s="1" t="s">
        <v>439</v>
      </c>
      <c r="AF659" s="1" t="s">
        <v>144</v>
      </c>
      <c r="AO659" s="2">
        <v>46275</v>
      </c>
      <c r="AP659" s="1" t="s">
        <v>248</v>
      </c>
      <c r="AS659" s="1" t="s">
        <v>71</v>
      </c>
      <c r="AU659" s="1" t="s">
        <v>72</v>
      </c>
      <c r="AV659" s="1" t="s">
        <v>73</v>
      </c>
      <c r="AX659" s="1">
        <v>0</v>
      </c>
      <c r="BA659" s="1">
        <v>9</v>
      </c>
      <c r="BB659" s="1">
        <v>0</v>
      </c>
      <c r="BC659" s="1">
        <v>0</v>
      </c>
      <c r="BE659" s="1">
        <v>27188496</v>
      </c>
    </row>
    <row r="660" spans="1:57" x14ac:dyDescent="0.25">
      <c r="A660" s="1" t="str">
        <f>T("1944679004972455884")</f>
        <v>1944679004972455884</v>
      </c>
      <c r="B660" s="1" t="str">
        <f>T("249917261827")</f>
        <v>249917261827</v>
      </c>
      <c r="C660" s="1" t="str">
        <f>T("1941094470665637284")</f>
        <v>1941094470665637284</v>
      </c>
      <c r="AC660" s="1" t="s">
        <v>344</v>
      </c>
      <c r="AD660" s="1" t="s">
        <v>430</v>
      </c>
      <c r="AE660" s="1" t="s">
        <v>439</v>
      </c>
      <c r="AF660" s="1" t="s">
        <v>144</v>
      </c>
      <c r="AO660" s="2">
        <v>46275</v>
      </c>
      <c r="AP660" s="1" t="s">
        <v>248</v>
      </c>
      <c r="AS660" s="1" t="s">
        <v>71</v>
      </c>
      <c r="AU660" s="1" t="s">
        <v>72</v>
      </c>
      <c r="AV660" s="1" t="s">
        <v>73</v>
      </c>
      <c r="AX660" s="1">
        <v>0</v>
      </c>
      <c r="BA660" s="1">
        <v>9</v>
      </c>
      <c r="BB660" s="1">
        <v>0</v>
      </c>
      <c r="BC660" s="1">
        <v>0</v>
      </c>
      <c r="BE660" s="1">
        <v>27188496</v>
      </c>
    </row>
    <row r="661" spans="1:57" x14ac:dyDescent="0.25">
      <c r="A661" s="1" t="str">
        <f>T("1944679005043759620")</f>
        <v>1944679005043759620</v>
      </c>
      <c r="B661" s="1" t="str">
        <f>T("249967911967")</f>
        <v>249967911967</v>
      </c>
      <c r="C661" s="1" t="str">
        <f>T("1941094470669829292")</f>
        <v>1941094470669829292</v>
      </c>
      <c r="AC661" s="1" t="s">
        <v>344</v>
      </c>
      <c r="AD661" s="1" t="s">
        <v>430</v>
      </c>
      <c r="AE661" s="1" t="s">
        <v>439</v>
      </c>
      <c r="AF661" s="1" t="s">
        <v>144</v>
      </c>
      <c r="AO661" s="2">
        <v>46275</v>
      </c>
      <c r="AP661" s="1" t="s">
        <v>248</v>
      </c>
      <c r="AS661" s="1" t="s">
        <v>71</v>
      </c>
      <c r="AU661" s="1" t="s">
        <v>72</v>
      </c>
      <c r="AV661" s="1" t="s">
        <v>73</v>
      </c>
      <c r="AX661" s="1">
        <v>0</v>
      </c>
      <c r="BA661" s="1">
        <v>9</v>
      </c>
      <c r="BB661" s="1">
        <v>0</v>
      </c>
      <c r="BC661" s="1">
        <v>0</v>
      </c>
      <c r="BE661" s="1">
        <v>27188496</v>
      </c>
    </row>
    <row r="662" spans="1:57" x14ac:dyDescent="0.25">
      <c r="A662" s="1" t="str">
        <f>T("1944679005110866048")</f>
        <v>1944679005110866048</v>
      </c>
      <c r="B662" s="1" t="str">
        <f>T("249919368964")</f>
        <v>249919368964</v>
      </c>
      <c r="C662" s="1" t="str">
        <f>T("1941094470674025800")</f>
        <v>1941094470674025800</v>
      </c>
      <c r="AC662" s="1" t="s">
        <v>344</v>
      </c>
      <c r="AD662" s="1" t="s">
        <v>430</v>
      </c>
      <c r="AE662" s="1" t="s">
        <v>439</v>
      </c>
      <c r="AF662" s="1" t="s">
        <v>144</v>
      </c>
      <c r="AO662" s="2">
        <v>46275</v>
      </c>
      <c r="AP662" s="1" t="s">
        <v>248</v>
      </c>
      <c r="AS662" s="1" t="s">
        <v>71</v>
      </c>
      <c r="AU662" s="1" t="s">
        <v>72</v>
      </c>
      <c r="AV662" s="1" t="s">
        <v>73</v>
      </c>
      <c r="AX662" s="1">
        <v>0</v>
      </c>
      <c r="BA662" s="1">
        <v>9</v>
      </c>
      <c r="BB662" s="1">
        <v>0</v>
      </c>
      <c r="BC662" s="1">
        <v>0</v>
      </c>
      <c r="BE662" s="1">
        <v>27188496</v>
      </c>
    </row>
    <row r="663" spans="1:57" x14ac:dyDescent="0.25">
      <c r="A663" s="1" t="str">
        <f>T("1944679005169586660")</f>
        <v>1944679005169586660</v>
      </c>
      <c r="B663" s="1" t="str">
        <f>T("249917686030")</f>
        <v>249917686030</v>
      </c>
      <c r="C663" s="1" t="str">
        <f>T("1941094470678216708")</f>
        <v>1941094470678216708</v>
      </c>
      <c r="AC663" s="1" t="s">
        <v>344</v>
      </c>
      <c r="AD663" s="1" t="s">
        <v>430</v>
      </c>
      <c r="AE663" s="1" t="s">
        <v>440</v>
      </c>
      <c r="AF663" s="1" t="s">
        <v>144</v>
      </c>
      <c r="AO663" s="2">
        <v>46275</v>
      </c>
      <c r="AP663" s="1" t="s">
        <v>248</v>
      </c>
      <c r="AS663" s="1" t="s">
        <v>71</v>
      </c>
      <c r="AU663" s="1" t="s">
        <v>72</v>
      </c>
      <c r="AV663" s="1" t="s">
        <v>437</v>
      </c>
      <c r="AX663" s="1">
        <v>0</v>
      </c>
      <c r="BA663" s="1">
        <v>9</v>
      </c>
      <c r="BB663" s="1">
        <v>0</v>
      </c>
      <c r="BC663" s="1">
        <v>0</v>
      </c>
      <c r="BE663" s="1">
        <v>27188496</v>
      </c>
    </row>
    <row r="664" spans="1:57" x14ac:dyDescent="0.25">
      <c r="A664" s="1" t="str">
        <f>T("1944679005219920956")</f>
        <v>1944679005219920956</v>
      </c>
      <c r="B664" s="1" t="str">
        <f>T("249961693044")</f>
        <v>249961693044</v>
      </c>
      <c r="C664" s="1" t="str">
        <f>T("1941094470678217208")</f>
        <v>1941094470678217208</v>
      </c>
      <c r="AC664" s="1" t="s">
        <v>344</v>
      </c>
      <c r="AD664" s="1" t="s">
        <v>430</v>
      </c>
      <c r="AE664" s="1" t="s">
        <v>440</v>
      </c>
      <c r="AF664" s="1" t="s">
        <v>144</v>
      </c>
      <c r="AO664" s="2">
        <v>46275</v>
      </c>
      <c r="AP664" s="1" t="s">
        <v>248</v>
      </c>
      <c r="AS664" s="1" t="s">
        <v>71</v>
      </c>
      <c r="AU664" s="1" t="s">
        <v>72</v>
      </c>
      <c r="AV664" s="1" t="s">
        <v>437</v>
      </c>
      <c r="AX664" s="1">
        <v>0</v>
      </c>
      <c r="BA664" s="1">
        <v>9</v>
      </c>
      <c r="BB664" s="1">
        <v>0</v>
      </c>
      <c r="BC664" s="1">
        <v>0</v>
      </c>
      <c r="BE664" s="1">
        <v>27188496</v>
      </c>
    </row>
    <row r="665" spans="1:57" x14ac:dyDescent="0.25">
      <c r="A665" s="1" t="str">
        <f>T("1944679005274445960")</f>
        <v>1944679005274445960</v>
      </c>
      <c r="B665" s="1" t="str">
        <f>T("249996536987")</f>
        <v>249996536987</v>
      </c>
      <c r="C665" s="1" t="str">
        <f>T("1941094470678217708")</f>
        <v>1941094470678217708</v>
      </c>
      <c r="M665" s="1" t="s">
        <v>59</v>
      </c>
      <c r="O665" s="1" t="s">
        <v>60</v>
      </c>
      <c r="P665" s="1" t="s">
        <v>111</v>
      </c>
      <c r="Q665" s="1" t="s">
        <v>101</v>
      </c>
      <c r="R665" s="1" t="s">
        <v>93</v>
      </c>
      <c r="T665" s="1" t="s">
        <v>61</v>
      </c>
      <c r="AA665" s="1">
        <v>1</v>
      </c>
      <c r="AC665" s="1" t="s">
        <v>344</v>
      </c>
      <c r="AD665" s="1" t="s">
        <v>430</v>
      </c>
      <c r="AE665" s="1" t="s">
        <v>440</v>
      </c>
      <c r="AF665" s="1" t="s">
        <v>144</v>
      </c>
      <c r="AO665" s="2">
        <v>46275</v>
      </c>
      <c r="AP665" s="1" t="s">
        <v>248</v>
      </c>
      <c r="AQ665" s="2">
        <v>46275</v>
      </c>
      <c r="AR665" s="1" t="s">
        <v>269</v>
      </c>
      <c r="AS665" s="1" t="s">
        <v>71</v>
      </c>
      <c r="AU665" s="1" t="s">
        <v>78</v>
      </c>
      <c r="AV665" s="1" t="s">
        <v>80</v>
      </c>
      <c r="AW665" s="1">
        <v>329.8</v>
      </c>
      <c r="AX665" s="1">
        <v>0</v>
      </c>
      <c r="AZ665" s="1" t="s">
        <v>81</v>
      </c>
      <c r="BA665" s="1">
        <v>2</v>
      </c>
      <c r="BB665" s="1">
        <v>0</v>
      </c>
      <c r="BC665" s="1">
        <v>0</v>
      </c>
      <c r="BE665" s="1">
        <v>27188496</v>
      </c>
    </row>
    <row r="666" spans="1:57" x14ac:dyDescent="0.25">
      <c r="A666" s="1" t="str">
        <f>T("1944679005333164572")</f>
        <v>1944679005333164572</v>
      </c>
      <c r="B666" s="1" t="str">
        <f>T("249902577016")</f>
        <v>249902577016</v>
      </c>
      <c r="C666" s="1" t="str">
        <f>T("1941094470678218408")</f>
        <v>1941094470678218408</v>
      </c>
      <c r="AC666" s="1" t="s">
        <v>344</v>
      </c>
      <c r="AD666" s="1" t="s">
        <v>430</v>
      </c>
      <c r="AE666" s="1" t="s">
        <v>440</v>
      </c>
      <c r="AF666" s="1" t="s">
        <v>144</v>
      </c>
      <c r="AO666" s="2">
        <v>46275</v>
      </c>
      <c r="AP666" s="1" t="s">
        <v>248</v>
      </c>
      <c r="AS666" s="1" t="s">
        <v>71</v>
      </c>
      <c r="AU666" s="1" t="s">
        <v>72</v>
      </c>
      <c r="AV666" s="1" t="s">
        <v>437</v>
      </c>
      <c r="AX666" s="1">
        <v>0</v>
      </c>
      <c r="BA666" s="1">
        <v>9</v>
      </c>
      <c r="BB666" s="1">
        <v>0</v>
      </c>
      <c r="BC666" s="1">
        <v>0</v>
      </c>
      <c r="BE666" s="1">
        <v>27188496</v>
      </c>
    </row>
    <row r="667" spans="1:57" x14ac:dyDescent="0.25">
      <c r="A667" s="1" t="str">
        <f>T("1944679005383499568")</f>
        <v>1944679005383499568</v>
      </c>
      <c r="B667" s="1" t="str">
        <f>T("249910611577")</f>
        <v>249910611577</v>
      </c>
      <c r="C667" s="1" t="str">
        <f>T("1941094470678218808")</f>
        <v>1941094470678218808</v>
      </c>
      <c r="AC667" s="1" t="s">
        <v>344</v>
      </c>
      <c r="AD667" s="1" t="s">
        <v>430</v>
      </c>
      <c r="AE667" s="1" t="s">
        <v>440</v>
      </c>
      <c r="AF667" s="1" t="s">
        <v>144</v>
      </c>
      <c r="AO667" s="2">
        <v>46275</v>
      </c>
      <c r="AP667" s="1" t="s">
        <v>248</v>
      </c>
      <c r="AS667" s="1" t="s">
        <v>71</v>
      </c>
      <c r="AU667" s="1" t="s">
        <v>72</v>
      </c>
      <c r="AV667" s="1" t="s">
        <v>73</v>
      </c>
      <c r="AX667" s="1">
        <v>0</v>
      </c>
      <c r="BA667" s="1">
        <v>9</v>
      </c>
      <c r="BB667" s="1">
        <v>0</v>
      </c>
      <c r="BC667" s="1">
        <v>0</v>
      </c>
      <c r="BE667" s="1">
        <v>27188496</v>
      </c>
    </row>
    <row r="668" spans="1:57" x14ac:dyDescent="0.25">
      <c r="A668" s="1" t="str">
        <f>T("1944679005438024172")</f>
        <v>1944679005438024172</v>
      </c>
      <c r="B668" s="1" t="str">
        <f>T("249913440741")</f>
        <v>249913440741</v>
      </c>
      <c r="C668" s="1" t="str">
        <f>T("1941094470678219108")</f>
        <v>1941094470678219108</v>
      </c>
      <c r="AC668" s="1" t="s">
        <v>344</v>
      </c>
      <c r="AD668" s="1" t="s">
        <v>430</v>
      </c>
      <c r="AE668" s="1" t="s">
        <v>440</v>
      </c>
      <c r="AF668" s="1" t="s">
        <v>144</v>
      </c>
      <c r="AO668" s="2">
        <v>46275</v>
      </c>
      <c r="AP668" s="1" t="s">
        <v>248</v>
      </c>
      <c r="AS668" s="1" t="s">
        <v>71</v>
      </c>
      <c r="AU668" s="1" t="s">
        <v>72</v>
      </c>
      <c r="AV668" s="1" t="s">
        <v>437</v>
      </c>
      <c r="AX668" s="1">
        <v>0</v>
      </c>
      <c r="BA668" s="1">
        <v>9</v>
      </c>
      <c r="BB668" s="1">
        <v>0</v>
      </c>
      <c r="BC668" s="1">
        <v>0</v>
      </c>
      <c r="BE668" s="1">
        <v>27188496</v>
      </c>
    </row>
    <row r="669" spans="1:57" x14ac:dyDescent="0.25">
      <c r="A669" s="1" t="str">
        <f>T("1944679005505131400")</f>
        <v>1944679005505131400</v>
      </c>
      <c r="B669" s="1" t="str">
        <f>T("249908707019")</f>
        <v>249908707019</v>
      </c>
      <c r="C669" s="1" t="str">
        <f>T("1941094470678219608")</f>
        <v>1941094470678219608</v>
      </c>
      <c r="AC669" s="1" t="s">
        <v>344</v>
      </c>
      <c r="AD669" s="1" t="s">
        <v>430</v>
      </c>
      <c r="AE669" s="1" t="s">
        <v>440</v>
      </c>
      <c r="AF669" s="1" t="s">
        <v>144</v>
      </c>
      <c r="AO669" s="2">
        <v>46275</v>
      </c>
      <c r="AP669" s="1" t="s">
        <v>248</v>
      </c>
      <c r="AS669" s="1" t="s">
        <v>71</v>
      </c>
      <c r="AU669" s="1" t="s">
        <v>72</v>
      </c>
      <c r="AV669" s="1" t="s">
        <v>437</v>
      </c>
      <c r="AX669" s="1">
        <v>0</v>
      </c>
      <c r="BA669" s="1">
        <v>9</v>
      </c>
      <c r="BB669" s="1">
        <v>0</v>
      </c>
      <c r="BC669" s="1">
        <v>0</v>
      </c>
      <c r="BE669" s="1">
        <v>27188496</v>
      </c>
    </row>
    <row r="670" spans="1:57" x14ac:dyDescent="0.25">
      <c r="A670" s="1" t="str">
        <f>T("1944679005563853412")</f>
        <v>1944679005563853412</v>
      </c>
      <c r="B670" s="1" t="str">
        <f>T("249963567305")</f>
        <v>249963567305</v>
      </c>
      <c r="C670" s="1" t="str">
        <f>T("1941094470678220108")</f>
        <v>1941094470678220108</v>
      </c>
      <c r="AC670" s="1" t="s">
        <v>344</v>
      </c>
      <c r="AD670" s="1" t="s">
        <v>441</v>
      </c>
      <c r="AE670" s="1" t="s">
        <v>442</v>
      </c>
      <c r="AF670" s="1" t="s">
        <v>107</v>
      </c>
      <c r="AO670" s="2">
        <v>46275</v>
      </c>
      <c r="AP670" s="1" t="s">
        <v>248</v>
      </c>
      <c r="AS670" s="1" t="s">
        <v>71</v>
      </c>
      <c r="AU670" s="1" t="s">
        <v>72</v>
      </c>
      <c r="AV670" s="1" t="s">
        <v>437</v>
      </c>
      <c r="AX670" s="1">
        <v>0</v>
      </c>
      <c r="BA670" s="1">
        <v>9</v>
      </c>
      <c r="BB670" s="1">
        <v>0</v>
      </c>
      <c r="BC670" s="1">
        <v>0</v>
      </c>
      <c r="BE670" s="1">
        <v>27188496</v>
      </c>
    </row>
    <row r="671" spans="1:57" x14ac:dyDescent="0.25">
      <c r="A671" s="1" t="str">
        <f>T("1944679005626766532")</f>
        <v>1944679005626766532</v>
      </c>
      <c r="B671" s="1" t="str">
        <f>T("249904572749")</f>
        <v>249904572749</v>
      </c>
      <c r="C671" s="1" t="str">
        <f>T("1941094470678220508")</f>
        <v>1941094470678220508</v>
      </c>
      <c r="AC671" s="1" t="s">
        <v>344</v>
      </c>
      <c r="AD671" s="1" t="s">
        <v>441</v>
      </c>
      <c r="AE671" s="1" t="s">
        <v>442</v>
      </c>
      <c r="AF671" s="1" t="s">
        <v>107</v>
      </c>
      <c r="AO671" s="2">
        <v>46275</v>
      </c>
      <c r="AP671" s="1" t="s">
        <v>248</v>
      </c>
      <c r="AS671" s="1" t="s">
        <v>71</v>
      </c>
      <c r="AU671" s="1" t="s">
        <v>72</v>
      </c>
      <c r="AV671" s="1" t="s">
        <v>73</v>
      </c>
      <c r="AX671" s="1">
        <v>0</v>
      </c>
      <c r="BA671" s="1">
        <v>9</v>
      </c>
      <c r="BB671" s="1">
        <v>0</v>
      </c>
      <c r="BC671" s="1">
        <v>0</v>
      </c>
      <c r="BE671" s="1">
        <v>27188496</v>
      </c>
    </row>
    <row r="672" spans="1:57" x14ac:dyDescent="0.25">
      <c r="A672" s="1" t="str">
        <f>T("1944679005693874360")</f>
        <v>1944679005693874360</v>
      </c>
      <c r="B672" s="1" t="str">
        <f>T("249901799006")</f>
        <v>249901799006</v>
      </c>
      <c r="C672" s="1" t="str">
        <f>T("1941094470682411116")</f>
        <v>1941094470682411116</v>
      </c>
      <c r="AC672" s="1" t="s">
        <v>344</v>
      </c>
      <c r="AD672" s="1" t="s">
        <v>441</v>
      </c>
      <c r="AE672" s="1" t="s">
        <v>442</v>
      </c>
      <c r="AF672" s="1" t="s">
        <v>144</v>
      </c>
      <c r="AO672" s="2">
        <v>46275</v>
      </c>
      <c r="AP672" s="1" t="s">
        <v>248</v>
      </c>
      <c r="AS672" s="1" t="s">
        <v>71</v>
      </c>
      <c r="AU672" s="1" t="s">
        <v>72</v>
      </c>
      <c r="AV672" s="1" t="s">
        <v>437</v>
      </c>
      <c r="AX672" s="1">
        <v>0</v>
      </c>
      <c r="BA672" s="1">
        <v>9</v>
      </c>
      <c r="BB672" s="1">
        <v>0</v>
      </c>
      <c r="BC672" s="1">
        <v>0</v>
      </c>
      <c r="BE672" s="1">
        <v>27188496</v>
      </c>
    </row>
    <row r="673" spans="1:57" x14ac:dyDescent="0.25">
      <c r="A673" s="1" t="str">
        <f>T("1944679005748401764")</f>
        <v>1944679005748401764</v>
      </c>
      <c r="B673" s="1" t="str">
        <f>T("249968934277")</f>
        <v>249968934277</v>
      </c>
      <c r="C673" s="1" t="str">
        <f>T("1941094470682411516")</f>
        <v>1941094470682411516</v>
      </c>
      <c r="AC673" s="1" t="s">
        <v>344</v>
      </c>
      <c r="AD673" s="1" t="s">
        <v>441</v>
      </c>
      <c r="AE673" s="1" t="s">
        <v>442</v>
      </c>
      <c r="AF673" s="1" t="s">
        <v>107</v>
      </c>
      <c r="AO673" s="2">
        <v>46275</v>
      </c>
      <c r="AP673" s="1" t="s">
        <v>248</v>
      </c>
      <c r="AS673" s="1" t="s">
        <v>71</v>
      </c>
      <c r="AU673" s="1" t="s">
        <v>72</v>
      </c>
      <c r="AV673" s="1" t="s">
        <v>437</v>
      </c>
      <c r="AX673" s="1">
        <v>0</v>
      </c>
      <c r="BA673" s="1">
        <v>9</v>
      </c>
      <c r="BB673" s="1">
        <v>0</v>
      </c>
      <c r="BC673" s="1">
        <v>0</v>
      </c>
      <c r="BE673" s="1">
        <v>27188496</v>
      </c>
    </row>
    <row r="674" spans="1:57" x14ac:dyDescent="0.25">
      <c r="A674" s="1" t="str">
        <f>T("1944679005807123576")</f>
        <v>1944679005807123576</v>
      </c>
      <c r="B674" s="1" t="str">
        <f>T("249968580874")</f>
        <v>249968580874</v>
      </c>
      <c r="C674" s="1" t="str">
        <f>T("1941094470682411916")</f>
        <v>1941094470682411916</v>
      </c>
      <c r="AC674" s="1" t="s">
        <v>344</v>
      </c>
      <c r="AD674" s="1" t="s">
        <v>441</v>
      </c>
      <c r="AE674" s="1" t="s">
        <v>443</v>
      </c>
      <c r="AF674" s="1" t="s">
        <v>107</v>
      </c>
      <c r="AO674" s="2">
        <v>46275</v>
      </c>
      <c r="AP674" s="1" t="s">
        <v>248</v>
      </c>
      <c r="AS674" s="1" t="s">
        <v>71</v>
      </c>
      <c r="AU674" s="1" t="s">
        <v>72</v>
      </c>
      <c r="AV674" s="1" t="s">
        <v>73</v>
      </c>
      <c r="AX674" s="1">
        <v>0</v>
      </c>
      <c r="BA674" s="1">
        <v>9</v>
      </c>
      <c r="BB674" s="1">
        <v>0</v>
      </c>
      <c r="BC674" s="1">
        <v>0</v>
      </c>
      <c r="BE674" s="1">
        <v>27188496</v>
      </c>
    </row>
    <row r="675" spans="1:57" x14ac:dyDescent="0.25">
      <c r="A675" s="1" t="str">
        <f>T("1944679005874229304")</f>
        <v>1944679005874229304</v>
      </c>
      <c r="B675" s="1" t="str">
        <f>T("249124197288")</f>
        <v>249124197288</v>
      </c>
      <c r="C675" s="1" t="str">
        <f>T("1941094470682412216")</f>
        <v>1941094470682412216</v>
      </c>
      <c r="M675" s="1" t="s">
        <v>59</v>
      </c>
      <c r="O675" s="1" t="s">
        <v>65</v>
      </c>
      <c r="P675" s="1" t="s">
        <v>83</v>
      </c>
      <c r="Q675" s="1" t="s">
        <v>112</v>
      </c>
      <c r="R675" s="1" t="s">
        <v>93</v>
      </c>
      <c r="T675" s="1" t="s">
        <v>95</v>
      </c>
      <c r="U675" s="1" t="s">
        <v>65</v>
      </c>
      <c r="V675" s="1" t="s">
        <v>68</v>
      </c>
      <c r="W675" s="1" t="s">
        <v>60</v>
      </c>
      <c r="X675" s="1" t="s">
        <v>66</v>
      </c>
      <c r="Y675" s="1" t="s">
        <v>160</v>
      </c>
      <c r="AA675" s="1">
        <v>1</v>
      </c>
      <c r="AB675" s="1">
        <v>1</v>
      </c>
      <c r="AC675" s="1" t="s">
        <v>344</v>
      </c>
      <c r="AD675" s="1" t="s">
        <v>441</v>
      </c>
      <c r="AE675" s="1" t="s">
        <v>443</v>
      </c>
      <c r="AF675" s="1" t="s">
        <v>144</v>
      </c>
      <c r="AO675" s="2">
        <v>46275</v>
      </c>
      <c r="AP675" s="1" t="s">
        <v>248</v>
      </c>
      <c r="AQ675" s="2">
        <v>46275</v>
      </c>
      <c r="AR675" s="1" t="s">
        <v>257</v>
      </c>
      <c r="AS675" s="1" t="s">
        <v>71</v>
      </c>
      <c r="AU675" s="1" t="s">
        <v>78</v>
      </c>
      <c r="AV675" s="1" t="s">
        <v>80</v>
      </c>
      <c r="AW675" s="1">
        <v>243.64</v>
      </c>
      <c r="AX675" s="1">
        <v>0</v>
      </c>
      <c r="AZ675" s="1" t="s">
        <v>81</v>
      </c>
      <c r="BA675" s="1">
        <v>2</v>
      </c>
      <c r="BB675" s="1">
        <v>0</v>
      </c>
      <c r="BC675" s="1">
        <v>0</v>
      </c>
      <c r="BE675" s="1">
        <v>27188496</v>
      </c>
    </row>
    <row r="676" spans="1:57" x14ac:dyDescent="0.25">
      <c r="A676" s="1" t="str">
        <f>T("1944679005932950616")</f>
        <v>1944679005932950616</v>
      </c>
      <c r="B676" s="1" t="str">
        <f>T("249126599700")</f>
        <v>249126599700</v>
      </c>
      <c r="C676" s="1" t="str">
        <f>T("1941094470682412616")</f>
        <v>1941094470682412616</v>
      </c>
      <c r="AC676" s="1" t="s">
        <v>344</v>
      </c>
      <c r="AD676" s="1" t="s">
        <v>441</v>
      </c>
      <c r="AE676" s="1" t="s">
        <v>443</v>
      </c>
      <c r="AF676" s="1" t="s">
        <v>144</v>
      </c>
      <c r="AO676" s="2">
        <v>46275</v>
      </c>
      <c r="AP676" s="1" t="s">
        <v>248</v>
      </c>
      <c r="AQ676" s="2">
        <v>46275</v>
      </c>
      <c r="AR676" s="1" t="s">
        <v>444</v>
      </c>
      <c r="AS676" s="1" t="s">
        <v>71</v>
      </c>
      <c r="AU676" s="1" t="s">
        <v>79</v>
      </c>
      <c r="AV676" s="1" t="s">
        <v>80</v>
      </c>
      <c r="AW676" s="1">
        <v>15.18</v>
      </c>
      <c r="AX676" s="1">
        <v>0</v>
      </c>
      <c r="AZ676" s="1" t="s">
        <v>81</v>
      </c>
      <c r="BA676" s="1">
        <v>2</v>
      </c>
      <c r="BB676" s="1">
        <v>0</v>
      </c>
      <c r="BC676" s="1">
        <v>0</v>
      </c>
      <c r="BE676" s="1">
        <v>27188496</v>
      </c>
    </row>
    <row r="677" spans="1:57" x14ac:dyDescent="0.25">
      <c r="A677" s="1" t="str">
        <f>T("1944679005991672328")</f>
        <v>1944679005991672328</v>
      </c>
      <c r="B677" s="1" t="str">
        <f>T("249903177645")</f>
        <v>249903177645</v>
      </c>
      <c r="C677" s="1" t="str">
        <f>T("1941094470682412916")</f>
        <v>1941094470682412916</v>
      </c>
      <c r="AC677" s="1" t="s">
        <v>344</v>
      </c>
      <c r="AD677" s="1" t="s">
        <v>441</v>
      </c>
      <c r="AE677" s="1" t="s">
        <v>443</v>
      </c>
      <c r="AF677" s="1" t="s">
        <v>107</v>
      </c>
      <c r="AO677" s="2">
        <v>46275</v>
      </c>
      <c r="AP677" s="1" t="s">
        <v>248</v>
      </c>
      <c r="AS677" s="1" t="s">
        <v>71</v>
      </c>
      <c r="AU677" s="1" t="s">
        <v>72</v>
      </c>
      <c r="AV677" s="1" t="s">
        <v>73</v>
      </c>
      <c r="AX677" s="1">
        <v>0</v>
      </c>
      <c r="BA677" s="1">
        <v>9</v>
      </c>
      <c r="BB677" s="1">
        <v>0</v>
      </c>
      <c r="BC677" s="1">
        <v>0</v>
      </c>
      <c r="BE677" s="1">
        <v>27188496</v>
      </c>
    </row>
    <row r="678" spans="1:57" x14ac:dyDescent="0.25">
      <c r="A678" s="1" t="str">
        <f>T("1944679006054587348")</f>
        <v>1944679006054587348</v>
      </c>
      <c r="B678" s="1" t="str">
        <f>T("249110839415")</f>
        <v>249110839415</v>
      </c>
      <c r="C678" s="1" t="str">
        <f>T("1941094470682413316")</f>
        <v>1941094470682413316</v>
      </c>
      <c r="AC678" s="1" t="s">
        <v>344</v>
      </c>
      <c r="AD678" s="1" t="s">
        <v>441</v>
      </c>
      <c r="AE678" s="1" t="s">
        <v>443</v>
      </c>
      <c r="AF678" s="1" t="s">
        <v>107</v>
      </c>
      <c r="AO678" s="2">
        <v>46275</v>
      </c>
      <c r="AP678" s="1" t="s">
        <v>248</v>
      </c>
      <c r="AQ678" s="2">
        <v>46275</v>
      </c>
      <c r="AR678" s="1" t="s">
        <v>445</v>
      </c>
      <c r="AS678" s="1" t="s">
        <v>71</v>
      </c>
      <c r="AU678" s="1" t="s">
        <v>79</v>
      </c>
      <c r="AV678" s="1" t="s">
        <v>80</v>
      </c>
      <c r="AW678" s="1">
        <v>12.74</v>
      </c>
      <c r="AX678" s="1">
        <v>0</v>
      </c>
      <c r="AZ678" s="1" t="s">
        <v>81</v>
      </c>
      <c r="BA678" s="1">
        <v>2</v>
      </c>
      <c r="BB678" s="1">
        <v>0</v>
      </c>
      <c r="BC678" s="1">
        <v>0</v>
      </c>
      <c r="BE678" s="1">
        <v>27188496</v>
      </c>
    </row>
    <row r="679" spans="1:57" x14ac:dyDescent="0.25">
      <c r="A679" s="1" t="str">
        <f>T("1944679006113307760")</f>
        <v>1944679006113307760</v>
      </c>
      <c r="B679" s="1" t="str">
        <f>T("249962973112")</f>
        <v>249962973112</v>
      </c>
      <c r="C679" s="1" t="str">
        <f>T("1941094470682413616")</f>
        <v>1941094470682413616</v>
      </c>
      <c r="AC679" s="1" t="s">
        <v>344</v>
      </c>
      <c r="AD679" s="1" t="s">
        <v>441</v>
      </c>
      <c r="AE679" s="1" t="s">
        <v>443</v>
      </c>
      <c r="AF679" s="1" t="s">
        <v>107</v>
      </c>
      <c r="AO679" s="2">
        <v>46275</v>
      </c>
      <c r="AP679" s="1" t="s">
        <v>248</v>
      </c>
      <c r="AS679" s="1" t="s">
        <v>71</v>
      </c>
      <c r="AU679" s="1" t="s">
        <v>72</v>
      </c>
      <c r="AV679" s="1" t="s">
        <v>73</v>
      </c>
      <c r="AX679" s="1">
        <v>0</v>
      </c>
      <c r="BA679" s="1">
        <v>9</v>
      </c>
      <c r="BB679" s="1">
        <v>0</v>
      </c>
      <c r="BC679" s="1">
        <v>0</v>
      </c>
      <c r="BE679" s="1">
        <v>27188496</v>
      </c>
    </row>
    <row r="680" spans="1:57" x14ac:dyDescent="0.25">
      <c r="A680" s="1" t="str">
        <f>T("1944679006180413588")</f>
        <v>1944679006180413588</v>
      </c>
      <c r="B680" s="1" t="str">
        <f>T("249116125997")</f>
        <v>249116125997</v>
      </c>
      <c r="C680" s="1" t="str">
        <f>T("1941094470682414016")</f>
        <v>1941094470682414016</v>
      </c>
      <c r="AC680" s="1" t="s">
        <v>344</v>
      </c>
      <c r="AD680" s="1" t="s">
        <v>441</v>
      </c>
      <c r="AE680" s="1" t="s">
        <v>443</v>
      </c>
      <c r="AF680" s="1" t="s">
        <v>107</v>
      </c>
      <c r="AO680" s="2">
        <v>46275</v>
      </c>
      <c r="AP680" s="1" t="s">
        <v>248</v>
      </c>
      <c r="AS680" s="1" t="s">
        <v>71</v>
      </c>
      <c r="AU680" s="1" t="s">
        <v>72</v>
      </c>
      <c r="AV680" s="1" t="s">
        <v>73</v>
      </c>
      <c r="AX680" s="1">
        <v>0</v>
      </c>
      <c r="BA680" s="1">
        <v>9</v>
      </c>
      <c r="BB680" s="1">
        <v>0</v>
      </c>
      <c r="BC680" s="1">
        <v>0</v>
      </c>
      <c r="BE680" s="1">
        <v>27188496</v>
      </c>
    </row>
    <row r="681" spans="1:57" x14ac:dyDescent="0.25">
      <c r="A681" s="1" t="str">
        <f>T("1944679006234940192")</f>
        <v>1944679006234940192</v>
      </c>
      <c r="B681" s="1" t="str">
        <f>T("249968166017")</f>
        <v>249968166017</v>
      </c>
      <c r="C681" s="1" t="str">
        <f>T("1941094470682414616")</f>
        <v>1941094470682414616</v>
      </c>
      <c r="AC681" s="1" t="s">
        <v>344</v>
      </c>
      <c r="AD681" s="1" t="s">
        <v>441</v>
      </c>
      <c r="AE681" s="1" t="s">
        <v>446</v>
      </c>
      <c r="AF681" s="1" t="s">
        <v>107</v>
      </c>
      <c r="AO681" s="2">
        <v>46275</v>
      </c>
      <c r="AP681" s="1" t="s">
        <v>248</v>
      </c>
      <c r="AS681" s="1" t="s">
        <v>71</v>
      </c>
      <c r="AU681" s="1" t="s">
        <v>72</v>
      </c>
      <c r="AV681" s="1" t="s">
        <v>437</v>
      </c>
      <c r="AX681" s="1">
        <v>0</v>
      </c>
      <c r="BA681" s="1">
        <v>9</v>
      </c>
      <c r="BB681" s="1">
        <v>0</v>
      </c>
      <c r="BC681" s="1">
        <v>0</v>
      </c>
      <c r="BE681" s="1">
        <v>27188496</v>
      </c>
    </row>
    <row r="682" spans="1:57" x14ac:dyDescent="0.25">
      <c r="A682" s="1" t="str">
        <f>T("1944679006289467696")</f>
        <v>1944679006289467696</v>
      </c>
      <c r="B682" s="1" t="str">
        <f>T("249909602364")</f>
        <v>249909602364</v>
      </c>
      <c r="C682" s="1" t="str">
        <f>T("1941094470682415016")</f>
        <v>1941094470682415016</v>
      </c>
      <c r="AC682" s="1" t="s">
        <v>344</v>
      </c>
      <c r="AD682" s="1" t="s">
        <v>441</v>
      </c>
      <c r="AE682" s="1" t="s">
        <v>446</v>
      </c>
      <c r="AF682" s="1" t="s">
        <v>107</v>
      </c>
      <c r="AO682" s="2">
        <v>46275</v>
      </c>
      <c r="AP682" s="1" t="s">
        <v>248</v>
      </c>
      <c r="AS682" s="1" t="s">
        <v>71</v>
      </c>
      <c r="AU682" s="1" t="s">
        <v>72</v>
      </c>
      <c r="AV682" s="1" t="s">
        <v>73</v>
      </c>
      <c r="AX682" s="1">
        <v>0</v>
      </c>
      <c r="BA682" s="1">
        <v>9</v>
      </c>
      <c r="BB682" s="1">
        <v>0</v>
      </c>
      <c r="BC682" s="1">
        <v>0</v>
      </c>
      <c r="BE682" s="1">
        <v>27188496</v>
      </c>
    </row>
    <row r="683" spans="1:57" x14ac:dyDescent="0.25">
      <c r="A683" s="1" t="str">
        <f>T("1944679006343992200")</f>
        <v>1944679006343992200</v>
      </c>
      <c r="B683" s="1" t="str">
        <f>T("249251492017")</f>
        <v>249251492017</v>
      </c>
      <c r="C683" s="1" t="str">
        <f>T("1941094470686605624")</f>
        <v>1941094470686605624</v>
      </c>
      <c r="AC683" s="1" t="s">
        <v>344</v>
      </c>
      <c r="AD683" s="1" t="s">
        <v>441</v>
      </c>
      <c r="AE683" s="1" t="s">
        <v>446</v>
      </c>
      <c r="AF683" s="1" t="s">
        <v>144</v>
      </c>
      <c r="AO683" s="2">
        <v>46275</v>
      </c>
      <c r="AP683" s="1" t="s">
        <v>248</v>
      </c>
      <c r="AS683" s="1" t="s">
        <v>71</v>
      </c>
      <c r="AU683" s="1" t="s">
        <v>72</v>
      </c>
      <c r="AV683" s="1" t="s">
        <v>336</v>
      </c>
      <c r="AX683" s="1">
        <v>0</v>
      </c>
      <c r="BA683" s="1">
        <v>1</v>
      </c>
      <c r="BB683" s="1">
        <v>0</v>
      </c>
      <c r="BC683" s="1">
        <v>0</v>
      </c>
      <c r="BE683" s="1">
        <v>27188496</v>
      </c>
    </row>
    <row r="684" spans="1:57" x14ac:dyDescent="0.25">
      <c r="A684" s="1" t="str">
        <f>T("1944679006394324996")</f>
        <v>1944679006394324996</v>
      </c>
      <c r="B684" s="1" t="str">
        <f>T("249960188006")</f>
        <v>249960188006</v>
      </c>
      <c r="C684" s="1" t="str">
        <f>T("1941094470686605924")</f>
        <v>1941094470686605924</v>
      </c>
      <c r="AC684" s="1" t="s">
        <v>344</v>
      </c>
      <c r="AD684" s="1" t="s">
        <v>441</v>
      </c>
      <c r="AE684" s="1" t="s">
        <v>446</v>
      </c>
      <c r="AF684" s="1" t="s">
        <v>107</v>
      </c>
      <c r="AO684" s="2">
        <v>46275</v>
      </c>
      <c r="AP684" s="1" t="s">
        <v>248</v>
      </c>
      <c r="AS684" s="1" t="s">
        <v>71</v>
      </c>
      <c r="AU684" s="1" t="s">
        <v>72</v>
      </c>
      <c r="AV684" s="1" t="s">
        <v>437</v>
      </c>
      <c r="AX684" s="1">
        <v>0</v>
      </c>
      <c r="BA684" s="1">
        <v>9</v>
      </c>
      <c r="BB684" s="1">
        <v>0</v>
      </c>
      <c r="BC684" s="1">
        <v>0</v>
      </c>
      <c r="BE684" s="1">
        <v>27188496</v>
      </c>
    </row>
    <row r="685" spans="1:57" x14ac:dyDescent="0.25">
      <c r="A685" s="1" t="str">
        <f>T("1944679006457238916")</f>
        <v>1944679006457238916</v>
      </c>
      <c r="B685" s="1" t="str">
        <f>T("249913256807")</f>
        <v>249913256807</v>
      </c>
      <c r="C685" s="1" t="str">
        <f>T("1941094470686606324")</f>
        <v>1941094470686606324</v>
      </c>
      <c r="AC685" s="1" t="s">
        <v>344</v>
      </c>
      <c r="AD685" s="1" t="s">
        <v>441</v>
      </c>
      <c r="AE685" s="1" t="s">
        <v>447</v>
      </c>
      <c r="AF685" s="1" t="s">
        <v>107</v>
      </c>
      <c r="AG685" s="1">
        <v>60</v>
      </c>
      <c r="AO685" s="2">
        <v>46275</v>
      </c>
      <c r="AP685" s="1" t="s">
        <v>248</v>
      </c>
      <c r="AS685" s="1" t="s">
        <v>71</v>
      </c>
      <c r="AU685" s="1" t="s">
        <v>72</v>
      </c>
      <c r="AV685" s="1" t="s">
        <v>73</v>
      </c>
      <c r="AX685" s="1">
        <v>0</v>
      </c>
      <c r="BA685" s="1">
        <v>9</v>
      </c>
      <c r="BB685" s="1">
        <v>0</v>
      </c>
      <c r="BC685" s="1">
        <v>0</v>
      </c>
      <c r="BE685" s="1">
        <v>27188496</v>
      </c>
    </row>
    <row r="686" spans="1:57" x14ac:dyDescent="0.25">
      <c r="A686" s="1" t="str">
        <f>T("1944679006511767520")</f>
        <v>1944679006511767520</v>
      </c>
      <c r="B686" s="1" t="str">
        <f>T("249906223839")</f>
        <v>249906223839</v>
      </c>
      <c r="C686" s="1" t="str">
        <f>T("1941094470686606824")</f>
        <v>1941094470686606824</v>
      </c>
      <c r="AC686" s="1" t="s">
        <v>344</v>
      </c>
      <c r="AD686" s="1" t="s">
        <v>441</v>
      </c>
      <c r="AE686" s="1" t="s">
        <v>447</v>
      </c>
      <c r="AF686" s="1" t="s">
        <v>107</v>
      </c>
      <c r="AG686" s="1">
        <v>35</v>
      </c>
      <c r="AO686" s="2">
        <v>46275</v>
      </c>
      <c r="AP686" s="1" t="s">
        <v>248</v>
      </c>
      <c r="AS686" s="1" t="s">
        <v>71</v>
      </c>
      <c r="AU686" s="1" t="s">
        <v>72</v>
      </c>
      <c r="AV686" s="1" t="s">
        <v>437</v>
      </c>
      <c r="AX686" s="1">
        <v>0</v>
      </c>
      <c r="BA686" s="1">
        <v>9</v>
      </c>
      <c r="BB686" s="1">
        <v>0</v>
      </c>
      <c r="BC686" s="1">
        <v>0</v>
      </c>
      <c r="BE686" s="1">
        <v>27188496</v>
      </c>
    </row>
    <row r="687" spans="1:57" x14ac:dyDescent="0.25">
      <c r="A687" s="1" t="str">
        <f>T("1944679006570484132")</f>
        <v>1944679006570484132</v>
      </c>
      <c r="B687" s="1" t="str">
        <f>T("249962224307")</f>
        <v>249962224307</v>
      </c>
      <c r="C687" s="1" t="str">
        <f>T("1941094470686607124")</f>
        <v>1941094470686607124</v>
      </c>
      <c r="AC687" s="1" t="s">
        <v>344</v>
      </c>
      <c r="AD687" s="1" t="s">
        <v>441</v>
      </c>
      <c r="AE687" s="1" t="s">
        <v>447</v>
      </c>
      <c r="AF687" s="1" t="s">
        <v>107</v>
      </c>
      <c r="AG687" s="1">
        <v>60</v>
      </c>
      <c r="AO687" s="2">
        <v>46275</v>
      </c>
      <c r="AP687" s="1" t="s">
        <v>248</v>
      </c>
      <c r="AS687" s="1" t="s">
        <v>71</v>
      </c>
      <c r="AU687" s="1" t="s">
        <v>72</v>
      </c>
      <c r="AV687" s="1" t="s">
        <v>437</v>
      </c>
      <c r="AX687" s="1">
        <v>0</v>
      </c>
      <c r="BA687" s="1">
        <v>9</v>
      </c>
      <c r="BB687" s="1">
        <v>0</v>
      </c>
      <c r="BC687" s="1">
        <v>0</v>
      </c>
      <c r="BE687" s="1">
        <v>27188496</v>
      </c>
    </row>
    <row r="688" spans="1:57" x14ac:dyDescent="0.25">
      <c r="A688" s="1" t="str">
        <f>T("1944679006625012236")</f>
        <v>1944679006625012236</v>
      </c>
      <c r="B688" s="1" t="str">
        <f>T("249903233417")</f>
        <v>249903233417</v>
      </c>
      <c r="C688" s="1" t="str">
        <f>T("1941094470686607524")</f>
        <v>1941094470686607524</v>
      </c>
      <c r="AC688" s="1" t="s">
        <v>344</v>
      </c>
      <c r="AD688" s="1" t="s">
        <v>441</v>
      </c>
      <c r="AE688" s="1" t="s">
        <v>448</v>
      </c>
      <c r="AF688" s="1" t="s">
        <v>107</v>
      </c>
      <c r="AG688" s="1">
        <v>39</v>
      </c>
      <c r="AO688" s="2">
        <v>46275</v>
      </c>
      <c r="AP688" s="1" t="s">
        <v>248</v>
      </c>
      <c r="AS688" s="1" t="s">
        <v>71</v>
      </c>
      <c r="AU688" s="1" t="s">
        <v>72</v>
      </c>
      <c r="AV688" s="1" t="s">
        <v>437</v>
      </c>
      <c r="AX688" s="1">
        <v>0</v>
      </c>
      <c r="BA688" s="1">
        <v>9</v>
      </c>
      <c r="BB688" s="1">
        <v>0</v>
      </c>
      <c r="BC688" s="1">
        <v>0</v>
      </c>
      <c r="BE688" s="1">
        <v>27188496</v>
      </c>
    </row>
    <row r="689" spans="1:57" x14ac:dyDescent="0.25">
      <c r="A689" s="1" t="str">
        <f>T("1944679006683732148")</f>
        <v>1944679006683732148</v>
      </c>
      <c r="B689" s="1" t="str">
        <f>T("249965605702")</f>
        <v>249965605702</v>
      </c>
      <c r="C689" s="1" t="str">
        <f>T("1941094470686607924")</f>
        <v>1941094470686607924</v>
      </c>
      <c r="AC689" s="1" t="s">
        <v>344</v>
      </c>
      <c r="AD689" s="1" t="s">
        <v>441</v>
      </c>
      <c r="AE689" s="1" t="s">
        <v>448</v>
      </c>
      <c r="AF689" s="1" t="s">
        <v>107</v>
      </c>
      <c r="AG689" s="1">
        <v>51</v>
      </c>
      <c r="AO689" s="2">
        <v>46275</v>
      </c>
      <c r="AP689" s="1" t="s">
        <v>248</v>
      </c>
      <c r="AS689" s="1" t="s">
        <v>71</v>
      </c>
      <c r="AU689" s="1" t="s">
        <v>72</v>
      </c>
      <c r="AV689" s="1" t="s">
        <v>437</v>
      </c>
      <c r="AX689" s="1">
        <v>0</v>
      </c>
      <c r="BA689" s="1">
        <v>9</v>
      </c>
      <c r="BB689" s="1">
        <v>0</v>
      </c>
      <c r="BC689" s="1">
        <v>0</v>
      </c>
      <c r="BE689" s="1">
        <v>27188496</v>
      </c>
    </row>
    <row r="690" spans="1:57" x14ac:dyDescent="0.25">
      <c r="A690" s="1" t="str">
        <f>T("1944679006750842476")</f>
        <v>1944679006750842476</v>
      </c>
      <c r="B690" s="1" t="str">
        <f>T("249963345654")</f>
        <v>249963345654</v>
      </c>
      <c r="C690" s="1" t="str">
        <f>T("1941094470686608224")</f>
        <v>1941094470686608224</v>
      </c>
      <c r="AC690" s="1" t="s">
        <v>344</v>
      </c>
      <c r="AD690" s="1" t="s">
        <v>441</v>
      </c>
      <c r="AE690" s="1" t="s">
        <v>448</v>
      </c>
      <c r="AF690" s="1" t="s">
        <v>107</v>
      </c>
      <c r="AG690" s="1">
        <v>60</v>
      </c>
      <c r="AO690" s="2">
        <v>46275</v>
      </c>
      <c r="AP690" s="1" t="s">
        <v>248</v>
      </c>
      <c r="AS690" s="1" t="s">
        <v>71</v>
      </c>
      <c r="AU690" s="1" t="s">
        <v>72</v>
      </c>
      <c r="AV690" s="1" t="s">
        <v>73</v>
      </c>
      <c r="AX690" s="1">
        <v>0</v>
      </c>
      <c r="BA690" s="1">
        <v>9</v>
      </c>
      <c r="BB690" s="1">
        <v>0</v>
      </c>
      <c r="BC690" s="1">
        <v>0</v>
      </c>
      <c r="BE690" s="1">
        <v>27188496</v>
      </c>
    </row>
    <row r="691" spans="1:57" x14ac:dyDescent="0.25">
      <c r="A691" s="1" t="str">
        <f>T("1944679006755035684")</f>
        <v>1944679006755035684</v>
      </c>
      <c r="B691" s="1" t="str">
        <f>T("249906423979")</f>
        <v>249906423979</v>
      </c>
      <c r="C691" s="1" t="str">
        <f>T("1941094470686608824")</f>
        <v>1941094470686608824</v>
      </c>
      <c r="AC691" s="1" t="s">
        <v>344</v>
      </c>
      <c r="AD691" s="1" t="s">
        <v>441</v>
      </c>
      <c r="AE691" s="1" t="s">
        <v>448</v>
      </c>
      <c r="AF691" s="1" t="s">
        <v>107</v>
      </c>
      <c r="AG691" s="1">
        <v>37</v>
      </c>
      <c r="AO691" s="2">
        <v>46275</v>
      </c>
      <c r="AP691" s="1" t="s">
        <v>248</v>
      </c>
      <c r="AS691" s="1" t="s">
        <v>71</v>
      </c>
      <c r="AU691" s="1" t="s">
        <v>72</v>
      </c>
      <c r="AV691" s="1" t="s">
        <v>437</v>
      </c>
      <c r="AX691" s="1">
        <v>0</v>
      </c>
      <c r="BA691" s="1">
        <v>9</v>
      </c>
      <c r="BB691" s="1">
        <v>0</v>
      </c>
      <c r="BC691" s="1">
        <v>0</v>
      </c>
      <c r="BE691" s="1">
        <v>27188496</v>
      </c>
    </row>
    <row r="692" spans="1:57" x14ac:dyDescent="0.25">
      <c r="A692" s="1" t="str">
        <f>T("1944679006771813416")</f>
        <v>1944679006771813416</v>
      </c>
      <c r="B692" s="1" t="str">
        <f>T("249919355572")</f>
        <v>249919355572</v>
      </c>
      <c r="C692" s="1" t="str">
        <f>T("1941094470686609124")</f>
        <v>1941094470686609124</v>
      </c>
      <c r="AC692" s="1" t="s">
        <v>344</v>
      </c>
      <c r="AD692" s="1" t="s">
        <v>441</v>
      </c>
      <c r="AE692" s="1" t="s">
        <v>448</v>
      </c>
      <c r="AF692" s="1" t="s">
        <v>144</v>
      </c>
      <c r="AG692" s="1">
        <v>51</v>
      </c>
      <c r="AO692" s="2">
        <v>46275</v>
      </c>
      <c r="AP692" s="1" t="s">
        <v>248</v>
      </c>
      <c r="AS692" s="1" t="s">
        <v>71</v>
      </c>
      <c r="AU692" s="1" t="s">
        <v>72</v>
      </c>
      <c r="AV692" s="1" t="s">
        <v>73</v>
      </c>
      <c r="AX692" s="1">
        <v>0</v>
      </c>
      <c r="BA692" s="1">
        <v>9</v>
      </c>
      <c r="BB692" s="1">
        <v>0</v>
      </c>
      <c r="BC692" s="1">
        <v>0</v>
      </c>
      <c r="BE692" s="1">
        <v>27188496</v>
      </c>
    </row>
    <row r="693" spans="1:57" x14ac:dyDescent="0.25">
      <c r="A693" s="1" t="str">
        <f>T("1944679006771813516")</f>
        <v>1944679006771813516</v>
      </c>
      <c r="B693" s="1" t="str">
        <f>T("249915037268")</f>
        <v>249915037268</v>
      </c>
      <c r="C693" s="1" t="str">
        <f>T("1941094470690800232")</f>
        <v>1941094470690800232</v>
      </c>
      <c r="AC693" s="1" t="s">
        <v>344</v>
      </c>
      <c r="AD693" s="1" t="s">
        <v>441</v>
      </c>
      <c r="AE693" s="1" t="s">
        <v>448</v>
      </c>
      <c r="AF693" s="1" t="s">
        <v>107</v>
      </c>
      <c r="AG693" s="1">
        <v>44</v>
      </c>
      <c r="AO693" s="2">
        <v>46275</v>
      </c>
      <c r="AP693" s="1" t="s">
        <v>248</v>
      </c>
      <c r="AS693" s="1" t="s">
        <v>71</v>
      </c>
      <c r="AU693" s="1" t="s">
        <v>72</v>
      </c>
      <c r="AV693" s="1" t="s">
        <v>437</v>
      </c>
      <c r="AX693" s="1">
        <v>0</v>
      </c>
      <c r="BA693" s="1">
        <v>9</v>
      </c>
      <c r="BB693" s="1">
        <v>0</v>
      </c>
      <c r="BC693" s="1">
        <v>0</v>
      </c>
      <c r="BE693" s="1">
        <v>27188496</v>
      </c>
    </row>
    <row r="694" spans="1:57" x14ac:dyDescent="0.25">
      <c r="A694" s="1" t="str">
        <f>T("1944679006780201032")</f>
        <v>1944679006780201032</v>
      </c>
      <c r="B694" s="1" t="str">
        <f>T("249906773900")</f>
        <v>249906773900</v>
      </c>
      <c r="C694" s="1" t="str">
        <f>T("1941094470690799832")</f>
        <v>1941094470690799832</v>
      </c>
      <c r="AC694" s="1" t="s">
        <v>344</v>
      </c>
      <c r="AD694" s="1" t="s">
        <v>441</v>
      </c>
      <c r="AE694" s="1" t="s">
        <v>448</v>
      </c>
      <c r="AF694" s="1" t="s">
        <v>107</v>
      </c>
      <c r="AG694" s="1">
        <v>32</v>
      </c>
      <c r="AO694" s="2">
        <v>46275</v>
      </c>
      <c r="AP694" s="1" t="s">
        <v>248</v>
      </c>
      <c r="AS694" s="1" t="s">
        <v>71</v>
      </c>
      <c r="AU694" s="1" t="s">
        <v>72</v>
      </c>
      <c r="AV694" s="1" t="s">
        <v>73</v>
      </c>
      <c r="AX694" s="1">
        <v>0</v>
      </c>
      <c r="BA694" s="1">
        <v>9</v>
      </c>
      <c r="BB694" s="1">
        <v>0</v>
      </c>
      <c r="BC694" s="1">
        <v>0</v>
      </c>
      <c r="BE694" s="1">
        <v>27188496</v>
      </c>
    </row>
    <row r="695" spans="1:57" x14ac:dyDescent="0.25">
      <c r="A695" s="1" t="str">
        <f>T("1944679006834728636")</f>
        <v>1944679006834728636</v>
      </c>
      <c r="B695" s="1" t="str">
        <f>T("249900488230")</f>
        <v>249900488230</v>
      </c>
      <c r="C695" s="1" t="str">
        <f>T("1941094470690800632")</f>
        <v>1941094470690800632</v>
      </c>
      <c r="AC695" s="1" t="s">
        <v>449</v>
      </c>
      <c r="AD695" s="1" t="s">
        <v>450</v>
      </c>
      <c r="AE695" s="1" t="s">
        <v>451</v>
      </c>
      <c r="AF695" s="1" t="s">
        <v>107</v>
      </c>
      <c r="AG695" s="1">
        <v>42</v>
      </c>
      <c r="AO695" s="2">
        <v>46275</v>
      </c>
      <c r="AP695" s="1" t="s">
        <v>248</v>
      </c>
      <c r="AS695" s="1" t="s">
        <v>71</v>
      </c>
      <c r="AU695" s="1" t="s">
        <v>72</v>
      </c>
      <c r="AV695" s="1" t="s">
        <v>73</v>
      </c>
      <c r="AX695" s="1">
        <v>0</v>
      </c>
      <c r="BA695" s="1">
        <v>9</v>
      </c>
      <c r="BB695" s="1">
        <v>0</v>
      </c>
      <c r="BC695" s="1">
        <v>0</v>
      </c>
      <c r="BE695" s="1">
        <v>27188496</v>
      </c>
    </row>
    <row r="696" spans="1:57" x14ac:dyDescent="0.25">
      <c r="A696" s="1" t="str">
        <f>T("1944679006872477608")</f>
        <v>1944679006872477608</v>
      </c>
      <c r="B696" s="1" t="str">
        <f>T("249962445584")</f>
        <v>249962445584</v>
      </c>
      <c r="C696" s="1" t="str">
        <f>T("1941094470690800932")</f>
        <v>1941094470690800932</v>
      </c>
      <c r="AC696" s="1" t="s">
        <v>449</v>
      </c>
      <c r="AD696" s="1" t="s">
        <v>450</v>
      </c>
      <c r="AE696" s="1" t="s">
        <v>451</v>
      </c>
      <c r="AF696" s="1" t="s">
        <v>144</v>
      </c>
      <c r="AG696" s="1">
        <v>40</v>
      </c>
      <c r="AO696" s="2">
        <v>46275</v>
      </c>
      <c r="AP696" s="1" t="s">
        <v>248</v>
      </c>
      <c r="AS696" s="1" t="s">
        <v>71</v>
      </c>
      <c r="AU696" s="1" t="s">
        <v>72</v>
      </c>
      <c r="AV696" s="1" t="s">
        <v>73</v>
      </c>
      <c r="AX696" s="1">
        <v>0</v>
      </c>
      <c r="BA696" s="1">
        <v>9</v>
      </c>
      <c r="BB696" s="1">
        <v>0</v>
      </c>
      <c r="BC696" s="1">
        <v>0</v>
      </c>
      <c r="BE696" s="1">
        <v>27188496</v>
      </c>
    </row>
    <row r="697" spans="1:57" x14ac:dyDescent="0.25">
      <c r="A697" s="1" t="str">
        <f>T("1944679006880865224")</f>
        <v>1944679006880865224</v>
      </c>
      <c r="B697" s="1" t="str">
        <f>T("249961947092")</f>
        <v>249961947092</v>
      </c>
      <c r="C697" s="1" t="str">
        <f>T("1941094470690801232")</f>
        <v>1941094470690801232</v>
      </c>
      <c r="AC697" s="1" t="s">
        <v>449</v>
      </c>
      <c r="AD697" s="1" t="s">
        <v>450</v>
      </c>
      <c r="AE697" s="1" t="s">
        <v>451</v>
      </c>
      <c r="AF697" s="1" t="s">
        <v>144</v>
      </c>
      <c r="AG697" s="1">
        <v>37</v>
      </c>
      <c r="AO697" s="2">
        <v>46275</v>
      </c>
      <c r="AP697" s="1" t="s">
        <v>248</v>
      </c>
      <c r="AS697" s="1" t="s">
        <v>71</v>
      </c>
      <c r="AU697" s="1" t="s">
        <v>72</v>
      </c>
      <c r="AV697" s="1" t="s">
        <v>73</v>
      </c>
      <c r="AX697" s="1">
        <v>0</v>
      </c>
      <c r="BA697" s="1">
        <v>9</v>
      </c>
      <c r="BB697" s="1">
        <v>0</v>
      </c>
      <c r="BC697" s="1">
        <v>0</v>
      </c>
      <c r="BE697" s="1">
        <v>27188496</v>
      </c>
    </row>
    <row r="698" spans="1:57" x14ac:dyDescent="0.25">
      <c r="A698" s="1" t="str">
        <f>T("1944679006885056832")</f>
        <v>1944679006885056832</v>
      </c>
      <c r="B698" s="1" t="str">
        <f>T("249962472887")</f>
        <v>249962472887</v>
      </c>
      <c r="C698" s="1" t="str">
        <f>T("1941094470690801632")</f>
        <v>1941094470690801632</v>
      </c>
      <c r="AC698" s="1" t="s">
        <v>449</v>
      </c>
      <c r="AD698" s="1" t="s">
        <v>450</v>
      </c>
      <c r="AE698" s="1" t="s">
        <v>452</v>
      </c>
      <c r="AF698" s="1" t="s">
        <v>107</v>
      </c>
      <c r="AG698" s="1">
        <v>38</v>
      </c>
      <c r="AO698" s="2">
        <v>46275</v>
      </c>
      <c r="AP698" s="1" t="s">
        <v>248</v>
      </c>
      <c r="AS698" s="1" t="s">
        <v>71</v>
      </c>
      <c r="AU698" s="1" t="s">
        <v>72</v>
      </c>
      <c r="AV698" s="1" t="s">
        <v>437</v>
      </c>
      <c r="AX698" s="1">
        <v>0</v>
      </c>
      <c r="BA698" s="1">
        <v>9</v>
      </c>
      <c r="BB698" s="1">
        <v>0</v>
      </c>
      <c r="BC698" s="1">
        <v>0</v>
      </c>
      <c r="BE698" s="1">
        <v>27188496</v>
      </c>
    </row>
    <row r="699" spans="1:57" x14ac:dyDescent="0.25">
      <c r="A699" s="1" t="str">
        <f>T("1944679006893447248")</f>
        <v>1944679006893447248</v>
      </c>
      <c r="B699" s="1" t="str">
        <f>T("249907687757")</f>
        <v>249907687757</v>
      </c>
      <c r="C699" s="1" t="str">
        <f>T("1941094470690801932")</f>
        <v>1941094470690801932</v>
      </c>
      <c r="AC699" s="1" t="s">
        <v>449</v>
      </c>
      <c r="AD699" s="1" t="s">
        <v>450</v>
      </c>
      <c r="AE699" s="1" t="s">
        <v>452</v>
      </c>
      <c r="AF699" s="1" t="s">
        <v>144</v>
      </c>
      <c r="AG699" s="1">
        <v>41</v>
      </c>
      <c r="AO699" s="2">
        <v>46275</v>
      </c>
      <c r="AP699" s="1" t="s">
        <v>248</v>
      </c>
      <c r="AS699" s="1" t="s">
        <v>71</v>
      </c>
      <c r="AU699" s="1" t="s">
        <v>72</v>
      </c>
      <c r="AV699" s="1" t="s">
        <v>73</v>
      </c>
      <c r="AX699" s="1">
        <v>0</v>
      </c>
      <c r="BA699" s="1">
        <v>9</v>
      </c>
      <c r="BB699" s="1">
        <v>0</v>
      </c>
      <c r="BC699" s="1">
        <v>0</v>
      </c>
      <c r="BE699" s="1">
        <v>27188496</v>
      </c>
    </row>
    <row r="700" spans="1:57" x14ac:dyDescent="0.25">
      <c r="A700" s="1" t="str">
        <f>T("1944679006897642456")</f>
        <v>1944679006897642456</v>
      </c>
      <c r="B700" s="1" t="str">
        <f>T("249118276388")</f>
        <v>249118276388</v>
      </c>
      <c r="C700" s="1" t="str">
        <f>T("1941094470690802332")</f>
        <v>1941094470690802332</v>
      </c>
      <c r="AC700" s="1" t="s">
        <v>449</v>
      </c>
      <c r="AD700" s="1" t="s">
        <v>450</v>
      </c>
      <c r="AE700" s="1" t="s">
        <v>452</v>
      </c>
      <c r="AF700" s="1" t="s">
        <v>144</v>
      </c>
      <c r="AG700" s="1">
        <v>36</v>
      </c>
      <c r="AO700" s="2">
        <v>46275</v>
      </c>
      <c r="AP700" s="1" t="s">
        <v>248</v>
      </c>
      <c r="AS700" s="1" t="s">
        <v>71</v>
      </c>
      <c r="AU700" s="1" t="s">
        <v>72</v>
      </c>
      <c r="AV700" s="1" t="s">
        <v>73</v>
      </c>
      <c r="AX700" s="1">
        <v>0</v>
      </c>
      <c r="BA700" s="1">
        <v>9</v>
      </c>
      <c r="BB700" s="1">
        <v>0</v>
      </c>
      <c r="BC700" s="1">
        <v>0</v>
      </c>
      <c r="BE700" s="1">
        <v>27188496</v>
      </c>
    </row>
    <row r="701" spans="1:57" x14ac:dyDescent="0.25">
      <c r="A701" s="1" t="str">
        <f>T("1944679006943779144")</f>
        <v>1944679006943779144</v>
      </c>
      <c r="B701" s="1" t="str">
        <f>T("249922247119")</f>
        <v>249922247119</v>
      </c>
      <c r="C701" s="1" t="str">
        <f>T("1941094470690802832")</f>
        <v>1941094470690802832</v>
      </c>
      <c r="AC701" s="1" t="s">
        <v>449</v>
      </c>
      <c r="AD701" s="1" t="s">
        <v>450</v>
      </c>
      <c r="AE701" s="1" t="s">
        <v>453</v>
      </c>
      <c r="AF701" s="1" t="s">
        <v>107</v>
      </c>
      <c r="AG701" s="1">
        <v>42</v>
      </c>
      <c r="AO701" s="2">
        <v>46275</v>
      </c>
      <c r="AP701" s="1" t="s">
        <v>248</v>
      </c>
      <c r="AS701" s="1" t="s">
        <v>71</v>
      </c>
      <c r="AU701" s="1" t="s">
        <v>72</v>
      </c>
      <c r="AV701" s="1" t="s">
        <v>73</v>
      </c>
      <c r="AX701" s="1">
        <v>0</v>
      </c>
      <c r="BA701" s="1">
        <v>9</v>
      </c>
      <c r="BB701" s="1">
        <v>0</v>
      </c>
      <c r="BC701" s="1">
        <v>0</v>
      </c>
      <c r="BE701" s="1">
        <v>27188496</v>
      </c>
    </row>
    <row r="702" spans="1:57" x14ac:dyDescent="0.25">
      <c r="A702" s="1" t="str">
        <f>T("1944679006947972852")</f>
        <v>1944679006947972852</v>
      </c>
      <c r="B702" s="1" t="str">
        <f>T("249905349440")</f>
        <v>249905349440</v>
      </c>
      <c r="C702" s="1" t="str">
        <f>T("1941094470690803232")</f>
        <v>1941094470690803232</v>
      </c>
      <c r="AC702" s="1" t="s">
        <v>449</v>
      </c>
      <c r="AD702" s="1" t="s">
        <v>450</v>
      </c>
      <c r="AE702" s="1" t="s">
        <v>454</v>
      </c>
      <c r="AF702" s="1" t="s">
        <v>107</v>
      </c>
      <c r="AG702" s="1">
        <v>35</v>
      </c>
      <c r="AO702" s="2">
        <v>46275</v>
      </c>
      <c r="AP702" s="1" t="s">
        <v>248</v>
      </c>
      <c r="AS702" s="1" t="s">
        <v>71</v>
      </c>
      <c r="AU702" s="1" t="s">
        <v>72</v>
      </c>
      <c r="AV702" s="1" t="s">
        <v>437</v>
      </c>
      <c r="AX702" s="1">
        <v>0</v>
      </c>
      <c r="BA702" s="1">
        <v>9</v>
      </c>
      <c r="BB702" s="1">
        <v>0</v>
      </c>
      <c r="BC702" s="1">
        <v>0</v>
      </c>
      <c r="BE702" s="1">
        <v>27188496</v>
      </c>
    </row>
    <row r="703" spans="1:57" x14ac:dyDescent="0.25">
      <c r="A703" s="1" t="str">
        <f>T("1944679006964750684")</f>
        <v>1944679006964750684</v>
      </c>
      <c r="B703" s="1" t="str">
        <f>T("249911293400")</f>
        <v>249911293400</v>
      </c>
      <c r="C703" s="1" t="str">
        <f>T("1941094470694994340")</f>
        <v>1941094470694994340</v>
      </c>
      <c r="AC703" s="1" t="s">
        <v>449</v>
      </c>
      <c r="AD703" s="1" t="s">
        <v>450</v>
      </c>
      <c r="AE703" s="1" t="s">
        <v>454</v>
      </c>
      <c r="AF703" s="1" t="s">
        <v>144</v>
      </c>
      <c r="AG703" s="1">
        <v>32</v>
      </c>
      <c r="AO703" s="2">
        <v>46275</v>
      </c>
      <c r="AP703" s="1" t="s">
        <v>248</v>
      </c>
      <c r="AS703" s="1" t="s">
        <v>71</v>
      </c>
      <c r="AU703" s="1" t="s">
        <v>72</v>
      </c>
      <c r="AV703" s="1" t="s">
        <v>437</v>
      </c>
      <c r="AX703" s="1">
        <v>0</v>
      </c>
      <c r="BA703" s="1">
        <v>9</v>
      </c>
      <c r="BB703" s="1">
        <v>0</v>
      </c>
      <c r="BC703" s="1">
        <v>0</v>
      </c>
      <c r="BE703" s="1">
        <v>27188496</v>
      </c>
    </row>
    <row r="704" spans="1:57" x14ac:dyDescent="0.25">
      <c r="A704" s="1" t="str">
        <f>T("1944679006973139800")</f>
        <v>1944679006973139800</v>
      </c>
      <c r="B704" s="1" t="str">
        <f>T("249964523722")</f>
        <v>249964523722</v>
      </c>
      <c r="C704" s="1" t="str">
        <f>T("1941094470694997340")</f>
        <v>1941094470694997340</v>
      </c>
      <c r="AC704" s="1" t="s">
        <v>449</v>
      </c>
      <c r="AD704" s="1" t="s">
        <v>450</v>
      </c>
      <c r="AE704" s="1" t="s">
        <v>455</v>
      </c>
      <c r="AF704" s="1" t="s">
        <v>144</v>
      </c>
      <c r="AG704" s="1">
        <v>33</v>
      </c>
      <c r="AO704" s="2">
        <v>46275</v>
      </c>
      <c r="AP704" s="1" t="s">
        <v>248</v>
      </c>
      <c r="AS704" s="1" t="s">
        <v>71</v>
      </c>
      <c r="AU704" s="1" t="s">
        <v>72</v>
      </c>
      <c r="AV704" s="1" t="s">
        <v>73</v>
      </c>
      <c r="AX704" s="1">
        <v>0</v>
      </c>
      <c r="BA704" s="1">
        <v>9</v>
      </c>
      <c r="BB704" s="1">
        <v>0</v>
      </c>
      <c r="BC704" s="1">
        <v>0</v>
      </c>
      <c r="BE704" s="1">
        <v>27188496</v>
      </c>
    </row>
    <row r="705" spans="1:57" x14ac:dyDescent="0.25">
      <c r="A705" s="1" t="str">
        <f>T("1944679006973139801")</f>
        <v>1944679006973139801</v>
      </c>
      <c r="B705" s="1" t="str">
        <f>T("249916515515")</f>
        <v>249916515515</v>
      </c>
      <c r="C705" s="1" t="str">
        <f>T("1941094470694996740")</f>
        <v>1941094470694996740</v>
      </c>
      <c r="AC705" s="1" t="s">
        <v>449</v>
      </c>
      <c r="AD705" s="1" t="s">
        <v>450</v>
      </c>
      <c r="AE705" s="1" t="s">
        <v>455</v>
      </c>
      <c r="AF705" s="1" t="s">
        <v>107</v>
      </c>
      <c r="AG705" s="1">
        <v>36</v>
      </c>
      <c r="AO705" s="2">
        <v>46275</v>
      </c>
      <c r="AP705" s="1" t="s">
        <v>248</v>
      </c>
      <c r="AS705" s="1" t="s">
        <v>71</v>
      </c>
      <c r="AU705" s="1" t="s">
        <v>72</v>
      </c>
      <c r="AV705" s="1" t="s">
        <v>73</v>
      </c>
      <c r="AX705" s="1">
        <v>0</v>
      </c>
      <c r="BA705" s="1">
        <v>9</v>
      </c>
      <c r="BB705" s="1">
        <v>0</v>
      </c>
      <c r="BC705" s="1">
        <v>0</v>
      </c>
      <c r="BE705" s="1">
        <v>27188496</v>
      </c>
    </row>
    <row r="706" spans="1:57" x14ac:dyDescent="0.25">
      <c r="A706" s="1" t="str">
        <f>T("1944679007010887872")</f>
        <v>1944679007010887872</v>
      </c>
      <c r="B706" s="1" t="str">
        <f>T("249113779212")</f>
        <v>249113779212</v>
      </c>
      <c r="C706" s="1" t="str">
        <f>T("1941094470694997940")</f>
        <v>1941094470694997940</v>
      </c>
      <c r="M706" s="1" t="s">
        <v>133</v>
      </c>
      <c r="N706" s="1" t="s">
        <v>60</v>
      </c>
      <c r="O706" s="1" t="s">
        <v>65</v>
      </c>
      <c r="P706" s="1" t="s">
        <v>91</v>
      </c>
      <c r="Q706" s="1" t="s">
        <v>101</v>
      </c>
      <c r="R706" s="1" t="s">
        <v>93</v>
      </c>
      <c r="T706" s="1" t="s">
        <v>95</v>
      </c>
      <c r="U706" s="1" t="s">
        <v>65</v>
      </c>
      <c r="V706" s="1" t="s">
        <v>102</v>
      </c>
      <c r="W706" s="1" t="s">
        <v>60</v>
      </c>
      <c r="X706" s="1" t="s">
        <v>103</v>
      </c>
      <c r="Y706" s="1" t="s">
        <v>69</v>
      </c>
      <c r="AA706" s="1">
        <v>1</v>
      </c>
      <c r="AB706" s="1">
        <v>1</v>
      </c>
      <c r="AC706" s="1" t="s">
        <v>449</v>
      </c>
      <c r="AD706" s="1" t="s">
        <v>450</v>
      </c>
      <c r="AE706" s="1" t="s">
        <v>455</v>
      </c>
      <c r="AF706" s="1" t="s">
        <v>144</v>
      </c>
      <c r="AG706" s="1">
        <v>31</v>
      </c>
      <c r="AO706" s="2">
        <v>46275</v>
      </c>
      <c r="AP706" s="1" t="s">
        <v>248</v>
      </c>
      <c r="AQ706" s="2">
        <v>46275</v>
      </c>
      <c r="AR706" s="1" t="s">
        <v>456</v>
      </c>
      <c r="AS706" s="1" t="s">
        <v>71</v>
      </c>
      <c r="AU706" s="1" t="s">
        <v>78</v>
      </c>
      <c r="AV706" s="1" t="s">
        <v>80</v>
      </c>
      <c r="AW706" s="1">
        <v>215</v>
      </c>
      <c r="AX706" s="1">
        <v>0</v>
      </c>
      <c r="AZ706" s="1" t="s">
        <v>81</v>
      </c>
      <c r="BA706" s="1">
        <v>1</v>
      </c>
      <c r="BB706" s="1">
        <v>0</v>
      </c>
      <c r="BC706" s="1">
        <v>0</v>
      </c>
      <c r="BE706" s="1">
        <v>27188496</v>
      </c>
    </row>
    <row r="707" spans="1:57" x14ac:dyDescent="0.25">
      <c r="A707" s="1" t="str">
        <f>T("1944679007044442636")</f>
        <v>1944679007044442636</v>
      </c>
      <c r="B707" s="1" t="str">
        <f>T("249900348809")</f>
        <v>249900348809</v>
      </c>
      <c r="C707" s="1" t="str">
        <f>T("1941094470699188748")</f>
        <v>1941094470699188748</v>
      </c>
      <c r="AC707" s="1" t="s">
        <v>449</v>
      </c>
      <c r="AD707" s="1" t="s">
        <v>450</v>
      </c>
      <c r="AE707" s="1" t="s">
        <v>457</v>
      </c>
      <c r="AF707" s="1" t="s">
        <v>107</v>
      </c>
      <c r="AG707" s="1">
        <v>47</v>
      </c>
      <c r="AO707" s="2">
        <v>46275</v>
      </c>
      <c r="AP707" s="1" t="s">
        <v>248</v>
      </c>
      <c r="AS707" s="1" t="s">
        <v>71</v>
      </c>
      <c r="AU707" s="1" t="s">
        <v>72</v>
      </c>
      <c r="AV707" s="1" t="s">
        <v>437</v>
      </c>
      <c r="AX707" s="1">
        <v>0</v>
      </c>
      <c r="BA707" s="1">
        <v>9</v>
      </c>
      <c r="BB707" s="1">
        <v>0</v>
      </c>
      <c r="BC707" s="1">
        <v>0</v>
      </c>
      <c r="BE707" s="1">
        <v>27188496</v>
      </c>
    </row>
    <row r="708" spans="1:57" x14ac:dyDescent="0.25">
      <c r="A708" s="1" t="str">
        <f>T("1944679007048635444")</f>
        <v>1944679007048635444</v>
      </c>
      <c r="B708" s="1" t="str">
        <f>T("249908010202")</f>
        <v>249908010202</v>
      </c>
      <c r="C708" s="1" t="str">
        <f>T("1941094470715965580")</f>
        <v>1941094470715965580</v>
      </c>
      <c r="AC708" s="1" t="s">
        <v>449</v>
      </c>
      <c r="AD708" s="1" t="s">
        <v>450</v>
      </c>
      <c r="AE708" s="1" t="s">
        <v>457</v>
      </c>
      <c r="AF708" s="1" t="s">
        <v>144</v>
      </c>
      <c r="AG708" s="1">
        <v>37</v>
      </c>
      <c r="AO708" s="2">
        <v>46275</v>
      </c>
      <c r="AP708" s="1" t="s">
        <v>248</v>
      </c>
      <c r="AS708" s="1" t="s">
        <v>71</v>
      </c>
      <c r="AU708" s="1" t="s">
        <v>72</v>
      </c>
      <c r="AV708" s="1" t="s">
        <v>437</v>
      </c>
      <c r="AX708" s="1">
        <v>0</v>
      </c>
      <c r="BA708" s="1">
        <v>9</v>
      </c>
      <c r="BB708" s="1">
        <v>0</v>
      </c>
      <c r="BC708" s="1">
        <v>0</v>
      </c>
      <c r="BE708" s="1">
        <v>27188496</v>
      </c>
    </row>
    <row r="709" spans="1:57" x14ac:dyDescent="0.25">
      <c r="A709" s="1" t="str">
        <f>T("1944679007048635544")</f>
        <v>1944679007048635544</v>
      </c>
      <c r="B709" s="1" t="str">
        <f>T("249913720364")</f>
        <v>249913720364</v>
      </c>
      <c r="C709" s="1" t="str">
        <f>T("1941094470711774472")</f>
        <v>1941094470711774472</v>
      </c>
      <c r="AC709" s="1" t="s">
        <v>449</v>
      </c>
      <c r="AD709" s="1" t="s">
        <v>450</v>
      </c>
      <c r="AE709" s="1" t="s">
        <v>457</v>
      </c>
      <c r="AF709" s="1" t="s">
        <v>107</v>
      </c>
      <c r="AG709" s="1">
        <v>34</v>
      </c>
      <c r="AO709" s="2">
        <v>46275</v>
      </c>
      <c r="AP709" s="1" t="s">
        <v>248</v>
      </c>
      <c r="AS709" s="1" t="s">
        <v>71</v>
      </c>
      <c r="AU709" s="1" t="s">
        <v>72</v>
      </c>
      <c r="AV709" s="1" t="s">
        <v>73</v>
      </c>
      <c r="AX709" s="1">
        <v>0</v>
      </c>
      <c r="BA709" s="1">
        <v>9</v>
      </c>
      <c r="BB709" s="1">
        <v>0</v>
      </c>
      <c r="BC709" s="1">
        <v>0</v>
      </c>
      <c r="BE709" s="1">
        <v>27188496</v>
      </c>
    </row>
    <row r="710" spans="1:57" x14ac:dyDescent="0.25">
      <c r="A710" s="1" t="str">
        <f>T("1944679007061218968")</f>
        <v>1944679007061218968</v>
      </c>
      <c r="B710" s="1" t="str">
        <f>T("249916515555")</f>
        <v>249916515555</v>
      </c>
      <c r="C710" s="1" t="str">
        <f>T("1941094470715966080")</f>
        <v>1941094470715966080</v>
      </c>
      <c r="AC710" s="1" t="s">
        <v>449</v>
      </c>
      <c r="AD710" s="1" t="s">
        <v>450</v>
      </c>
      <c r="AE710" s="1" t="s">
        <v>458</v>
      </c>
      <c r="AF710" s="1" t="s">
        <v>107</v>
      </c>
      <c r="AG710" s="1">
        <v>38</v>
      </c>
      <c r="AO710" s="2">
        <v>46275</v>
      </c>
      <c r="AP710" s="1" t="s">
        <v>248</v>
      </c>
      <c r="AS710" s="1" t="s">
        <v>71</v>
      </c>
      <c r="AU710" s="1" t="s">
        <v>72</v>
      </c>
      <c r="AV710" s="1" t="s">
        <v>437</v>
      </c>
      <c r="AX710" s="1">
        <v>0</v>
      </c>
      <c r="BA710" s="1">
        <v>9</v>
      </c>
      <c r="BB710" s="1">
        <v>0</v>
      </c>
      <c r="BC710" s="1">
        <v>0</v>
      </c>
      <c r="BE710" s="1">
        <v>27188496</v>
      </c>
    </row>
    <row r="711" spans="1:57" x14ac:dyDescent="0.25">
      <c r="A711" s="1" t="str">
        <f>T("1944679007082192808")</f>
        <v>1944679007082192808</v>
      </c>
      <c r="B711" s="1" t="str">
        <f>T("249902307360")</f>
        <v>249902307360</v>
      </c>
      <c r="C711" s="1" t="str">
        <f>T("1941094470720160888")</f>
        <v>1941094470720160888</v>
      </c>
      <c r="AC711" s="1" t="s">
        <v>449</v>
      </c>
      <c r="AD711" s="1" t="s">
        <v>450</v>
      </c>
      <c r="AE711" s="1" t="s">
        <v>458</v>
      </c>
      <c r="AF711" s="1" t="s">
        <v>107</v>
      </c>
      <c r="AG711" s="1">
        <v>38</v>
      </c>
      <c r="AO711" s="2">
        <v>46275</v>
      </c>
      <c r="AP711" s="1" t="s">
        <v>248</v>
      </c>
      <c r="AS711" s="1" t="s">
        <v>71</v>
      </c>
      <c r="AU711" s="1" t="s">
        <v>72</v>
      </c>
      <c r="AV711" s="1" t="s">
        <v>73</v>
      </c>
      <c r="AX711" s="1">
        <v>0</v>
      </c>
      <c r="BA711" s="1">
        <v>9</v>
      </c>
      <c r="BB711" s="1">
        <v>0</v>
      </c>
      <c r="BC711" s="1">
        <v>0</v>
      </c>
      <c r="BE711" s="1">
        <v>27188496</v>
      </c>
    </row>
    <row r="712" spans="1:57" x14ac:dyDescent="0.25">
      <c r="A712" s="1" t="str">
        <f>T("1944679007124135388")</f>
        <v>1944679007124135388</v>
      </c>
      <c r="B712" s="1" t="str">
        <f>T("249119205924")</f>
        <v>249119205924</v>
      </c>
      <c r="C712" s="1" t="str">
        <f>T("1941094470724358096")</f>
        <v>1941094470724358096</v>
      </c>
      <c r="M712" s="1" t="s">
        <v>148</v>
      </c>
      <c r="N712" s="1" t="s">
        <v>60</v>
      </c>
      <c r="O712" s="1" t="s">
        <v>60</v>
      </c>
      <c r="P712" s="1" t="s">
        <v>111</v>
      </c>
      <c r="Q712" s="1" t="s">
        <v>112</v>
      </c>
      <c r="R712" s="1" t="s">
        <v>93</v>
      </c>
      <c r="T712" s="1" t="s">
        <v>95</v>
      </c>
      <c r="U712" s="1" t="s">
        <v>60</v>
      </c>
      <c r="V712" s="1" t="s">
        <v>102</v>
      </c>
      <c r="W712" s="1" t="s">
        <v>60</v>
      </c>
      <c r="X712" s="1" t="s">
        <v>102</v>
      </c>
      <c r="Y712" s="1" t="s">
        <v>160</v>
      </c>
      <c r="AA712" s="1">
        <v>1</v>
      </c>
      <c r="AB712" s="1">
        <v>1</v>
      </c>
      <c r="AC712" s="1" t="s">
        <v>449</v>
      </c>
      <c r="AD712" s="1" t="s">
        <v>450</v>
      </c>
      <c r="AE712" s="1" t="s">
        <v>459</v>
      </c>
      <c r="AF712" s="1" t="s">
        <v>107</v>
      </c>
      <c r="AG712" s="1">
        <v>46</v>
      </c>
      <c r="AO712" s="2">
        <v>46275</v>
      </c>
      <c r="AP712" s="1" t="s">
        <v>248</v>
      </c>
      <c r="AQ712" s="2">
        <v>46275</v>
      </c>
      <c r="AR712" s="1" t="s">
        <v>456</v>
      </c>
      <c r="AS712" s="1" t="s">
        <v>71</v>
      </c>
      <c r="AU712" s="1" t="s">
        <v>78</v>
      </c>
      <c r="AV712" s="1" t="s">
        <v>80</v>
      </c>
      <c r="AW712" s="1">
        <v>360.51900000000001</v>
      </c>
      <c r="AX712" s="1">
        <v>0</v>
      </c>
      <c r="AZ712" s="1" t="s">
        <v>81</v>
      </c>
      <c r="BA712" s="1">
        <v>1</v>
      </c>
      <c r="BB712" s="1">
        <v>0</v>
      </c>
      <c r="BC712" s="1">
        <v>0</v>
      </c>
      <c r="BE712" s="1">
        <v>27188496</v>
      </c>
    </row>
    <row r="713" spans="1:57" x14ac:dyDescent="0.25">
      <c r="A713" s="1" t="str">
        <f>T("1944679007124135888")</f>
        <v>1944679007124135888</v>
      </c>
      <c r="B713" s="1" t="str">
        <f>T("249127529605")</f>
        <v>249127529605</v>
      </c>
      <c r="C713" s="1" t="str">
        <f>T("1941094470720161888")</f>
        <v>1941094470720161888</v>
      </c>
      <c r="AA713" s="1">
        <v>1</v>
      </c>
      <c r="AC713" s="1" t="s">
        <v>449</v>
      </c>
      <c r="AD713" s="1" t="s">
        <v>450</v>
      </c>
      <c r="AE713" s="1" t="s">
        <v>459</v>
      </c>
      <c r="AF713" s="1" t="s">
        <v>107</v>
      </c>
      <c r="AG713" s="1">
        <v>54</v>
      </c>
      <c r="AO713" s="2">
        <v>46275</v>
      </c>
      <c r="AP713" s="1" t="s">
        <v>248</v>
      </c>
      <c r="AQ713" s="2">
        <v>46275</v>
      </c>
      <c r="AR713" s="1" t="s">
        <v>460</v>
      </c>
      <c r="AS713" s="1" t="s">
        <v>71</v>
      </c>
      <c r="AU713" s="1" t="s">
        <v>79</v>
      </c>
      <c r="AV713" s="1" t="s">
        <v>80</v>
      </c>
      <c r="AW713" s="1">
        <v>58.26</v>
      </c>
      <c r="AX713" s="1">
        <v>0</v>
      </c>
      <c r="AZ713" s="1" t="s">
        <v>81</v>
      </c>
      <c r="BA713" s="1">
        <v>1</v>
      </c>
      <c r="BB713" s="1">
        <v>0</v>
      </c>
      <c r="BC713" s="1">
        <v>0</v>
      </c>
      <c r="BE713" s="1">
        <v>27188496</v>
      </c>
    </row>
    <row r="714" spans="1:57" x14ac:dyDescent="0.25">
      <c r="A714" s="1" t="str">
        <f>T("1944679007128328596")</f>
        <v>1944679007128328596</v>
      </c>
      <c r="B714" s="1" t="str">
        <f>T("249913081482")</f>
        <v>249913081482</v>
      </c>
      <c r="C714" s="1" t="str">
        <f>T("1941094470728548804")</f>
        <v>1941094470728548804</v>
      </c>
      <c r="AC714" s="1" t="s">
        <v>449</v>
      </c>
      <c r="AD714" s="1" t="s">
        <v>450</v>
      </c>
      <c r="AE714" s="1" t="s">
        <v>459</v>
      </c>
      <c r="AF714" s="1" t="s">
        <v>107</v>
      </c>
      <c r="AG714" s="1">
        <v>42</v>
      </c>
      <c r="AO714" s="2">
        <v>46275</v>
      </c>
      <c r="AP714" s="1" t="s">
        <v>248</v>
      </c>
      <c r="AS714" s="1" t="s">
        <v>71</v>
      </c>
      <c r="AU714" s="1" t="s">
        <v>72</v>
      </c>
      <c r="AV714" s="1" t="s">
        <v>437</v>
      </c>
      <c r="AX714" s="1">
        <v>0</v>
      </c>
      <c r="BA714" s="1">
        <v>9</v>
      </c>
      <c r="BB714" s="1">
        <v>0</v>
      </c>
      <c r="BC714" s="1">
        <v>0</v>
      </c>
      <c r="BE714" s="1">
        <v>27188496</v>
      </c>
    </row>
    <row r="715" spans="1:57" x14ac:dyDescent="0.25">
      <c r="A715" s="1" t="str">
        <f>T("1944679007132523104")</f>
        <v>1944679007132523104</v>
      </c>
      <c r="B715" s="1" t="str">
        <f>T("249912524803")</f>
        <v>249912524803</v>
      </c>
      <c r="C715" s="1" t="str">
        <f>T("1941094470720161488")</f>
        <v>1941094470720161488</v>
      </c>
      <c r="AC715" s="1" t="s">
        <v>449</v>
      </c>
      <c r="AD715" s="1" t="s">
        <v>450</v>
      </c>
      <c r="AE715" s="1" t="s">
        <v>458</v>
      </c>
      <c r="AF715" s="1" t="s">
        <v>107</v>
      </c>
      <c r="AG715" s="1">
        <v>40</v>
      </c>
      <c r="AO715" s="2">
        <v>46275</v>
      </c>
      <c r="AP715" s="1" t="s">
        <v>248</v>
      </c>
      <c r="AS715" s="1" t="s">
        <v>71</v>
      </c>
      <c r="AU715" s="1" t="s">
        <v>72</v>
      </c>
      <c r="AV715" s="1" t="s">
        <v>437</v>
      </c>
      <c r="AX715" s="1">
        <v>0</v>
      </c>
      <c r="BA715" s="1">
        <v>9</v>
      </c>
      <c r="BB715" s="1">
        <v>0</v>
      </c>
      <c r="BC715" s="1">
        <v>0</v>
      </c>
      <c r="BE715" s="1">
        <v>27188496</v>
      </c>
    </row>
    <row r="716" spans="1:57" x14ac:dyDescent="0.25">
      <c r="A716" s="1" t="str">
        <f>T("1944679007170270176")</f>
        <v>1944679007170270176</v>
      </c>
      <c r="B716" s="1" t="str">
        <f>T("249908292642")</f>
        <v>249908292642</v>
      </c>
      <c r="C716" s="1" t="str">
        <f>T("1941094470728549204")</f>
        <v>1941094470728549204</v>
      </c>
      <c r="AC716" s="1" t="s">
        <v>461</v>
      </c>
      <c r="AD716" s="1" t="s">
        <v>462</v>
      </c>
      <c r="AE716" s="1" t="s">
        <v>463</v>
      </c>
      <c r="AF716" s="1" t="s">
        <v>107</v>
      </c>
      <c r="AG716" s="1">
        <v>44</v>
      </c>
      <c r="AO716" s="2">
        <v>46275</v>
      </c>
      <c r="AP716" s="1" t="s">
        <v>248</v>
      </c>
      <c r="AS716" s="1" t="s">
        <v>71</v>
      </c>
      <c r="AU716" s="1" t="s">
        <v>72</v>
      </c>
      <c r="AV716" s="1" t="s">
        <v>73</v>
      </c>
      <c r="AX716" s="1">
        <v>0</v>
      </c>
      <c r="BA716" s="1">
        <v>9</v>
      </c>
      <c r="BB716" s="1">
        <v>0</v>
      </c>
      <c r="BC716" s="1">
        <v>0</v>
      </c>
      <c r="BE716" s="1">
        <v>27188496</v>
      </c>
    </row>
    <row r="717" spans="1:57" x14ac:dyDescent="0.25">
      <c r="A717" s="1" t="str">
        <f>T("1944679007208020648")</f>
        <v>1944679007208020648</v>
      </c>
      <c r="B717" s="1" t="str">
        <f>T("249919588273")</f>
        <v>249919588273</v>
      </c>
      <c r="C717" s="1" t="str">
        <f>T("1941094470728549704")</f>
        <v>1941094470728549704</v>
      </c>
      <c r="AC717" s="1" t="s">
        <v>461</v>
      </c>
      <c r="AD717" s="1" t="s">
        <v>462</v>
      </c>
      <c r="AE717" s="1" t="s">
        <v>463</v>
      </c>
      <c r="AF717" s="1" t="s">
        <v>107</v>
      </c>
      <c r="AG717" s="1">
        <v>47</v>
      </c>
      <c r="AO717" s="2">
        <v>46275</v>
      </c>
      <c r="AP717" s="1" t="s">
        <v>248</v>
      </c>
      <c r="AS717" s="1" t="s">
        <v>71</v>
      </c>
      <c r="AU717" s="1" t="s">
        <v>72</v>
      </c>
      <c r="AV717" s="1" t="s">
        <v>73</v>
      </c>
      <c r="AX717" s="1">
        <v>0</v>
      </c>
      <c r="BA717" s="1">
        <v>9</v>
      </c>
      <c r="BB717" s="1">
        <v>0</v>
      </c>
      <c r="BC717" s="1">
        <v>0</v>
      </c>
      <c r="BE717" s="1">
        <v>27188496</v>
      </c>
    </row>
    <row r="718" spans="1:57" x14ac:dyDescent="0.25">
      <c r="A718" s="1" t="str">
        <f>T("1944679007216407764")</f>
        <v>1944679007216407764</v>
      </c>
      <c r="B718" s="1" t="str">
        <f>T("249128682036")</f>
        <v>249128682036</v>
      </c>
      <c r="C718" s="1" t="str">
        <f>T("1941094470728551104")</f>
        <v>1941094470728551104</v>
      </c>
      <c r="M718" s="1" t="s">
        <v>59</v>
      </c>
      <c r="O718" s="1" t="s">
        <v>65</v>
      </c>
      <c r="P718" s="1" t="s">
        <v>61</v>
      </c>
      <c r="Q718" s="1" t="s">
        <v>101</v>
      </c>
      <c r="R718" s="1" t="s">
        <v>93</v>
      </c>
      <c r="T718" s="1" t="s">
        <v>464</v>
      </c>
      <c r="U718" s="1" t="s">
        <v>60</v>
      </c>
      <c r="V718" s="1" t="s">
        <v>66</v>
      </c>
      <c r="W718" s="1" t="s">
        <v>60</v>
      </c>
      <c r="X718" s="1" t="s">
        <v>66</v>
      </c>
      <c r="Y718" s="1" t="s">
        <v>85</v>
      </c>
      <c r="AA718" s="1">
        <v>1</v>
      </c>
      <c r="AB718" s="1">
        <v>1</v>
      </c>
      <c r="AC718" s="1" t="s">
        <v>461</v>
      </c>
      <c r="AD718" s="1" t="s">
        <v>462</v>
      </c>
      <c r="AE718" s="1" t="s">
        <v>463</v>
      </c>
      <c r="AF718" s="1" t="s">
        <v>107</v>
      </c>
      <c r="AG718" s="1">
        <v>50</v>
      </c>
      <c r="AO718" s="2">
        <v>46275</v>
      </c>
      <c r="AP718" s="1" t="s">
        <v>248</v>
      </c>
      <c r="AQ718" s="2">
        <v>46275</v>
      </c>
      <c r="AR718" s="1" t="s">
        <v>465</v>
      </c>
      <c r="AS718" s="1" t="s">
        <v>71</v>
      </c>
      <c r="AU718" s="1" t="s">
        <v>78</v>
      </c>
      <c r="AV718" s="1" t="s">
        <v>80</v>
      </c>
      <c r="AW718" s="1">
        <v>211.06</v>
      </c>
      <c r="AX718" s="1">
        <v>0</v>
      </c>
      <c r="AZ718" s="1" t="s">
        <v>81</v>
      </c>
      <c r="BA718" s="1">
        <v>2</v>
      </c>
      <c r="BB718" s="1">
        <v>0</v>
      </c>
      <c r="BC718" s="1">
        <v>0</v>
      </c>
      <c r="BE718" s="1">
        <v>27188496</v>
      </c>
    </row>
    <row r="719" spans="1:57" x14ac:dyDescent="0.25">
      <c r="A719" s="1" t="str">
        <f>T("1944679007224797580")</f>
        <v>1944679007224797580</v>
      </c>
      <c r="B719" s="1" t="str">
        <f>T("249119136102")</f>
        <v>249119136102</v>
      </c>
      <c r="C719" s="1" t="str">
        <f>T("1941094470728551904")</f>
        <v>1941094470728551904</v>
      </c>
      <c r="AA719" s="1">
        <v>1</v>
      </c>
      <c r="AC719" s="1" t="s">
        <v>461</v>
      </c>
      <c r="AD719" s="1" t="s">
        <v>466</v>
      </c>
      <c r="AE719" s="1" t="s">
        <v>467</v>
      </c>
      <c r="AF719" s="1" t="s">
        <v>107</v>
      </c>
      <c r="AG719" s="1">
        <v>39</v>
      </c>
      <c r="AO719" s="2">
        <v>46275</v>
      </c>
      <c r="AP719" s="1" t="s">
        <v>248</v>
      </c>
      <c r="AQ719" s="2">
        <v>46275</v>
      </c>
      <c r="AR719" s="1" t="s">
        <v>468</v>
      </c>
      <c r="AS719" s="1" t="s">
        <v>71</v>
      </c>
      <c r="AU719" s="1" t="s">
        <v>79</v>
      </c>
      <c r="AV719" s="1" t="s">
        <v>80</v>
      </c>
      <c r="AW719" s="1">
        <v>55.54</v>
      </c>
      <c r="AX719" s="1">
        <v>0</v>
      </c>
      <c r="AZ719" s="1" t="s">
        <v>81</v>
      </c>
      <c r="BA719" s="1">
        <v>1</v>
      </c>
      <c r="BB719" s="1">
        <v>0</v>
      </c>
      <c r="BC719" s="1">
        <v>0</v>
      </c>
      <c r="BE719" s="1">
        <v>27188496</v>
      </c>
    </row>
    <row r="720" spans="1:57" x14ac:dyDescent="0.25">
      <c r="A720" s="1" t="str">
        <f>T("1944679007224798580")</f>
        <v>1944679007224798580</v>
      </c>
      <c r="B720" s="1" t="str">
        <f>T("249912766909")</f>
        <v>249912766909</v>
      </c>
      <c r="C720" s="1" t="str">
        <f>T("1941094470728551604")</f>
        <v>1941094470728551604</v>
      </c>
      <c r="AC720" s="1" t="s">
        <v>461</v>
      </c>
      <c r="AD720" s="1" t="s">
        <v>462</v>
      </c>
      <c r="AE720" s="1" t="s">
        <v>463</v>
      </c>
      <c r="AF720" s="1" t="s">
        <v>107</v>
      </c>
      <c r="AG720" s="1">
        <v>45</v>
      </c>
      <c r="AO720" s="2">
        <v>46275</v>
      </c>
      <c r="AP720" s="1" t="s">
        <v>248</v>
      </c>
      <c r="AS720" s="1" t="s">
        <v>71</v>
      </c>
      <c r="AU720" s="1" t="s">
        <v>72</v>
      </c>
      <c r="AV720" s="1" t="s">
        <v>437</v>
      </c>
      <c r="AX720" s="1">
        <v>0</v>
      </c>
      <c r="BA720" s="1">
        <v>9</v>
      </c>
      <c r="BB720" s="1">
        <v>0</v>
      </c>
      <c r="BC720" s="1">
        <v>0</v>
      </c>
      <c r="BE720" s="1">
        <v>27188496</v>
      </c>
    </row>
    <row r="721" spans="1:57" x14ac:dyDescent="0.25">
      <c r="A721" s="1" t="str">
        <f>T("1944679007270932568")</f>
        <v>1944679007270932568</v>
      </c>
      <c r="B721" s="1" t="str">
        <f>T("249122043421")</f>
        <v>249122043421</v>
      </c>
      <c r="C721" s="1" t="str">
        <f>T("1941094470728552404")</f>
        <v>1941094470728552404</v>
      </c>
      <c r="AC721" s="1" t="s">
        <v>461</v>
      </c>
      <c r="AD721" s="1" t="s">
        <v>466</v>
      </c>
      <c r="AE721" s="1" t="s">
        <v>467</v>
      </c>
      <c r="AF721" s="1" t="s">
        <v>107</v>
      </c>
      <c r="AG721" s="1">
        <v>41</v>
      </c>
      <c r="AO721" s="2">
        <v>46275</v>
      </c>
      <c r="AP721" s="1" t="s">
        <v>248</v>
      </c>
      <c r="AQ721" s="2">
        <v>46275</v>
      </c>
      <c r="AR721" s="1" t="s">
        <v>469</v>
      </c>
      <c r="AS721" s="1" t="s">
        <v>71</v>
      </c>
      <c r="AU721" s="1" t="s">
        <v>79</v>
      </c>
      <c r="AV721" s="1" t="s">
        <v>80</v>
      </c>
      <c r="AW721" s="1">
        <v>22.64</v>
      </c>
      <c r="AX721" s="1">
        <v>0</v>
      </c>
      <c r="AZ721" s="1" t="s">
        <v>81</v>
      </c>
      <c r="BA721" s="1">
        <v>1</v>
      </c>
      <c r="BB721" s="1">
        <v>0</v>
      </c>
      <c r="BC721" s="1">
        <v>0</v>
      </c>
      <c r="BE721" s="1">
        <v>27188496</v>
      </c>
    </row>
    <row r="722" spans="1:57" x14ac:dyDescent="0.25">
      <c r="A722" s="1" t="str">
        <f>T("1944679007291904408")</f>
        <v>1944679007291904408</v>
      </c>
      <c r="B722" s="1" t="str">
        <f>T("249122828376")</f>
        <v>249122828376</v>
      </c>
      <c r="C722" s="1" t="str">
        <f>T("1941094470732743512")</f>
        <v>1941094470732743512</v>
      </c>
      <c r="AC722" s="1" t="s">
        <v>461</v>
      </c>
      <c r="AD722" s="1" t="s">
        <v>466</v>
      </c>
      <c r="AE722" s="1" t="s">
        <v>467</v>
      </c>
      <c r="AF722" s="1" t="s">
        <v>107</v>
      </c>
      <c r="AG722" s="1">
        <v>42</v>
      </c>
      <c r="AO722" s="2">
        <v>46275</v>
      </c>
      <c r="AP722" s="1" t="s">
        <v>248</v>
      </c>
      <c r="AS722" s="1" t="s">
        <v>71</v>
      </c>
      <c r="AU722" s="1" t="s">
        <v>72</v>
      </c>
      <c r="AV722" s="1" t="s">
        <v>73</v>
      </c>
      <c r="AX722" s="1">
        <v>0</v>
      </c>
      <c r="BA722" s="1">
        <v>9</v>
      </c>
      <c r="BB722" s="1">
        <v>0</v>
      </c>
      <c r="BC722" s="1">
        <v>0</v>
      </c>
      <c r="BE722" s="1">
        <v>27188496</v>
      </c>
    </row>
    <row r="723" spans="1:57" x14ac:dyDescent="0.25">
      <c r="A723" s="1" t="str">
        <f>T("1944679007296098316")</f>
        <v>1944679007296098316</v>
      </c>
      <c r="B723" s="1" t="str">
        <f>T("249914210565")</f>
        <v>249914210565</v>
      </c>
      <c r="C723" s="1" t="str">
        <f>T("1941094470732743912")</f>
        <v>1941094470732743912</v>
      </c>
      <c r="AC723" s="1" t="s">
        <v>461</v>
      </c>
      <c r="AD723" s="1" t="s">
        <v>466</v>
      </c>
      <c r="AE723" s="1" t="s">
        <v>470</v>
      </c>
      <c r="AF723" s="1" t="s">
        <v>107</v>
      </c>
      <c r="AG723" s="1">
        <v>29</v>
      </c>
      <c r="AO723" s="2">
        <v>46275</v>
      </c>
      <c r="AP723" s="1" t="s">
        <v>248</v>
      </c>
      <c r="AS723" s="1" t="s">
        <v>71</v>
      </c>
      <c r="AU723" s="1" t="s">
        <v>72</v>
      </c>
      <c r="AV723" s="1" t="s">
        <v>73</v>
      </c>
      <c r="AX723" s="1">
        <v>0</v>
      </c>
      <c r="BA723" s="1">
        <v>9</v>
      </c>
      <c r="BB723" s="1">
        <v>0</v>
      </c>
      <c r="BC723" s="1">
        <v>0</v>
      </c>
      <c r="BE723" s="1">
        <v>27188496</v>
      </c>
    </row>
    <row r="724" spans="1:57" x14ac:dyDescent="0.25">
      <c r="A724" s="1" t="str">
        <f>T("1944679007296098317")</f>
        <v>1944679007296098317</v>
      </c>
      <c r="B724" s="1" t="str">
        <f>T("249117788166")</f>
        <v>249117788166</v>
      </c>
      <c r="C724" s="1" t="str">
        <f>T("1941094470732743012")</f>
        <v>1941094470732743012</v>
      </c>
      <c r="M724" s="1" t="s">
        <v>406</v>
      </c>
      <c r="O724" s="1" t="s">
        <v>65</v>
      </c>
      <c r="P724" s="1" t="s">
        <v>111</v>
      </c>
      <c r="Q724" s="1" t="s">
        <v>101</v>
      </c>
      <c r="R724" s="1" t="s">
        <v>93</v>
      </c>
      <c r="T724" s="1" t="s">
        <v>95</v>
      </c>
      <c r="U724" s="1" t="s">
        <v>65</v>
      </c>
      <c r="V724" s="1" t="s">
        <v>66</v>
      </c>
      <c r="W724" s="1" t="s">
        <v>67</v>
      </c>
      <c r="X724" s="1" t="s">
        <v>103</v>
      </c>
      <c r="Y724" s="1" t="s">
        <v>69</v>
      </c>
      <c r="AA724" s="1">
        <v>1</v>
      </c>
      <c r="AB724" s="1">
        <v>1</v>
      </c>
      <c r="AC724" s="1" t="s">
        <v>461</v>
      </c>
      <c r="AD724" s="1" t="s">
        <v>466</v>
      </c>
      <c r="AE724" s="1" t="s">
        <v>467</v>
      </c>
      <c r="AF724" s="1" t="s">
        <v>107</v>
      </c>
      <c r="AG724" s="1">
        <v>46</v>
      </c>
      <c r="AO724" s="2">
        <v>46275</v>
      </c>
      <c r="AP724" s="1" t="s">
        <v>248</v>
      </c>
      <c r="AQ724" s="2">
        <v>46275</v>
      </c>
      <c r="AR724" s="1" t="s">
        <v>471</v>
      </c>
      <c r="AS724" s="1" t="s">
        <v>71</v>
      </c>
      <c r="AU724" s="1" t="s">
        <v>78</v>
      </c>
      <c r="AV724" s="1" t="s">
        <v>80</v>
      </c>
      <c r="AW724" s="1">
        <v>227.1</v>
      </c>
      <c r="AX724" s="1">
        <v>0</v>
      </c>
      <c r="AZ724" s="1" t="s">
        <v>81</v>
      </c>
      <c r="BA724" s="1">
        <v>1</v>
      </c>
      <c r="BB724" s="1">
        <v>0</v>
      </c>
      <c r="BC724" s="1">
        <v>0</v>
      </c>
      <c r="BE724" s="1">
        <v>27188496</v>
      </c>
    </row>
    <row r="725" spans="1:57" x14ac:dyDescent="0.25">
      <c r="A725" s="1" t="str">
        <f>T("1944679007329654580")</f>
        <v>1944679007329654580</v>
      </c>
      <c r="B725" s="1" t="str">
        <f>T("249918090822")</f>
        <v>249918090822</v>
      </c>
      <c r="C725" s="1" t="str">
        <f>T("1941094470732744312")</f>
        <v>1941094470732744312</v>
      </c>
      <c r="AC725" s="1" t="s">
        <v>461</v>
      </c>
      <c r="AD725" s="1" t="s">
        <v>466</v>
      </c>
      <c r="AE725" s="1" t="s">
        <v>470</v>
      </c>
      <c r="AF725" s="1" t="s">
        <v>107</v>
      </c>
      <c r="AG725" s="1">
        <v>39</v>
      </c>
      <c r="AO725" s="2">
        <v>46275</v>
      </c>
      <c r="AP725" s="1" t="s">
        <v>248</v>
      </c>
      <c r="AS725" s="1" t="s">
        <v>71</v>
      </c>
      <c r="AU725" s="1" t="s">
        <v>72</v>
      </c>
      <c r="AV725" s="1" t="s">
        <v>73</v>
      </c>
      <c r="AX725" s="1">
        <v>0</v>
      </c>
      <c r="BA725" s="1">
        <v>9</v>
      </c>
      <c r="BB725" s="1">
        <v>0</v>
      </c>
      <c r="BC725" s="1">
        <v>0</v>
      </c>
      <c r="BE725" s="1">
        <v>27188496</v>
      </c>
    </row>
    <row r="726" spans="1:57" x14ac:dyDescent="0.25">
      <c r="A726" s="1" t="str">
        <f>T("1944679007338043496")</f>
        <v>1944679007338043496</v>
      </c>
      <c r="B726" s="1" t="str">
        <f>T("249912966583")</f>
        <v>249912966583</v>
      </c>
      <c r="C726" s="1" t="str">
        <f>T("1941094470732745012")</f>
        <v>1941094470732745012</v>
      </c>
      <c r="AC726" s="1" t="s">
        <v>461</v>
      </c>
      <c r="AD726" s="1" t="s">
        <v>466</v>
      </c>
      <c r="AE726" s="1" t="s">
        <v>470</v>
      </c>
      <c r="AF726" s="1" t="s">
        <v>107</v>
      </c>
      <c r="AG726" s="1">
        <v>45</v>
      </c>
      <c r="AO726" s="2">
        <v>46275</v>
      </c>
      <c r="AP726" s="1" t="s">
        <v>248</v>
      </c>
      <c r="AS726" s="1" t="s">
        <v>71</v>
      </c>
      <c r="AU726" s="1" t="s">
        <v>72</v>
      </c>
      <c r="AV726" s="1" t="s">
        <v>437</v>
      </c>
      <c r="AX726" s="1">
        <v>0</v>
      </c>
      <c r="BA726" s="1">
        <v>9</v>
      </c>
      <c r="BB726" s="1">
        <v>0</v>
      </c>
      <c r="BC726" s="1">
        <v>0</v>
      </c>
      <c r="BE726" s="1">
        <v>27188496</v>
      </c>
    </row>
    <row r="727" spans="1:57" x14ac:dyDescent="0.25">
      <c r="A727" s="1" t="str">
        <f>T("1944679007363211144")</f>
        <v>1944679007363211144</v>
      </c>
      <c r="B727" s="1" t="str">
        <f>T("249912758092")</f>
        <v>249912758092</v>
      </c>
      <c r="C727" s="1" t="str">
        <f>T("1941094470732745412")</f>
        <v>1941094470732745412</v>
      </c>
      <c r="AC727" s="1" t="s">
        <v>461</v>
      </c>
      <c r="AD727" s="1" t="s">
        <v>466</v>
      </c>
      <c r="AE727" s="1" t="s">
        <v>472</v>
      </c>
      <c r="AF727" s="1" t="s">
        <v>107</v>
      </c>
      <c r="AG727" s="1">
        <v>37</v>
      </c>
      <c r="AO727" s="2">
        <v>46275</v>
      </c>
      <c r="AP727" s="1" t="s">
        <v>248</v>
      </c>
      <c r="AS727" s="1" t="s">
        <v>71</v>
      </c>
      <c r="AU727" s="1" t="s">
        <v>72</v>
      </c>
      <c r="AV727" s="1" t="s">
        <v>73</v>
      </c>
      <c r="AX727" s="1">
        <v>0</v>
      </c>
      <c r="BA727" s="1">
        <v>9</v>
      </c>
      <c r="BB727" s="1">
        <v>0</v>
      </c>
      <c r="BC727" s="1">
        <v>0</v>
      </c>
      <c r="BE727" s="1">
        <v>27188496</v>
      </c>
    </row>
    <row r="728" spans="1:57" x14ac:dyDescent="0.25">
      <c r="A728" s="1" t="str">
        <f>T("1944679007367404552")</f>
        <v>1944679007367404552</v>
      </c>
      <c r="B728" s="1" t="str">
        <f>T("249123759383")</f>
        <v>249123759383</v>
      </c>
      <c r="C728" s="1" t="str">
        <f>T("1941094470732746412")</f>
        <v>1941094470732746412</v>
      </c>
      <c r="AC728" s="1" t="s">
        <v>461</v>
      </c>
      <c r="AD728" s="1" t="s">
        <v>466</v>
      </c>
      <c r="AE728" s="1" t="s">
        <v>472</v>
      </c>
      <c r="AF728" s="1" t="s">
        <v>107</v>
      </c>
      <c r="AG728" s="1">
        <v>49</v>
      </c>
      <c r="AO728" s="2">
        <v>46275</v>
      </c>
      <c r="AP728" s="1" t="s">
        <v>248</v>
      </c>
      <c r="AQ728" s="2">
        <v>46275</v>
      </c>
      <c r="AR728" s="1" t="s">
        <v>473</v>
      </c>
      <c r="AS728" s="1" t="s">
        <v>71</v>
      </c>
      <c r="AU728" s="1" t="s">
        <v>79</v>
      </c>
      <c r="AV728" s="1" t="s">
        <v>80</v>
      </c>
      <c r="AW728" s="1">
        <v>14.7</v>
      </c>
      <c r="AX728" s="1">
        <v>0</v>
      </c>
      <c r="AZ728" s="1" t="s">
        <v>81</v>
      </c>
      <c r="BA728" s="1">
        <v>1</v>
      </c>
      <c r="BB728" s="1">
        <v>0</v>
      </c>
      <c r="BC728" s="1">
        <v>0</v>
      </c>
      <c r="BE728" s="1">
        <v>27188496</v>
      </c>
    </row>
    <row r="729" spans="1:57" x14ac:dyDescent="0.25">
      <c r="A729" s="1" t="str">
        <f>T("1944679007371599860")</f>
        <v>1944679007371599860</v>
      </c>
      <c r="B729" s="1" t="str">
        <f>T("249123892229")</f>
        <v>249123892229</v>
      </c>
      <c r="C729" s="1" t="str">
        <f>T("1941094470732746012")</f>
        <v>1941094470732746012</v>
      </c>
      <c r="AC729" s="1" t="s">
        <v>461</v>
      </c>
      <c r="AD729" s="1" t="s">
        <v>466</v>
      </c>
      <c r="AE729" s="1" t="s">
        <v>472</v>
      </c>
      <c r="AF729" s="1" t="s">
        <v>107</v>
      </c>
      <c r="AG729" s="1">
        <v>37</v>
      </c>
      <c r="AO729" s="2">
        <v>46275</v>
      </c>
      <c r="AP729" s="1" t="s">
        <v>248</v>
      </c>
      <c r="AQ729" s="2">
        <v>46275</v>
      </c>
      <c r="AR729" s="1" t="s">
        <v>474</v>
      </c>
      <c r="AS729" s="1" t="s">
        <v>71</v>
      </c>
      <c r="AU729" s="1" t="s">
        <v>79</v>
      </c>
      <c r="AV729" s="1" t="s">
        <v>80</v>
      </c>
      <c r="AW729" s="1">
        <v>11.22</v>
      </c>
      <c r="AX729" s="1">
        <v>0</v>
      </c>
      <c r="AZ729" s="1" t="s">
        <v>81</v>
      </c>
      <c r="BA729" s="1">
        <v>5</v>
      </c>
      <c r="BB729" s="1">
        <v>0</v>
      </c>
      <c r="BC729" s="1">
        <v>0</v>
      </c>
      <c r="BE729" s="1">
        <v>27188496</v>
      </c>
    </row>
    <row r="730" spans="1:57" x14ac:dyDescent="0.25">
      <c r="A730" s="1" t="str">
        <f>T("1944679007417734348")</f>
        <v>1944679007417734348</v>
      </c>
      <c r="B730" s="1" t="str">
        <f>T("249919039757")</f>
        <v>249919039757</v>
      </c>
      <c r="C730" s="1" t="str">
        <f>T("1941094470736937220")</f>
        <v>1941094470736937220</v>
      </c>
      <c r="AC730" s="1" t="s">
        <v>461</v>
      </c>
      <c r="AD730" s="1" t="s">
        <v>462</v>
      </c>
      <c r="AE730" s="1" t="s">
        <v>475</v>
      </c>
      <c r="AF730" s="1" t="s">
        <v>107</v>
      </c>
      <c r="AG730" s="1">
        <v>44</v>
      </c>
      <c r="AO730" s="2">
        <v>46275</v>
      </c>
      <c r="AP730" s="1" t="s">
        <v>248</v>
      </c>
      <c r="AS730" s="1" t="s">
        <v>71</v>
      </c>
      <c r="AU730" s="1" t="s">
        <v>72</v>
      </c>
      <c r="AV730" s="1" t="s">
        <v>73</v>
      </c>
      <c r="AX730" s="1">
        <v>0</v>
      </c>
      <c r="BA730" s="1">
        <v>9</v>
      </c>
      <c r="BB730" s="1">
        <v>0</v>
      </c>
      <c r="BC730" s="1">
        <v>0</v>
      </c>
      <c r="BE730" s="1">
        <v>27188496</v>
      </c>
    </row>
    <row r="731" spans="1:57" x14ac:dyDescent="0.25">
      <c r="A731" s="1" t="str">
        <f>T("1944679007434514280")</f>
        <v>1944679007434514280</v>
      </c>
      <c r="B731" s="1" t="str">
        <f>T("249919613115")</f>
        <v>249919613115</v>
      </c>
      <c r="C731" s="1" t="str">
        <f>T("1941094470736937820")</f>
        <v>1941094470736937820</v>
      </c>
      <c r="AC731" s="1" t="s">
        <v>461</v>
      </c>
      <c r="AD731" s="1" t="s">
        <v>462</v>
      </c>
      <c r="AE731" s="1" t="s">
        <v>475</v>
      </c>
      <c r="AF731" s="1" t="s">
        <v>107</v>
      </c>
      <c r="AG731" s="1">
        <v>41</v>
      </c>
      <c r="AO731" s="2">
        <v>46275</v>
      </c>
      <c r="AP731" s="1" t="s">
        <v>248</v>
      </c>
      <c r="AS731" s="1" t="s">
        <v>71</v>
      </c>
      <c r="AU731" s="1" t="s">
        <v>72</v>
      </c>
      <c r="AV731" s="1" t="s">
        <v>437</v>
      </c>
      <c r="AX731" s="1">
        <v>0</v>
      </c>
      <c r="BA731" s="1">
        <v>9</v>
      </c>
      <c r="BB731" s="1">
        <v>0</v>
      </c>
      <c r="BC731" s="1">
        <v>0</v>
      </c>
      <c r="BE731" s="1">
        <v>27188496</v>
      </c>
    </row>
    <row r="732" spans="1:57" x14ac:dyDescent="0.25">
      <c r="A732" s="1" t="str">
        <f>T("1944679007455482520")</f>
        <v>1944679007455482520</v>
      </c>
      <c r="B732" s="1" t="str">
        <f>T("249122662434")</f>
        <v>249122662434</v>
      </c>
      <c r="C732" s="1" t="str">
        <f>T("1941094470736938520")</f>
        <v>1941094470736938520</v>
      </c>
      <c r="AC732" s="1" t="s">
        <v>461</v>
      </c>
      <c r="AD732" s="1" t="s">
        <v>462</v>
      </c>
      <c r="AE732" s="1" t="s">
        <v>476</v>
      </c>
      <c r="AF732" s="1" t="s">
        <v>107</v>
      </c>
      <c r="AG732" s="1">
        <v>42</v>
      </c>
      <c r="AO732" s="2">
        <v>46275</v>
      </c>
      <c r="AP732" s="1" t="s">
        <v>248</v>
      </c>
      <c r="AQ732" s="2">
        <v>46275</v>
      </c>
      <c r="AR732" s="1" t="s">
        <v>477</v>
      </c>
      <c r="AS732" s="1" t="s">
        <v>71</v>
      </c>
      <c r="AU732" s="1" t="s">
        <v>79</v>
      </c>
      <c r="AV732" s="1" t="s">
        <v>80</v>
      </c>
      <c r="AW732" s="1">
        <v>14.7</v>
      </c>
      <c r="AX732" s="1">
        <v>0</v>
      </c>
      <c r="AZ732" s="1" t="s">
        <v>81</v>
      </c>
      <c r="BA732" s="1">
        <v>1</v>
      </c>
      <c r="BB732" s="1">
        <v>0</v>
      </c>
      <c r="BC732" s="1">
        <v>0</v>
      </c>
      <c r="BE732" s="1">
        <v>27188496</v>
      </c>
    </row>
    <row r="733" spans="1:57" x14ac:dyDescent="0.25">
      <c r="A733" s="1" t="str">
        <f>T("1944679007493232692")</f>
        <v>1944679007493232692</v>
      </c>
      <c r="B733" s="1" t="str">
        <f>T("249111803114")</f>
        <v>249111803114</v>
      </c>
      <c r="C733" s="1" t="str">
        <f>T("1941094470736939120")</f>
        <v>1941094470736939120</v>
      </c>
      <c r="AA733" s="1">
        <v>1</v>
      </c>
      <c r="AC733" s="1" t="s">
        <v>461</v>
      </c>
      <c r="AD733" s="1" t="s">
        <v>462</v>
      </c>
      <c r="AE733" s="1" t="s">
        <v>476</v>
      </c>
      <c r="AF733" s="1" t="s">
        <v>107</v>
      </c>
      <c r="AG733" s="1">
        <v>47</v>
      </c>
      <c r="AO733" s="2">
        <v>46275</v>
      </c>
      <c r="AP733" s="1" t="s">
        <v>248</v>
      </c>
      <c r="AQ733" s="2">
        <v>46275</v>
      </c>
      <c r="AR733" s="1" t="s">
        <v>478</v>
      </c>
      <c r="AS733" s="1" t="s">
        <v>71</v>
      </c>
      <c r="AU733" s="1" t="s">
        <v>79</v>
      </c>
      <c r="AV733" s="1" t="s">
        <v>80</v>
      </c>
      <c r="AW733" s="1">
        <v>82.78</v>
      </c>
      <c r="AX733" s="1">
        <v>0</v>
      </c>
      <c r="AZ733" s="1" t="s">
        <v>81</v>
      </c>
      <c r="BA733" s="1">
        <v>2</v>
      </c>
      <c r="BB733" s="1">
        <v>0</v>
      </c>
      <c r="BC733" s="1">
        <v>0</v>
      </c>
      <c r="BE733" s="1">
        <v>27188496</v>
      </c>
    </row>
    <row r="734" spans="1:57" x14ac:dyDescent="0.25">
      <c r="A734" s="1" t="str">
        <f>T("1944679007493232693")</f>
        <v>1944679007493232693</v>
      </c>
      <c r="B734" s="1" t="str">
        <f>T("249122249790")</f>
        <v>249122249790</v>
      </c>
      <c r="C734" s="1" t="str">
        <f>T("1941094470736939420")</f>
        <v>1941094470736939420</v>
      </c>
      <c r="AC734" s="1" t="s">
        <v>461</v>
      </c>
      <c r="AD734" s="1" t="s">
        <v>462</v>
      </c>
      <c r="AE734" s="1" t="s">
        <v>476</v>
      </c>
      <c r="AF734" s="1" t="s">
        <v>107</v>
      </c>
      <c r="AG734" s="1">
        <v>48</v>
      </c>
      <c r="AO734" s="2">
        <v>46275</v>
      </c>
      <c r="AP734" s="1" t="s">
        <v>248</v>
      </c>
      <c r="AQ734" s="2">
        <v>46275</v>
      </c>
      <c r="AR734" s="1" t="s">
        <v>456</v>
      </c>
      <c r="AS734" s="1" t="s">
        <v>71</v>
      </c>
      <c r="AU734" s="1" t="s">
        <v>79</v>
      </c>
      <c r="AV734" s="1" t="s">
        <v>80</v>
      </c>
      <c r="AW734" s="1">
        <v>36.340000000000003</v>
      </c>
      <c r="AX734" s="1">
        <v>0</v>
      </c>
      <c r="AZ734" s="1" t="s">
        <v>81</v>
      </c>
      <c r="BA734" s="1">
        <v>1</v>
      </c>
      <c r="BB734" s="1">
        <v>0</v>
      </c>
      <c r="BC734" s="1">
        <v>0</v>
      </c>
      <c r="BE734" s="1">
        <v>27188496</v>
      </c>
    </row>
    <row r="735" spans="1:57" x14ac:dyDescent="0.25">
      <c r="A735" s="1" t="str">
        <f>T("1944679007514204932")</f>
        <v>1944679007514204932</v>
      </c>
      <c r="B735" s="1" t="str">
        <f>T("249123103459")</f>
        <v>249123103459</v>
      </c>
      <c r="C735" s="1" t="str">
        <f>T("1941094470736939920")</f>
        <v>1941094470736939920</v>
      </c>
      <c r="AC735" s="1" t="s">
        <v>461</v>
      </c>
      <c r="AD735" s="1" t="s">
        <v>462</v>
      </c>
      <c r="AE735" s="1" t="s">
        <v>476</v>
      </c>
      <c r="AF735" s="1" t="s">
        <v>107</v>
      </c>
      <c r="AG735" s="1">
        <v>46</v>
      </c>
      <c r="AO735" s="2">
        <v>46275</v>
      </c>
      <c r="AP735" s="1" t="s">
        <v>248</v>
      </c>
      <c r="AS735" s="1" t="s">
        <v>71</v>
      </c>
      <c r="AU735" s="1" t="s">
        <v>72</v>
      </c>
      <c r="AV735" s="1" t="s">
        <v>73</v>
      </c>
      <c r="AX735" s="1">
        <v>0</v>
      </c>
      <c r="BA735" s="1">
        <v>9</v>
      </c>
      <c r="BB735" s="1">
        <v>0</v>
      </c>
      <c r="BC735" s="1">
        <v>0</v>
      </c>
      <c r="BE735" s="1">
        <v>27188496</v>
      </c>
    </row>
    <row r="736" spans="1:57" x14ac:dyDescent="0.25">
      <c r="A736" s="1" t="str">
        <f>T("1944679007547756696")</f>
        <v>1944679007547756696</v>
      </c>
      <c r="B736" s="1" t="str">
        <f>T("249122704272")</f>
        <v>249122704272</v>
      </c>
      <c r="C736" s="1" t="str">
        <f>T("1941094470736940520")</f>
        <v>1941094470736940520</v>
      </c>
      <c r="AC736" s="1" t="s">
        <v>461</v>
      </c>
      <c r="AD736" s="1" t="s">
        <v>462</v>
      </c>
      <c r="AE736" s="1" t="s">
        <v>479</v>
      </c>
      <c r="AF736" s="1" t="s">
        <v>107</v>
      </c>
      <c r="AG736" s="1">
        <v>34</v>
      </c>
      <c r="AO736" s="2">
        <v>46275</v>
      </c>
      <c r="AP736" s="1" t="s">
        <v>248</v>
      </c>
      <c r="AQ736" s="2">
        <v>46275</v>
      </c>
      <c r="AR736" s="1" t="s">
        <v>254</v>
      </c>
      <c r="AS736" s="1" t="s">
        <v>71</v>
      </c>
      <c r="AU736" s="1" t="s">
        <v>79</v>
      </c>
      <c r="AV736" s="1" t="s">
        <v>480</v>
      </c>
      <c r="AW736" s="1">
        <v>0.66</v>
      </c>
      <c r="AX736" s="1">
        <v>0</v>
      </c>
      <c r="AZ736" s="1" t="s">
        <v>81</v>
      </c>
      <c r="BA736" s="1">
        <v>1</v>
      </c>
      <c r="BB736" s="1">
        <v>0</v>
      </c>
      <c r="BC736" s="1">
        <v>0</v>
      </c>
      <c r="BE736" s="1">
        <v>27188496</v>
      </c>
    </row>
    <row r="737" spans="1:57" x14ac:dyDescent="0.25">
      <c r="A737" s="1" t="str">
        <f>T("1944679007572923544")</f>
        <v>1944679007572923544</v>
      </c>
      <c r="B737" s="1" t="str">
        <f>T("249918637157")</f>
        <v>249918637157</v>
      </c>
      <c r="C737" s="1" t="str">
        <f>T("1941094470741131428")</f>
        <v>1941094470741131428</v>
      </c>
      <c r="AC737" s="1" t="s">
        <v>461</v>
      </c>
      <c r="AD737" s="1" t="s">
        <v>462</v>
      </c>
      <c r="AE737" s="1" t="s">
        <v>479</v>
      </c>
      <c r="AF737" s="1" t="s">
        <v>107</v>
      </c>
      <c r="AG737" s="1">
        <v>37</v>
      </c>
      <c r="AO737" s="2">
        <v>46275</v>
      </c>
      <c r="AP737" s="1" t="s">
        <v>248</v>
      </c>
      <c r="AS737" s="1" t="s">
        <v>71</v>
      </c>
      <c r="AU737" s="1" t="s">
        <v>72</v>
      </c>
      <c r="AV737" s="1" t="s">
        <v>73</v>
      </c>
      <c r="AX737" s="1">
        <v>0</v>
      </c>
      <c r="BA737" s="1">
        <v>9</v>
      </c>
      <c r="BB737" s="1">
        <v>0</v>
      </c>
      <c r="BC737" s="1">
        <v>0</v>
      </c>
      <c r="BE737" s="1">
        <v>27188496</v>
      </c>
    </row>
    <row r="738" spans="1:57" x14ac:dyDescent="0.25">
      <c r="A738" s="1" t="str">
        <f>T("1944679007593895384")</f>
        <v>1944679007593895384</v>
      </c>
      <c r="B738" s="1" t="str">
        <f>T("249122227903")</f>
        <v>249122227903</v>
      </c>
      <c r="C738" s="1" t="str">
        <f>T("1941094470741133728")</f>
        <v>1941094470741133728</v>
      </c>
      <c r="AC738" s="1" t="s">
        <v>104</v>
      </c>
      <c r="AD738" s="1" t="s">
        <v>141</v>
      </c>
      <c r="AE738" s="1" t="s">
        <v>481</v>
      </c>
      <c r="AF738" s="1" t="s">
        <v>107</v>
      </c>
      <c r="AO738" s="2">
        <v>46275</v>
      </c>
      <c r="AP738" s="1" t="s">
        <v>248</v>
      </c>
      <c r="AQ738" s="2">
        <v>46275</v>
      </c>
      <c r="AR738" s="1" t="s">
        <v>260</v>
      </c>
      <c r="AS738" s="1" t="s">
        <v>71</v>
      </c>
      <c r="AU738" s="1" t="s">
        <v>79</v>
      </c>
      <c r="AV738" s="1" t="s">
        <v>80</v>
      </c>
      <c r="AW738" s="1">
        <v>4.4400000000000004</v>
      </c>
      <c r="AX738" s="1">
        <v>0</v>
      </c>
      <c r="AZ738" s="1" t="s">
        <v>81</v>
      </c>
      <c r="BA738" s="1">
        <v>1</v>
      </c>
      <c r="BB738" s="1">
        <v>0</v>
      </c>
      <c r="BC738" s="1">
        <v>0</v>
      </c>
      <c r="BE738" s="1">
        <v>27188496</v>
      </c>
    </row>
    <row r="739" spans="1:57" x14ac:dyDescent="0.25">
      <c r="A739" s="1" t="str">
        <f>T("1944679007593895584")</f>
        <v>1944679007593895584</v>
      </c>
      <c r="B739" s="1" t="str">
        <f>T("249122197647")</f>
        <v>249122197647</v>
      </c>
      <c r="C739" s="1" t="str">
        <f>T("1941094470741133228")</f>
        <v>1941094470741133228</v>
      </c>
      <c r="AA739" s="1">
        <v>1</v>
      </c>
      <c r="AC739" s="1" t="s">
        <v>104</v>
      </c>
      <c r="AD739" s="1" t="s">
        <v>141</v>
      </c>
      <c r="AE739" s="1" t="s">
        <v>481</v>
      </c>
      <c r="AF739" s="1" t="s">
        <v>107</v>
      </c>
      <c r="AO739" s="2">
        <v>46275</v>
      </c>
      <c r="AP739" s="1" t="s">
        <v>248</v>
      </c>
      <c r="AQ739" s="2">
        <v>46275</v>
      </c>
      <c r="AR739" s="1" t="s">
        <v>482</v>
      </c>
      <c r="AS739" s="1" t="s">
        <v>71</v>
      </c>
      <c r="AU739" s="1" t="s">
        <v>78</v>
      </c>
      <c r="AV739" s="1" t="s">
        <v>80</v>
      </c>
      <c r="AW739" s="1">
        <v>134.66</v>
      </c>
      <c r="AX739" s="1">
        <v>0</v>
      </c>
      <c r="AZ739" s="1" t="s">
        <v>81</v>
      </c>
      <c r="BA739" s="1">
        <v>1</v>
      </c>
      <c r="BB739" s="1">
        <v>0</v>
      </c>
      <c r="BC739" s="1">
        <v>0</v>
      </c>
      <c r="BE739" s="1">
        <v>27188496</v>
      </c>
    </row>
    <row r="740" spans="1:57" x14ac:dyDescent="0.25">
      <c r="A740" s="1" t="str">
        <f>T("1944679007598090392")</f>
        <v>1944679007598090392</v>
      </c>
      <c r="B740" s="1" t="str">
        <f>T("24912917005")</f>
        <v>24912917005</v>
      </c>
      <c r="C740" s="1" t="str">
        <f>T("1941094470741134128")</f>
        <v>1941094470741134128</v>
      </c>
      <c r="AC740" s="1" t="s">
        <v>104</v>
      </c>
      <c r="AD740" s="1" t="s">
        <v>141</v>
      </c>
      <c r="AE740" s="1" t="s">
        <v>481</v>
      </c>
      <c r="AF740" s="1" t="s">
        <v>107</v>
      </c>
      <c r="AO740" s="2">
        <v>46275</v>
      </c>
      <c r="AP740" s="1" t="s">
        <v>248</v>
      </c>
      <c r="AS740" s="1" t="s">
        <v>71</v>
      </c>
      <c r="AU740" s="1" t="s">
        <v>72</v>
      </c>
      <c r="AV740" s="1" t="s">
        <v>73</v>
      </c>
      <c r="AX740" s="1">
        <v>0</v>
      </c>
      <c r="BA740" s="1">
        <v>9</v>
      </c>
      <c r="BB740" s="1">
        <v>0</v>
      </c>
      <c r="BC740" s="1">
        <v>0</v>
      </c>
      <c r="BE740" s="1">
        <v>27188496</v>
      </c>
    </row>
    <row r="741" spans="1:57" x14ac:dyDescent="0.25">
      <c r="A741" s="1" t="str">
        <f>T("1944679007648422388")</f>
        <v>1944679007648422388</v>
      </c>
      <c r="B741" s="1" t="str">
        <f>T("249122215633")</f>
        <v>249122215633</v>
      </c>
      <c r="C741" s="1" t="str">
        <f>T("1941094470741134628")</f>
        <v>1941094470741134628</v>
      </c>
      <c r="AC741" s="1" t="s">
        <v>104</v>
      </c>
      <c r="AD741" s="1" t="s">
        <v>141</v>
      </c>
      <c r="AE741" s="1" t="s">
        <v>481</v>
      </c>
      <c r="AF741" s="1" t="s">
        <v>107</v>
      </c>
      <c r="AO741" s="2">
        <v>46275</v>
      </c>
      <c r="AP741" s="1" t="s">
        <v>248</v>
      </c>
      <c r="AQ741" s="2">
        <v>46275</v>
      </c>
      <c r="AR741" s="1" t="s">
        <v>469</v>
      </c>
      <c r="AS741" s="1" t="s">
        <v>71</v>
      </c>
      <c r="AU741" s="1" t="s">
        <v>79</v>
      </c>
      <c r="AV741" s="1" t="s">
        <v>80</v>
      </c>
      <c r="AW741" s="1">
        <v>26.08</v>
      </c>
      <c r="AX741" s="1">
        <v>0</v>
      </c>
      <c r="AZ741" s="1" t="s">
        <v>81</v>
      </c>
      <c r="BA741" s="1">
        <v>1</v>
      </c>
      <c r="BB741" s="1">
        <v>0</v>
      </c>
      <c r="BC741" s="1">
        <v>0</v>
      </c>
      <c r="BE741" s="1">
        <v>27188496</v>
      </c>
    </row>
    <row r="742" spans="1:57" x14ac:dyDescent="0.25">
      <c r="A742" s="1" t="str">
        <f>T("1944679007661003812")</f>
        <v>1944679007661003812</v>
      </c>
      <c r="B742" s="1" t="str">
        <f>T("249919549619")</f>
        <v>249919549619</v>
      </c>
      <c r="C742" s="1" t="str">
        <f>T("1941094470741135128")</f>
        <v>1941094470741135128</v>
      </c>
      <c r="AC742" s="1" t="s">
        <v>104</v>
      </c>
      <c r="AD742" s="1" t="s">
        <v>141</v>
      </c>
      <c r="AE742" s="1" t="s">
        <v>481</v>
      </c>
      <c r="AF742" s="1" t="s">
        <v>107</v>
      </c>
      <c r="AO742" s="2">
        <v>46275</v>
      </c>
      <c r="AP742" s="1" t="s">
        <v>248</v>
      </c>
      <c r="AS742" s="1" t="s">
        <v>71</v>
      </c>
      <c r="AU742" s="1" t="s">
        <v>72</v>
      </c>
      <c r="AV742" s="1" t="s">
        <v>437</v>
      </c>
      <c r="AX742" s="1">
        <v>0</v>
      </c>
      <c r="BA742" s="1">
        <v>9</v>
      </c>
      <c r="BB742" s="1">
        <v>0</v>
      </c>
      <c r="BC742" s="1">
        <v>0</v>
      </c>
      <c r="BE742" s="1">
        <v>27188496</v>
      </c>
    </row>
    <row r="743" spans="1:57" x14ac:dyDescent="0.25">
      <c r="A743" s="1" t="str">
        <f>T("1944679007686168660")</f>
        <v>1944679007686168660</v>
      </c>
      <c r="B743" s="1" t="str">
        <f>T("249122481145")</f>
        <v>249122481145</v>
      </c>
      <c r="C743" s="1" t="str">
        <f>T("1941094470745325836")</f>
        <v>1941094470745325836</v>
      </c>
      <c r="AA743" s="1">
        <v>1</v>
      </c>
      <c r="AC743" s="1" t="s">
        <v>104</v>
      </c>
      <c r="AD743" s="1" t="s">
        <v>141</v>
      </c>
      <c r="AE743" s="1" t="s">
        <v>481</v>
      </c>
      <c r="AF743" s="1" t="s">
        <v>107</v>
      </c>
      <c r="AO743" s="2">
        <v>46275</v>
      </c>
      <c r="AP743" s="1" t="s">
        <v>248</v>
      </c>
      <c r="AQ743" s="2">
        <v>46275</v>
      </c>
      <c r="AR743" s="1" t="s">
        <v>460</v>
      </c>
      <c r="AS743" s="1" t="s">
        <v>71</v>
      </c>
      <c r="AU743" s="1" t="s">
        <v>79</v>
      </c>
      <c r="AV743" s="1" t="s">
        <v>80</v>
      </c>
      <c r="AW743" s="1">
        <v>60.38</v>
      </c>
      <c r="AX743" s="1">
        <v>0</v>
      </c>
      <c r="AZ743" s="1" t="s">
        <v>81</v>
      </c>
      <c r="BA743" s="1">
        <v>1</v>
      </c>
      <c r="BB743" s="1">
        <v>0</v>
      </c>
      <c r="BC743" s="1">
        <v>0</v>
      </c>
      <c r="BE743" s="1">
        <v>27188496</v>
      </c>
    </row>
    <row r="744" spans="1:57" x14ac:dyDescent="0.25">
      <c r="A744" s="1" t="str">
        <f>T("1944679007694559676")</f>
        <v>1944679007694559676</v>
      </c>
      <c r="B744" s="1" t="str">
        <f>T("249114779921")</f>
        <v>249114779921</v>
      </c>
      <c r="C744" s="1" t="str">
        <f>T("1941094470745326236")</f>
        <v>1941094470745326236</v>
      </c>
      <c r="AC744" s="1" t="s">
        <v>104</v>
      </c>
      <c r="AD744" s="1" t="s">
        <v>141</v>
      </c>
      <c r="AE744" s="1" t="s">
        <v>481</v>
      </c>
      <c r="AF744" s="1" t="s">
        <v>107</v>
      </c>
      <c r="AO744" s="2">
        <v>46275</v>
      </c>
      <c r="AP744" s="1" t="s">
        <v>248</v>
      </c>
      <c r="AS744" s="1" t="s">
        <v>71</v>
      </c>
      <c r="AU744" s="1" t="s">
        <v>72</v>
      </c>
      <c r="AV744" s="1" t="s">
        <v>73</v>
      </c>
      <c r="AX744" s="1">
        <v>0</v>
      </c>
      <c r="BA744" s="1">
        <v>9</v>
      </c>
      <c r="BB744" s="1">
        <v>0</v>
      </c>
      <c r="BC744" s="1">
        <v>0</v>
      </c>
      <c r="BE744" s="1">
        <v>27188496</v>
      </c>
    </row>
    <row r="745" spans="1:57" x14ac:dyDescent="0.25">
      <c r="A745" s="1" t="str">
        <f>T("1944686554845486624")</f>
        <v>1944686554845486624</v>
      </c>
      <c r="B745" s="1" t="str">
        <f>T("249116310245")</f>
        <v>249116310245</v>
      </c>
      <c r="C745" s="1" t="str">
        <f>T("1941094470745326536")</f>
        <v>1941094470745326536</v>
      </c>
      <c r="AC745" s="1" t="s">
        <v>104</v>
      </c>
      <c r="AD745" s="1" t="s">
        <v>141</v>
      </c>
      <c r="AE745" s="1" t="s">
        <v>481</v>
      </c>
      <c r="AF745" s="1" t="s">
        <v>144</v>
      </c>
      <c r="AO745" s="2">
        <v>46275</v>
      </c>
      <c r="AP745" s="1" t="s">
        <v>483</v>
      </c>
      <c r="AQ745" s="2">
        <v>46275</v>
      </c>
      <c r="AR745" s="1" t="s">
        <v>484</v>
      </c>
      <c r="AS745" s="1" t="s">
        <v>71</v>
      </c>
      <c r="AU745" s="1" t="s">
        <v>79</v>
      </c>
      <c r="AV745" s="1" t="s">
        <v>80</v>
      </c>
      <c r="AW745" s="1">
        <v>29</v>
      </c>
      <c r="AX745" s="1">
        <v>0</v>
      </c>
      <c r="AZ745" s="1" t="s">
        <v>81</v>
      </c>
      <c r="BA745" s="1">
        <v>1</v>
      </c>
      <c r="BB745" s="1">
        <v>0</v>
      </c>
      <c r="BC745" s="1">
        <v>0</v>
      </c>
      <c r="BE745" s="1">
        <v>27188507</v>
      </c>
    </row>
    <row r="746" spans="1:57" x14ac:dyDescent="0.25">
      <c r="A746" s="1" t="str">
        <f>T("1944686554967118856")</f>
        <v>1944686554967118856</v>
      </c>
      <c r="B746" s="1" t="str">
        <f>T("249128957907")</f>
        <v>249128957907</v>
      </c>
      <c r="C746" s="1" t="str">
        <f>T("1941094470745326936")</f>
        <v>1941094470745326936</v>
      </c>
      <c r="AA746" s="1">
        <v>1</v>
      </c>
      <c r="AC746" s="1" t="s">
        <v>104</v>
      </c>
      <c r="AD746" s="1" t="s">
        <v>141</v>
      </c>
      <c r="AE746" s="1" t="s">
        <v>481</v>
      </c>
      <c r="AF746" s="1" t="s">
        <v>107</v>
      </c>
      <c r="AO746" s="2">
        <v>46275</v>
      </c>
      <c r="AP746" s="1" t="s">
        <v>483</v>
      </c>
      <c r="AQ746" s="2">
        <v>46275</v>
      </c>
      <c r="AR746" s="1" t="s">
        <v>485</v>
      </c>
      <c r="AS746" s="1" t="s">
        <v>71</v>
      </c>
      <c r="AU746" s="1" t="s">
        <v>78</v>
      </c>
      <c r="AV746" s="1" t="s">
        <v>80</v>
      </c>
      <c r="AW746" s="1">
        <v>134.69999999999999</v>
      </c>
      <c r="AX746" s="1">
        <v>0</v>
      </c>
      <c r="AZ746" s="1" t="s">
        <v>81</v>
      </c>
      <c r="BA746" s="1">
        <v>4</v>
      </c>
      <c r="BB746" s="1">
        <v>0</v>
      </c>
      <c r="BC746" s="1">
        <v>0</v>
      </c>
      <c r="BE746" s="1">
        <v>27188507</v>
      </c>
    </row>
    <row r="747" spans="1:57" x14ac:dyDescent="0.25">
      <c r="A747" s="1" t="str">
        <f>T("1944686554975509872")</f>
        <v>1944686554975509872</v>
      </c>
      <c r="B747" s="1" t="str">
        <f>T("249121870737")</f>
        <v>249121870737</v>
      </c>
      <c r="C747" s="1" t="str">
        <f>T("1941094470745327236")</f>
        <v>1941094470745327236</v>
      </c>
      <c r="M747" s="1" t="s">
        <v>59</v>
      </c>
      <c r="O747" s="1" t="s">
        <v>65</v>
      </c>
      <c r="P747" s="1" t="s">
        <v>61</v>
      </c>
      <c r="Q747" s="1" t="s">
        <v>101</v>
      </c>
      <c r="R747" s="1" t="s">
        <v>93</v>
      </c>
      <c r="T747" s="1" t="s">
        <v>95</v>
      </c>
      <c r="AA747" s="1">
        <v>1</v>
      </c>
      <c r="AC747" s="1" t="s">
        <v>104</v>
      </c>
      <c r="AD747" s="1" t="s">
        <v>141</v>
      </c>
      <c r="AE747" s="1" t="s">
        <v>481</v>
      </c>
      <c r="AF747" s="1" t="s">
        <v>144</v>
      </c>
      <c r="AO747" s="2">
        <v>46275</v>
      </c>
      <c r="AP747" s="1" t="s">
        <v>483</v>
      </c>
      <c r="AQ747" s="2">
        <v>46275</v>
      </c>
      <c r="AR747" s="1" t="s">
        <v>486</v>
      </c>
      <c r="AS747" s="1" t="s">
        <v>71</v>
      </c>
      <c r="AU747" s="1" t="s">
        <v>79</v>
      </c>
      <c r="AV747" s="1" t="s">
        <v>80</v>
      </c>
      <c r="AW747" s="1">
        <v>150.32</v>
      </c>
      <c r="AX747" s="1">
        <v>0</v>
      </c>
      <c r="AZ747" s="1" t="s">
        <v>81</v>
      </c>
      <c r="BA747" s="1">
        <v>5</v>
      </c>
      <c r="BB747" s="1">
        <v>0</v>
      </c>
      <c r="BC747" s="1">
        <v>0</v>
      </c>
      <c r="BE747" s="1">
        <v>27188507</v>
      </c>
    </row>
    <row r="748" spans="1:57" x14ac:dyDescent="0.25">
      <c r="A748" s="1" t="str">
        <f>T("1944686554975509873")</f>
        <v>1944686554975509873</v>
      </c>
      <c r="B748" s="1" t="str">
        <f>T("249918929220")</f>
        <v>249918929220</v>
      </c>
      <c r="C748" s="1" t="str">
        <f>T("1941094470745327636")</f>
        <v>1941094470745327636</v>
      </c>
      <c r="AC748" s="1" t="s">
        <v>104</v>
      </c>
      <c r="AD748" s="1" t="s">
        <v>141</v>
      </c>
      <c r="AE748" s="1" t="s">
        <v>481</v>
      </c>
      <c r="AF748" s="1" t="s">
        <v>107</v>
      </c>
      <c r="AO748" s="2">
        <v>46275</v>
      </c>
      <c r="AP748" s="1" t="s">
        <v>483</v>
      </c>
      <c r="AS748" s="1" t="s">
        <v>71</v>
      </c>
      <c r="AU748" s="1" t="s">
        <v>72</v>
      </c>
      <c r="AV748" s="1" t="s">
        <v>73</v>
      </c>
      <c r="AX748" s="1">
        <v>0</v>
      </c>
      <c r="BA748" s="1">
        <v>9</v>
      </c>
      <c r="BB748" s="1">
        <v>0</v>
      </c>
      <c r="BC748" s="1">
        <v>0</v>
      </c>
      <c r="BE748" s="1">
        <v>27188507</v>
      </c>
    </row>
    <row r="749" spans="1:57" x14ac:dyDescent="0.25">
      <c r="A749" s="1" t="str">
        <f>T("1944686554992285604")</f>
        <v>1944686554992285604</v>
      </c>
      <c r="B749" s="1" t="str">
        <f>T("249129257562")</f>
        <v>249129257562</v>
      </c>
      <c r="C749" s="1" t="str">
        <f>T("1941094470745328036")</f>
        <v>1941094470745328036</v>
      </c>
      <c r="AC749" s="1" t="s">
        <v>104</v>
      </c>
      <c r="AD749" s="1" t="s">
        <v>141</v>
      </c>
      <c r="AE749" s="1" t="s">
        <v>481</v>
      </c>
      <c r="AF749" s="1" t="s">
        <v>107</v>
      </c>
      <c r="AO749" s="2">
        <v>46275</v>
      </c>
      <c r="AP749" s="1" t="s">
        <v>483</v>
      </c>
      <c r="AS749" s="1" t="s">
        <v>71</v>
      </c>
      <c r="AU749" s="1" t="s">
        <v>72</v>
      </c>
      <c r="AV749" s="1" t="s">
        <v>73</v>
      </c>
      <c r="AX749" s="1">
        <v>0</v>
      </c>
      <c r="BA749" s="1">
        <v>9</v>
      </c>
      <c r="BB749" s="1">
        <v>0</v>
      </c>
      <c r="BC749" s="1">
        <v>0</v>
      </c>
      <c r="BE749" s="1">
        <v>27188507</v>
      </c>
    </row>
    <row r="750" spans="1:57" x14ac:dyDescent="0.25">
      <c r="A750" s="1" t="str">
        <f>T("1944686555009061736")</f>
        <v>1944686555009061736</v>
      </c>
      <c r="B750" s="1" t="str">
        <f>T("249128938938")</f>
        <v>249128938938</v>
      </c>
      <c r="C750" s="1" t="str">
        <f>T("1941094470745329236")</f>
        <v>1941094470745329236</v>
      </c>
      <c r="AC750" s="1" t="s">
        <v>104</v>
      </c>
      <c r="AD750" s="1" t="s">
        <v>141</v>
      </c>
      <c r="AE750" s="1" t="s">
        <v>487</v>
      </c>
      <c r="AF750" s="1" t="s">
        <v>107</v>
      </c>
      <c r="AO750" s="2">
        <v>46275</v>
      </c>
      <c r="AP750" s="1" t="s">
        <v>483</v>
      </c>
      <c r="AS750" s="1" t="s">
        <v>71</v>
      </c>
      <c r="AU750" s="1" t="s">
        <v>72</v>
      </c>
      <c r="AV750" s="1" t="s">
        <v>73</v>
      </c>
      <c r="AX750" s="1">
        <v>0</v>
      </c>
      <c r="BA750" s="1">
        <v>9</v>
      </c>
      <c r="BB750" s="1">
        <v>0</v>
      </c>
      <c r="BC750" s="1">
        <v>0</v>
      </c>
      <c r="BE750" s="1">
        <v>27188507</v>
      </c>
    </row>
    <row r="751" spans="1:57" x14ac:dyDescent="0.25">
      <c r="A751" s="1" t="str">
        <f>T("1944686555017452452")</f>
        <v>1944686555017452452</v>
      </c>
      <c r="B751" s="1" t="str">
        <f>T("249913487244")</f>
        <v>249913487244</v>
      </c>
      <c r="C751" s="1" t="str">
        <f>T("1941094470745328836")</f>
        <v>1941094470745328836</v>
      </c>
      <c r="AC751" s="1" t="s">
        <v>104</v>
      </c>
      <c r="AD751" s="1" t="s">
        <v>141</v>
      </c>
      <c r="AE751" s="1" t="s">
        <v>487</v>
      </c>
      <c r="AF751" s="1" t="s">
        <v>107</v>
      </c>
      <c r="AO751" s="2">
        <v>46275</v>
      </c>
      <c r="AP751" s="1" t="s">
        <v>483</v>
      </c>
      <c r="AS751" s="1" t="s">
        <v>71</v>
      </c>
      <c r="AU751" s="1" t="s">
        <v>72</v>
      </c>
      <c r="AV751" s="1" t="s">
        <v>73</v>
      </c>
      <c r="AX751" s="1">
        <v>0</v>
      </c>
      <c r="BA751" s="1">
        <v>9</v>
      </c>
      <c r="BB751" s="1">
        <v>0</v>
      </c>
      <c r="BC751" s="1">
        <v>0</v>
      </c>
      <c r="BE751" s="1">
        <v>27188507</v>
      </c>
    </row>
    <row r="752" spans="1:57" x14ac:dyDescent="0.25">
      <c r="A752" s="1" t="str">
        <f>T("1944686555030034776")</f>
        <v>1944686555030034776</v>
      </c>
      <c r="B752" s="1" t="str">
        <f>T("249113679003")</f>
        <v>249113679003</v>
      </c>
      <c r="C752" s="1" t="str">
        <f>T("1941094470745328436")</f>
        <v>1941094470745328436</v>
      </c>
      <c r="M752" s="1" t="s">
        <v>59</v>
      </c>
      <c r="O752" s="1" t="s">
        <v>65</v>
      </c>
      <c r="P752" s="1" t="s">
        <v>61</v>
      </c>
      <c r="Q752" s="1" t="s">
        <v>112</v>
      </c>
      <c r="R752" s="1" t="s">
        <v>93</v>
      </c>
      <c r="T752" s="1" t="s">
        <v>61</v>
      </c>
      <c r="U752" s="1" t="s">
        <v>60</v>
      </c>
      <c r="V752" s="1" t="s">
        <v>103</v>
      </c>
      <c r="W752" s="1" t="s">
        <v>60</v>
      </c>
      <c r="X752" s="1" t="s">
        <v>103</v>
      </c>
      <c r="Y752" s="1" t="s">
        <v>85</v>
      </c>
      <c r="AA752" s="1">
        <v>1</v>
      </c>
      <c r="AB752" s="1">
        <v>1</v>
      </c>
      <c r="AC752" s="1" t="s">
        <v>104</v>
      </c>
      <c r="AD752" s="1" t="s">
        <v>141</v>
      </c>
      <c r="AE752" s="1" t="s">
        <v>487</v>
      </c>
      <c r="AF752" s="1" t="s">
        <v>107</v>
      </c>
      <c r="AO752" s="2">
        <v>46275</v>
      </c>
      <c r="AP752" s="1" t="s">
        <v>483</v>
      </c>
      <c r="AQ752" s="2">
        <v>46275</v>
      </c>
      <c r="AR752" s="1" t="s">
        <v>488</v>
      </c>
      <c r="AS752" s="1" t="s">
        <v>71</v>
      </c>
      <c r="AU752" s="1" t="s">
        <v>78</v>
      </c>
      <c r="AV752" s="1" t="s">
        <v>80</v>
      </c>
      <c r="AW752" s="1">
        <v>385.16</v>
      </c>
      <c r="AX752" s="1">
        <v>0</v>
      </c>
      <c r="AZ752" s="1" t="s">
        <v>81</v>
      </c>
      <c r="BA752" s="1">
        <v>1</v>
      </c>
      <c r="BB752" s="1">
        <v>0</v>
      </c>
      <c r="BC752" s="1">
        <v>0</v>
      </c>
      <c r="BE752" s="1">
        <v>27188507</v>
      </c>
    </row>
    <row r="753" spans="1:57" x14ac:dyDescent="0.25">
      <c r="A753" s="1" t="str">
        <f>T("1944686555059395332")</f>
        <v>1944686555059395332</v>
      </c>
      <c r="B753" s="1" t="str">
        <f>T("249121453703")</f>
        <v>249121453703</v>
      </c>
      <c r="C753" s="1" t="str">
        <f>T("1941094470749520444")</f>
        <v>1941094470749520444</v>
      </c>
      <c r="AA753" s="1">
        <v>1</v>
      </c>
      <c r="AC753" s="1" t="s">
        <v>104</v>
      </c>
      <c r="AD753" s="1" t="s">
        <v>141</v>
      </c>
      <c r="AE753" s="1" t="s">
        <v>487</v>
      </c>
      <c r="AF753" s="1" t="s">
        <v>107</v>
      </c>
      <c r="AO753" s="2">
        <v>46275</v>
      </c>
      <c r="AP753" s="1" t="s">
        <v>483</v>
      </c>
      <c r="AQ753" s="2">
        <v>46275</v>
      </c>
      <c r="AR753" s="1" t="s">
        <v>489</v>
      </c>
      <c r="AS753" s="1" t="s">
        <v>71</v>
      </c>
      <c r="AU753" s="1" t="s">
        <v>79</v>
      </c>
      <c r="AV753" s="1" t="s">
        <v>80</v>
      </c>
      <c r="AW753" s="1">
        <v>51.5</v>
      </c>
      <c r="AX753" s="1">
        <v>0</v>
      </c>
      <c r="AZ753" s="1" t="s">
        <v>81</v>
      </c>
      <c r="BA753" s="1">
        <v>4</v>
      </c>
      <c r="BB753" s="1">
        <v>0</v>
      </c>
      <c r="BC753" s="1">
        <v>0</v>
      </c>
      <c r="BE753" s="1">
        <v>27188507</v>
      </c>
    </row>
    <row r="754" spans="1:57" x14ac:dyDescent="0.25">
      <c r="A754" s="1" t="str">
        <f>T("1944686555063590640")</f>
        <v>1944686555063590640</v>
      </c>
      <c r="B754" s="1" t="str">
        <f>T("249121143994")</f>
        <v>249121143994</v>
      </c>
      <c r="C754" s="1" t="str">
        <f>T("1941094470749520844")</f>
        <v>1941094470749520844</v>
      </c>
      <c r="AC754" s="1" t="s">
        <v>104</v>
      </c>
      <c r="AD754" s="1" t="s">
        <v>141</v>
      </c>
      <c r="AE754" s="1" t="s">
        <v>487</v>
      </c>
      <c r="AF754" s="1" t="s">
        <v>107</v>
      </c>
      <c r="AO754" s="2">
        <v>46275</v>
      </c>
      <c r="AP754" s="1" t="s">
        <v>483</v>
      </c>
      <c r="AQ754" s="2">
        <v>46275</v>
      </c>
      <c r="AR754" s="1" t="s">
        <v>490</v>
      </c>
      <c r="AS754" s="1" t="s">
        <v>71</v>
      </c>
      <c r="AU754" s="1" t="s">
        <v>79</v>
      </c>
      <c r="AV754" s="1" t="s">
        <v>80</v>
      </c>
      <c r="AW754" s="1">
        <v>27.24</v>
      </c>
      <c r="AX754" s="1">
        <v>0</v>
      </c>
      <c r="AZ754" s="1" t="s">
        <v>81</v>
      </c>
      <c r="BA754" s="1">
        <v>3</v>
      </c>
      <c r="BB754" s="1">
        <v>0</v>
      </c>
      <c r="BC754" s="1">
        <v>0</v>
      </c>
      <c r="BE754" s="1">
        <v>27188507</v>
      </c>
    </row>
    <row r="755" spans="1:57" x14ac:dyDescent="0.25">
      <c r="A755" s="1" t="str">
        <f>T("1944686555080365872")</f>
        <v>1944686555080365872</v>
      </c>
      <c r="B755" s="1" t="str">
        <f>T("249122769491")</f>
        <v>249122769491</v>
      </c>
      <c r="C755" s="1" t="str">
        <f>T("1941094470749521244")</f>
        <v>1941094470749521244</v>
      </c>
      <c r="AC755" s="1" t="s">
        <v>104</v>
      </c>
      <c r="AD755" s="1" t="s">
        <v>151</v>
      </c>
      <c r="AE755" s="1" t="s">
        <v>491</v>
      </c>
      <c r="AF755" s="1" t="s">
        <v>107</v>
      </c>
      <c r="AO755" s="2">
        <v>46275</v>
      </c>
      <c r="AP755" s="1" t="s">
        <v>483</v>
      </c>
      <c r="AS755" s="1" t="s">
        <v>71</v>
      </c>
      <c r="AU755" s="1" t="s">
        <v>72</v>
      </c>
      <c r="AV755" s="1" t="s">
        <v>73</v>
      </c>
      <c r="AX755" s="1">
        <v>0</v>
      </c>
      <c r="BA755" s="1">
        <v>9</v>
      </c>
      <c r="BB755" s="1">
        <v>0</v>
      </c>
      <c r="BC755" s="1">
        <v>0</v>
      </c>
      <c r="BE755" s="1">
        <v>27188507</v>
      </c>
    </row>
    <row r="756" spans="1:57" x14ac:dyDescent="0.25">
      <c r="A756" s="1" t="str">
        <f>T("1944686555080367472")</f>
        <v>1944686555080367472</v>
      </c>
      <c r="B756" s="1" t="str">
        <f>T("249125214764")</f>
        <v>249125214764</v>
      </c>
      <c r="C756" s="1" t="str">
        <f>T("1941094470749522244")</f>
        <v>1941094470749522244</v>
      </c>
      <c r="AA756" s="1">
        <v>1</v>
      </c>
      <c r="AC756" s="1" t="s">
        <v>104</v>
      </c>
      <c r="AD756" s="1" t="s">
        <v>151</v>
      </c>
      <c r="AE756" s="1" t="s">
        <v>491</v>
      </c>
      <c r="AF756" s="1" t="s">
        <v>107</v>
      </c>
      <c r="AO756" s="2">
        <v>46275</v>
      </c>
      <c r="AP756" s="1" t="s">
        <v>483</v>
      </c>
      <c r="AQ756" s="2">
        <v>46275</v>
      </c>
      <c r="AR756" s="1" t="s">
        <v>492</v>
      </c>
      <c r="AS756" s="1" t="s">
        <v>71</v>
      </c>
      <c r="AU756" s="1" t="s">
        <v>79</v>
      </c>
      <c r="AV756" s="1" t="s">
        <v>80</v>
      </c>
      <c r="AW756" s="1">
        <v>60.42</v>
      </c>
      <c r="AX756" s="1">
        <v>0</v>
      </c>
      <c r="AZ756" s="1" t="s">
        <v>81</v>
      </c>
      <c r="BA756" s="1">
        <v>1</v>
      </c>
      <c r="BB756" s="1">
        <v>0</v>
      </c>
      <c r="BC756" s="1">
        <v>0</v>
      </c>
      <c r="BE756" s="1">
        <v>27188507</v>
      </c>
    </row>
    <row r="757" spans="1:57" x14ac:dyDescent="0.25">
      <c r="A757" s="1" t="str">
        <f>T("1944686555092947096")</f>
        <v>1944686555092947096</v>
      </c>
      <c r="B757" s="1" t="str">
        <f>T("249129642122")</f>
        <v>249129642122</v>
      </c>
      <c r="C757" s="1" t="str">
        <f>T("1941094470749521744")</f>
        <v>1941094470749521744</v>
      </c>
      <c r="AC757" s="1" t="s">
        <v>104</v>
      </c>
      <c r="AD757" s="1" t="s">
        <v>151</v>
      </c>
      <c r="AE757" s="1" t="s">
        <v>491</v>
      </c>
      <c r="AF757" s="1" t="s">
        <v>107</v>
      </c>
      <c r="AO757" s="2">
        <v>46275</v>
      </c>
      <c r="AP757" s="1" t="s">
        <v>483</v>
      </c>
      <c r="AQ757" s="2">
        <v>46275</v>
      </c>
      <c r="AR757" s="1" t="s">
        <v>493</v>
      </c>
      <c r="AS757" s="1" t="s">
        <v>71</v>
      </c>
      <c r="AU757" s="1" t="s">
        <v>79</v>
      </c>
      <c r="AV757" s="1" t="s">
        <v>80</v>
      </c>
      <c r="AW757" s="1">
        <v>33.953000000000003</v>
      </c>
      <c r="AX757" s="1">
        <v>0</v>
      </c>
      <c r="AZ757" s="1" t="s">
        <v>81</v>
      </c>
      <c r="BA757" s="1">
        <v>1</v>
      </c>
      <c r="BB757" s="1">
        <v>0</v>
      </c>
      <c r="BC757" s="1">
        <v>0</v>
      </c>
      <c r="BE757" s="1">
        <v>27188507</v>
      </c>
    </row>
    <row r="758" spans="1:57" x14ac:dyDescent="0.25">
      <c r="A758" s="1" t="str">
        <f>T("1944686555109724828")</f>
        <v>1944686555109724828</v>
      </c>
      <c r="B758" s="1" t="str">
        <f>T("24911790098")</f>
        <v>24911790098</v>
      </c>
      <c r="C758" s="1" t="str">
        <f>T("1941094470749522644")</f>
        <v>1941094470749522644</v>
      </c>
      <c r="AC758" s="1" t="s">
        <v>104</v>
      </c>
      <c r="AD758" s="1" t="s">
        <v>151</v>
      </c>
      <c r="AE758" s="1" t="s">
        <v>491</v>
      </c>
      <c r="AF758" s="1" t="s">
        <v>107</v>
      </c>
      <c r="AO758" s="2">
        <v>46275</v>
      </c>
      <c r="AP758" s="1" t="s">
        <v>483</v>
      </c>
      <c r="AS758" s="1" t="s">
        <v>71</v>
      </c>
      <c r="AU758" s="1" t="s">
        <v>72</v>
      </c>
      <c r="AV758" s="1" t="s">
        <v>73</v>
      </c>
      <c r="AX758" s="1">
        <v>0</v>
      </c>
      <c r="BA758" s="1">
        <v>9</v>
      </c>
      <c r="BB758" s="1">
        <v>0</v>
      </c>
      <c r="BC758" s="1">
        <v>0</v>
      </c>
      <c r="BE758" s="1">
        <v>27188507</v>
      </c>
    </row>
    <row r="759" spans="1:57" x14ac:dyDescent="0.25">
      <c r="A759" s="1" t="str">
        <f>T("1944686555126502360")</f>
        <v>1944686555126502360</v>
      </c>
      <c r="B759" s="1" t="str">
        <f>T("249111334804")</f>
        <v>249111334804</v>
      </c>
      <c r="C759" s="1" t="str">
        <f>T("1941094470749523144")</f>
        <v>1941094470749523144</v>
      </c>
      <c r="AC759" s="1" t="s">
        <v>104</v>
      </c>
      <c r="AD759" s="1" t="s">
        <v>151</v>
      </c>
      <c r="AE759" s="1" t="s">
        <v>491</v>
      </c>
      <c r="AF759" s="1" t="s">
        <v>107</v>
      </c>
      <c r="AO759" s="2">
        <v>46275</v>
      </c>
      <c r="AP759" s="1" t="s">
        <v>483</v>
      </c>
      <c r="AQ759" s="2">
        <v>46275</v>
      </c>
      <c r="AR759" s="1" t="s">
        <v>494</v>
      </c>
      <c r="AS759" s="1" t="s">
        <v>71</v>
      </c>
      <c r="AU759" s="1" t="s">
        <v>79</v>
      </c>
      <c r="AV759" s="1" t="s">
        <v>80</v>
      </c>
      <c r="AW759" s="1">
        <v>31.2</v>
      </c>
      <c r="AX759" s="1">
        <v>0</v>
      </c>
      <c r="AZ759" s="1" t="s">
        <v>81</v>
      </c>
      <c r="BA759" s="1">
        <v>1</v>
      </c>
      <c r="BB759" s="1">
        <v>0</v>
      </c>
      <c r="BC759" s="1">
        <v>0</v>
      </c>
      <c r="BE759" s="1">
        <v>27188507</v>
      </c>
    </row>
    <row r="760" spans="1:57" x14ac:dyDescent="0.25">
      <c r="A760" s="1" t="str">
        <f>T("1944686555130699368")</f>
        <v>1944686555130699368</v>
      </c>
      <c r="B760" s="1" t="str">
        <f>T("249118882564")</f>
        <v>249118882564</v>
      </c>
      <c r="C760" s="1" t="str">
        <f>T("1941094470749523944")</f>
        <v>1941094470749523944</v>
      </c>
      <c r="AC760" s="1" t="s">
        <v>104</v>
      </c>
      <c r="AD760" s="1" t="s">
        <v>151</v>
      </c>
      <c r="AE760" s="1" t="s">
        <v>491</v>
      </c>
      <c r="AF760" s="1" t="s">
        <v>107</v>
      </c>
      <c r="AO760" s="2">
        <v>46275</v>
      </c>
      <c r="AP760" s="1" t="s">
        <v>483</v>
      </c>
      <c r="AS760" s="1" t="s">
        <v>71</v>
      </c>
      <c r="AU760" s="1" t="s">
        <v>72</v>
      </c>
      <c r="AV760" s="1" t="s">
        <v>73</v>
      </c>
      <c r="AX760" s="1">
        <v>0</v>
      </c>
      <c r="BA760" s="1">
        <v>9</v>
      </c>
      <c r="BB760" s="1">
        <v>0</v>
      </c>
      <c r="BC760" s="1">
        <v>0</v>
      </c>
      <c r="BE760" s="1">
        <v>27188507</v>
      </c>
    </row>
    <row r="761" spans="1:57" x14ac:dyDescent="0.25">
      <c r="A761" s="1" t="str">
        <f>T("1944686555134891976")</f>
        <v>1944686555134891976</v>
      </c>
      <c r="B761" s="1" t="str">
        <f>T("249117926963")</f>
        <v>249117926963</v>
      </c>
      <c r="C761" s="1" t="str">
        <f>T("1941094470749523544")</f>
        <v>1941094470749523544</v>
      </c>
      <c r="M761" s="1" t="s">
        <v>59</v>
      </c>
      <c r="O761" s="1" t="s">
        <v>60</v>
      </c>
      <c r="P761" s="1" t="s">
        <v>83</v>
      </c>
      <c r="Q761" s="1" t="s">
        <v>92</v>
      </c>
      <c r="AA761" s="1">
        <v>1</v>
      </c>
      <c r="AC761" s="1" t="s">
        <v>104</v>
      </c>
      <c r="AD761" s="1" t="s">
        <v>151</v>
      </c>
      <c r="AE761" s="1" t="s">
        <v>491</v>
      </c>
      <c r="AF761" s="1" t="s">
        <v>107</v>
      </c>
      <c r="AO761" s="2">
        <v>46275</v>
      </c>
      <c r="AP761" s="1" t="s">
        <v>483</v>
      </c>
      <c r="AQ761" s="2">
        <v>46275</v>
      </c>
      <c r="AR761" s="1" t="s">
        <v>495</v>
      </c>
      <c r="AS761" s="1" t="s">
        <v>71</v>
      </c>
      <c r="AU761" s="1" t="s">
        <v>79</v>
      </c>
      <c r="AV761" s="1" t="s">
        <v>80</v>
      </c>
      <c r="AW761" s="1">
        <v>139.82</v>
      </c>
      <c r="AX761" s="1">
        <v>0</v>
      </c>
      <c r="AZ761" s="1" t="s">
        <v>81</v>
      </c>
      <c r="BA761" s="1">
        <v>4</v>
      </c>
      <c r="BB761" s="1">
        <v>0</v>
      </c>
      <c r="BC761" s="1">
        <v>0</v>
      </c>
      <c r="BE761" s="1">
        <v>27188507</v>
      </c>
    </row>
    <row r="762" spans="1:57" x14ac:dyDescent="0.25">
      <c r="A762" s="1" t="str">
        <f>T("1944686555134892576")</f>
        <v>1944686555134892576</v>
      </c>
      <c r="B762" s="1" t="str">
        <f>T("249996798105")</f>
        <v>249996798105</v>
      </c>
      <c r="C762" s="1" t="str">
        <f>T("1941094470753714952")</f>
        <v>1941094470753714952</v>
      </c>
      <c r="AC762" s="1" t="s">
        <v>104</v>
      </c>
      <c r="AD762" s="1" t="s">
        <v>151</v>
      </c>
      <c r="AE762" s="1" t="s">
        <v>496</v>
      </c>
      <c r="AF762" s="1" t="s">
        <v>107</v>
      </c>
      <c r="AO762" s="2">
        <v>46275</v>
      </c>
      <c r="AP762" s="1" t="s">
        <v>483</v>
      </c>
      <c r="AS762" s="1" t="s">
        <v>71</v>
      </c>
      <c r="AU762" s="1" t="s">
        <v>72</v>
      </c>
      <c r="AV762" s="1" t="s">
        <v>126</v>
      </c>
      <c r="AX762" s="1">
        <v>0</v>
      </c>
      <c r="BA762" s="1">
        <v>9</v>
      </c>
      <c r="BB762" s="1">
        <v>0</v>
      </c>
      <c r="BC762" s="1">
        <v>0</v>
      </c>
      <c r="BE762" s="1">
        <v>27188507</v>
      </c>
    </row>
    <row r="763" spans="1:57" x14ac:dyDescent="0.25">
      <c r="A763" s="1" t="str">
        <f>T("1944686555134893376")</f>
        <v>1944686555134893376</v>
      </c>
      <c r="B763" s="1" t="str">
        <f>T("249904366898")</f>
        <v>249904366898</v>
      </c>
      <c r="C763" s="1" t="str">
        <f>T("1941094470753714552")</f>
        <v>1941094470753714552</v>
      </c>
      <c r="AC763" s="1" t="s">
        <v>104</v>
      </c>
      <c r="AD763" s="1" t="s">
        <v>151</v>
      </c>
      <c r="AE763" s="1" t="s">
        <v>496</v>
      </c>
      <c r="AF763" s="1" t="s">
        <v>107</v>
      </c>
      <c r="AO763" s="2">
        <v>46275</v>
      </c>
      <c r="AP763" s="1" t="s">
        <v>483</v>
      </c>
      <c r="AS763" s="1" t="s">
        <v>71</v>
      </c>
      <c r="AU763" s="1" t="s">
        <v>72</v>
      </c>
      <c r="AV763" s="1" t="s">
        <v>73</v>
      </c>
      <c r="AX763" s="1">
        <v>0</v>
      </c>
      <c r="BA763" s="1">
        <v>9</v>
      </c>
      <c r="BB763" s="1">
        <v>0</v>
      </c>
      <c r="BC763" s="1">
        <v>0</v>
      </c>
      <c r="BE763" s="1">
        <v>27188507</v>
      </c>
    </row>
    <row r="764" spans="1:57" x14ac:dyDescent="0.25">
      <c r="A764" s="1" t="str">
        <f>T("1944686555168446940")</f>
        <v>1944686555168446940</v>
      </c>
      <c r="B764" s="1" t="str">
        <f>T("249995914856")</f>
        <v>249995914856</v>
      </c>
      <c r="C764" s="1" t="str">
        <f>T("1941094470757909660")</f>
        <v>1941094470757909660</v>
      </c>
      <c r="AC764" s="1" t="s">
        <v>104</v>
      </c>
      <c r="AD764" s="1" t="s">
        <v>151</v>
      </c>
      <c r="AE764" s="1" t="s">
        <v>496</v>
      </c>
      <c r="AF764" s="1" t="s">
        <v>107</v>
      </c>
      <c r="AO764" s="2">
        <v>46275</v>
      </c>
      <c r="AP764" s="1" t="s">
        <v>483</v>
      </c>
      <c r="AQ764" s="2">
        <v>46275</v>
      </c>
      <c r="AR764" s="1" t="s">
        <v>492</v>
      </c>
      <c r="AS764" s="1" t="s">
        <v>71</v>
      </c>
      <c r="AU764" s="1" t="s">
        <v>79</v>
      </c>
      <c r="AV764" s="1" t="s">
        <v>80</v>
      </c>
      <c r="AW764" s="1">
        <v>13.62</v>
      </c>
      <c r="AX764" s="1">
        <v>0</v>
      </c>
      <c r="AZ764" s="1" t="s">
        <v>81</v>
      </c>
      <c r="BA764" s="1">
        <v>1</v>
      </c>
      <c r="BB764" s="1">
        <v>0</v>
      </c>
      <c r="BC764" s="1">
        <v>0</v>
      </c>
      <c r="BE764" s="1">
        <v>27188507</v>
      </c>
    </row>
    <row r="765" spans="1:57" x14ac:dyDescent="0.25">
      <c r="A765" s="1" t="str">
        <f>T("1944686555172640748")</f>
        <v>1944686555172640748</v>
      </c>
      <c r="B765" s="1" t="str">
        <f>T("249920953850")</f>
        <v>249920953850</v>
      </c>
      <c r="C765" s="1" t="str">
        <f>T("1941094470757911960")</f>
        <v>1941094470757911960</v>
      </c>
      <c r="AC765" s="1" t="s">
        <v>104</v>
      </c>
      <c r="AD765" s="1" t="s">
        <v>151</v>
      </c>
      <c r="AE765" s="1" t="s">
        <v>496</v>
      </c>
      <c r="AF765" s="1" t="s">
        <v>107</v>
      </c>
      <c r="AO765" s="2">
        <v>46275</v>
      </c>
      <c r="AP765" s="1" t="s">
        <v>483</v>
      </c>
      <c r="AQ765" s="2">
        <v>46275</v>
      </c>
      <c r="AR765" s="1" t="s">
        <v>497</v>
      </c>
      <c r="AS765" s="1" t="s">
        <v>71</v>
      </c>
      <c r="AU765" s="1" t="s">
        <v>79</v>
      </c>
      <c r="AV765" s="1" t="s">
        <v>80</v>
      </c>
      <c r="AW765" s="1">
        <v>19.78</v>
      </c>
      <c r="AX765" s="1">
        <v>0</v>
      </c>
      <c r="AZ765" s="1" t="s">
        <v>81</v>
      </c>
      <c r="BA765" s="1">
        <v>1</v>
      </c>
      <c r="BB765" s="1">
        <v>0</v>
      </c>
      <c r="BC765" s="1">
        <v>0</v>
      </c>
      <c r="BE765" s="1">
        <v>27188507</v>
      </c>
    </row>
    <row r="766" spans="1:57" x14ac:dyDescent="0.25">
      <c r="A766" s="1" t="str">
        <f>T("1944686555172640848")</f>
        <v>1944686555172640848</v>
      </c>
      <c r="B766" s="1" t="str">
        <f>T("249920848913")</f>
        <v>249920848913</v>
      </c>
      <c r="C766" s="1" t="str">
        <f>T("1941094470757912460")</f>
        <v>1941094470757912460</v>
      </c>
      <c r="AA766" s="1">
        <v>1</v>
      </c>
      <c r="AC766" s="1" t="s">
        <v>104</v>
      </c>
      <c r="AD766" s="1" t="s">
        <v>151</v>
      </c>
      <c r="AE766" s="1" t="s">
        <v>498</v>
      </c>
      <c r="AF766" s="1" t="s">
        <v>107</v>
      </c>
      <c r="AO766" s="2">
        <v>46275</v>
      </c>
      <c r="AP766" s="1" t="s">
        <v>483</v>
      </c>
      <c r="AQ766" s="2">
        <v>46275</v>
      </c>
      <c r="AR766" s="1" t="s">
        <v>499</v>
      </c>
      <c r="AS766" s="1" t="s">
        <v>71</v>
      </c>
      <c r="AU766" s="1" t="s">
        <v>78</v>
      </c>
      <c r="AV766" s="1" t="s">
        <v>80</v>
      </c>
      <c r="AW766" s="1">
        <v>134.58000000000001</v>
      </c>
      <c r="AX766" s="1">
        <v>0</v>
      </c>
      <c r="AZ766" s="1" t="s">
        <v>81</v>
      </c>
      <c r="BA766" s="1">
        <v>2</v>
      </c>
      <c r="BB766" s="1">
        <v>0</v>
      </c>
      <c r="BC766" s="1">
        <v>0</v>
      </c>
      <c r="BE766" s="1">
        <v>27188507</v>
      </c>
    </row>
    <row r="767" spans="1:57" x14ac:dyDescent="0.25">
      <c r="A767" s="1" t="str">
        <f>T("1944686555181031364")</f>
        <v>1944686555181031364</v>
      </c>
      <c r="B767" s="1" t="str">
        <f>T("249915003453")</f>
        <v>249915003453</v>
      </c>
      <c r="C767" s="1" t="str">
        <f>T("1941094470762103168")</f>
        <v>1941094470762103168</v>
      </c>
      <c r="AC767" s="1" t="s">
        <v>104</v>
      </c>
      <c r="AD767" s="1" t="s">
        <v>151</v>
      </c>
      <c r="AE767" s="1" t="s">
        <v>498</v>
      </c>
      <c r="AF767" s="1" t="s">
        <v>107</v>
      </c>
      <c r="AO767" s="2">
        <v>46275</v>
      </c>
      <c r="AP767" s="1" t="s">
        <v>483</v>
      </c>
      <c r="AS767" s="1" t="s">
        <v>71</v>
      </c>
      <c r="AU767" s="1" t="s">
        <v>72</v>
      </c>
      <c r="AV767" s="1" t="s">
        <v>437</v>
      </c>
      <c r="AX767" s="1">
        <v>0</v>
      </c>
      <c r="BA767" s="1">
        <v>9</v>
      </c>
      <c r="BB767" s="1">
        <v>0</v>
      </c>
      <c r="BC767" s="1">
        <v>0</v>
      </c>
      <c r="BE767" s="1">
        <v>27188507</v>
      </c>
    </row>
    <row r="768" spans="1:57" x14ac:dyDescent="0.25">
      <c r="A768" s="1" t="str">
        <f>T("1944686555185223272")</f>
        <v>1944686555185223272</v>
      </c>
      <c r="B768" s="1" t="str">
        <f>T("249920421541")</f>
        <v>249920421541</v>
      </c>
      <c r="C768" s="1" t="str">
        <f>T("1941094470766297576")</f>
        <v>1941094470766297576</v>
      </c>
      <c r="AA768" s="1">
        <v>1</v>
      </c>
      <c r="AC768" s="1" t="s">
        <v>104</v>
      </c>
      <c r="AD768" s="1" t="s">
        <v>151</v>
      </c>
      <c r="AE768" s="1" t="s">
        <v>498</v>
      </c>
      <c r="AF768" s="1" t="s">
        <v>107</v>
      </c>
      <c r="AO768" s="2">
        <v>46275</v>
      </c>
      <c r="AP768" s="1" t="s">
        <v>483</v>
      </c>
      <c r="AQ768" s="2">
        <v>46275</v>
      </c>
      <c r="AR768" s="1" t="s">
        <v>497</v>
      </c>
      <c r="AS768" s="1" t="s">
        <v>71</v>
      </c>
      <c r="AU768" s="1" t="s">
        <v>79</v>
      </c>
      <c r="AV768" s="1" t="s">
        <v>80</v>
      </c>
      <c r="AW768" s="1">
        <v>68.7</v>
      </c>
      <c r="AX768" s="1">
        <v>0</v>
      </c>
      <c r="AZ768" s="1" t="s">
        <v>81</v>
      </c>
      <c r="BA768" s="1">
        <v>1</v>
      </c>
      <c r="BB768" s="1">
        <v>0</v>
      </c>
      <c r="BC768" s="1">
        <v>0</v>
      </c>
      <c r="BE768" s="1">
        <v>27188507</v>
      </c>
    </row>
    <row r="769" spans="1:57" x14ac:dyDescent="0.25">
      <c r="A769" s="1" t="str">
        <f>T("1944686555197804596")</f>
        <v>1944686555197804596</v>
      </c>
      <c r="B769" s="1" t="str">
        <f>T("249928494773")</f>
        <v>249928494773</v>
      </c>
      <c r="C769" s="1" t="str">
        <f>T("1941094470766298376")</f>
        <v>1941094470766298376</v>
      </c>
      <c r="AA769" s="1">
        <v>1</v>
      </c>
      <c r="AC769" s="1" t="s">
        <v>104</v>
      </c>
      <c r="AD769" s="1" t="s">
        <v>151</v>
      </c>
      <c r="AE769" s="1" t="s">
        <v>498</v>
      </c>
      <c r="AF769" s="1" t="s">
        <v>107</v>
      </c>
      <c r="AO769" s="2">
        <v>46275</v>
      </c>
      <c r="AP769" s="1" t="s">
        <v>483</v>
      </c>
      <c r="AQ769" s="2">
        <v>46275</v>
      </c>
      <c r="AR769" s="1" t="s">
        <v>500</v>
      </c>
      <c r="AS769" s="1" t="s">
        <v>71</v>
      </c>
      <c r="AU769" s="1" t="s">
        <v>79</v>
      </c>
      <c r="AV769" s="1" t="s">
        <v>80</v>
      </c>
      <c r="AW769" s="1">
        <v>64.42</v>
      </c>
      <c r="AX769" s="1">
        <v>0</v>
      </c>
      <c r="AZ769" s="1" t="s">
        <v>81</v>
      </c>
      <c r="BA769" s="1">
        <v>1</v>
      </c>
      <c r="BB769" s="1">
        <v>0</v>
      </c>
      <c r="BC769" s="1">
        <v>0</v>
      </c>
      <c r="BE769" s="1">
        <v>27188507</v>
      </c>
    </row>
    <row r="770" spans="1:57" x14ac:dyDescent="0.25">
      <c r="A770" s="1" t="str">
        <f>T("1944686555210387720")</f>
        <v>1944686555210387720</v>
      </c>
      <c r="B770" s="1" t="str">
        <f>T("249915084473")</f>
        <v>249915084473</v>
      </c>
      <c r="C770" s="1" t="str">
        <f>T("1941094470766298876")</f>
        <v>1941094470766298876</v>
      </c>
      <c r="AC770" s="1" t="s">
        <v>344</v>
      </c>
      <c r="AD770" s="1" t="s">
        <v>501</v>
      </c>
      <c r="AE770" s="1" t="s">
        <v>502</v>
      </c>
      <c r="AF770" s="1" t="s">
        <v>503</v>
      </c>
      <c r="AG770" s="1" t="s">
        <v>313</v>
      </c>
      <c r="AO770" s="2">
        <v>46275</v>
      </c>
      <c r="AP770" s="1" t="s">
        <v>483</v>
      </c>
      <c r="AS770" s="1" t="s">
        <v>71</v>
      </c>
      <c r="AU770" s="1" t="s">
        <v>72</v>
      </c>
      <c r="AV770" s="1" t="s">
        <v>73</v>
      </c>
      <c r="AX770" s="1">
        <v>0</v>
      </c>
      <c r="BA770" s="1">
        <v>9</v>
      </c>
      <c r="BB770" s="1">
        <v>0</v>
      </c>
      <c r="BC770" s="1">
        <v>0</v>
      </c>
      <c r="BE770" s="1">
        <v>27188507</v>
      </c>
    </row>
    <row r="771" spans="1:57" x14ac:dyDescent="0.25">
      <c r="A771" s="1" t="str">
        <f>T("1944686555222973444")</f>
        <v>1944686555222973444</v>
      </c>
      <c r="B771" s="1" t="str">
        <f>T("249914722344")</f>
        <v>249914722344</v>
      </c>
      <c r="C771" s="1" t="str">
        <f>T("1941094470766299276")</f>
        <v>1941094470766299276</v>
      </c>
      <c r="AC771" s="1" t="s">
        <v>344</v>
      </c>
      <c r="AD771" s="1" t="s">
        <v>501</v>
      </c>
      <c r="AE771" s="1" t="s">
        <v>502</v>
      </c>
      <c r="AF771" s="1" t="s">
        <v>503</v>
      </c>
      <c r="AG771" s="1" t="s">
        <v>313</v>
      </c>
      <c r="AO771" s="2">
        <v>46275</v>
      </c>
      <c r="AP771" s="1" t="s">
        <v>483</v>
      </c>
      <c r="AS771" s="1" t="s">
        <v>71</v>
      </c>
      <c r="AU771" s="1" t="s">
        <v>72</v>
      </c>
      <c r="AV771" s="1" t="s">
        <v>437</v>
      </c>
      <c r="AX771" s="1">
        <v>0</v>
      </c>
      <c r="BA771" s="1">
        <v>9</v>
      </c>
      <c r="BB771" s="1">
        <v>0</v>
      </c>
      <c r="BC771" s="1">
        <v>0</v>
      </c>
      <c r="BE771" s="1">
        <v>27188507</v>
      </c>
    </row>
    <row r="772" spans="1:57" x14ac:dyDescent="0.25">
      <c r="A772" s="1" t="str">
        <f>T("1944686555235556768")</f>
        <v>1944686555235556768</v>
      </c>
      <c r="B772" s="1" t="str">
        <f>T("249901912642")</f>
        <v>249901912642</v>
      </c>
      <c r="C772" s="1" t="str">
        <f>T("1941094470766300576")</f>
        <v>1941094470766300576</v>
      </c>
      <c r="AC772" s="1" t="s">
        <v>344</v>
      </c>
      <c r="AD772" s="1" t="s">
        <v>501</v>
      </c>
      <c r="AE772" s="1" t="s">
        <v>504</v>
      </c>
      <c r="AF772" s="1" t="s">
        <v>503</v>
      </c>
      <c r="AG772" s="1" t="s">
        <v>313</v>
      </c>
      <c r="AO772" s="2">
        <v>46275</v>
      </c>
      <c r="AP772" s="1" t="s">
        <v>483</v>
      </c>
      <c r="AS772" s="1" t="s">
        <v>71</v>
      </c>
      <c r="AU772" s="1" t="s">
        <v>72</v>
      </c>
      <c r="AV772" s="1" t="s">
        <v>437</v>
      </c>
      <c r="AX772" s="1">
        <v>0</v>
      </c>
      <c r="BA772" s="1">
        <v>9</v>
      </c>
      <c r="BB772" s="1">
        <v>0</v>
      </c>
      <c r="BC772" s="1">
        <v>0</v>
      </c>
      <c r="BE772" s="1">
        <v>27188507</v>
      </c>
    </row>
    <row r="773" spans="1:57" x14ac:dyDescent="0.25">
      <c r="A773" s="1" t="str">
        <f>T("1944686555239748376")</f>
        <v>1944686555239748376</v>
      </c>
      <c r="B773" s="1" t="str">
        <f>T("249129547451")</f>
        <v>249129547451</v>
      </c>
      <c r="C773" s="1" t="str">
        <f>T("1941094470766300076")</f>
        <v>1941094470766300076</v>
      </c>
      <c r="AA773" s="1">
        <v>1</v>
      </c>
      <c r="AC773" s="1" t="s">
        <v>344</v>
      </c>
      <c r="AD773" s="1" t="s">
        <v>501</v>
      </c>
      <c r="AE773" s="1" t="s">
        <v>504</v>
      </c>
      <c r="AF773" s="1" t="s">
        <v>503</v>
      </c>
      <c r="AG773" s="1" t="s">
        <v>313</v>
      </c>
      <c r="AO773" s="2">
        <v>46275</v>
      </c>
      <c r="AP773" s="1" t="s">
        <v>483</v>
      </c>
      <c r="AQ773" s="2">
        <v>46275</v>
      </c>
      <c r="AR773" s="1" t="s">
        <v>505</v>
      </c>
      <c r="AS773" s="1" t="s">
        <v>71</v>
      </c>
      <c r="AU773" s="1" t="s">
        <v>78</v>
      </c>
      <c r="AV773" s="1" t="s">
        <v>80</v>
      </c>
      <c r="AW773" s="1">
        <v>134.58000000000001</v>
      </c>
      <c r="AX773" s="1">
        <v>0</v>
      </c>
      <c r="AZ773" s="1" t="s">
        <v>81</v>
      </c>
      <c r="BA773" s="1">
        <v>1</v>
      </c>
      <c r="BB773" s="1">
        <v>0</v>
      </c>
      <c r="BC773" s="1">
        <v>0</v>
      </c>
      <c r="BE773" s="1">
        <v>27188507</v>
      </c>
    </row>
    <row r="774" spans="1:57" x14ac:dyDescent="0.25">
      <c r="A774" s="1" t="str">
        <f>T("1944686555248137092")</f>
        <v>1944686555248137092</v>
      </c>
      <c r="B774" s="1" t="str">
        <f>T("249113147414")</f>
        <v>249113147414</v>
      </c>
      <c r="C774" s="1" t="str">
        <f>T("1941094470766299676")</f>
        <v>1941094470766299676</v>
      </c>
      <c r="AC774" s="1" t="s">
        <v>344</v>
      </c>
      <c r="AD774" s="1" t="s">
        <v>501</v>
      </c>
      <c r="AE774" s="1" t="s">
        <v>502</v>
      </c>
      <c r="AF774" s="1" t="s">
        <v>503</v>
      </c>
      <c r="AG774" s="1" t="s">
        <v>313</v>
      </c>
      <c r="AO774" s="2">
        <v>46275</v>
      </c>
      <c r="AP774" s="1" t="s">
        <v>483</v>
      </c>
      <c r="AS774" s="1" t="s">
        <v>71</v>
      </c>
      <c r="AU774" s="1" t="s">
        <v>72</v>
      </c>
      <c r="AV774" s="1" t="s">
        <v>115</v>
      </c>
      <c r="AX774" s="1">
        <v>0</v>
      </c>
      <c r="BA774" s="1">
        <v>9</v>
      </c>
      <c r="BB774" s="1">
        <v>0</v>
      </c>
      <c r="BC774" s="1">
        <v>0</v>
      </c>
      <c r="BE774" s="1">
        <v>27188507</v>
      </c>
    </row>
    <row r="775" spans="1:57" x14ac:dyDescent="0.25">
      <c r="A775" s="1" t="str">
        <f>T("1944686555252334100")</f>
        <v>1944686555252334100</v>
      </c>
      <c r="B775" s="1" t="str">
        <f>T("249903478013")</f>
        <v>249903478013</v>
      </c>
      <c r="C775" s="1" t="str">
        <f>T("1941094470770491684")</f>
        <v>1941094470770491684</v>
      </c>
      <c r="AC775" s="1" t="s">
        <v>276</v>
      </c>
      <c r="AD775" s="1" t="s">
        <v>506</v>
      </c>
      <c r="AE775" s="1" t="s">
        <v>507</v>
      </c>
      <c r="AF775" s="1" t="s">
        <v>107</v>
      </c>
      <c r="AO775" s="2">
        <v>46275</v>
      </c>
      <c r="AP775" s="1" t="s">
        <v>483</v>
      </c>
      <c r="AS775" s="1" t="s">
        <v>71</v>
      </c>
      <c r="AU775" s="1" t="s">
        <v>72</v>
      </c>
      <c r="AV775" s="1" t="s">
        <v>73</v>
      </c>
      <c r="AX775" s="1">
        <v>0</v>
      </c>
      <c r="BA775" s="1">
        <v>9</v>
      </c>
      <c r="BB775" s="1">
        <v>0</v>
      </c>
      <c r="BC775" s="1">
        <v>0</v>
      </c>
      <c r="BE775" s="1">
        <v>27188507</v>
      </c>
    </row>
    <row r="776" spans="1:57" x14ac:dyDescent="0.25">
      <c r="A776" s="1" t="str">
        <f>T("1944686555260722416")</f>
        <v>1944686555260722416</v>
      </c>
      <c r="B776" s="1" t="str">
        <f>T("249915392767")</f>
        <v>249915392767</v>
      </c>
      <c r="C776" s="1" t="str">
        <f>T("1941094470766300976")</f>
        <v>1941094470766300976</v>
      </c>
      <c r="AC776" s="1" t="s">
        <v>276</v>
      </c>
      <c r="AD776" s="1" t="s">
        <v>506</v>
      </c>
      <c r="AE776" s="1" t="s">
        <v>507</v>
      </c>
      <c r="AF776" s="1" t="s">
        <v>107</v>
      </c>
      <c r="AO776" s="2">
        <v>46275</v>
      </c>
      <c r="AP776" s="1" t="s">
        <v>483</v>
      </c>
      <c r="AS776" s="1" t="s">
        <v>71</v>
      </c>
      <c r="AU776" s="1" t="s">
        <v>72</v>
      </c>
      <c r="AV776" s="1" t="s">
        <v>73</v>
      </c>
      <c r="AX776" s="1">
        <v>0</v>
      </c>
      <c r="BA776" s="1">
        <v>9</v>
      </c>
      <c r="BB776" s="1">
        <v>0</v>
      </c>
      <c r="BC776" s="1">
        <v>0</v>
      </c>
      <c r="BE776" s="1">
        <v>27188507</v>
      </c>
    </row>
    <row r="777" spans="1:57" x14ac:dyDescent="0.25">
      <c r="A777" s="1" t="str">
        <f>T("1944686555273303540")</f>
        <v>1944686555273303540</v>
      </c>
      <c r="B777" s="1" t="str">
        <f>T("249961228538")</f>
        <v>249961228538</v>
      </c>
      <c r="C777" s="1" t="str">
        <f>T("1941094470770492284")</f>
        <v>1941094470770492284</v>
      </c>
      <c r="AC777" s="1" t="s">
        <v>276</v>
      </c>
      <c r="AD777" s="1" t="s">
        <v>506</v>
      </c>
      <c r="AE777" s="1" t="s">
        <v>507</v>
      </c>
      <c r="AF777" s="1" t="s">
        <v>107</v>
      </c>
      <c r="AO777" s="2">
        <v>46275</v>
      </c>
      <c r="AP777" s="1" t="s">
        <v>483</v>
      </c>
      <c r="AS777" s="1" t="s">
        <v>71</v>
      </c>
      <c r="AU777" s="1" t="s">
        <v>72</v>
      </c>
      <c r="AV777" s="1" t="s">
        <v>437</v>
      </c>
      <c r="AX777" s="1">
        <v>0</v>
      </c>
      <c r="BA777" s="1">
        <v>9</v>
      </c>
      <c r="BB777" s="1">
        <v>0</v>
      </c>
      <c r="BC777" s="1">
        <v>0</v>
      </c>
      <c r="BE777" s="1">
        <v>27188507</v>
      </c>
    </row>
    <row r="778" spans="1:57" x14ac:dyDescent="0.25">
      <c r="A778" s="1" t="str">
        <f>T("1944686555273304440")</f>
        <v>1944686555273304440</v>
      </c>
      <c r="B778" s="1" t="str">
        <f>T("249911068081")</f>
        <v>249911068081</v>
      </c>
      <c r="C778" s="1" t="str">
        <f>T("1941094470770493084")</f>
        <v>1941094470770493084</v>
      </c>
      <c r="AC778" s="1" t="s">
        <v>276</v>
      </c>
      <c r="AD778" s="1" t="s">
        <v>506</v>
      </c>
      <c r="AE778" s="1" t="s">
        <v>507</v>
      </c>
      <c r="AF778" s="1" t="s">
        <v>107</v>
      </c>
      <c r="AO778" s="2">
        <v>46275</v>
      </c>
      <c r="AP778" s="1" t="s">
        <v>483</v>
      </c>
      <c r="AS778" s="1" t="s">
        <v>71</v>
      </c>
      <c r="AU778" s="1" t="s">
        <v>72</v>
      </c>
      <c r="AV778" s="1" t="s">
        <v>73</v>
      </c>
      <c r="AX778" s="1">
        <v>0</v>
      </c>
      <c r="BA778" s="1">
        <v>9</v>
      </c>
      <c r="BB778" s="1">
        <v>0</v>
      </c>
      <c r="BC778" s="1">
        <v>0</v>
      </c>
      <c r="BE778" s="1">
        <v>27188507</v>
      </c>
    </row>
    <row r="779" spans="1:57" x14ac:dyDescent="0.25">
      <c r="A779" s="1" t="str">
        <f>T("1944686555285887364")</f>
        <v>1944686555285887364</v>
      </c>
      <c r="B779" s="1" t="str">
        <f>T("249917248212")</f>
        <v>249917248212</v>
      </c>
      <c r="C779" s="1" t="str">
        <f>T("1941094470770493584")</f>
        <v>1941094470770493584</v>
      </c>
      <c r="AC779" s="1" t="s">
        <v>276</v>
      </c>
      <c r="AD779" s="1" t="s">
        <v>506</v>
      </c>
      <c r="AE779" s="1" t="s">
        <v>507</v>
      </c>
      <c r="AF779" s="1" t="s">
        <v>107</v>
      </c>
      <c r="AO779" s="2">
        <v>46275</v>
      </c>
      <c r="AP779" s="1" t="s">
        <v>483</v>
      </c>
      <c r="AS779" s="1" t="s">
        <v>71</v>
      </c>
      <c r="AU779" s="1" t="s">
        <v>72</v>
      </c>
      <c r="AV779" s="1" t="s">
        <v>437</v>
      </c>
      <c r="AX779" s="1">
        <v>0</v>
      </c>
      <c r="BA779" s="1">
        <v>9</v>
      </c>
      <c r="BB779" s="1">
        <v>0</v>
      </c>
      <c r="BC779" s="1">
        <v>0</v>
      </c>
      <c r="BE779" s="1">
        <v>27188507</v>
      </c>
    </row>
    <row r="780" spans="1:57" x14ac:dyDescent="0.25">
      <c r="A780" s="1" t="str">
        <f>T("1944686555294276680")</f>
        <v>1944686555294276680</v>
      </c>
      <c r="B780" s="1" t="str">
        <f>T("249912329037")</f>
        <v>249912329037</v>
      </c>
      <c r="C780" s="1" t="str">
        <f>T("1941094470770493984")</f>
        <v>1941094470770493984</v>
      </c>
      <c r="AC780" s="1" t="s">
        <v>276</v>
      </c>
      <c r="AD780" s="1" t="s">
        <v>506</v>
      </c>
      <c r="AE780" s="1" t="s">
        <v>508</v>
      </c>
      <c r="AF780" s="1" t="s">
        <v>107</v>
      </c>
      <c r="AO780" s="2">
        <v>46275</v>
      </c>
      <c r="AP780" s="1" t="s">
        <v>483</v>
      </c>
      <c r="AS780" s="1" t="s">
        <v>71</v>
      </c>
      <c r="AU780" s="1" t="s">
        <v>72</v>
      </c>
      <c r="AV780" s="1" t="s">
        <v>73</v>
      </c>
      <c r="AX780" s="1">
        <v>0</v>
      </c>
      <c r="BA780" s="1">
        <v>9</v>
      </c>
      <c r="BB780" s="1">
        <v>0</v>
      </c>
      <c r="BC780" s="1">
        <v>0</v>
      </c>
      <c r="BE780" s="1">
        <v>27188507</v>
      </c>
    </row>
    <row r="781" spans="1:57" x14ac:dyDescent="0.25">
      <c r="A781" s="1" t="str">
        <f>T("1944686555302663696")</f>
        <v>1944686555302663696</v>
      </c>
      <c r="B781" s="1" t="str">
        <f>T("249915660507")</f>
        <v>249915660507</v>
      </c>
      <c r="C781" s="1" t="str">
        <f>T("1941094470770494484")</f>
        <v>1941094470770494484</v>
      </c>
      <c r="AC781" s="1" t="s">
        <v>276</v>
      </c>
      <c r="AD781" s="1" t="s">
        <v>506</v>
      </c>
      <c r="AE781" s="1" t="s">
        <v>508</v>
      </c>
      <c r="AF781" s="1" t="s">
        <v>107</v>
      </c>
      <c r="AO781" s="2">
        <v>46275</v>
      </c>
      <c r="AP781" s="1" t="s">
        <v>483</v>
      </c>
      <c r="AS781" s="1" t="s">
        <v>71</v>
      </c>
      <c r="AU781" s="1" t="s">
        <v>72</v>
      </c>
      <c r="AV781" s="1" t="s">
        <v>437</v>
      </c>
      <c r="AX781" s="1">
        <v>0</v>
      </c>
      <c r="BA781" s="1">
        <v>9</v>
      </c>
      <c r="BB781" s="1">
        <v>0</v>
      </c>
      <c r="BC781" s="1">
        <v>0</v>
      </c>
      <c r="BE781" s="1">
        <v>27188507</v>
      </c>
    </row>
    <row r="782" spans="1:57" x14ac:dyDescent="0.25">
      <c r="A782" s="1" t="str">
        <f>T("1944686555319440928")</f>
        <v>1944686555319440928</v>
      </c>
      <c r="B782" s="1" t="str">
        <f>T("249963693004")</f>
        <v>249963693004</v>
      </c>
      <c r="C782" s="1" t="str">
        <f>T("1941094470774686892")</f>
        <v>1941094470774686892</v>
      </c>
      <c r="AC782" s="1" t="s">
        <v>276</v>
      </c>
      <c r="AD782" s="1" t="s">
        <v>506</v>
      </c>
      <c r="AE782" s="1" t="s">
        <v>508</v>
      </c>
      <c r="AF782" s="1" t="s">
        <v>144</v>
      </c>
      <c r="AO782" s="2">
        <v>46275</v>
      </c>
      <c r="AP782" s="1" t="s">
        <v>483</v>
      </c>
      <c r="AS782" s="1" t="s">
        <v>71</v>
      </c>
      <c r="AU782" s="1" t="s">
        <v>72</v>
      </c>
      <c r="AV782" s="1" t="s">
        <v>73</v>
      </c>
      <c r="AX782" s="1">
        <v>0</v>
      </c>
      <c r="BA782" s="1">
        <v>9</v>
      </c>
      <c r="BB782" s="1">
        <v>0</v>
      </c>
      <c r="BC782" s="1">
        <v>0</v>
      </c>
      <c r="BE782" s="1">
        <v>27188507</v>
      </c>
    </row>
    <row r="783" spans="1:57" x14ac:dyDescent="0.25">
      <c r="A783" s="1" t="str">
        <f>T("1944686555323637436")</f>
        <v>1944686555323637436</v>
      </c>
      <c r="B783" s="1" t="str">
        <f>T("249912412264")</f>
        <v>249912412264</v>
      </c>
      <c r="C783" s="1" t="str">
        <f>T("1941094470774687392")</f>
        <v>1941094470774687392</v>
      </c>
      <c r="AC783" s="1" t="s">
        <v>276</v>
      </c>
      <c r="AD783" s="1" t="s">
        <v>506</v>
      </c>
      <c r="AE783" s="1" t="s">
        <v>508</v>
      </c>
      <c r="AF783" s="1" t="s">
        <v>107</v>
      </c>
      <c r="AO783" s="2">
        <v>46275</v>
      </c>
      <c r="AP783" s="1" t="s">
        <v>483</v>
      </c>
      <c r="AS783" s="1" t="s">
        <v>71</v>
      </c>
      <c r="AU783" s="1" t="s">
        <v>72</v>
      </c>
      <c r="AV783" s="1" t="s">
        <v>126</v>
      </c>
      <c r="AX783" s="1">
        <v>0</v>
      </c>
      <c r="BA783" s="1">
        <v>9</v>
      </c>
      <c r="BB783" s="1">
        <v>0</v>
      </c>
      <c r="BC783" s="1">
        <v>0</v>
      </c>
      <c r="BE783" s="1">
        <v>27188507</v>
      </c>
    </row>
    <row r="784" spans="1:57" x14ac:dyDescent="0.25">
      <c r="A784" s="1" t="str">
        <f>T("1944686555332022752")</f>
        <v>1944686555332022752</v>
      </c>
      <c r="B784" s="1" t="str">
        <f>T("249914591654")</f>
        <v>249914591654</v>
      </c>
      <c r="C784" s="1" t="str">
        <f>T("1941094470774688492")</f>
        <v>1941094470774688492</v>
      </c>
      <c r="AC784" s="1" t="s">
        <v>276</v>
      </c>
      <c r="AD784" s="1" t="s">
        <v>506</v>
      </c>
      <c r="AE784" s="1" t="s">
        <v>509</v>
      </c>
      <c r="AF784" s="1" t="s">
        <v>107</v>
      </c>
      <c r="AO784" s="2">
        <v>46275</v>
      </c>
      <c r="AP784" s="1" t="s">
        <v>483</v>
      </c>
      <c r="AS784" s="1" t="s">
        <v>71</v>
      </c>
      <c r="AU784" s="1" t="s">
        <v>72</v>
      </c>
      <c r="AV784" s="1" t="s">
        <v>437</v>
      </c>
      <c r="AX784" s="1">
        <v>0</v>
      </c>
      <c r="BA784" s="1">
        <v>9</v>
      </c>
      <c r="BB784" s="1">
        <v>0</v>
      </c>
      <c r="BC784" s="1">
        <v>0</v>
      </c>
      <c r="BE784" s="1">
        <v>27188507</v>
      </c>
    </row>
    <row r="785" spans="1:57" x14ac:dyDescent="0.25">
      <c r="A785" s="1" t="str">
        <f>T("1944686555332024652")</f>
        <v>1944686555332024652</v>
      </c>
      <c r="B785" s="1" t="str">
        <f>T("249916836123")</f>
        <v>249916836123</v>
      </c>
      <c r="C785" s="1" t="str">
        <f>T("1941094470774687992")</f>
        <v>1941094470774687992</v>
      </c>
      <c r="AC785" s="1" t="s">
        <v>276</v>
      </c>
      <c r="AD785" s="1" t="s">
        <v>506</v>
      </c>
      <c r="AE785" s="1" t="s">
        <v>508</v>
      </c>
      <c r="AF785" s="1" t="s">
        <v>107</v>
      </c>
      <c r="AO785" s="2">
        <v>46275</v>
      </c>
      <c r="AP785" s="1" t="s">
        <v>483</v>
      </c>
      <c r="AS785" s="1" t="s">
        <v>71</v>
      </c>
      <c r="AU785" s="1" t="s">
        <v>72</v>
      </c>
      <c r="AV785" s="1" t="s">
        <v>437</v>
      </c>
      <c r="AX785" s="1">
        <v>0</v>
      </c>
      <c r="BA785" s="1">
        <v>9</v>
      </c>
      <c r="BB785" s="1">
        <v>0</v>
      </c>
      <c r="BC785" s="1">
        <v>0</v>
      </c>
      <c r="BE785" s="1">
        <v>27188507</v>
      </c>
    </row>
    <row r="786" spans="1:57" x14ac:dyDescent="0.25">
      <c r="A786" s="1" t="str">
        <f>T("1944686555332025952")</f>
        <v>1944686555332025952</v>
      </c>
      <c r="B786" s="1" t="str">
        <f>T("249919259732")</f>
        <v>249919259732</v>
      </c>
      <c r="C786" s="1" t="str">
        <f>T("1941094470774689192")</f>
        <v>1941094470774689192</v>
      </c>
      <c r="AC786" s="1" t="s">
        <v>276</v>
      </c>
      <c r="AD786" s="1" t="s">
        <v>506</v>
      </c>
      <c r="AE786" s="1" t="s">
        <v>509</v>
      </c>
      <c r="AF786" s="1" t="s">
        <v>107</v>
      </c>
      <c r="AO786" s="2">
        <v>46275</v>
      </c>
      <c r="AP786" s="1" t="s">
        <v>483</v>
      </c>
      <c r="AS786" s="1" t="s">
        <v>71</v>
      </c>
      <c r="AU786" s="1" t="s">
        <v>72</v>
      </c>
      <c r="AV786" s="1" t="s">
        <v>73</v>
      </c>
      <c r="AX786" s="1">
        <v>0</v>
      </c>
      <c r="BA786" s="1">
        <v>9</v>
      </c>
      <c r="BB786" s="1">
        <v>0</v>
      </c>
      <c r="BC786" s="1">
        <v>0</v>
      </c>
      <c r="BE786" s="1">
        <v>27188507</v>
      </c>
    </row>
    <row r="787" spans="1:57" x14ac:dyDescent="0.25">
      <c r="A787" s="1" t="str">
        <f>T("1944686555348801484")</f>
        <v>1944686555348801484</v>
      </c>
      <c r="B787" s="1" t="str">
        <f>T("249966309121")</f>
        <v>249966309121</v>
      </c>
      <c r="C787" s="1" t="str">
        <f>T("1941094470774689592")</f>
        <v>1941094470774689592</v>
      </c>
      <c r="AC787" s="1" t="s">
        <v>276</v>
      </c>
      <c r="AD787" s="1" t="s">
        <v>506</v>
      </c>
      <c r="AE787" s="1" t="s">
        <v>509</v>
      </c>
      <c r="AF787" s="1" t="s">
        <v>144</v>
      </c>
      <c r="AO787" s="2">
        <v>46275</v>
      </c>
      <c r="AP787" s="1" t="s">
        <v>483</v>
      </c>
      <c r="AS787" s="1" t="s">
        <v>71</v>
      </c>
      <c r="AU787" s="1" t="s">
        <v>72</v>
      </c>
      <c r="AV787" s="1" t="s">
        <v>73</v>
      </c>
      <c r="AX787" s="1">
        <v>0</v>
      </c>
      <c r="BA787" s="1">
        <v>9</v>
      </c>
      <c r="BB787" s="1">
        <v>0</v>
      </c>
      <c r="BC787" s="1">
        <v>0</v>
      </c>
      <c r="BE787" s="1">
        <v>27188507</v>
      </c>
    </row>
    <row r="788" spans="1:57" x14ac:dyDescent="0.25">
      <c r="A788" s="1" t="str">
        <f>T("1944686555357189400")</f>
        <v>1944686555357189400</v>
      </c>
      <c r="B788" s="1" t="str">
        <f>T("249915706876")</f>
        <v>249915706876</v>
      </c>
      <c r="C788" s="1" t="str">
        <f>T("1941094470778881700")</f>
        <v>1941094470778881700</v>
      </c>
      <c r="AC788" s="1" t="s">
        <v>276</v>
      </c>
      <c r="AD788" s="1" t="s">
        <v>506</v>
      </c>
      <c r="AE788" s="1" t="s">
        <v>509</v>
      </c>
      <c r="AF788" s="1" t="s">
        <v>107</v>
      </c>
      <c r="AO788" s="2">
        <v>46275</v>
      </c>
      <c r="AP788" s="1" t="s">
        <v>483</v>
      </c>
      <c r="AS788" s="1" t="s">
        <v>71</v>
      </c>
      <c r="AU788" s="1" t="s">
        <v>72</v>
      </c>
      <c r="AV788" s="1" t="s">
        <v>437</v>
      </c>
      <c r="AX788" s="1">
        <v>0</v>
      </c>
      <c r="BA788" s="1">
        <v>9</v>
      </c>
      <c r="BB788" s="1">
        <v>0</v>
      </c>
      <c r="BC788" s="1">
        <v>0</v>
      </c>
      <c r="BE788" s="1">
        <v>27188507</v>
      </c>
    </row>
    <row r="789" spans="1:57" x14ac:dyDescent="0.25">
      <c r="A789" s="1" t="str">
        <f>T("1944686555394937072")</f>
        <v>1944686555394937072</v>
      </c>
      <c r="B789" s="1" t="str">
        <f>T("249916460747")</f>
        <v>249916460747</v>
      </c>
      <c r="C789" s="1" t="str">
        <f>T("1941094470778882200")</f>
        <v>1941094470778882200</v>
      </c>
      <c r="AC789" s="1" t="s">
        <v>276</v>
      </c>
      <c r="AD789" s="1" t="s">
        <v>506</v>
      </c>
      <c r="AE789" s="1" t="s">
        <v>509</v>
      </c>
      <c r="AF789" s="1" t="s">
        <v>107</v>
      </c>
      <c r="AO789" s="2">
        <v>46275</v>
      </c>
      <c r="AP789" s="1" t="s">
        <v>483</v>
      </c>
      <c r="AS789" s="1" t="s">
        <v>71</v>
      </c>
      <c r="AU789" s="1" t="s">
        <v>72</v>
      </c>
      <c r="AV789" s="1" t="s">
        <v>437</v>
      </c>
      <c r="AX789" s="1">
        <v>0</v>
      </c>
      <c r="BA789" s="1">
        <v>9</v>
      </c>
      <c r="BB789" s="1">
        <v>0</v>
      </c>
      <c r="BC789" s="1">
        <v>0</v>
      </c>
      <c r="BE789" s="1">
        <v>27188507</v>
      </c>
    </row>
    <row r="790" spans="1:57" x14ac:dyDescent="0.25">
      <c r="A790" s="1" t="str">
        <f>T("1944686555394937372")</f>
        <v>1944686555394937372</v>
      </c>
      <c r="B790" s="1" t="str">
        <f>T("249964660765")</f>
        <v>249964660765</v>
      </c>
      <c r="C790" s="1" t="str">
        <f>T("1941094470783074308")</f>
        <v>1941094470783074308</v>
      </c>
      <c r="AC790" s="1" t="s">
        <v>276</v>
      </c>
      <c r="AD790" s="1" t="s">
        <v>506</v>
      </c>
      <c r="AE790" s="1" t="s">
        <v>510</v>
      </c>
      <c r="AF790" s="1" t="s">
        <v>107</v>
      </c>
      <c r="AO790" s="2">
        <v>46275</v>
      </c>
      <c r="AP790" s="1" t="s">
        <v>483</v>
      </c>
      <c r="AS790" s="1" t="s">
        <v>71</v>
      </c>
      <c r="AU790" s="1" t="s">
        <v>72</v>
      </c>
      <c r="AV790" s="1" t="s">
        <v>73</v>
      </c>
      <c r="AX790" s="1">
        <v>0</v>
      </c>
      <c r="BA790" s="1">
        <v>9</v>
      </c>
      <c r="BB790" s="1">
        <v>0</v>
      </c>
      <c r="BC790" s="1">
        <v>0</v>
      </c>
      <c r="BE790" s="1">
        <v>27188507</v>
      </c>
    </row>
    <row r="791" spans="1:57" x14ac:dyDescent="0.25">
      <c r="A791" s="1" t="str">
        <f>T("1944686555394938272")</f>
        <v>1944686555394938272</v>
      </c>
      <c r="B791" s="1" t="str">
        <f>T("249903205121")</f>
        <v>249903205121</v>
      </c>
      <c r="C791" s="1" t="str">
        <f>T("1941094470778882700")</f>
        <v>1941094470778882700</v>
      </c>
      <c r="AC791" s="1" t="s">
        <v>276</v>
      </c>
      <c r="AD791" s="1" t="s">
        <v>506</v>
      </c>
      <c r="AE791" s="1" t="s">
        <v>510</v>
      </c>
      <c r="AF791" s="1" t="s">
        <v>107</v>
      </c>
      <c r="AO791" s="2">
        <v>46275</v>
      </c>
      <c r="AP791" s="1" t="s">
        <v>483</v>
      </c>
      <c r="AS791" s="1" t="s">
        <v>71</v>
      </c>
      <c r="AU791" s="1" t="s">
        <v>72</v>
      </c>
      <c r="AV791" s="1" t="s">
        <v>437</v>
      </c>
      <c r="AX791" s="1">
        <v>0</v>
      </c>
      <c r="BA791" s="1">
        <v>9</v>
      </c>
      <c r="BB791" s="1">
        <v>0</v>
      </c>
      <c r="BC791" s="1">
        <v>0</v>
      </c>
      <c r="BE791" s="1">
        <v>27188507</v>
      </c>
    </row>
    <row r="792" spans="1:57" x14ac:dyDescent="0.25">
      <c r="A792" s="1" t="str">
        <f>T("1944686555394938872")</f>
        <v>1944686555394938872</v>
      </c>
      <c r="B792" s="1" t="str">
        <f>T("249961359401")</f>
        <v>249961359401</v>
      </c>
      <c r="C792" s="1" t="str">
        <f>T("1941094470783074808")</f>
        <v>1941094470783074808</v>
      </c>
      <c r="AC792" s="1" t="s">
        <v>276</v>
      </c>
      <c r="AD792" s="1" t="s">
        <v>506</v>
      </c>
      <c r="AE792" s="1" t="s">
        <v>510</v>
      </c>
      <c r="AF792" s="1" t="s">
        <v>107</v>
      </c>
      <c r="AO792" s="2">
        <v>46275</v>
      </c>
      <c r="AP792" s="1" t="s">
        <v>483</v>
      </c>
      <c r="AS792" s="1" t="s">
        <v>71</v>
      </c>
      <c r="AU792" s="1" t="s">
        <v>72</v>
      </c>
      <c r="AV792" s="1" t="s">
        <v>437</v>
      </c>
      <c r="AX792" s="1">
        <v>0</v>
      </c>
      <c r="BA792" s="1">
        <v>9</v>
      </c>
      <c r="BB792" s="1">
        <v>0</v>
      </c>
      <c r="BC792" s="1">
        <v>0</v>
      </c>
      <c r="BE792" s="1">
        <v>27188507</v>
      </c>
    </row>
    <row r="793" spans="1:57" x14ac:dyDescent="0.25">
      <c r="A793" s="1" t="str">
        <f>T("1944686555394939772")</f>
        <v>1944686555394939772</v>
      </c>
      <c r="B793" s="1" t="str">
        <f>T("249915930007")</f>
        <v>249915930007</v>
      </c>
      <c r="C793" s="1" t="str">
        <f>T("1941094470783075508")</f>
        <v>1941094470783075508</v>
      </c>
      <c r="AC793" s="1" t="s">
        <v>276</v>
      </c>
      <c r="AD793" s="1" t="s">
        <v>506</v>
      </c>
      <c r="AE793" s="1" t="s">
        <v>510</v>
      </c>
      <c r="AF793" s="1" t="s">
        <v>107</v>
      </c>
      <c r="AO793" s="2">
        <v>46275</v>
      </c>
      <c r="AP793" s="1" t="s">
        <v>483</v>
      </c>
      <c r="AS793" s="1" t="s">
        <v>71</v>
      </c>
      <c r="AU793" s="1" t="s">
        <v>72</v>
      </c>
      <c r="AV793" s="1" t="s">
        <v>437</v>
      </c>
      <c r="AX793" s="1">
        <v>0</v>
      </c>
      <c r="BA793" s="1">
        <v>9</v>
      </c>
      <c r="BB793" s="1">
        <v>0</v>
      </c>
      <c r="BC793" s="1">
        <v>0</v>
      </c>
      <c r="BE793" s="1">
        <v>27188507</v>
      </c>
    </row>
    <row r="794" spans="1:57" x14ac:dyDescent="0.25">
      <c r="A794" s="1" t="str">
        <f>T("1944686555403326888")</f>
        <v>1944686555403326888</v>
      </c>
      <c r="B794" s="1" t="str">
        <f>T("249969025224")</f>
        <v>249969025224</v>
      </c>
      <c r="C794" s="1" t="str">
        <f>T("1941094470783076108")</f>
        <v>1941094470783076108</v>
      </c>
      <c r="AC794" s="1" t="s">
        <v>276</v>
      </c>
      <c r="AD794" s="1" t="s">
        <v>506</v>
      </c>
      <c r="AE794" s="1" t="s">
        <v>510</v>
      </c>
      <c r="AF794" s="1" t="s">
        <v>107</v>
      </c>
      <c r="AO794" s="2">
        <v>46275</v>
      </c>
      <c r="AP794" s="1" t="s">
        <v>483</v>
      </c>
      <c r="AS794" s="1" t="s">
        <v>71</v>
      </c>
      <c r="AU794" s="1" t="s">
        <v>72</v>
      </c>
      <c r="AV794" s="1" t="s">
        <v>73</v>
      </c>
      <c r="AX794" s="1">
        <v>0</v>
      </c>
      <c r="BA794" s="1">
        <v>9</v>
      </c>
      <c r="BB794" s="1">
        <v>0</v>
      </c>
      <c r="BC794" s="1">
        <v>0</v>
      </c>
      <c r="BE794" s="1">
        <v>27188507</v>
      </c>
    </row>
    <row r="795" spans="1:57" x14ac:dyDescent="0.25">
      <c r="A795" s="1" t="str">
        <f>T("1944686555407520096")</f>
        <v>1944686555407520096</v>
      </c>
      <c r="B795" s="1" t="str">
        <f>T("249917786990")</f>
        <v>249917786990</v>
      </c>
      <c r="C795" s="1" t="str">
        <f>T("1941094470783076608")</f>
        <v>1941094470783076608</v>
      </c>
      <c r="AC795" s="1" t="s">
        <v>276</v>
      </c>
      <c r="AD795" s="1" t="s">
        <v>298</v>
      </c>
      <c r="AE795" s="1" t="s">
        <v>511</v>
      </c>
      <c r="AF795" s="1" t="s">
        <v>107</v>
      </c>
      <c r="AO795" s="2">
        <v>46275</v>
      </c>
      <c r="AP795" s="1" t="s">
        <v>483</v>
      </c>
      <c r="AS795" s="1" t="s">
        <v>71</v>
      </c>
      <c r="AU795" s="1" t="s">
        <v>72</v>
      </c>
      <c r="AV795" s="1" t="s">
        <v>437</v>
      </c>
      <c r="AX795" s="1">
        <v>0</v>
      </c>
      <c r="BA795" s="1">
        <v>9</v>
      </c>
      <c r="BB795" s="1">
        <v>0</v>
      </c>
      <c r="BC795" s="1">
        <v>0</v>
      </c>
      <c r="BE795" s="1">
        <v>27188507</v>
      </c>
    </row>
    <row r="796" spans="1:57" x14ac:dyDescent="0.25">
      <c r="A796" s="1" t="str">
        <f>T("1944686555453660584")</f>
        <v>1944686555453660584</v>
      </c>
      <c r="B796" s="1" t="str">
        <f>T("249916651253")</f>
        <v>249916651253</v>
      </c>
      <c r="C796" s="1" t="str">
        <f>T("1941094470783077908")</f>
        <v>1941094470783077908</v>
      </c>
      <c r="AC796" s="1" t="s">
        <v>276</v>
      </c>
      <c r="AD796" s="1" t="s">
        <v>298</v>
      </c>
      <c r="AE796" s="1" t="s">
        <v>511</v>
      </c>
      <c r="AF796" s="1" t="s">
        <v>107</v>
      </c>
      <c r="AO796" s="2">
        <v>46275</v>
      </c>
      <c r="AP796" s="1" t="s">
        <v>483</v>
      </c>
      <c r="AS796" s="1" t="s">
        <v>71</v>
      </c>
      <c r="AU796" s="1" t="s">
        <v>72</v>
      </c>
      <c r="AV796" s="1" t="s">
        <v>126</v>
      </c>
      <c r="AX796" s="1">
        <v>0</v>
      </c>
      <c r="BA796" s="1">
        <v>9</v>
      </c>
      <c r="BB796" s="1">
        <v>0</v>
      </c>
      <c r="BC796" s="1">
        <v>0</v>
      </c>
      <c r="BE796" s="1">
        <v>27188507</v>
      </c>
    </row>
    <row r="797" spans="1:57" x14ac:dyDescent="0.25">
      <c r="A797" s="1" t="str">
        <f>T("1944686555457851892")</f>
        <v>1944686555457851892</v>
      </c>
      <c r="B797" s="1" t="str">
        <f>T("249913201641")</f>
        <v>249913201641</v>
      </c>
      <c r="C797" s="1" t="str">
        <f>T("1941094470787268816")</f>
        <v>1941094470787268816</v>
      </c>
      <c r="AC797" s="1" t="s">
        <v>276</v>
      </c>
      <c r="AD797" s="1" t="s">
        <v>298</v>
      </c>
      <c r="AE797" s="1" t="s">
        <v>511</v>
      </c>
      <c r="AF797" s="1" t="s">
        <v>107</v>
      </c>
      <c r="AO797" s="2">
        <v>46275</v>
      </c>
      <c r="AP797" s="1" t="s">
        <v>483</v>
      </c>
      <c r="AS797" s="1" t="s">
        <v>71</v>
      </c>
      <c r="AU797" s="1" t="s">
        <v>72</v>
      </c>
      <c r="AV797" s="1" t="s">
        <v>73</v>
      </c>
      <c r="AX797" s="1">
        <v>0</v>
      </c>
      <c r="BA797" s="1">
        <v>9</v>
      </c>
      <c r="BB797" s="1">
        <v>0</v>
      </c>
      <c r="BC797" s="1">
        <v>0</v>
      </c>
      <c r="BE797" s="1">
        <v>27188507</v>
      </c>
    </row>
    <row r="798" spans="1:57" x14ac:dyDescent="0.25">
      <c r="A798" s="1" t="str">
        <f>T("1944686555462046500")</f>
        <v>1944686555462046500</v>
      </c>
      <c r="B798" s="1" t="str">
        <f>T("249919484900")</f>
        <v>249919484900</v>
      </c>
      <c r="C798" s="1" t="str">
        <f>T("1941094470787271516")</f>
        <v>1941094470787271516</v>
      </c>
      <c r="AC798" s="1" t="s">
        <v>276</v>
      </c>
      <c r="AD798" s="1" t="s">
        <v>298</v>
      </c>
      <c r="AE798" s="1" t="s">
        <v>511</v>
      </c>
      <c r="AF798" s="1" t="s">
        <v>107</v>
      </c>
      <c r="AO798" s="2">
        <v>46275</v>
      </c>
      <c r="AP798" s="1" t="s">
        <v>483</v>
      </c>
      <c r="AS798" s="1" t="s">
        <v>71</v>
      </c>
      <c r="AU798" s="1" t="s">
        <v>72</v>
      </c>
      <c r="AV798" s="1" t="s">
        <v>73</v>
      </c>
      <c r="AX798" s="1">
        <v>0</v>
      </c>
      <c r="BA798" s="1">
        <v>9</v>
      </c>
      <c r="BB798" s="1">
        <v>0</v>
      </c>
      <c r="BC798" s="1">
        <v>0</v>
      </c>
      <c r="BE798" s="1">
        <v>27188507</v>
      </c>
    </row>
    <row r="799" spans="1:57" x14ac:dyDescent="0.25">
      <c r="A799" s="1" t="str">
        <f>T("1944686555466242208")</f>
        <v>1944686555466242208</v>
      </c>
      <c r="B799" s="1" t="str">
        <f>T("249915660608")</f>
        <v>249915660608</v>
      </c>
      <c r="C799" s="1" t="str">
        <f>T("1941094470795658932")</f>
        <v>1941094470795658932</v>
      </c>
      <c r="AC799" s="1" t="s">
        <v>276</v>
      </c>
      <c r="AD799" s="1" t="s">
        <v>298</v>
      </c>
      <c r="AE799" s="1" t="s">
        <v>511</v>
      </c>
      <c r="AF799" s="1" t="s">
        <v>107</v>
      </c>
      <c r="AO799" s="2">
        <v>46275</v>
      </c>
      <c r="AP799" s="1" t="s">
        <v>483</v>
      </c>
      <c r="AS799" s="1" t="s">
        <v>71</v>
      </c>
      <c r="AU799" s="1" t="s">
        <v>72</v>
      </c>
      <c r="AV799" s="1" t="s">
        <v>73</v>
      </c>
      <c r="AX799" s="1">
        <v>0</v>
      </c>
      <c r="BA799" s="1">
        <v>9</v>
      </c>
      <c r="BB799" s="1">
        <v>0</v>
      </c>
      <c r="BC799" s="1">
        <v>0</v>
      </c>
      <c r="BE799" s="1">
        <v>27188507</v>
      </c>
    </row>
    <row r="800" spans="1:57" x14ac:dyDescent="0.25">
      <c r="A800" s="1" t="str">
        <f>T("1944686555466242508")</f>
        <v>1944686555466242508</v>
      </c>
      <c r="B800" s="1" t="str">
        <f>T("249188272957")</f>
        <v>249188272957</v>
      </c>
      <c r="C800" s="1" t="str">
        <f>T("1941094470795658432")</f>
        <v>1941094470795658432</v>
      </c>
      <c r="AC800" s="1" t="s">
        <v>276</v>
      </c>
      <c r="AD800" s="1" t="s">
        <v>298</v>
      </c>
      <c r="AE800" s="1" t="s">
        <v>511</v>
      </c>
      <c r="AF800" s="1" t="s">
        <v>107</v>
      </c>
      <c r="AO800" s="2">
        <v>46275</v>
      </c>
      <c r="AP800" s="1" t="s">
        <v>483</v>
      </c>
      <c r="AS800" s="1" t="s">
        <v>71</v>
      </c>
      <c r="AU800" s="1" t="s">
        <v>72</v>
      </c>
      <c r="AV800" s="1" t="s">
        <v>336</v>
      </c>
      <c r="AX800" s="1">
        <v>0</v>
      </c>
      <c r="BA800" s="1">
        <v>1</v>
      </c>
      <c r="BB800" s="1">
        <v>0</v>
      </c>
      <c r="BC800" s="1">
        <v>0</v>
      </c>
      <c r="BE800" s="1">
        <v>27188507</v>
      </c>
    </row>
    <row r="801" spans="1:57" x14ac:dyDescent="0.25">
      <c r="A801" s="1" t="str">
        <f>T("1944686555470436816")</f>
        <v>1944686555470436816</v>
      </c>
      <c r="B801" s="1" t="str">
        <f>T("249910373671")</f>
        <v>249910373671</v>
      </c>
      <c r="C801" s="1" t="str">
        <f>T("1941094470795660132")</f>
        <v>1941094470795660132</v>
      </c>
      <c r="AC801" s="1" t="s">
        <v>276</v>
      </c>
      <c r="AD801" s="1" t="s">
        <v>298</v>
      </c>
      <c r="AE801" s="1" t="s">
        <v>512</v>
      </c>
      <c r="AF801" s="1" t="s">
        <v>107</v>
      </c>
      <c r="AO801" s="2">
        <v>46275</v>
      </c>
      <c r="AP801" s="1" t="s">
        <v>483</v>
      </c>
      <c r="AS801" s="1" t="s">
        <v>71</v>
      </c>
      <c r="AU801" s="1" t="s">
        <v>72</v>
      </c>
      <c r="AV801" s="1" t="s">
        <v>73</v>
      </c>
      <c r="AX801" s="1">
        <v>0</v>
      </c>
      <c r="BA801" s="1">
        <v>9</v>
      </c>
      <c r="BB801" s="1">
        <v>0</v>
      </c>
      <c r="BC801" s="1">
        <v>0</v>
      </c>
      <c r="BE801" s="1">
        <v>27188507</v>
      </c>
    </row>
    <row r="802" spans="1:57" x14ac:dyDescent="0.25">
      <c r="A802" s="1" t="str">
        <f>T("1944686555474630324")</f>
        <v>1944686555474630324</v>
      </c>
      <c r="B802" s="1" t="str">
        <f>T("249918116930")</f>
        <v>249918116930</v>
      </c>
      <c r="C802" s="1" t="str">
        <f>T("1941094470795660632")</f>
        <v>1941094470795660632</v>
      </c>
      <c r="AC802" s="1" t="s">
        <v>276</v>
      </c>
      <c r="AD802" s="1" t="s">
        <v>298</v>
      </c>
      <c r="AE802" s="1" t="s">
        <v>512</v>
      </c>
      <c r="AF802" s="1" t="s">
        <v>107</v>
      </c>
      <c r="AO802" s="2">
        <v>46275</v>
      </c>
      <c r="AP802" s="1" t="s">
        <v>483</v>
      </c>
      <c r="AS802" s="1" t="s">
        <v>71</v>
      </c>
      <c r="AU802" s="1" t="s">
        <v>72</v>
      </c>
      <c r="AV802" s="1" t="s">
        <v>126</v>
      </c>
      <c r="AX802" s="1">
        <v>0</v>
      </c>
      <c r="BA802" s="1">
        <v>9</v>
      </c>
      <c r="BB802" s="1">
        <v>0</v>
      </c>
      <c r="BC802" s="1">
        <v>0</v>
      </c>
      <c r="BE802" s="1">
        <v>27188507</v>
      </c>
    </row>
    <row r="803" spans="1:57" x14ac:dyDescent="0.25">
      <c r="A803" s="1" t="str">
        <f>T("1944686555503992380")</f>
        <v>1944686555503992380</v>
      </c>
      <c r="B803" s="1" t="str">
        <f>T("249961703036")</f>
        <v>249961703036</v>
      </c>
      <c r="C803" s="1" t="str">
        <f>T("1941094470799852240")</f>
        <v>1941094470799852240</v>
      </c>
      <c r="AC803" s="1" t="s">
        <v>276</v>
      </c>
      <c r="AD803" s="1" t="s">
        <v>298</v>
      </c>
      <c r="AE803" s="1" t="s">
        <v>512</v>
      </c>
      <c r="AF803" s="1" t="s">
        <v>144</v>
      </c>
      <c r="AO803" s="2">
        <v>46275</v>
      </c>
      <c r="AP803" s="1" t="s">
        <v>483</v>
      </c>
      <c r="AS803" s="1" t="s">
        <v>71</v>
      </c>
      <c r="AU803" s="1" t="s">
        <v>72</v>
      </c>
      <c r="AV803" s="1" t="s">
        <v>73</v>
      </c>
      <c r="AX803" s="1">
        <v>0</v>
      </c>
      <c r="BA803" s="1">
        <v>9</v>
      </c>
      <c r="BB803" s="1">
        <v>0</v>
      </c>
      <c r="BC803" s="1">
        <v>0</v>
      </c>
      <c r="BE803" s="1">
        <v>27188507</v>
      </c>
    </row>
    <row r="804" spans="1:57" x14ac:dyDescent="0.25">
      <c r="A804" s="1" t="str">
        <f>T("1944686555516572904")</f>
        <v>1944686555516572904</v>
      </c>
      <c r="B804" s="1" t="str">
        <f>T("249911069281")</f>
        <v>249911069281</v>
      </c>
      <c r="C804" s="1" t="str">
        <f>T("1941094470799852840")</f>
        <v>1941094470799852840</v>
      </c>
      <c r="AC804" s="1" t="s">
        <v>276</v>
      </c>
      <c r="AD804" s="1" t="s">
        <v>298</v>
      </c>
      <c r="AE804" s="1" t="s">
        <v>512</v>
      </c>
      <c r="AF804" s="1" t="s">
        <v>144</v>
      </c>
      <c r="AO804" s="2">
        <v>46275</v>
      </c>
      <c r="AP804" s="1" t="s">
        <v>483</v>
      </c>
      <c r="AS804" s="1" t="s">
        <v>71</v>
      </c>
      <c r="AU804" s="1" t="s">
        <v>72</v>
      </c>
      <c r="AV804" s="1" t="s">
        <v>437</v>
      </c>
      <c r="AX804" s="1">
        <v>0</v>
      </c>
      <c r="BA804" s="1">
        <v>9</v>
      </c>
      <c r="BB804" s="1">
        <v>0</v>
      </c>
      <c r="BC804" s="1">
        <v>0</v>
      </c>
      <c r="BE804" s="1">
        <v>27188507</v>
      </c>
    </row>
    <row r="805" spans="1:57" x14ac:dyDescent="0.25">
      <c r="A805" s="1" t="str">
        <f>T("1944686555516575004")</f>
        <v>1944686555516575004</v>
      </c>
      <c r="B805" s="1" t="str">
        <f>T("249906857509")</f>
        <v>249906857509</v>
      </c>
      <c r="C805" s="1" t="str">
        <f>T("1941094470799854540")</f>
        <v>1941094470799854540</v>
      </c>
      <c r="AC805" s="1" t="s">
        <v>276</v>
      </c>
      <c r="AD805" s="1" t="s">
        <v>298</v>
      </c>
      <c r="AE805" s="1" t="s">
        <v>512</v>
      </c>
      <c r="AF805" s="1" t="s">
        <v>144</v>
      </c>
      <c r="AO805" s="2">
        <v>46275</v>
      </c>
      <c r="AP805" s="1" t="s">
        <v>483</v>
      </c>
      <c r="AS805" s="1" t="s">
        <v>71</v>
      </c>
      <c r="AU805" s="1" t="s">
        <v>72</v>
      </c>
      <c r="AV805" s="1" t="s">
        <v>437</v>
      </c>
      <c r="AX805" s="1">
        <v>0</v>
      </c>
      <c r="BA805" s="1">
        <v>9</v>
      </c>
      <c r="BB805" s="1">
        <v>0</v>
      </c>
      <c r="BC805" s="1">
        <v>0</v>
      </c>
      <c r="BE805" s="1">
        <v>27188507</v>
      </c>
    </row>
    <row r="806" spans="1:57" x14ac:dyDescent="0.25">
      <c r="A806" s="1" t="str">
        <f>T("1944686555516575005")</f>
        <v>1944686555516575005</v>
      </c>
      <c r="B806" s="1" t="str">
        <f>T("24991027561")</f>
        <v>24991027561</v>
      </c>
      <c r="C806" s="1" t="str">
        <f>T("1941094470799853540")</f>
        <v>1941094470799853540</v>
      </c>
      <c r="AC806" s="1" t="s">
        <v>276</v>
      </c>
      <c r="AD806" s="1" t="s">
        <v>298</v>
      </c>
      <c r="AE806" s="1" t="s">
        <v>512</v>
      </c>
      <c r="AF806" s="1" t="s">
        <v>144</v>
      </c>
      <c r="AO806" s="2">
        <v>46275</v>
      </c>
      <c r="AP806" s="1" t="s">
        <v>483</v>
      </c>
      <c r="AS806" s="1" t="s">
        <v>71</v>
      </c>
      <c r="AU806" s="1" t="s">
        <v>72</v>
      </c>
      <c r="AV806" s="1" t="s">
        <v>73</v>
      </c>
      <c r="AX806" s="1">
        <v>0</v>
      </c>
      <c r="BA806" s="1">
        <v>9</v>
      </c>
      <c r="BB806" s="1">
        <v>0</v>
      </c>
      <c r="BC806" s="1">
        <v>0</v>
      </c>
      <c r="BE806" s="1">
        <v>27188507</v>
      </c>
    </row>
    <row r="807" spans="1:57" x14ac:dyDescent="0.25">
      <c r="A807" s="1" t="str">
        <f>T("1944686555520767412")</f>
        <v>1944686555520767412</v>
      </c>
      <c r="B807" s="1" t="str">
        <f>T("24996576248")</f>
        <v>24996576248</v>
      </c>
      <c r="C807" s="1" t="str">
        <f>T("1941094470804048548")</f>
        <v>1941094470804048548</v>
      </c>
      <c r="AC807" s="1" t="s">
        <v>276</v>
      </c>
      <c r="AD807" s="1" t="s">
        <v>298</v>
      </c>
      <c r="AE807" s="1" t="s">
        <v>512</v>
      </c>
      <c r="AF807" s="1" t="s">
        <v>144</v>
      </c>
      <c r="AO807" s="2">
        <v>46275</v>
      </c>
      <c r="AP807" s="1" t="s">
        <v>483</v>
      </c>
      <c r="AS807" s="1" t="s">
        <v>71</v>
      </c>
      <c r="AU807" s="1" t="s">
        <v>72</v>
      </c>
      <c r="AV807" s="1" t="s">
        <v>73</v>
      </c>
      <c r="AX807" s="1">
        <v>0</v>
      </c>
      <c r="BA807" s="1">
        <v>9</v>
      </c>
      <c r="BB807" s="1">
        <v>0</v>
      </c>
      <c r="BC807" s="1">
        <v>0</v>
      </c>
      <c r="BE807" s="1">
        <v>27188507</v>
      </c>
    </row>
    <row r="808" spans="1:57" x14ac:dyDescent="0.25">
      <c r="A808" s="1" t="str">
        <f>T("1944686555524963720")</f>
        <v>1944686555524963720</v>
      </c>
      <c r="B808" s="1" t="str">
        <f>T("249906549589")</f>
        <v>249906549589</v>
      </c>
      <c r="C808" s="1" t="str">
        <f>T("1941094470808241456")</f>
        <v>1941094470808241456</v>
      </c>
      <c r="AC808" s="1" t="s">
        <v>276</v>
      </c>
      <c r="AD808" s="1" t="s">
        <v>298</v>
      </c>
      <c r="AE808" s="1" t="s">
        <v>512</v>
      </c>
      <c r="AF808" s="1" t="s">
        <v>144</v>
      </c>
      <c r="AO808" s="2">
        <v>46275</v>
      </c>
      <c r="AP808" s="1" t="s">
        <v>483</v>
      </c>
      <c r="AS808" s="1" t="s">
        <v>71</v>
      </c>
      <c r="AU808" s="1" t="s">
        <v>72</v>
      </c>
      <c r="AV808" s="1" t="s">
        <v>437</v>
      </c>
      <c r="AX808" s="1">
        <v>0</v>
      </c>
      <c r="BA808" s="1">
        <v>9</v>
      </c>
      <c r="BB808" s="1">
        <v>0</v>
      </c>
      <c r="BC808" s="1">
        <v>0</v>
      </c>
      <c r="BE808" s="1">
        <v>27188507</v>
      </c>
    </row>
    <row r="809" spans="1:57" x14ac:dyDescent="0.25">
      <c r="A809" s="1" t="str">
        <f>T("1944686555524964020")</f>
        <v>1944686555524964020</v>
      </c>
      <c r="B809" s="1" t="str">
        <f>T("249910625666")</f>
        <v>249910625666</v>
      </c>
      <c r="C809" s="1" t="str">
        <f>T("1941094470808242056")</f>
        <v>1941094470808242056</v>
      </c>
      <c r="AC809" s="1" t="s">
        <v>276</v>
      </c>
      <c r="AD809" s="1" t="s">
        <v>298</v>
      </c>
      <c r="AE809" s="1" t="s">
        <v>513</v>
      </c>
      <c r="AF809" s="1" t="s">
        <v>107</v>
      </c>
      <c r="AO809" s="2">
        <v>46275</v>
      </c>
      <c r="AP809" s="1" t="s">
        <v>483</v>
      </c>
      <c r="AS809" s="1" t="s">
        <v>71</v>
      </c>
      <c r="AU809" s="1" t="s">
        <v>72</v>
      </c>
      <c r="AV809" s="1" t="s">
        <v>73</v>
      </c>
      <c r="AX809" s="1">
        <v>0</v>
      </c>
      <c r="BA809" s="1">
        <v>9</v>
      </c>
      <c r="BB809" s="1">
        <v>0</v>
      </c>
      <c r="BC809" s="1">
        <v>0</v>
      </c>
      <c r="BE809" s="1">
        <v>27188507</v>
      </c>
    </row>
    <row r="810" spans="1:57" x14ac:dyDescent="0.25">
      <c r="A810" s="1" t="str">
        <f>T("1944686555554322776")</f>
        <v>1944686555554322776</v>
      </c>
      <c r="B810" s="1" t="str">
        <f>T("249912722317")</f>
        <v>249912722317</v>
      </c>
      <c r="C810" s="1" t="str">
        <f>T("1941094470808242556")</f>
        <v>1941094470808242556</v>
      </c>
      <c r="AC810" s="1" t="s">
        <v>276</v>
      </c>
      <c r="AD810" s="1" t="s">
        <v>298</v>
      </c>
      <c r="AE810" s="1" t="s">
        <v>513</v>
      </c>
      <c r="AF810" s="1" t="s">
        <v>107</v>
      </c>
      <c r="AO810" s="2">
        <v>46275</v>
      </c>
      <c r="AP810" s="1" t="s">
        <v>483</v>
      </c>
      <c r="AS810" s="1" t="s">
        <v>71</v>
      </c>
      <c r="AU810" s="1" t="s">
        <v>72</v>
      </c>
      <c r="AV810" s="1" t="s">
        <v>73</v>
      </c>
      <c r="AX810" s="1">
        <v>0</v>
      </c>
      <c r="BA810" s="1">
        <v>9</v>
      </c>
      <c r="BB810" s="1">
        <v>0</v>
      </c>
      <c r="BC810" s="1">
        <v>0</v>
      </c>
      <c r="BE810" s="1">
        <v>27188507</v>
      </c>
    </row>
    <row r="811" spans="1:57" x14ac:dyDescent="0.25">
      <c r="A811" s="1" t="str">
        <f>T("1944686555596266856")</f>
        <v>1944686555596266856</v>
      </c>
      <c r="B811" s="1" t="str">
        <f>T("249909484609")</f>
        <v>249909484609</v>
      </c>
      <c r="C811" s="1" t="str">
        <f>T("1941094470812435364")</f>
        <v>1941094470812435364</v>
      </c>
      <c r="AC811" s="1" t="s">
        <v>276</v>
      </c>
      <c r="AD811" s="1" t="s">
        <v>298</v>
      </c>
      <c r="AE811" s="1" t="s">
        <v>513</v>
      </c>
      <c r="AF811" s="1" t="s">
        <v>107</v>
      </c>
      <c r="AO811" s="2">
        <v>46275</v>
      </c>
      <c r="AP811" s="1" t="s">
        <v>483</v>
      </c>
      <c r="AS811" s="1" t="s">
        <v>71</v>
      </c>
      <c r="AU811" s="1" t="s">
        <v>72</v>
      </c>
      <c r="AV811" s="1" t="s">
        <v>437</v>
      </c>
      <c r="AX811" s="1">
        <v>0</v>
      </c>
      <c r="BA811" s="1">
        <v>9</v>
      </c>
      <c r="BB811" s="1">
        <v>0</v>
      </c>
      <c r="BC811" s="1">
        <v>0</v>
      </c>
      <c r="BE811" s="1">
        <v>27188507</v>
      </c>
    </row>
    <row r="812" spans="1:57" x14ac:dyDescent="0.25">
      <c r="A812" s="1" t="str">
        <f>T("1944686555596267356")</f>
        <v>1944686555596267356</v>
      </c>
      <c r="B812" s="1" t="str">
        <f>T("249917771839")</f>
        <v>249917771839</v>
      </c>
      <c r="C812" s="1" t="str">
        <f>T("1941094470816629972")</f>
        <v>1941094470816629972</v>
      </c>
      <c r="AC812" s="1" t="s">
        <v>276</v>
      </c>
      <c r="AD812" s="1" t="s">
        <v>298</v>
      </c>
      <c r="AE812" s="1" t="s">
        <v>513</v>
      </c>
      <c r="AF812" s="1" t="s">
        <v>107</v>
      </c>
      <c r="AO812" s="2">
        <v>46275</v>
      </c>
      <c r="AP812" s="1" t="s">
        <v>483</v>
      </c>
      <c r="AS812" s="1" t="s">
        <v>71</v>
      </c>
      <c r="AU812" s="1" t="s">
        <v>72</v>
      </c>
      <c r="AV812" s="1" t="s">
        <v>437</v>
      </c>
      <c r="AX812" s="1">
        <v>0</v>
      </c>
      <c r="BA812" s="1">
        <v>9</v>
      </c>
      <c r="BB812" s="1">
        <v>0</v>
      </c>
      <c r="BC812" s="1">
        <v>0</v>
      </c>
      <c r="BE812" s="1">
        <v>27188507</v>
      </c>
    </row>
    <row r="813" spans="1:57" x14ac:dyDescent="0.25">
      <c r="A813" s="1" t="str">
        <f>T("1944686555600459264")</f>
        <v>1944686555600459264</v>
      </c>
      <c r="B813" s="1" t="str">
        <f>T("249918664165")</f>
        <v>249918664165</v>
      </c>
      <c r="C813" s="1" t="str">
        <f>T("1941094470816629272")</f>
        <v>1941094470816629272</v>
      </c>
      <c r="AC813" s="1" t="s">
        <v>276</v>
      </c>
      <c r="AD813" s="1" t="s">
        <v>298</v>
      </c>
      <c r="AE813" s="1" t="s">
        <v>513</v>
      </c>
      <c r="AF813" s="1" t="s">
        <v>107</v>
      </c>
      <c r="AO813" s="2">
        <v>46275</v>
      </c>
      <c r="AP813" s="1" t="s">
        <v>483</v>
      </c>
      <c r="AS813" s="1" t="s">
        <v>71</v>
      </c>
      <c r="AU813" s="1" t="s">
        <v>72</v>
      </c>
      <c r="AV813" s="1" t="s">
        <v>437</v>
      </c>
      <c r="AX813" s="1">
        <v>0</v>
      </c>
      <c r="BA813" s="1">
        <v>9</v>
      </c>
      <c r="BB813" s="1">
        <v>0</v>
      </c>
      <c r="BC813" s="1">
        <v>0</v>
      </c>
      <c r="BE813" s="1">
        <v>27188507</v>
      </c>
    </row>
    <row r="814" spans="1:57" x14ac:dyDescent="0.25">
      <c r="A814" s="1" t="str">
        <f>T("1944686555604655372")</f>
        <v>1944686555604655372</v>
      </c>
      <c r="B814" s="1" t="str">
        <f>T("249903989761")</f>
        <v>249903989761</v>
      </c>
      <c r="C814" s="1" t="str">
        <f>T("1941094470816631072")</f>
        <v>1941094470816631072</v>
      </c>
      <c r="AC814" s="1" t="s">
        <v>276</v>
      </c>
      <c r="AD814" s="1" t="s">
        <v>298</v>
      </c>
      <c r="AE814" s="1" t="s">
        <v>514</v>
      </c>
      <c r="AF814" s="1" t="s">
        <v>144</v>
      </c>
      <c r="AO814" s="2">
        <v>46275</v>
      </c>
      <c r="AP814" s="1" t="s">
        <v>483</v>
      </c>
      <c r="AS814" s="1" t="s">
        <v>71</v>
      </c>
      <c r="AU814" s="1" t="s">
        <v>72</v>
      </c>
      <c r="AV814" s="1" t="s">
        <v>73</v>
      </c>
      <c r="AX814" s="1">
        <v>0</v>
      </c>
      <c r="BA814" s="1">
        <v>9</v>
      </c>
      <c r="BB814" s="1">
        <v>0</v>
      </c>
      <c r="BC814" s="1">
        <v>0</v>
      </c>
      <c r="BE814" s="1">
        <v>27188507</v>
      </c>
    </row>
    <row r="815" spans="1:57" x14ac:dyDescent="0.25">
      <c r="A815" s="1" t="str">
        <f>T("1944686555608847480")</f>
        <v>1944686555608847480</v>
      </c>
      <c r="B815" s="1" t="str">
        <f>T("249905698412")</f>
        <v>249905698412</v>
      </c>
      <c r="C815" s="1" t="str">
        <f>T("1941094470816630572")</f>
        <v>1941094470816630572</v>
      </c>
      <c r="AC815" s="1" t="s">
        <v>276</v>
      </c>
      <c r="AD815" s="1" t="s">
        <v>298</v>
      </c>
      <c r="AE815" s="1" t="s">
        <v>513</v>
      </c>
      <c r="AF815" s="1" t="s">
        <v>107</v>
      </c>
      <c r="AO815" s="2">
        <v>46275</v>
      </c>
      <c r="AP815" s="1" t="s">
        <v>483</v>
      </c>
      <c r="AS815" s="1" t="s">
        <v>71</v>
      </c>
      <c r="AU815" s="1" t="s">
        <v>72</v>
      </c>
      <c r="AV815" s="1" t="s">
        <v>73</v>
      </c>
      <c r="AX815" s="1">
        <v>0</v>
      </c>
      <c r="BA815" s="1">
        <v>9</v>
      </c>
      <c r="BB815" s="1">
        <v>0</v>
      </c>
      <c r="BC815" s="1">
        <v>0</v>
      </c>
      <c r="BE815" s="1">
        <v>27188507</v>
      </c>
    </row>
    <row r="816" spans="1:57" x14ac:dyDescent="0.25">
      <c r="A816" s="1" t="str">
        <f>T("1944686555608848280")</f>
        <v>1944686555608848280</v>
      </c>
      <c r="B816" s="1" t="str">
        <f>T("249960263159")</f>
        <v>249960263159</v>
      </c>
      <c r="C816" s="1" t="str">
        <f>T("1941094470816631672")</f>
        <v>1941094470816631672</v>
      </c>
      <c r="AC816" s="1" t="s">
        <v>276</v>
      </c>
      <c r="AD816" s="1" t="s">
        <v>298</v>
      </c>
      <c r="AE816" s="1" t="s">
        <v>514</v>
      </c>
      <c r="AF816" s="1" t="s">
        <v>144</v>
      </c>
      <c r="AO816" s="2">
        <v>46275</v>
      </c>
      <c r="AP816" s="1" t="s">
        <v>483</v>
      </c>
      <c r="AS816" s="1" t="s">
        <v>71</v>
      </c>
      <c r="AU816" s="1" t="s">
        <v>72</v>
      </c>
      <c r="AV816" s="1" t="s">
        <v>126</v>
      </c>
      <c r="AX816" s="1">
        <v>0</v>
      </c>
      <c r="BA816" s="1">
        <v>9</v>
      </c>
      <c r="BB816" s="1">
        <v>0</v>
      </c>
      <c r="BC816" s="1">
        <v>0</v>
      </c>
      <c r="BE816" s="1">
        <v>27188507</v>
      </c>
    </row>
    <row r="817" spans="1:57" x14ac:dyDescent="0.25">
      <c r="A817" s="1" t="str">
        <f>T("1944686555621432604")</f>
        <v>1944686555621432604</v>
      </c>
      <c r="B817" s="1" t="str">
        <f>T("24991923605")</f>
        <v>24991923605</v>
      </c>
      <c r="C817" s="1" t="str">
        <f>T("1941094470816632172")</f>
        <v>1941094470816632172</v>
      </c>
      <c r="AC817" s="1" t="s">
        <v>276</v>
      </c>
      <c r="AD817" s="1" t="s">
        <v>298</v>
      </c>
      <c r="AE817" s="1" t="s">
        <v>514</v>
      </c>
      <c r="AF817" s="1" t="s">
        <v>144</v>
      </c>
      <c r="AO817" s="2">
        <v>46275</v>
      </c>
      <c r="AP817" s="1" t="s">
        <v>483</v>
      </c>
      <c r="AS817" s="1" t="s">
        <v>71</v>
      </c>
      <c r="AU817" s="1" t="s">
        <v>72</v>
      </c>
      <c r="AV817" s="1" t="s">
        <v>73</v>
      </c>
      <c r="AX817" s="1">
        <v>0</v>
      </c>
      <c r="BA817" s="1">
        <v>9</v>
      </c>
      <c r="BB817" s="1">
        <v>0</v>
      </c>
      <c r="BC817" s="1">
        <v>0</v>
      </c>
      <c r="BE817" s="1">
        <v>27188507</v>
      </c>
    </row>
    <row r="818" spans="1:57" x14ac:dyDescent="0.25">
      <c r="A818" s="1" t="str">
        <f>T("1944686555659181476")</f>
        <v>1944686555659181476</v>
      </c>
      <c r="B818" s="1" t="str">
        <f>T("249911867295")</f>
        <v>249911867295</v>
      </c>
      <c r="C818" s="1" t="str">
        <f>T("1941094470820824080")</f>
        <v>1941094470820824080</v>
      </c>
      <c r="AC818" s="1" t="s">
        <v>276</v>
      </c>
      <c r="AD818" s="1" t="s">
        <v>298</v>
      </c>
      <c r="AE818" s="1" t="s">
        <v>514</v>
      </c>
      <c r="AF818" s="1" t="s">
        <v>107</v>
      </c>
      <c r="AO818" s="2">
        <v>46275</v>
      </c>
      <c r="AP818" s="1" t="s">
        <v>483</v>
      </c>
      <c r="AS818" s="1" t="s">
        <v>71</v>
      </c>
      <c r="AU818" s="1" t="s">
        <v>72</v>
      </c>
      <c r="AV818" s="1" t="s">
        <v>73</v>
      </c>
      <c r="AX818" s="1">
        <v>0</v>
      </c>
      <c r="BA818" s="1">
        <v>9</v>
      </c>
      <c r="BB818" s="1">
        <v>0</v>
      </c>
      <c r="BC818" s="1">
        <v>0</v>
      </c>
      <c r="BE818" s="1">
        <v>27188507</v>
      </c>
    </row>
    <row r="819" spans="1:57" x14ac:dyDescent="0.25">
      <c r="A819" s="1" t="str">
        <f>T("1944686555659181776")</f>
        <v>1944686555659181776</v>
      </c>
      <c r="B819" s="1" t="str">
        <f>T("249917850717")</f>
        <v>249917850717</v>
      </c>
      <c r="C819" s="1" t="str">
        <f>T("1941094470820824480")</f>
        <v>1941094470820824480</v>
      </c>
      <c r="AC819" s="1" t="s">
        <v>276</v>
      </c>
      <c r="AD819" s="1" t="s">
        <v>298</v>
      </c>
      <c r="AE819" s="1" t="s">
        <v>514</v>
      </c>
      <c r="AF819" s="1" t="s">
        <v>107</v>
      </c>
      <c r="AO819" s="2">
        <v>46275</v>
      </c>
      <c r="AP819" s="1" t="s">
        <v>483</v>
      </c>
      <c r="AS819" s="1" t="s">
        <v>71</v>
      </c>
      <c r="AU819" s="1" t="s">
        <v>72</v>
      </c>
      <c r="AV819" s="1" t="s">
        <v>73</v>
      </c>
      <c r="AX819" s="1">
        <v>0</v>
      </c>
      <c r="BA819" s="1">
        <v>9</v>
      </c>
      <c r="BB819" s="1">
        <v>0</v>
      </c>
      <c r="BC819" s="1">
        <v>0</v>
      </c>
      <c r="BE819" s="1">
        <v>27188507</v>
      </c>
    </row>
    <row r="820" spans="1:57" x14ac:dyDescent="0.25">
      <c r="A820" s="1" t="str">
        <f>T("1944686555667568492")</f>
        <v>1944686555667568492</v>
      </c>
      <c r="B820" s="1" t="str">
        <f>T("249912462326")</f>
        <v>249912462326</v>
      </c>
      <c r="C820" s="1" t="str">
        <f>T("1941094470820825280")</f>
        <v>1941094470820825280</v>
      </c>
      <c r="AC820" s="1" t="s">
        <v>276</v>
      </c>
      <c r="AD820" s="1" t="s">
        <v>298</v>
      </c>
      <c r="AE820" s="1" t="s">
        <v>514</v>
      </c>
      <c r="AF820" s="1" t="s">
        <v>107</v>
      </c>
      <c r="AO820" s="2">
        <v>46275</v>
      </c>
      <c r="AP820" s="1" t="s">
        <v>483</v>
      </c>
      <c r="AS820" s="1" t="s">
        <v>71</v>
      </c>
      <c r="AU820" s="1" t="s">
        <v>72</v>
      </c>
      <c r="AV820" s="1" t="s">
        <v>437</v>
      </c>
      <c r="AX820" s="1">
        <v>0</v>
      </c>
      <c r="BA820" s="1">
        <v>9</v>
      </c>
      <c r="BB820" s="1">
        <v>0</v>
      </c>
      <c r="BC820" s="1">
        <v>0</v>
      </c>
      <c r="BE820" s="1">
        <v>27188507</v>
      </c>
    </row>
    <row r="821" spans="1:57" x14ac:dyDescent="0.25">
      <c r="A821" s="1" t="str">
        <f>T("1944686555667569192")</f>
        <v>1944686555667569192</v>
      </c>
      <c r="B821" s="1" t="str">
        <f>T("249911432489")</f>
        <v>249911432489</v>
      </c>
      <c r="C821" s="1" t="str">
        <f>T("1941094470820824880")</f>
        <v>1941094470820824880</v>
      </c>
      <c r="AC821" s="1" t="s">
        <v>276</v>
      </c>
      <c r="AD821" s="1" t="s">
        <v>298</v>
      </c>
      <c r="AE821" s="1" t="s">
        <v>514</v>
      </c>
      <c r="AF821" s="1" t="s">
        <v>107</v>
      </c>
      <c r="AO821" s="2">
        <v>46275</v>
      </c>
      <c r="AP821" s="1" t="s">
        <v>483</v>
      </c>
      <c r="AS821" s="1" t="s">
        <v>71</v>
      </c>
      <c r="AU821" s="1" t="s">
        <v>72</v>
      </c>
      <c r="AV821" s="1" t="s">
        <v>73</v>
      </c>
      <c r="AX821" s="1">
        <v>0</v>
      </c>
      <c r="BA821" s="1">
        <v>9</v>
      </c>
      <c r="BB821" s="1">
        <v>0</v>
      </c>
      <c r="BC821" s="1">
        <v>0</v>
      </c>
      <c r="BE821" s="1">
        <v>27188507</v>
      </c>
    </row>
    <row r="822" spans="1:57" x14ac:dyDescent="0.25">
      <c r="A822" s="1" t="str">
        <f>T("1944686555684345424")</f>
        <v>1944686555684345424</v>
      </c>
      <c r="B822" s="1" t="str">
        <f>T("249911856803")</f>
        <v>249911856803</v>
      </c>
      <c r="C822" s="1" t="str">
        <f>T("1941094470820825780")</f>
        <v>1941094470820825780</v>
      </c>
      <c r="AC822" s="1" t="s">
        <v>276</v>
      </c>
      <c r="AD822" s="1" t="s">
        <v>298</v>
      </c>
      <c r="AE822" s="1" t="s">
        <v>514</v>
      </c>
      <c r="AF822" s="1" t="s">
        <v>107</v>
      </c>
      <c r="AO822" s="2">
        <v>46275</v>
      </c>
      <c r="AP822" s="1" t="s">
        <v>483</v>
      </c>
      <c r="AS822" s="1" t="s">
        <v>71</v>
      </c>
      <c r="AU822" s="1" t="s">
        <v>72</v>
      </c>
      <c r="AV822" s="1" t="s">
        <v>126</v>
      </c>
      <c r="AX822" s="1">
        <v>0</v>
      </c>
      <c r="BA822" s="1">
        <v>9</v>
      </c>
      <c r="BB822" s="1">
        <v>0</v>
      </c>
      <c r="BC822" s="1">
        <v>0</v>
      </c>
      <c r="BE822" s="1">
        <v>27188507</v>
      </c>
    </row>
    <row r="823" spans="1:57" x14ac:dyDescent="0.25">
      <c r="A823" s="1" t="str">
        <f>T("1944686555688539332")</f>
        <v>1944686555688539332</v>
      </c>
      <c r="B823" s="1" t="str">
        <f>T("249913014019")</f>
        <v>249913014019</v>
      </c>
      <c r="C823" s="1" t="str">
        <f>T("1941094470820826680")</f>
        <v>1941094470820826680</v>
      </c>
      <c r="AC823" s="1" t="s">
        <v>276</v>
      </c>
      <c r="AD823" s="1" t="s">
        <v>298</v>
      </c>
      <c r="AE823" s="1" t="s">
        <v>514</v>
      </c>
      <c r="AF823" s="1" t="s">
        <v>107</v>
      </c>
      <c r="AO823" s="2">
        <v>46275</v>
      </c>
      <c r="AP823" s="1" t="s">
        <v>483</v>
      </c>
      <c r="AS823" s="1" t="s">
        <v>71</v>
      </c>
      <c r="AU823" s="1" t="s">
        <v>72</v>
      </c>
      <c r="AV823" s="1" t="s">
        <v>437</v>
      </c>
      <c r="AX823" s="1">
        <v>0</v>
      </c>
      <c r="BA823" s="1">
        <v>9</v>
      </c>
      <c r="BB823" s="1">
        <v>0</v>
      </c>
      <c r="BC823" s="1">
        <v>0</v>
      </c>
      <c r="BE823" s="1">
        <v>27188507</v>
      </c>
    </row>
    <row r="824" spans="1:57" x14ac:dyDescent="0.25">
      <c r="A824" s="1" t="str">
        <f>T("1944686555696929348")</f>
        <v>1944686555696929348</v>
      </c>
      <c r="B824" s="1" t="str">
        <f>T("249961232949")</f>
        <v>249961232949</v>
      </c>
      <c r="C824" s="1" t="str">
        <f>T("1941094470820826280")</f>
        <v>1941094470820826280</v>
      </c>
      <c r="AC824" s="1" t="s">
        <v>276</v>
      </c>
      <c r="AD824" s="1" t="s">
        <v>298</v>
      </c>
      <c r="AE824" s="1" t="s">
        <v>514</v>
      </c>
      <c r="AF824" s="1" t="s">
        <v>107</v>
      </c>
      <c r="AO824" s="2">
        <v>46275</v>
      </c>
      <c r="AP824" s="1" t="s">
        <v>483</v>
      </c>
      <c r="AS824" s="1" t="s">
        <v>71</v>
      </c>
      <c r="AU824" s="1" t="s">
        <v>72</v>
      </c>
      <c r="AV824" s="1" t="s">
        <v>73</v>
      </c>
      <c r="AX824" s="1">
        <v>0</v>
      </c>
      <c r="BA824" s="1">
        <v>9</v>
      </c>
      <c r="BB824" s="1">
        <v>0</v>
      </c>
      <c r="BC824" s="1">
        <v>0</v>
      </c>
      <c r="BE824" s="1">
        <v>27188507</v>
      </c>
    </row>
    <row r="825" spans="1:57" x14ac:dyDescent="0.25">
      <c r="A825" s="1" t="str">
        <f>T("1944686555717900988")</f>
        <v>1944686555717900988</v>
      </c>
      <c r="B825" s="1" t="str">
        <f>T("249908626012")</f>
        <v>249908626012</v>
      </c>
      <c r="C825" s="1" t="str">
        <f>T("1941094470825017488")</f>
        <v>1941094470825017488</v>
      </c>
      <c r="AC825" s="1" t="s">
        <v>276</v>
      </c>
      <c r="AD825" s="1" t="s">
        <v>298</v>
      </c>
      <c r="AE825" s="1" t="s">
        <v>514</v>
      </c>
      <c r="AF825" s="1" t="s">
        <v>107</v>
      </c>
      <c r="AO825" s="2">
        <v>46275</v>
      </c>
      <c r="AP825" s="1" t="s">
        <v>483</v>
      </c>
      <c r="AS825" s="1" t="s">
        <v>71</v>
      </c>
      <c r="AU825" s="1" t="s">
        <v>72</v>
      </c>
      <c r="AV825" s="1" t="s">
        <v>437</v>
      </c>
      <c r="AX825" s="1">
        <v>0</v>
      </c>
      <c r="BA825" s="1">
        <v>9</v>
      </c>
      <c r="BB825" s="1">
        <v>0</v>
      </c>
      <c r="BC825" s="1">
        <v>0</v>
      </c>
      <c r="BE825" s="1">
        <v>27188507</v>
      </c>
    </row>
    <row r="826" spans="1:57" x14ac:dyDescent="0.25">
      <c r="A826" s="1" t="str">
        <f>T("1944686555722093796")</f>
        <v>1944686555722093796</v>
      </c>
      <c r="B826" s="1" t="str">
        <f>T("249910689186")</f>
        <v>249910689186</v>
      </c>
      <c r="C826" s="1" t="str">
        <f>T("1941094470825017888")</f>
        <v>1941094470825017888</v>
      </c>
      <c r="AC826" s="1" t="s">
        <v>276</v>
      </c>
      <c r="AD826" s="1" t="s">
        <v>298</v>
      </c>
      <c r="AE826" s="1" t="s">
        <v>514</v>
      </c>
      <c r="AF826" s="1" t="s">
        <v>107</v>
      </c>
      <c r="AO826" s="2">
        <v>46275</v>
      </c>
      <c r="AP826" s="1" t="s">
        <v>483</v>
      </c>
      <c r="AS826" s="1" t="s">
        <v>71</v>
      </c>
      <c r="AU826" s="1" t="s">
        <v>72</v>
      </c>
      <c r="AV826" s="1" t="s">
        <v>437</v>
      </c>
      <c r="AX826" s="1">
        <v>0</v>
      </c>
      <c r="BA826" s="1">
        <v>9</v>
      </c>
      <c r="BB826" s="1">
        <v>0</v>
      </c>
      <c r="BC826" s="1">
        <v>0</v>
      </c>
      <c r="BE826" s="1">
        <v>27188507</v>
      </c>
    </row>
    <row r="827" spans="1:57" x14ac:dyDescent="0.25">
      <c r="A827" s="1" t="str">
        <f>T("1944686555734676920")</f>
        <v>1944686555734676920</v>
      </c>
      <c r="B827" s="1" t="str">
        <f>T("24990423455")</f>
        <v>24990423455</v>
      </c>
      <c r="C827" s="1" t="str">
        <f>T("1941094470825018388")</f>
        <v>1941094470825018388</v>
      </c>
      <c r="AC827" s="1" t="s">
        <v>276</v>
      </c>
      <c r="AD827" s="1" t="s">
        <v>298</v>
      </c>
      <c r="AE827" s="1" t="s">
        <v>514</v>
      </c>
      <c r="AF827" s="1" t="s">
        <v>107</v>
      </c>
      <c r="AO827" s="2">
        <v>46275</v>
      </c>
      <c r="AP827" s="1" t="s">
        <v>483</v>
      </c>
      <c r="AS827" s="1" t="s">
        <v>71</v>
      </c>
      <c r="AU827" s="1" t="s">
        <v>72</v>
      </c>
      <c r="AV827" s="1" t="s">
        <v>73</v>
      </c>
      <c r="AX827" s="1">
        <v>0</v>
      </c>
      <c r="BA827" s="1">
        <v>9</v>
      </c>
      <c r="BB827" s="1">
        <v>0</v>
      </c>
      <c r="BC827" s="1">
        <v>0</v>
      </c>
      <c r="BE827" s="1">
        <v>27188507</v>
      </c>
    </row>
    <row r="828" spans="1:57" x14ac:dyDescent="0.25">
      <c r="A828" s="1" t="str">
        <f>T("1944686555734678020")</f>
        <v>1944686555734678020</v>
      </c>
      <c r="B828" s="1" t="str">
        <f>T("249903500395")</f>
        <v>249903500395</v>
      </c>
      <c r="C828" s="1" t="str">
        <f>T("1941094470825019288")</f>
        <v>1941094470825019288</v>
      </c>
      <c r="AC828" s="1" t="s">
        <v>276</v>
      </c>
      <c r="AD828" s="1" t="s">
        <v>298</v>
      </c>
      <c r="AE828" s="1" t="s">
        <v>514</v>
      </c>
      <c r="AF828" s="1" t="s">
        <v>107</v>
      </c>
      <c r="AO828" s="2">
        <v>46275</v>
      </c>
      <c r="AP828" s="1" t="s">
        <v>483</v>
      </c>
      <c r="AS828" s="1" t="s">
        <v>71</v>
      </c>
      <c r="AU828" s="1" t="s">
        <v>72</v>
      </c>
      <c r="AV828" s="1" t="s">
        <v>437</v>
      </c>
      <c r="AX828" s="1">
        <v>0</v>
      </c>
      <c r="BA828" s="1">
        <v>9</v>
      </c>
      <c r="BB828" s="1">
        <v>0</v>
      </c>
      <c r="BC828" s="1">
        <v>0</v>
      </c>
      <c r="BE828" s="1">
        <v>27188507</v>
      </c>
    </row>
    <row r="829" spans="1:57" x14ac:dyDescent="0.25">
      <c r="A829" s="1" t="str">
        <f>T("1944686555734679220")</f>
        <v>1944686555734679220</v>
      </c>
      <c r="B829" s="1" t="str">
        <f>T("249961464514")</f>
        <v>249961464514</v>
      </c>
      <c r="C829" s="1" t="str">
        <f>T("1941094470825018888")</f>
        <v>1941094470825018888</v>
      </c>
      <c r="AC829" s="1" t="s">
        <v>276</v>
      </c>
      <c r="AD829" s="1" t="s">
        <v>298</v>
      </c>
      <c r="AE829" s="1" t="s">
        <v>514</v>
      </c>
      <c r="AF829" s="1" t="s">
        <v>107</v>
      </c>
      <c r="AO829" s="2">
        <v>46275</v>
      </c>
      <c r="AP829" s="1" t="s">
        <v>483</v>
      </c>
      <c r="AS829" s="1" t="s">
        <v>71</v>
      </c>
      <c r="AU829" s="1" t="s">
        <v>72</v>
      </c>
      <c r="AV829" s="1" t="s">
        <v>437</v>
      </c>
      <c r="AX829" s="1">
        <v>0</v>
      </c>
      <c r="BA829" s="1">
        <v>9</v>
      </c>
      <c r="BB829" s="1">
        <v>0</v>
      </c>
      <c r="BC829" s="1">
        <v>0</v>
      </c>
      <c r="BE829" s="1">
        <v>27188507</v>
      </c>
    </row>
    <row r="830" spans="1:57" x14ac:dyDescent="0.25">
      <c r="A830" s="1" t="str">
        <f>T("1944686555743067836")</f>
        <v>1944686555743067836</v>
      </c>
      <c r="B830" s="1" t="str">
        <f>T("249914802633")</f>
        <v>249914802633</v>
      </c>
      <c r="C830" s="1" t="str">
        <f>T("1941094470825019888")</f>
        <v>1941094470825019888</v>
      </c>
      <c r="AC830" s="1" t="s">
        <v>276</v>
      </c>
      <c r="AD830" s="1" t="s">
        <v>298</v>
      </c>
      <c r="AE830" s="1" t="s">
        <v>514</v>
      </c>
      <c r="AF830" s="1" t="s">
        <v>107</v>
      </c>
      <c r="AO830" s="2">
        <v>46275</v>
      </c>
      <c r="AP830" s="1" t="s">
        <v>483</v>
      </c>
      <c r="AS830" s="1" t="s">
        <v>71</v>
      </c>
      <c r="AU830" s="1" t="s">
        <v>72</v>
      </c>
      <c r="AV830" s="1" t="s">
        <v>73</v>
      </c>
      <c r="AX830" s="1">
        <v>0</v>
      </c>
      <c r="BA830" s="1">
        <v>9</v>
      </c>
      <c r="BB830" s="1">
        <v>0</v>
      </c>
      <c r="BC830" s="1">
        <v>0</v>
      </c>
      <c r="BE830" s="1">
        <v>27188507</v>
      </c>
    </row>
    <row r="831" spans="1:57" x14ac:dyDescent="0.25">
      <c r="A831" s="1" t="str">
        <f>T("1944686555759843468")</f>
        <v>1944686555759843468</v>
      </c>
      <c r="B831" s="1" t="str">
        <f>T("249129757087")</f>
        <v>249129757087</v>
      </c>
      <c r="C831" s="1" t="str">
        <f>T("1941094470829212996")</f>
        <v>1941094470829212996</v>
      </c>
      <c r="AC831" s="1" t="s">
        <v>276</v>
      </c>
      <c r="AD831" s="1" t="s">
        <v>298</v>
      </c>
      <c r="AE831" s="1" t="s">
        <v>515</v>
      </c>
      <c r="AF831" s="1" t="s">
        <v>107</v>
      </c>
      <c r="AO831" s="2">
        <v>46275</v>
      </c>
      <c r="AP831" s="1" t="s">
        <v>483</v>
      </c>
      <c r="AQ831" s="2">
        <v>46275</v>
      </c>
      <c r="AR831" s="1" t="s">
        <v>516</v>
      </c>
      <c r="AS831" s="1" t="s">
        <v>71</v>
      </c>
      <c r="AU831" s="1" t="s">
        <v>79</v>
      </c>
      <c r="AV831" s="1" t="s">
        <v>80</v>
      </c>
      <c r="AW831" s="1">
        <v>35.46</v>
      </c>
      <c r="AX831" s="1">
        <v>0</v>
      </c>
      <c r="AZ831" s="1" t="s">
        <v>81</v>
      </c>
      <c r="BA831" s="1">
        <v>1</v>
      </c>
      <c r="BB831" s="1">
        <v>0</v>
      </c>
      <c r="BC831" s="1">
        <v>0</v>
      </c>
      <c r="BE831" s="1">
        <v>27188507</v>
      </c>
    </row>
    <row r="832" spans="1:57" x14ac:dyDescent="0.25">
      <c r="A832" s="1" t="str">
        <f>T("1944686555780813208")</f>
        <v>1944686555780813208</v>
      </c>
      <c r="B832" s="1" t="str">
        <f>T("249969137189")</f>
        <v>249969137189</v>
      </c>
      <c r="C832" s="1" t="str">
        <f>T("1941094470829213496")</f>
        <v>1941094470829213496</v>
      </c>
      <c r="AC832" s="1" t="s">
        <v>276</v>
      </c>
      <c r="AD832" s="1" t="s">
        <v>298</v>
      </c>
      <c r="AE832" s="1" t="s">
        <v>515</v>
      </c>
      <c r="AF832" s="1" t="s">
        <v>144</v>
      </c>
      <c r="AO832" s="2">
        <v>46275</v>
      </c>
      <c r="AP832" s="1" t="s">
        <v>483</v>
      </c>
      <c r="AS832" s="1" t="s">
        <v>71</v>
      </c>
      <c r="AU832" s="1" t="s">
        <v>72</v>
      </c>
      <c r="AV832" s="1" t="s">
        <v>126</v>
      </c>
      <c r="AX832" s="1">
        <v>0</v>
      </c>
      <c r="BA832" s="1">
        <v>9</v>
      </c>
      <c r="BB832" s="1">
        <v>0</v>
      </c>
      <c r="BC832" s="1">
        <v>0</v>
      </c>
      <c r="BE832" s="1">
        <v>27188507</v>
      </c>
    </row>
    <row r="833" spans="1:57" x14ac:dyDescent="0.25">
      <c r="A833" s="1" t="str">
        <f>T("1944686555780814008")</f>
        <v>1944686555780814008</v>
      </c>
      <c r="B833" s="1" t="str">
        <f>T("249963772047")</f>
        <v>249963772047</v>
      </c>
      <c r="C833" s="1" t="str">
        <f>T("1941094470829215096")</f>
        <v>1941094470829215096</v>
      </c>
      <c r="AC833" s="1" t="s">
        <v>276</v>
      </c>
      <c r="AD833" s="1" t="s">
        <v>298</v>
      </c>
      <c r="AE833" s="1" t="s">
        <v>515</v>
      </c>
      <c r="AF833" s="1" t="s">
        <v>144</v>
      </c>
      <c r="AO833" s="2">
        <v>46275</v>
      </c>
      <c r="AP833" s="1" t="s">
        <v>483</v>
      </c>
      <c r="AS833" s="1" t="s">
        <v>71</v>
      </c>
      <c r="AU833" s="1" t="s">
        <v>72</v>
      </c>
      <c r="AV833" s="1" t="s">
        <v>126</v>
      </c>
      <c r="AX833" s="1">
        <v>0</v>
      </c>
      <c r="BA833" s="1">
        <v>9</v>
      </c>
      <c r="BB833" s="1">
        <v>0</v>
      </c>
      <c r="BC833" s="1">
        <v>0</v>
      </c>
      <c r="BE833" s="1">
        <v>27188507</v>
      </c>
    </row>
    <row r="834" spans="1:57" x14ac:dyDescent="0.25">
      <c r="A834" s="1" t="str">
        <f>T("1944686555797590540")</f>
        <v>1944686555797590540</v>
      </c>
      <c r="B834" s="1" t="str">
        <f>T("249916198848")</f>
        <v>249916198848</v>
      </c>
      <c r="C834" s="1" t="str">
        <f>T("1941094470829215696")</f>
        <v>1941094470829215696</v>
      </c>
      <c r="AC834" s="1" t="s">
        <v>276</v>
      </c>
      <c r="AD834" s="1" t="s">
        <v>298</v>
      </c>
      <c r="AE834" s="1" t="s">
        <v>515</v>
      </c>
      <c r="AF834" s="1" t="s">
        <v>107</v>
      </c>
      <c r="AO834" s="2">
        <v>46275</v>
      </c>
      <c r="AP834" s="1" t="s">
        <v>483</v>
      </c>
      <c r="AS834" s="1" t="s">
        <v>71</v>
      </c>
      <c r="AU834" s="1" t="s">
        <v>72</v>
      </c>
      <c r="AV834" s="1" t="s">
        <v>437</v>
      </c>
      <c r="AX834" s="1">
        <v>0</v>
      </c>
      <c r="BA834" s="1">
        <v>9</v>
      </c>
      <c r="BB834" s="1">
        <v>0</v>
      </c>
      <c r="BC834" s="1">
        <v>0</v>
      </c>
      <c r="BE834" s="1">
        <v>27188507</v>
      </c>
    </row>
    <row r="835" spans="1:57" x14ac:dyDescent="0.25">
      <c r="A835" s="1" t="str">
        <f>T("1944686555797590740")</f>
        <v>1944686555797590740</v>
      </c>
      <c r="B835" s="1" t="str">
        <f>T("249912666856")</f>
        <v>249912666856</v>
      </c>
      <c r="C835" s="1" t="str">
        <f>T("1941094470833409704")</f>
        <v>1941094470833409704</v>
      </c>
      <c r="AC835" s="1" t="s">
        <v>276</v>
      </c>
      <c r="AD835" s="1" t="s">
        <v>298</v>
      </c>
      <c r="AE835" s="1" t="s">
        <v>515</v>
      </c>
      <c r="AF835" s="1" t="s">
        <v>107</v>
      </c>
      <c r="AO835" s="2">
        <v>46275</v>
      </c>
      <c r="AP835" s="1" t="s">
        <v>483</v>
      </c>
      <c r="AS835" s="1" t="s">
        <v>71</v>
      </c>
      <c r="AU835" s="1" t="s">
        <v>72</v>
      </c>
      <c r="AV835" s="1" t="s">
        <v>73</v>
      </c>
      <c r="AX835" s="1">
        <v>0</v>
      </c>
      <c r="BA835" s="1">
        <v>9</v>
      </c>
      <c r="BB835" s="1">
        <v>0</v>
      </c>
      <c r="BC835" s="1">
        <v>0</v>
      </c>
      <c r="BE835" s="1">
        <v>27188507</v>
      </c>
    </row>
    <row r="836" spans="1:57" x14ac:dyDescent="0.25">
      <c r="A836" s="1" t="str">
        <f>T("1944686555805979856")</f>
        <v>1944686555805979856</v>
      </c>
      <c r="B836" s="1" t="str">
        <f>T("249907858604")</f>
        <v>249907858604</v>
      </c>
      <c r="C836" s="1" t="str">
        <f>T("1941094470837601112")</f>
        <v>1941094470837601112</v>
      </c>
      <c r="AC836" s="1" t="s">
        <v>276</v>
      </c>
      <c r="AD836" s="1" t="s">
        <v>517</v>
      </c>
      <c r="AE836" s="1" t="s">
        <v>518</v>
      </c>
      <c r="AF836" s="1" t="s">
        <v>107</v>
      </c>
      <c r="AO836" s="2">
        <v>46275</v>
      </c>
      <c r="AP836" s="1" t="s">
        <v>483</v>
      </c>
      <c r="AS836" s="1" t="s">
        <v>71</v>
      </c>
      <c r="AU836" s="1" t="s">
        <v>72</v>
      </c>
      <c r="AV836" s="1" t="s">
        <v>126</v>
      </c>
      <c r="AX836" s="1">
        <v>0</v>
      </c>
      <c r="BA836" s="1">
        <v>9</v>
      </c>
      <c r="BB836" s="1">
        <v>0</v>
      </c>
      <c r="BC836" s="1">
        <v>0</v>
      </c>
      <c r="BE836" s="1">
        <v>27188507</v>
      </c>
    </row>
    <row r="837" spans="1:57" x14ac:dyDescent="0.25">
      <c r="A837" s="1" t="str">
        <f>T("1944686555805980956")</f>
        <v>1944686555805980956</v>
      </c>
      <c r="B837" s="1" t="str">
        <f>T("249904828952")</f>
        <v>249904828952</v>
      </c>
      <c r="C837" s="1" t="str">
        <f>T("1941094470837600612")</f>
        <v>1941094470837600612</v>
      </c>
      <c r="AC837" s="1" t="s">
        <v>276</v>
      </c>
      <c r="AD837" s="1" t="s">
        <v>517</v>
      </c>
      <c r="AE837" s="1" t="s">
        <v>518</v>
      </c>
      <c r="AF837" s="1" t="s">
        <v>144</v>
      </c>
      <c r="AO837" s="2">
        <v>46275</v>
      </c>
      <c r="AP837" s="1" t="s">
        <v>483</v>
      </c>
      <c r="AS837" s="1" t="s">
        <v>71</v>
      </c>
      <c r="AU837" s="1" t="s">
        <v>72</v>
      </c>
      <c r="AV837" s="1" t="s">
        <v>437</v>
      </c>
      <c r="AX837" s="1">
        <v>0</v>
      </c>
      <c r="BA837" s="1">
        <v>9</v>
      </c>
      <c r="BB837" s="1">
        <v>0</v>
      </c>
      <c r="BC837" s="1">
        <v>0</v>
      </c>
      <c r="BE837" s="1">
        <v>27188507</v>
      </c>
    </row>
    <row r="838" spans="1:57" x14ac:dyDescent="0.25">
      <c r="A838" s="1" t="str">
        <f>T("1944686555814368472")</f>
        <v>1944686555814368472</v>
      </c>
      <c r="B838" s="1" t="str">
        <f>T("249900863685")</f>
        <v>249900863685</v>
      </c>
      <c r="C838" s="1" t="str">
        <f>T("1941094470841795220")</f>
        <v>1941094470841795220</v>
      </c>
      <c r="AC838" s="1" t="s">
        <v>276</v>
      </c>
      <c r="AD838" s="1" t="s">
        <v>517</v>
      </c>
      <c r="AE838" s="1" t="s">
        <v>518</v>
      </c>
      <c r="AF838" s="1" t="s">
        <v>107</v>
      </c>
      <c r="AO838" s="2">
        <v>46275</v>
      </c>
      <c r="AP838" s="1" t="s">
        <v>483</v>
      </c>
      <c r="AS838" s="1" t="s">
        <v>71</v>
      </c>
      <c r="AU838" s="1" t="s">
        <v>72</v>
      </c>
      <c r="AV838" s="1" t="s">
        <v>437</v>
      </c>
      <c r="AX838" s="1">
        <v>0</v>
      </c>
      <c r="BA838" s="1">
        <v>9</v>
      </c>
      <c r="BB838" s="1">
        <v>0</v>
      </c>
      <c r="BC838" s="1">
        <v>0</v>
      </c>
      <c r="BE838" s="1">
        <v>27188507</v>
      </c>
    </row>
    <row r="839" spans="1:57" x14ac:dyDescent="0.25">
      <c r="A839" s="1" t="str">
        <f>T("1944686555826954096")</f>
        <v>1944686555826954096</v>
      </c>
      <c r="B839" s="1" t="str">
        <f>T("249913839822")</f>
        <v>249913839822</v>
      </c>
      <c r="C839" s="1" t="str">
        <f>T("1941094470841795720")</f>
        <v>1941094470841795720</v>
      </c>
      <c r="AC839" s="1" t="s">
        <v>276</v>
      </c>
      <c r="AD839" s="1" t="s">
        <v>517</v>
      </c>
      <c r="AE839" s="1" t="s">
        <v>518</v>
      </c>
      <c r="AF839" s="1" t="s">
        <v>107</v>
      </c>
      <c r="AO839" s="2">
        <v>46275</v>
      </c>
      <c r="AP839" s="1" t="s">
        <v>483</v>
      </c>
      <c r="AS839" s="1" t="s">
        <v>71</v>
      </c>
      <c r="AU839" s="1" t="s">
        <v>72</v>
      </c>
      <c r="AV839" s="1" t="s">
        <v>73</v>
      </c>
      <c r="AX839" s="1">
        <v>0</v>
      </c>
      <c r="BA839" s="1">
        <v>9</v>
      </c>
      <c r="BB839" s="1">
        <v>0</v>
      </c>
      <c r="BC839" s="1">
        <v>0</v>
      </c>
      <c r="BE839" s="1">
        <v>27188507</v>
      </c>
    </row>
    <row r="840" spans="1:57" x14ac:dyDescent="0.25">
      <c r="A840" s="1" t="str">
        <f>T("1944686555835342212")</f>
        <v>1944686555835342212</v>
      </c>
      <c r="B840" s="1" t="str">
        <f>T("249965854537")</f>
        <v>249965854537</v>
      </c>
      <c r="C840" s="1" t="str">
        <f>T("1941094470845992328")</f>
        <v>1941094470845992328</v>
      </c>
      <c r="AC840" s="1" t="s">
        <v>276</v>
      </c>
      <c r="AD840" s="1" t="s">
        <v>517</v>
      </c>
      <c r="AE840" s="1" t="s">
        <v>518</v>
      </c>
      <c r="AF840" s="1" t="s">
        <v>144</v>
      </c>
      <c r="AO840" s="2">
        <v>46275</v>
      </c>
      <c r="AP840" s="1" t="s">
        <v>483</v>
      </c>
      <c r="AS840" s="1" t="s">
        <v>71</v>
      </c>
      <c r="AU840" s="1" t="s">
        <v>72</v>
      </c>
      <c r="AV840" s="1" t="s">
        <v>437</v>
      </c>
      <c r="AX840" s="1">
        <v>0</v>
      </c>
      <c r="BA840" s="1">
        <v>9</v>
      </c>
      <c r="BB840" s="1">
        <v>0</v>
      </c>
      <c r="BC840" s="1">
        <v>0</v>
      </c>
      <c r="BE840" s="1">
        <v>27188507</v>
      </c>
    </row>
    <row r="841" spans="1:57" x14ac:dyDescent="0.25">
      <c r="A841" s="1" t="str">
        <f>T("1944686555843731328")</f>
        <v>1944686555843731328</v>
      </c>
      <c r="B841" s="1" t="str">
        <f>T("249918036901")</f>
        <v>249918036901</v>
      </c>
      <c r="C841" s="1" t="str">
        <f>T("1941094470850185836")</f>
        <v>1941094470850185836</v>
      </c>
      <c r="AC841" s="1" t="s">
        <v>276</v>
      </c>
      <c r="AD841" s="1" t="s">
        <v>517</v>
      </c>
      <c r="AE841" s="1" t="s">
        <v>519</v>
      </c>
      <c r="AF841" s="1" t="s">
        <v>107</v>
      </c>
      <c r="AO841" s="2">
        <v>46275</v>
      </c>
      <c r="AP841" s="1" t="s">
        <v>483</v>
      </c>
      <c r="AS841" s="1" t="s">
        <v>71</v>
      </c>
      <c r="AU841" s="1" t="s">
        <v>72</v>
      </c>
      <c r="AV841" s="1" t="s">
        <v>126</v>
      </c>
      <c r="AX841" s="1">
        <v>0</v>
      </c>
      <c r="BA841" s="1">
        <v>9</v>
      </c>
      <c r="BB841" s="1">
        <v>0</v>
      </c>
      <c r="BC841" s="1">
        <v>0</v>
      </c>
      <c r="BE841" s="1">
        <v>27188507</v>
      </c>
    </row>
    <row r="842" spans="1:57" x14ac:dyDescent="0.25">
      <c r="A842" s="1" t="str">
        <f>T("1944686555852117144")</f>
        <v>1944686555852117144</v>
      </c>
      <c r="B842" s="1" t="str">
        <f>T("249914083712")</f>
        <v>249914083712</v>
      </c>
      <c r="C842" s="1" t="str">
        <f>T("1941094470854379044")</f>
        <v>1941094470854379044</v>
      </c>
      <c r="AC842" s="1" t="s">
        <v>276</v>
      </c>
      <c r="AD842" s="1" t="s">
        <v>517</v>
      </c>
      <c r="AE842" s="1" t="s">
        <v>519</v>
      </c>
      <c r="AF842" s="1" t="s">
        <v>107</v>
      </c>
      <c r="AO842" s="2">
        <v>46275</v>
      </c>
      <c r="AP842" s="1" t="s">
        <v>483</v>
      </c>
      <c r="AS842" s="1" t="s">
        <v>71</v>
      </c>
      <c r="AU842" s="1" t="s">
        <v>72</v>
      </c>
      <c r="AV842" s="1" t="s">
        <v>73</v>
      </c>
      <c r="AX842" s="1">
        <v>0</v>
      </c>
      <c r="BA842" s="1">
        <v>9</v>
      </c>
      <c r="BB842" s="1">
        <v>0</v>
      </c>
      <c r="BC842" s="1">
        <v>0</v>
      </c>
      <c r="BE842" s="1">
        <v>27188507</v>
      </c>
    </row>
    <row r="843" spans="1:57" x14ac:dyDescent="0.25">
      <c r="A843" s="1" t="str">
        <f>T("1944686555860505460")</f>
        <v>1944686555860505460</v>
      </c>
      <c r="B843" s="1" t="str">
        <f>T("249906455089")</f>
        <v>249906455089</v>
      </c>
      <c r="C843" s="1" t="str">
        <f>T("1941094470854379444")</f>
        <v>1941094470854379444</v>
      </c>
      <c r="AC843" s="1" t="s">
        <v>276</v>
      </c>
      <c r="AD843" s="1" t="s">
        <v>517</v>
      </c>
      <c r="AE843" s="1" t="s">
        <v>519</v>
      </c>
      <c r="AF843" s="1" t="s">
        <v>107</v>
      </c>
      <c r="AO843" s="2">
        <v>46275</v>
      </c>
      <c r="AP843" s="1" t="s">
        <v>483</v>
      </c>
      <c r="AS843" s="1" t="s">
        <v>71</v>
      </c>
      <c r="AU843" s="1" t="s">
        <v>72</v>
      </c>
      <c r="AV843" s="1" t="s">
        <v>126</v>
      </c>
      <c r="AX843" s="1">
        <v>0</v>
      </c>
      <c r="BA843" s="1">
        <v>9</v>
      </c>
      <c r="BB843" s="1">
        <v>0</v>
      </c>
      <c r="BC843" s="1">
        <v>0</v>
      </c>
      <c r="BE843" s="1">
        <v>27188507</v>
      </c>
    </row>
    <row r="844" spans="1:57" x14ac:dyDescent="0.25">
      <c r="A844" s="1" t="str">
        <f>T("1944686555864700268")</f>
        <v>1944686555864700268</v>
      </c>
      <c r="B844" s="1" t="str">
        <f>T("249917549984")</f>
        <v>249917549984</v>
      </c>
      <c r="C844" s="1" t="str">
        <f>T("1941094470854379744")</f>
        <v>1941094470854379744</v>
      </c>
      <c r="AC844" s="1" t="s">
        <v>276</v>
      </c>
      <c r="AD844" s="1" t="s">
        <v>517</v>
      </c>
      <c r="AE844" s="1" t="s">
        <v>520</v>
      </c>
      <c r="AF844" s="1" t="s">
        <v>107</v>
      </c>
      <c r="AO844" s="2">
        <v>46275</v>
      </c>
      <c r="AP844" s="1" t="s">
        <v>483</v>
      </c>
      <c r="AS844" s="1" t="s">
        <v>71</v>
      </c>
      <c r="AU844" s="1" t="s">
        <v>72</v>
      </c>
      <c r="AV844" s="1" t="s">
        <v>73</v>
      </c>
      <c r="AX844" s="1">
        <v>0</v>
      </c>
      <c r="BA844" s="1">
        <v>9</v>
      </c>
      <c r="BB844" s="1">
        <v>0</v>
      </c>
      <c r="BC844" s="1">
        <v>0</v>
      </c>
      <c r="BE844" s="1">
        <v>27188507</v>
      </c>
    </row>
    <row r="845" spans="1:57" x14ac:dyDescent="0.25">
      <c r="A845" s="1" t="str">
        <f>T("1944739400613828728")</f>
        <v>1944739400613828728</v>
      </c>
      <c r="B845" s="1" t="str">
        <f>T("249907858604")</f>
        <v>249907858604</v>
      </c>
      <c r="C845" s="1" t="str">
        <f>T("1941094470837601112")</f>
        <v>1941094470837601112</v>
      </c>
      <c r="AC845" s="1" t="s">
        <v>276</v>
      </c>
      <c r="AD845" s="1" t="s">
        <v>517</v>
      </c>
      <c r="AE845" s="1" t="s">
        <v>518</v>
      </c>
      <c r="AF845" s="1" t="s">
        <v>107</v>
      </c>
      <c r="AO845" s="2">
        <v>46275</v>
      </c>
      <c r="AP845" s="1" t="s">
        <v>301</v>
      </c>
      <c r="AS845" s="1" t="s">
        <v>71</v>
      </c>
      <c r="AU845" s="1" t="s">
        <v>72</v>
      </c>
      <c r="AV845" s="1" t="s">
        <v>437</v>
      </c>
      <c r="AX845" s="1">
        <v>0</v>
      </c>
      <c r="BA845" s="1">
        <v>9</v>
      </c>
      <c r="BB845" s="1">
        <v>0</v>
      </c>
      <c r="BC845" s="1">
        <v>0</v>
      </c>
      <c r="BE845" s="1">
        <v>27188511</v>
      </c>
    </row>
    <row r="846" spans="1:57" x14ac:dyDescent="0.25">
      <c r="A846" s="1" t="str">
        <f>T("1944739400613830028")</f>
        <v>1944739400613830028</v>
      </c>
      <c r="B846" s="1" t="str">
        <f>T("249913839822")</f>
        <v>249913839822</v>
      </c>
      <c r="C846" s="1" t="str">
        <f>T("1941094470841795720")</f>
        <v>1941094470841795720</v>
      </c>
      <c r="AC846" s="1" t="s">
        <v>276</v>
      </c>
      <c r="AD846" s="1" t="s">
        <v>517</v>
      </c>
      <c r="AE846" s="1" t="s">
        <v>518</v>
      </c>
      <c r="AF846" s="1" t="s">
        <v>107</v>
      </c>
      <c r="AO846" s="2">
        <v>46275</v>
      </c>
      <c r="AP846" s="1" t="s">
        <v>301</v>
      </c>
      <c r="AS846" s="1" t="s">
        <v>71</v>
      </c>
      <c r="AU846" s="1" t="s">
        <v>72</v>
      </c>
      <c r="AV846" s="1" t="s">
        <v>437</v>
      </c>
      <c r="AX846" s="1">
        <v>0</v>
      </c>
      <c r="BA846" s="1">
        <v>9</v>
      </c>
      <c r="BB846" s="1">
        <v>0</v>
      </c>
      <c r="BC846" s="1">
        <v>0</v>
      </c>
      <c r="BE846" s="1">
        <v>27188511</v>
      </c>
    </row>
    <row r="847" spans="1:57" x14ac:dyDescent="0.25">
      <c r="A847" s="1" t="str">
        <f>T("1944739400613830029")</f>
        <v>1944739400613830029</v>
      </c>
      <c r="B847" s="1" t="str">
        <f>T("249965854537")</f>
        <v>249965854537</v>
      </c>
      <c r="C847" s="1" t="str">
        <f>T("1941094470845992328")</f>
        <v>1941094470845992328</v>
      </c>
      <c r="AC847" s="1" t="s">
        <v>276</v>
      </c>
      <c r="AD847" s="1" t="s">
        <v>517</v>
      </c>
      <c r="AE847" s="1" t="s">
        <v>518</v>
      </c>
      <c r="AF847" s="1" t="s">
        <v>144</v>
      </c>
      <c r="AO847" s="2">
        <v>46275</v>
      </c>
      <c r="AP847" s="1" t="s">
        <v>301</v>
      </c>
      <c r="AS847" s="1" t="s">
        <v>71</v>
      </c>
      <c r="AU847" s="1" t="s">
        <v>72</v>
      </c>
      <c r="AV847" s="1" t="s">
        <v>437</v>
      </c>
      <c r="AX847" s="1">
        <v>0</v>
      </c>
      <c r="BA847" s="1">
        <v>9</v>
      </c>
      <c r="BB847" s="1">
        <v>0</v>
      </c>
      <c r="BC847" s="1">
        <v>0</v>
      </c>
      <c r="BE847" s="1">
        <v>27188511</v>
      </c>
    </row>
    <row r="848" spans="1:57" x14ac:dyDescent="0.25">
      <c r="A848" s="1" t="str">
        <f>T("1944739400618023836")</f>
        <v>1944739400618023836</v>
      </c>
      <c r="B848" s="1" t="str">
        <f>T("249900863685")</f>
        <v>249900863685</v>
      </c>
      <c r="C848" s="1" t="str">
        <f>T("1941094470841795220")</f>
        <v>1941094470841795220</v>
      </c>
      <c r="AC848" s="1" t="s">
        <v>276</v>
      </c>
      <c r="AD848" s="1" t="s">
        <v>517</v>
      </c>
      <c r="AE848" s="1" t="s">
        <v>518</v>
      </c>
      <c r="AF848" s="1" t="s">
        <v>107</v>
      </c>
      <c r="AO848" s="2">
        <v>46275</v>
      </c>
      <c r="AP848" s="1" t="s">
        <v>301</v>
      </c>
      <c r="AS848" s="1" t="s">
        <v>71</v>
      </c>
      <c r="AU848" s="1" t="s">
        <v>72</v>
      </c>
      <c r="AV848" s="1" t="s">
        <v>73</v>
      </c>
      <c r="AX848" s="1">
        <v>0</v>
      </c>
      <c r="BA848" s="1">
        <v>9</v>
      </c>
      <c r="BB848" s="1">
        <v>0</v>
      </c>
      <c r="BC848" s="1">
        <v>0</v>
      </c>
      <c r="BE848" s="1">
        <v>27188511</v>
      </c>
    </row>
    <row r="849" spans="1:57" x14ac:dyDescent="0.25">
      <c r="A849" s="1" t="str">
        <f>T("1944739400722881136")</f>
        <v>1944739400722881136</v>
      </c>
      <c r="B849" s="1" t="str">
        <f>T("249918036901")</f>
        <v>249918036901</v>
      </c>
      <c r="C849" s="1" t="str">
        <f>T("1941094470850185836")</f>
        <v>1941094470850185836</v>
      </c>
      <c r="AC849" s="1" t="s">
        <v>276</v>
      </c>
      <c r="AD849" s="1" t="s">
        <v>517</v>
      </c>
      <c r="AE849" s="1" t="s">
        <v>519</v>
      </c>
      <c r="AF849" s="1" t="s">
        <v>107</v>
      </c>
      <c r="AO849" s="2">
        <v>46275</v>
      </c>
      <c r="AP849" s="1" t="s">
        <v>301</v>
      </c>
      <c r="AS849" s="1" t="s">
        <v>71</v>
      </c>
      <c r="AU849" s="1" t="s">
        <v>72</v>
      </c>
      <c r="AV849" s="1" t="s">
        <v>73</v>
      </c>
      <c r="AX849" s="1">
        <v>0</v>
      </c>
      <c r="BA849" s="1">
        <v>9</v>
      </c>
      <c r="BB849" s="1">
        <v>0</v>
      </c>
      <c r="BC849" s="1">
        <v>0</v>
      </c>
      <c r="BE849" s="1">
        <v>27188511</v>
      </c>
    </row>
    <row r="850" spans="1:57" x14ac:dyDescent="0.25">
      <c r="A850" s="1" t="str">
        <f>T("1944739400722882136")</f>
        <v>1944739400722882136</v>
      </c>
      <c r="B850" s="1" t="str">
        <f>T("249914083712")</f>
        <v>249914083712</v>
      </c>
      <c r="C850" s="1" t="str">
        <f>T("1941094470854379044")</f>
        <v>1941094470854379044</v>
      </c>
      <c r="AC850" s="1" t="s">
        <v>276</v>
      </c>
      <c r="AD850" s="1" t="s">
        <v>517</v>
      </c>
      <c r="AE850" s="1" t="s">
        <v>519</v>
      </c>
      <c r="AF850" s="1" t="s">
        <v>107</v>
      </c>
      <c r="AO850" s="2">
        <v>46275</v>
      </c>
      <c r="AP850" s="1" t="s">
        <v>301</v>
      </c>
      <c r="AS850" s="1" t="s">
        <v>71</v>
      </c>
      <c r="AU850" s="1" t="s">
        <v>72</v>
      </c>
      <c r="AV850" s="1" t="s">
        <v>437</v>
      </c>
      <c r="AX850" s="1">
        <v>0</v>
      </c>
      <c r="BA850" s="1">
        <v>9</v>
      </c>
      <c r="BB850" s="1">
        <v>0</v>
      </c>
      <c r="BC850" s="1">
        <v>0</v>
      </c>
      <c r="BE850" s="1">
        <v>27188511</v>
      </c>
    </row>
    <row r="851" spans="1:57" x14ac:dyDescent="0.25">
      <c r="A851" s="1" t="str">
        <f>T("1944739400735462060")</f>
        <v>1944739400735462060</v>
      </c>
      <c r="B851" s="1" t="str">
        <f>T("249917549984")</f>
        <v>249917549984</v>
      </c>
      <c r="C851" s="1" t="str">
        <f>T("1941094470854379744")</f>
        <v>1941094470854379744</v>
      </c>
      <c r="AC851" s="1" t="s">
        <v>276</v>
      </c>
      <c r="AD851" s="1" t="s">
        <v>517</v>
      </c>
      <c r="AE851" s="1" t="s">
        <v>520</v>
      </c>
      <c r="AF851" s="1" t="s">
        <v>107</v>
      </c>
      <c r="AO851" s="2">
        <v>46275</v>
      </c>
      <c r="AP851" s="1" t="s">
        <v>301</v>
      </c>
      <c r="AS851" s="1" t="s">
        <v>71</v>
      </c>
      <c r="AU851" s="1" t="s">
        <v>72</v>
      </c>
      <c r="AV851" s="1" t="s">
        <v>73</v>
      </c>
      <c r="AX851" s="1">
        <v>0</v>
      </c>
      <c r="BA851" s="1">
        <v>9</v>
      </c>
      <c r="BB851" s="1">
        <v>0</v>
      </c>
      <c r="BC851" s="1">
        <v>0</v>
      </c>
      <c r="BE851" s="1">
        <v>27188511</v>
      </c>
    </row>
    <row r="852" spans="1:57" x14ac:dyDescent="0.25">
      <c r="A852" s="1" t="str">
        <f>T("1944739400735465360")</f>
        <v>1944739400735465360</v>
      </c>
      <c r="B852" s="1" t="str">
        <f>T("249906455089")</f>
        <v>249906455089</v>
      </c>
      <c r="C852" s="1" t="str">
        <f>T("1941094470854379444")</f>
        <v>1941094470854379444</v>
      </c>
      <c r="AC852" s="1" t="s">
        <v>276</v>
      </c>
      <c r="AD852" s="1" t="s">
        <v>517</v>
      </c>
      <c r="AE852" s="1" t="s">
        <v>519</v>
      </c>
      <c r="AF852" s="1" t="s">
        <v>107</v>
      </c>
      <c r="AO852" s="2">
        <v>46275</v>
      </c>
      <c r="AP852" s="1" t="s">
        <v>301</v>
      </c>
      <c r="AS852" s="1" t="s">
        <v>71</v>
      </c>
      <c r="AU852" s="1" t="s">
        <v>72</v>
      </c>
      <c r="AV852" s="1" t="s">
        <v>73</v>
      </c>
      <c r="AX852" s="1">
        <v>0</v>
      </c>
      <c r="BA852" s="1">
        <v>9</v>
      </c>
      <c r="BB852" s="1">
        <v>0</v>
      </c>
      <c r="BC852" s="1">
        <v>0</v>
      </c>
      <c r="BE852" s="1">
        <v>27188511</v>
      </c>
    </row>
    <row r="853" spans="1:57" x14ac:dyDescent="0.25">
      <c r="A853" s="1" t="str">
        <f>T("1944739400785794756")</f>
        <v>1944739400785794756</v>
      </c>
      <c r="B853" s="1" t="str">
        <f>T("249918162514")</f>
        <v>249918162514</v>
      </c>
      <c r="C853" s="1" t="str">
        <f>T("1941094470854380544")</f>
        <v>1941094470854380544</v>
      </c>
      <c r="AC853" s="1" t="s">
        <v>276</v>
      </c>
      <c r="AD853" s="1" t="s">
        <v>517</v>
      </c>
      <c r="AE853" s="1" t="s">
        <v>520</v>
      </c>
      <c r="AF853" s="1" t="s">
        <v>107</v>
      </c>
      <c r="AO853" s="2">
        <v>46275</v>
      </c>
      <c r="AP853" s="1" t="s">
        <v>301</v>
      </c>
      <c r="AS853" s="1" t="s">
        <v>71</v>
      </c>
      <c r="AU853" s="1" t="s">
        <v>72</v>
      </c>
      <c r="AV853" s="1" t="s">
        <v>73</v>
      </c>
      <c r="AX853" s="1">
        <v>0</v>
      </c>
      <c r="BA853" s="1">
        <v>9</v>
      </c>
      <c r="BB853" s="1">
        <v>0</v>
      </c>
      <c r="BC853" s="1">
        <v>0</v>
      </c>
      <c r="BE853" s="1">
        <v>27188511</v>
      </c>
    </row>
    <row r="854" spans="1:57" x14ac:dyDescent="0.25">
      <c r="A854" s="1" t="str">
        <f>T("1944739400785796956")</f>
        <v>1944739400785796956</v>
      </c>
      <c r="B854" s="1" t="str">
        <f>T("249917863467")</f>
        <v>249917863467</v>
      </c>
      <c r="C854" s="1" t="str">
        <f>T("1941094470854380144")</f>
        <v>1941094470854380144</v>
      </c>
      <c r="AC854" s="1" t="s">
        <v>276</v>
      </c>
      <c r="AD854" s="1" t="s">
        <v>517</v>
      </c>
      <c r="AE854" s="1" t="s">
        <v>520</v>
      </c>
      <c r="AF854" s="1" t="s">
        <v>107</v>
      </c>
      <c r="AO854" s="2">
        <v>46275</v>
      </c>
      <c r="AP854" s="1" t="s">
        <v>301</v>
      </c>
      <c r="AS854" s="1" t="s">
        <v>71</v>
      </c>
      <c r="AU854" s="1" t="s">
        <v>72</v>
      </c>
      <c r="AV854" s="1" t="s">
        <v>73</v>
      </c>
      <c r="AX854" s="1">
        <v>0</v>
      </c>
      <c r="BA854" s="1">
        <v>9</v>
      </c>
      <c r="BB854" s="1">
        <v>0</v>
      </c>
      <c r="BC854" s="1">
        <v>0</v>
      </c>
      <c r="BE854" s="1">
        <v>27188511</v>
      </c>
    </row>
    <row r="855" spans="1:57" x14ac:dyDescent="0.25">
      <c r="A855" s="1" t="str">
        <f>T("1944739400789990464")</f>
        <v>1944739400789990464</v>
      </c>
      <c r="B855" s="1" t="str">
        <f>T("249912629334")</f>
        <v>249912629334</v>
      </c>
      <c r="C855" s="1" t="str">
        <f>T("1941094470854381344")</f>
        <v>1941094470854381344</v>
      </c>
      <c r="AC855" s="1" t="s">
        <v>276</v>
      </c>
      <c r="AD855" s="1" t="s">
        <v>517</v>
      </c>
      <c r="AE855" s="1" t="s">
        <v>280</v>
      </c>
      <c r="AF855" s="1" t="s">
        <v>107</v>
      </c>
      <c r="AO855" s="2">
        <v>46275</v>
      </c>
      <c r="AP855" s="1" t="s">
        <v>301</v>
      </c>
      <c r="AS855" s="1" t="s">
        <v>71</v>
      </c>
      <c r="AU855" s="1" t="s">
        <v>72</v>
      </c>
      <c r="AV855" s="1" t="s">
        <v>73</v>
      </c>
      <c r="AX855" s="1">
        <v>0</v>
      </c>
      <c r="BA855" s="1">
        <v>9</v>
      </c>
      <c r="BB855" s="1">
        <v>0</v>
      </c>
      <c r="BC855" s="1">
        <v>0</v>
      </c>
      <c r="BE855" s="1">
        <v>27188511</v>
      </c>
    </row>
    <row r="856" spans="1:57" x14ac:dyDescent="0.25">
      <c r="A856" s="1" t="str">
        <f>T("1944739400794184672")</f>
        <v>1944739400794184672</v>
      </c>
      <c r="B856" s="1" t="str">
        <f>T("249918168368")</f>
        <v>249918168368</v>
      </c>
      <c r="C856" s="1" t="str">
        <f>T("1941094470854380944")</f>
        <v>1941094470854380944</v>
      </c>
      <c r="AC856" s="1" t="s">
        <v>276</v>
      </c>
      <c r="AD856" s="1" t="s">
        <v>517</v>
      </c>
      <c r="AE856" s="1" t="s">
        <v>520</v>
      </c>
      <c r="AF856" s="1" t="s">
        <v>107</v>
      </c>
      <c r="AO856" s="2">
        <v>46275</v>
      </c>
      <c r="AP856" s="1" t="s">
        <v>301</v>
      </c>
      <c r="AS856" s="1" t="s">
        <v>71</v>
      </c>
      <c r="AU856" s="1" t="s">
        <v>72</v>
      </c>
      <c r="AV856" s="1" t="s">
        <v>437</v>
      </c>
      <c r="AX856" s="1">
        <v>0</v>
      </c>
      <c r="BA856" s="1">
        <v>9</v>
      </c>
      <c r="BB856" s="1">
        <v>0</v>
      </c>
      <c r="BC856" s="1">
        <v>0</v>
      </c>
      <c r="BE856" s="1">
        <v>27188511</v>
      </c>
    </row>
    <row r="857" spans="1:57" x14ac:dyDescent="0.25">
      <c r="A857" s="1" t="str">
        <f>T("1944739400873877124")</f>
        <v>1944739400873877124</v>
      </c>
      <c r="B857" s="1" t="str">
        <f>T("249912886852")</f>
        <v>249912886852</v>
      </c>
      <c r="C857" s="1" t="str">
        <f>T("1941094470858571852")</f>
        <v>1941094470858571852</v>
      </c>
      <c r="AC857" s="1" t="s">
        <v>276</v>
      </c>
      <c r="AD857" s="1" t="s">
        <v>517</v>
      </c>
      <c r="AE857" s="1" t="s">
        <v>280</v>
      </c>
      <c r="AF857" s="1" t="s">
        <v>107</v>
      </c>
      <c r="AO857" s="2">
        <v>46275</v>
      </c>
      <c r="AP857" s="1" t="s">
        <v>301</v>
      </c>
      <c r="AS857" s="1" t="s">
        <v>71</v>
      </c>
      <c r="AU857" s="1" t="s">
        <v>72</v>
      </c>
      <c r="AV857" s="1" t="s">
        <v>437</v>
      </c>
      <c r="AX857" s="1">
        <v>0</v>
      </c>
      <c r="BA857" s="1">
        <v>9</v>
      </c>
      <c r="BB857" s="1">
        <v>0</v>
      </c>
      <c r="BC857" s="1">
        <v>0</v>
      </c>
      <c r="BE857" s="1">
        <v>27188511</v>
      </c>
    </row>
    <row r="858" spans="1:57" x14ac:dyDescent="0.25">
      <c r="A858" s="1" t="str">
        <f>T("1944739400882264740")</f>
        <v>1944739400882264740</v>
      </c>
      <c r="B858" s="1" t="str">
        <f>T("249912800632")</f>
        <v>249912800632</v>
      </c>
      <c r="C858" s="1" t="str">
        <f>T("1941094470858575152")</f>
        <v>1941094470858575152</v>
      </c>
      <c r="AC858" s="1" t="s">
        <v>276</v>
      </c>
      <c r="AD858" s="1" t="s">
        <v>517</v>
      </c>
      <c r="AE858" s="1" t="s">
        <v>280</v>
      </c>
      <c r="AF858" s="1" t="s">
        <v>107</v>
      </c>
      <c r="AO858" s="2">
        <v>46275</v>
      </c>
      <c r="AP858" s="1" t="s">
        <v>301</v>
      </c>
      <c r="AS858" s="1" t="s">
        <v>71</v>
      </c>
      <c r="AU858" s="1" t="s">
        <v>72</v>
      </c>
      <c r="AV858" s="1" t="s">
        <v>73</v>
      </c>
      <c r="AX858" s="1">
        <v>0</v>
      </c>
      <c r="BA858" s="1">
        <v>9</v>
      </c>
      <c r="BB858" s="1">
        <v>0</v>
      </c>
      <c r="BC858" s="1">
        <v>0</v>
      </c>
      <c r="BE858" s="1">
        <v>27188511</v>
      </c>
    </row>
    <row r="859" spans="1:57" x14ac:dyDescent="0.25">
      <c r="A859" s="1" t="str">
        <f>T("1944739400886457848")</f>
        <v>1944739400886457848</v>
      </c>
      <c r="B859" s="1" t="str">
        <f>T("249914229226")</f>
        <v>249914229226</v>
      </c>
      <c r="C859" s="1" t="str">
        <f>T("1941094470866960468")</f>
        <v>1941094470866960468</v>
      </c>
      <c r="AC859" s="1" t="s">
        <v>276</v>
      </c>
      <c r="AD859" s="1" t="s">
        <v>517</v>
      </c>
      <c r="AE859" s="1" t="s">
        <v>280</v>
      </c>
      <c r="AF859" s="1" t="s">
        <v>107</v>
      </c>
      <c r="AO859" s="2">
        <v>46275</v>
      </c>
      <c r="AP859" s="1" t="s">
        <v>301</v>
      </c>
      <c r="AS859" s="1" t="s">
        <v>71</v>
      </c>
      <c r="AU859" s="1" t="s">
        <v>72</v>
      </c>
      <c r="AV859" s="1" t="s">
        <v>437</v>
      </c>
      <c r="AX859" s="1">
        <v>0</v>
      </c>
      <c r="BA859" s="1">
        <v>9</v>
      </c>
      <c r="BB859" s="1">
        <v>0</v>
      </c>
      <c r="BC859" s="1">
        <v>0</v>
      </c>
      <c r="BE859" s="1">
        <v>27188511</v>
      </c>
    </row>
    <row r="860" spans="1:57" x14ac:dyDescent="0.25">
      <c r="A860" s="1" t="str">
        <f>T("1944739400886459348")</f>
        <v>1944739400886459348</v>
      </c>
      <c r="B860" s="1" t="str">
        <f>T("249914723192")</f>
        <v>249914723192</v>
      </c>
      <c r="C860" s="1" t="str">
        <f>T("1941094470862769760")</f>
        <v>1941094470862769760</v>
      </c>
      <c r="AC860" s="1" t="s">
        <v>276</v>
      </c>
      <c r="AD860" s="1" t="s">
        <v>517</v>
      </c>
      <c r="AE860" s="1" t="s">
        <v>280</v>
      </c>
      <c r="AF860" s="1" t="s">
        <v>107</v>
      </c>
      <c r="AO860" s="2">
        <v>46275</v>
      </c>
      <c r="AP860" s="1" t="s">
        <v>301</v>
      </c>
      <c r="AS860" s="1" t="s">
        <v>71</v>
      </c>
      <c r="AU860" s="1" t="s">
        <v>72</v>
      </c>
      <c r="AV860" s="1" t="s">
        <v>437</v>
      </c>
      <c r="AX860" s="1">
        <v>0</v>
      </c>
      <c r="BA860" s="1">
        <v>9</v>
      </c>
      <c r="BB860" s="1">
        <v>0</v>
      </c>
      <c r="BC860" s="1">
        <v>0</v>
      </c>
      <c r="BE860" s="1">
        <v>27188511</v>
      </c>
    </row>
    <row r="861" spans="1:57" x14ac:dyDescent="0.25">
      <c r="A861" s="1" t="str">
        <f>T("1944739400940984452")</f>
        <v>1944739400940984452</v>
      </c>
      <c r="B861" s="1" t="str">
        <f>T("249916783831")</f>
        <v>249916783831</v>
      </c>
      <c r="C861" s="1" t="str">
        <f>T("1941094470866961568")</f>
        <v>1941094470866961568</v>
      </c>
      <c r="AC861" s="1" t="s">
        <v>276</v>
      </c>
      <c r="AD861" s="1" t="s">
        <v>517</v>
      </c>
      <c r="AE861" s="1" t="s">
        <v>280</v>
      </c>
      <c r="AF861" s="1" t="s">
        <v>144</v>
      </c>
      <c r="AO861" s="2">
        <v>46275</v>
      </c>
      <c r="AP861" s="1" t="s">
        <v>301</v>
      </c>
      <c r="AS861" s="1" t="s">
        <v>71</v>
      </c>
      <c r="AU861" s="1" t="s">
        <v>72</v>
      </c>
      <c r="AV861" s="1" t="s">
        <v>73</v>
      </c>
      <c r="AX861" s="1">
        <v>0</v>
      </c>
      <c r="BA861" s="1">
        <v>9</v>
      </c>
      <c r="BB861" s="1">
        <v>0</v>
      </c>
      <c r="BC861" s="1">
        <v>0</v>
      </c>
      <c r="BE861" s="1">
        <v>27188511</v>
      </c>
    </row>
    <row r="862" spans="1:57" x14ac:dyDescent="0.25">
      <c r="A862" s="1" t="str">
        <f>T("1944739400961956292")</f>
        <v>1944739400961956292</v>
      </c>
      <c r="B862" s="1" t="str">
        <f>T("249915597037")</f>
        <v>249915597037</v>
      </c>
      <c r="C862" s="1" t="str">
        <f>T("1941094470871154976")</f>
        <v>1941094470871154976</v>
      </c>
      <c r="AC862" s="1" t="s">
        <v>276</v>
      </c>
      <c r="AD862" s="1" t="s">
        <v>517</v>
      </c>
      <c r="AE862" s="1" t="s">
        <v>282</v>
      </c>
      <c r="AF862" s="1" t="s">
        <v>144</v>
      </c>
      <c r="AO862" s="2">
        <v>46275</v>
      </c>
      <c r="AP862" s="1" t="s">
        <v>301</v>
      </c>
      <c r="AS862" s="1" t="s">
        <v>71</v>
      </c>
      <c r="AU862" s="1" t="s">
        <v>72</v>
      </c>
      <c r="AV862" s="1" t="s">
        <v>73</v>
      </c>
      <c r="AX862" s="1">
        <v>0</v>
      </c>
      <c r="BA862" s="1">
        <v>9</v>
      </c>
      <c r="BB862" s="1">
        <v>0</v>
      </c>
      <c r="BC862" s="1">
        <v>0</v>
      </c>
      <c r="BE862" s="1">
        <v>27188511</v>
      </c>
    </row>
    <row r="863" spans="1:57" x14ac:dyDescent="0.25">
      <c r="A863" s="1" t="str">
        <f>T("1944739400961957392")</f>
        <v>1944739400961957392</v>
      </c>
      <c r="B863" s="1" t="str">
        <f>T("249914828782")</f>
        <v>249914828782</v>
      </c>
      <c r="C863" s="1" t="str">
        <f>T("1941094470866962068")</f>
        <v>1941094470866962068</v>
      </c>
      <c r="AC863" s="1" t="s">
        <v>276</v>
      </c>
      <c r="AD863" s="1" t="s">
        <v>517</v>
      </c>
      <c r="AE863" s="1" t="s">
        <v>282</v>
      </c>
      <c r="AF863" s="1" t="s">
        <v>107</v>
      </c>
      <c r="AO863" s="2">
        <v>46275</v>
      </c>
      <c r="AP863" s="1" t="s">
        <v>301</v>
      </c>
      <c r="AS863" s="1" t="s">
        <v>71</v>
      </c>
      <c r="AU863" s="1" t="s">
        <v>72</v>
      </c>
      <c r="AV863" s="1" t="s">
        <v>437</v>
      </c>
      <c r="AX863" s="1">
        <v>0</v>
      </c>
      <c r="BA863" s="1">
        <v>9</v>
      </c>
      <c r="BB863" s="1">
        <v>0</v>
      </c>
      <c r="BC863" s="1">
        <v>0</v>
      </c>
      <c r="BE863" s="1">
        <v>27188511</v>
      </c>
    </row>
    <row r="864" spans="1:57" x14ac:dyDescent="0.25">
      <c r="A864" s="1" t="str">
        <f>T("1944739400970343908")</f>
        <v>1944739400970343908</v>
      </c>
      <c r="B864" s="1" t="str">
        <f>T("249967961828")</f>
        <v>249967961828</v>
      </c>
      <c r="C864" s="1" t="str">
        <f>T("1941094470866964468")</f>
        <v>1941094470866964468</v>
      </c>
      <c r="AC864" s="1" t="s">
        <v>276</v>
      </c>
      <c r="AD864" s="1" t="s">
        <v>517</v>
      </c>
      <c r="AE864" s="1" t="s">
        <v>282</v>
      </c>
      <c r="AF864" s="1" t="s">
        <v>107</v>
      </c>
      <c r="AO864" s="2">
        <v>46275</v>
      </c>
      <c r="AP864" s="1" t="s">
        <v>301</v>
      </c>
      <c r="AS864" s="1" t="s">
        <v>71</v>
      </c>
      <c r="AU864" s="1" t="s">
        <v>72</v>
      </c>
      <c r="AV864" s="1" t="s">
        <v>437</v>
      </c>
      <c r="AX864" s="1">
        <v>0</v>
      </c>
      <c r="BA864" s="1">
        <v>9</v>
      </c>
      <c r="BB864" s="1">
        <v>0</v>
      </c>
      <c r="BC864" s="1">
        <v>0</v>
      </c>
      <c r="BE864" s="1">
        <v>27188511</v>
      </c>
    </row>
    <row r="865" spans="1:57" x14ac:dyDescent="0.25">
      <c r="A865" s="1" t="str">
        <f>T("1944739401012287988")</f>
        <v>1944739401012287988</v>
      </c>
      <c r="B865" s="1" t="str">
        <f>T("249913145077")</f>
        <v>249913145077</v>
      </c>
      <c r="C865" s="1" t="str">
        <f>T("1941094470871155276")</f>
        <v>1941094470871155276</v>
      </c>
      <c r="AC865" s="1" t="s">
        <v>276</v>
      </c>
      <c r="AD865" s="1" t="s">
        <v>517</v>
      </c>
      <c r="AE865" s="1" t="s">
        <v>282</v>
      </c>
      <c r="AF865" s="1" t="s">
        <v>107</v>
      </c>
      <c r="AO865" s="2">
        <v>46275</v>
      </c>
      <c r="AP865" s="1" t="s">
        <v>301</v>
      </c>
      <c r="AS865" s="1" t="s">
        <v>71</v>
      </c>
      <c r="AU865" s="1" t="s">
        <v>72</v>
      </c>
      <c r="AV865" s="1" t="s">
        <v>73</v>
      </c>
      <c r="AX865" s="1">
        <v>0</v>
      </c>
      <c r="BA865" s="1">
        <v>9</v>
      </c>
      <c r="BB865" s="1">
        <v>0</v>
      </c>
      <c r="BC865" s="1">
        <v>0</v>
      </c>
      <c r="BE865" s="1">
        <v>27188511</v>
      </c>
    </row>
    <row r="866" spans="1:57" x14ac:dyDescent="0.25">
      <c r="A866" s="1" t="str">
        <f>T("1944739401020677404")</f>
        <v>1944739401020677404</v>
      </c>
      <c r="B866" s="1" t="str">
        <f>T("249960345513")</f>
        <v>249960345513</v>
      </c>
      <c r="C866" s="1" t="str">
        <f>T("1941094470871156076")</f>
        <v>1941094470871156076</v>
      </c>
      <c r="AC866" s="1" t="s">
        <v>276</v>
      </c>
      <c r="AD866" s="1" t="s">
        <v>517</v>
      </c>
      <c r="AE866" s="1" t="s">
        <v>282</v>
      </c>
      <c r="AF866" s="1" t="s">
        <v>144</v>
      </c>
      <c r="AO866" s="2">
        <v>46275</v>
      </c>
      <c r="AP866" s="1" t="s">
        <v>301</v>
      </c>
      <c r="AS866" s="1" t="s">
        <v>71</v>
      </c>
      <c r="AU866" s="1" t="s">
        <v>72</v>
      </c>
      <c r="AV866" s="1" t="s">
        <v>437</v>
      </c>
      <c r="AX866" s="1">
        <v>0</v>
      </c>
      <c r="BA866" s="1">
        <v>9</v>
      </c>
      <c r="BB866" s="1">
        <v>0</v>
      </c>
      <c r="BC866" s="1">
        <v>0</v>
      </c>
      <c r="BE866" s="1">
        <v>27188511</v>
      </c>
    </row>
    <row r="867" spans="1:57" x14ac:dyDescent="0.25">
      <c r="A867" s="1" t="str">
        <f>T("1944739401037453336")</f>
        <v>1944739401037453336</v>
      </c>
      <c r="B867" s="1" t="str">
        <f>T("249967981646")</f>
        <v>249967981646</v>
      </c>
      <c r="C867" s="1" t="str">
        <f>T("1941094470871156376")</f>
        <v>1941094470871156376</v>
      </c>
      <c r="AC867" s="1" t="s">
        <v>276</v>
      </c>
      <c r="AD867" s="1" t="s">
        <v>517</v>
      </c>
      <c r="AE867" s="1" t="s">
        <v>521</v>
      </c>
      <c r="AF867" s="1" t="s">
        <v>144</v>
      </c>
      <c r="AG867" s="1">
        <v>26</v>
      </c>
      <c r="AO867" s="2">
        <v>46275</v>
      </c>
      <c r="AP867" s="1" t="s">
        <v>301</v>
      </c>
      <c r="AS867" s="1" t="s">
        <v>71</v>
      </c>
      <c r="AU867" s="1" t="s">
        <v>72</v>
      </c>
      <c r="AV867" s="1" t="s">
        <v>437</v>
      </c>
      <c r="AX867" s="1">
        <v>0</v>
      </c>
      <c r="BA867" s="1">
        <v>9</v>
      </c>
      <c r="BB867" s="1">
        <v>0</v>
      </c>
      <c r="BC867" s="1">
        <v>0</v>
      </c>
      <c r="BE867" s="1">
        <v>27188511</v>
      </c>
    </row>
    <row r="868" spans="1:57" x14ac:dyDescent="0.25">
      <c r="A868" s="1" t="str">
        <f>T("1944739401050035860")</f>
        <v>1944739401050035860</v>
      </c>
      <c r="B868" s="1" t="str">
        <f>T("249110618110")</f>
        <v>249110618110</v>
      </c>
      <c r="C868" s="1" t="str">
        <f>T("1941094470871156876")</f>
        <v>1941094470871156876</v>
      </c>
      <c r="M868" s="1" t="s">
        <v>133</v>
      </c>
      <c r="N868" s="1" t="s">
        <v>60</v>
      </c>
      <c r="O868" s="1" t="s">
        <v>65</v>
      </c>
      <c r="P868" s="1" t="s">
        <v>83</v>
      </c>
      <c r="Q868" s="1" t="s">
        <v>112</v>
      </c>
      <c r="R868" s="1" t="s">
        <v>84</v>
      </c>
      <c r="S868" s="1" t="s">
        <v>64</v>
      </c>
      <c r="U868" s="1" t="s">
        <v>65</v>
      </c>
      <c r="V868" s="1" t="s">
        <v>66</v>
      </c>
      <c r="W868" s="1" t="s">
        <v>67</v>
      </c>
      <c r="X868" s="1" t="s">
        <v>66</v>
      </c>
      <c r="Y868" s="1" t="s">
        <v>69</v>
      </c>
      <c r="AA868" s="1">
        <v>1</v>
      </c>
      <c r="AB868" s="1">
        <v>1</v>
      </c>
      <c r="AC868" s="1" t="s">
        <v>344</v>
      </c>
      <c r="AD868" s="1" t="s">
        <v>345</v>
      </c>
      <c r="AE868" s="1" t="s">
        <v>522</v>
      </c>
      <c r="AF868" s="1" t="s">
        <v>144</v>
      </c>
      <c r="AG868" s="1">
        <v>34</v>
      </c>
      <c r="AO868" s="2">
        <v>46275</v>
      </c>
      <c r="AP868" s="1" t="s">
        <v>301</v>
      </c>
      <c r="AQ868" s="2">
        <v>46275</v>
      </c>
      <c r="AR868" s="1" t="s">
        <v>523</v>
      </c>
      <c r="AS868" s="1" t="s">
        <v>71</v>
      </c>
      <c r="AU868" s="1" t="s">
        <v>78</v>
      </c>
      <c r="AV868" s="1" t="s">
        <v>80</v>
      </c>
      <c r="AW868" s="1">
        <v>187.441</v>
      </c>
      <c r="AX868" s="1">
        <v>0</v>
      </c>
      <c r="AZ868" s="1" t="s">
        <v>81</v>
      </c>
      <c r="BA868" s="1">
        <v>4</v>
      </c>
      <c r="BB868" s="1">
        <v>0</v>
      </c>
      <c r="BC868" s="1">
        <v>0</v>
      </c>
      <c r="BE868" s="1">
        <v>27188511</v>
      </c>
    </row>
    <row r="869" spans="1:57" x14ac:dyDescent="0.25">
      <c r="A869" s="1" t="str">
        <f>T("1944739401066811992")</f>
        <v>1944739401066811992</v>
      </c>
      <c r="B869" s="1" t="str">
        <f>T("249129919408")</f>
        <v>249129919408</v>
      </c>
      <c r="C869" s="1" t="str">
        <f>T("1941094470871157376")</f>
        <v>1941094470871157376</v>
      </c>
      <c r="AA869" s="1">
        <v>1</v>
      </c>
      <c r="AC869" s="1" t="s">
        <v>344</v>
      </c>
      <c r="AD869" s="1" t="s">
        <v>524</v>
      </c>
      <c r="AE869" s="1" t="s">
        <v>504</v>
      </c>
      <c r="AF869" s="1" t="s">
        <v>144</v>
      </c>
      <c r="AG869" s="1">
        <v>0</v>
      </c>
      <c r="AO869" s="2">
        <v>46275</v>
      </c>
      <c r="AP869" s="1" t="s">
        <v>301</v>
      </c>
      <c r="AQ869" s="2">
        <v>46275</v>
      </c>
      <c r="AR869" s="1" t="s">
        <v>525</v>
      </c>
      <c r="AS869" s="1" t="s">
        <v>71</v>
      </c>
      <c r="AU869" s="1" t="s">
        <v>79</v>
      </c>
      <c r="AV869" s="1" t="s">
        <v>80</v>
      </c>
      <c r="AW869" s="1">
        <v>75.900000000000006</v>
      </c>
      <c r="AX869" s="1">
        <v>0</v>
      </c>
      <c r="AZ869" s="1" t="s">
        <v>81</v>
      </c>
      <c r="BA869" s="1">
        <v>1</v>
      </c>
      <c r="BB869" s="1">
        <v>0</v>
      </c>
      <c r="BC869" s="1">
        <v>0</v>
      </c>
      <c r="BE869" s="1">
        <v>27188511</v>
      </c>
    </row>
    <row r="870" spans="1:57" x14ac:dyDescent="0.25">
      <c r="A870" s="1" t="str">
        <f>T("1944739401087785232")</f>
        <v>1944739401087785232</v>
      </c>
      <c r="B870" s="1" t="str">
        <f>T("249915023507")</f>
        <v>249915023507</v>
      </c>
      <c r="C870" s="1" t="str">
        <f>T("1941094470871157976")</f>
        <v>1941094470871157976</v>
      </c>
      <c r="AC870" s="1" t="s">
        <v>276</v>
      </c>
      <c r="AD870" s="1" t="s">
        <v>298</v>
      </c>
      <c r="AE870" s="1" t="s">
        <v>526</v>
      </c>
      <c r="AF870" s="1" t="s">
        <v>144</v>
      </c>
      <c r="AG870" s="1">
        <v>30</v>
      </c>
      <c r="AO870" s="2">
        <v>46275</v>
      </c>
      <c r="AP870" s="1" t="s">
        <v>301</v>
      </c>
      <c r="AS870" s="1" t="s">
        <v>71</v>
      </c>
      <c r="AU870" s="1" t="s">
        <v>72</v>
      </c>
      <c r="AV870" s="1" t="s">
        <v>73</v>
      </c>
      <c r="AX870" s="1">
        <v>0</v>
      </c>
      <c r="BA870" s="1">
        <v>9</v>
      </c>
      <c r="BB870" s="1">
        <v>0</v>
      </c>
      <c r="BC870" s="1">
        <v>0</v>
      </c>
      <c r="BE870" s="1">
        <v>27188511</v>
      </c>
    </row>
    <row r="871" spans="1:57" x14ac:dyDescent="0.25">
      <c r="A871" s="1" t="str">
        <f>T("1944739401138117628")</f>
        <v>1944739401138117628</v>
      </c>
      <c r="B871" s="1" t="str">
        <f>T("249908237964")</f>
        <v>249908237964</v>
      </c>
      <c r="C871" s="1" t="str">
        <f>T("1941094470875349684")</f>
        <v>1941094470875349684</v>
      </c>
      <c r="AC871" s="1" t="s">
        <v>344</v>
      </c>
      <c r="AD871" s="1" t="s">
        <v>524</v>
      </c>
      <c r="AE871" s="1" t="s">
        <v>527</v>
      </c>
      <c r="AF871" s="1" t="s">
        <v>144</v>
      </c>
      <c r="AG871" s="1">
        <v>0</v>
      </c>
      <c r="AO871" s="2">
        <v>46275</v>
      </c>
      <c r="AP871" s="1" t="s">
        <v>301</v>
      </c>
      <c r="AS871" s="1" t="s">
        <v>71</v>
      </c>
      <c r="AU871" s="1" t="s">
        <v>72</v>
      </c>
      <c r="AV871" s="1" t="s">
        <v>73</v>
      </c>
      <c r="AX871" s="1">
        <v>0</v>
      </c>
      <c r="BA871" s="1">
        <v>9</v>
      </c>
      <c r="BB871" s="1">
        <v>0</v>
      </c>
      <c r="BC871" s="1">
        <v>0</v>
      </c>
      <c r="BE871" s="1">
        <v>27188511</v>
      </c>
    </row>
    <row r="872" spans="1:57" x14ac:dyDescent="0.25">
      <c r="A872" s="1" t="str">
        <f>T("1944739401159086868")</f>
        <v>1944739401159086868</v>
      </c>
      <c r="B872" s="1" t="str">
        <f>T("249968170952")</f>
        <v>249968170952</v>
      </c>
      <c r="C872" s="1" t="str">
        <f>T("1941094470871158376")</f>
        <v>1941094470871158376</v>
      </c>
      <c r="AC872" s="1" t="s">
        <v>276</v>
      </c>
      <c r="AD872" s="1" t="s">
        <v>298</v>
      </c>
      <c r="AE872" s="1" t="s">
        <v>526</v>
      </c>
      <c r="AF872" s="1" t="s">
        <v>144</v>
      </c>
      <c r="AG872" s="1">
        <v>19</v>
      </c>
      <c r="AO872" s="2">
        <v>46275</v>
      </c>
      <c r="AP872" s="1" t="s">
        <v>301</v>
      </c>
      <c r="AS872" s="1" t="s">
        <v>71</v>
      </c>
      <c r="AU872" s="1" t="s">
        <v>72</v>
      </c>
      <c r="AV872" s="1" t="s">
        <v>437</v>
      </c>
      <c r="AX872" s="1">
        <v>0</v>
      </c>
      <c r="BA872" s="1">
        <v>9</v>
      </c>
      <c r="BB872" s="1">
        <v>0</v>
      </c>
      <c r="BC872" s="1">
        <v>0</v>
      </c>
      <c r="BE872" s="1">
        <v>27188511</v>
      </c>
    </row>
    <row r="873" spans="1:57" x14ac:dyDescent="0.25">
      <c r="A873" s="1" t="str">
        <f>T("1944739401171669792")</f>
        <v>1944739401171669792</v>
      </c>
      <c r="B873" s="1" t="str">
        <f>T("24996353352")</f>
        <v>24996353352</v>
      </c>
      <c r="C873" s="1" t="str">
        <f>T("1941094470875350284")</f>
        <v>1941094470875350284</v>
      </c>
      <c r="AC873" s="1" t="s">
        <v>344</v>
      </c>
      <c r="AD873" s="1" t="s">
        <v>345</v>
      </c>
      <c r="AE873" s="1" t="s">
        <v>522</v>
      </c>
      <c r="AF873" s="1" t="s">
        <v>144</v>
      </c>
      <c r="AG873" s="1">
        <v>33</v>
      </c>
      <c r="AO873" s="2">
        <v>46275</v>
      </c>
      <c r="AP873" s="1" t="s">
        <v>301</v>
      </c>
      <c r="AS873" s="1" t="s">
        <v>71</v>
      </c>
      <c r="AU873" s="1" t="s">
        <v>72</v>
      </c>
      <c r="AV873" s="1" t="s">
        <v>73</v>
      </c>
      <c r="AX873" s="1">
        <v>0</v>
      </c>
      <c r="BA873" s="1">
        <v>9</v>
      </c>
      <c r="BB873" s="1">
        <v>0</v>
      </c>
      <c r="BC873" s="1">
        <v>0</v>
      </c>
      <c r="BE873" s="1">
        <v>27188511</v>
      </c>
    </row>
    <row r="874" spans="1:57" x14ac:dyDescent="0.25">
      <c r="A874" s="1" t="str">
        <f>T("1944739401184254916")</f>
        <v>1944739401184254916</v>
      </c>
      <c r="B874" s="1" t="str">
        <f>T("249905050565")</f>
        <v>249905050565</v>
      </c>
      <c r="C874" s="1" t="str">
        <f>T("1941094470875350684")</f>
        <v>1941094470875350684</v>
      </c>
      <c r="AC874" s="1" t="s">
        <v>344</v>
      </c>
      <c r="AD874" s="1" t="s">
        <v>524</v>
      </c>
      <c r="AE874" s="1" t="s">
        <v>528</v>
      </c>
      <c r="AF874" s="1" t="s">
        <v>144</v>
      </c>
      <c r="AG874" s="1" t="s">
        <v>529</v>
      </c>
      <c r="AO874" s="2">
        <v>46275</v>
      </c>
      <c r="AP874" s="1" t="s">
        <v>301</v>
      </c>
      <c r="AS874" s="1" t="s">
        <v>71</v>
      </c>
      <c r="AU874" s="1" t="s">
        <v>72</v>
      </c>
      <c r="AV874" s="1" t="s">
        <v>73</v>
      </c>
      <c r="AX874" s="1">
        <v>0</v>
      </c>
      <c r="BA874" s="1">
        <v>9</v>
      </c>
      <c r="BB874" s="1">
        <v>0</v>
      </c>
      <c r="BC874" s="1">
        <v>0</v>
      </c>
      <c r="BE874" s="1">
        <v>27188511</v>
      </c>
    </row>
    <row r="875" spans="1:57" x14ac:dyDescent="0.25">
      <c r="A875" s="1" t="str">
        <f>T("1944739401222003788")</f>
        <v>1944739401222003788</v>
      </c>
      <c r="B875" s="1" t="str">
        <f>T("249916108417")</f>
        <v>249916108417</v>
      </c>
      <c r="C875" s="1" t="str">
        <f>T("1941094470879543692")</f>
        <v>1941094470879543692</v>
      </c>
      <c r="AC875" s="1" t="s">
        <v>366</v>
      </c>
      <c r="AD875" s="1" t="s">
        <v>367</v>
      </c>
      <c r="AE875" s="1" t="s">
        <v>368</v>
      </c>
      <c r="AF875" s="1" t="s">
        <v>144</v>
      </c>
      <c r="AG875" s="1">
        <v>36</v>
      </c>
      <c r="AO875" s="2">
        <v>46275</v>
      </c>
      <c r="AP875" s="1" t="s">
        <v>301</v>
      </c>
      <c r="AS875" s="1" t="s">
        <v>71</v>
      </c>
      <c r="AU875" s="1" t="s">
        <v>72</v>
      </c>
      <c r="AV875" s="1" t="s">
        <v>437</v>
      </c>
      <c r="AX875" s="1">
        <v>0</v>
      </c>
      <c r="BA875" s="1">
        <v>9</v>
      </c>
      <c r="BB875" s="1">
        <v>0</v>
      </c>
      <c r="BC875" s="1">
        <v>0</v>
      </c>
      <c r="BE875" s="1">
        <v>27188511</v>
      </c>
    </row>
    <row r="876" spans="1:57" x14ac:dyDescent="0.25">
      <c r="A876" s="1" t="str">
        <f>T("1944739401226196096")</f>
        <v>1944739401226196096</v>
      </c>
      <c r="B876" s="1" t="str">
        <f>T("249964684052")</f>
        <v>249964684052</v>
      </c>
      <c r="C876" s="1" t="str">
        <f>T("1941094470875351184")</f>
        <v>1941094470875351184</v>
      </c>
      <c r="AC876" s="1" t="s">
        <v>344</v>
      </c>
      <c r="AD876" s="1" t="s">
        <v>524</v>
      </c>
      <c r="AE876" s="1" t="s">
        <v>528</v>
      </c>
      <c r="AF876" s="1" t="s">
        <v>144</v>
      </c>
      <c r="AG876" s="1" t="s">
        <v>529</v>
      </c>
      <c r="AO876" s="2">
        <v>46275</v>
      </c>
      <c r="AP876" s="1" t="s">
        <v>301</v>
      </c>
      <c r="AS876" s="1" t="s">
        <v>71</v>
      </c>
      <c r="AU876" s="1" t="s">
        <v>72</v>
      </c>
      <c r="AV876" s="1" t="s">
        <v>73</v>
      </c>
      <c r="AX876" s="1">
        <v>0</v>
      </c>
      <c r="BA876" s="1">
        <v>9</v>
      </c>
      <c r="BB876" s="1">
        <v>0</v>
      </c>
      <c r="BC876" s="1">
        <v>0</v>
      </c>
      <c r="BE876" s="1">
        <v>27188511</v>
      </c>
    </row>
    <row r="877" spans="1:57" x14ac:dyDescent="0.25">
      <c r="A877" s="1" t="str">
        <f>T("1944739401230392204")</f>
        <v>1944739401230392204</v>
      </c>
      <c r="B877" s="1" t="str">
        <f>T("249904138738")</f>
        <v>249904138738</v>
      </c>
      <c r="C877" s="1" t="str">
        <f>T("1941094470883739500")</f>
        <v>1941094470883739500</v>
      </c>
      <c r="AC877" s="1" t="s">
        <v>344</v>
      </c>
      <c r="AD877" s="1" t="s">
        <v>524</v>
      </c>
      <c r="AE877" s="1" t="s">
        <v>528</v>
      </c>
      <c r="AF877" s="1" t="s">
        <v>144</v>
      </c>
      <c r="AG877" s="1" t="s">
        <v>529</v>
      </c>
      <c r="AO877" s="2">
        <v>46275</v>
      </c>
      <c r="AP877" s="1" t="s">
        <v>301</v>
      </c>
      <c r="AS877" s="1" t="s">
        <v>71</v>
      </c>
      <c r="AU877" s="1" t="s">
        <v>72</v>
      </c>
      <c r="AV877" s="1" t="s">
        <v>73</v>
      </c>
      <c r="AX877" s="1">
        <v>0</v>
      </c>
      <c r="BA877" s="1">
        <v>9</v>
      </c>
      <c r="BB877" s="1">
        <v>0</v>
      </c>
      <c r="BC877" s="1">
        <v>0</v>
      </c>
      <c r="BE877" s="1">
        <v>27188511</v>
      </c>
    </row>
    <row r="878" spans="1:57" x14ac:dyDescent="0.25">
      <c r="A878" s="1" t="str">
        <f>T("1944739401251363644")</f>
        <v>1944739401251363644</v>
      </c>
      <c r="B878" s="1" t="str">
        <f>T("249919263641")</f>
        <v>249919263641</v>
      </c>
      <c r="C878" s="1" t="str">
        <f>T("1941094470883740000")</f>
        <v>1941094470883740000</v>
      </c>
      <c r="AC878" s="1" t="s">
        <v>276</v>
      </c>
      <c r="AD878" s="1" t="s">
        <v>517</v>
      </c>
      <c r="AE878" s="1" t="s">
        <v>530</v>
      </c>
      <c r="AF878" s="1" t="s">
        <v>144</v>
      </c>
      <c r="AG878" s="1">
        <v>38</v>
      </c>
      <c r="AO878" s="2">
        <v>46275</v>
      </c>
      <c r="AP878" s="1" t="s">
        <v>301</v>
      </c>
      <c r="AS878" s="1" t="s">
        <v>71</v>
      </c>
      <c r="AU878" s="1" t="s">
        <v>72</v>
      </c>
      <c r="AV878" s="1" t="s">
        <v>437</v>
      </c>
      <c r="AX878" s="1">
        <v>0</v>
      </c>
      <c r="BA878" s="1">
        <v>9</v>
      </c>
      <c r="BB878" s="1">
        <v>0</v>
      </c>
      <c r="BC878" s="1">
        <v>0</v>
      </c>
      <c r="BE878" s="1">
        <v>27188511</v>
      </c>
    </row>
    <row r="879" spans="1:57" x14ac:dyDescent="0.25">
      <c r="A879" s="1" t="str">
        <f>T("1944739401284917708")</f>
        <v>1944739401284917708</v>
      </c>
      <c r="B879" s="1" t="str">
        <f>T("249908706206")</f>
        <v>249908706206</v>
      </c>
      <c r="C879" s="1" t="str">
        <f>T("1941094470883740400")</f>
        <v>1941094470883740400</v>
      </c>
      <c r="AC879" s="1" t="s">
        <v>344</v>
      </c>
      <c r="AD879" s="1" t="s">
        <v>430</v>
      </c>
      <c r="AE879" s="1" t="s">
        <v>531</v>
      </c>
      <c r="AF879" s="1" t="s">
        <v>144</v>
      </c>
      <c r="AG879" s="1">
        <v>0</v>
      </c>
      <c r="AO879" s="2">
        <v>46275</v>
      </c>
      <c r="AP879" s="1" t="s">
        <v>301</v>
      </c>
      <c r="AS879" s="1" t="s">
        <v>71</v>
      </c>
      <c r="AU879" s="1" t="s">
        <v>72</v>
      </c>
      <c r="AV879" s="1" t="s">
        <v>73</v>
      </c>
      <c r="AX879" s="1">
        <v>0</v>
      </c>
      <c r="BA879" s="1">
        <v>9</v>
      </c>
      <c r="BB879" s="1">
        <v>0</v>
      </c>
      <c r="BC879" s="1">
        <v>0</v>
      </c>
      <c r="BE879" s="1">
        <v>27188511</v>
      </c>
    </row>
    <row r="880" spans="1:57" x14ac:dyDescent="0.25">
      <c r="A880" s="1" t="str">
        <f>T("1944739401297499632")</f>
        <v>1944739401297499632</v>
      </c>
      <c r="B880" s="1" t="str">
        <f>T("249968121389")</f>
        <v>249968121389</v>
      </c>
      <c r="C880" s="1" t="str">
        <f>T("1941094470883741500")</f>
        <v>1941094470883741500</v>
      </c>
      <c r="AC880" s="1" t="s">
        <v>344</v>
      </c>
      <c r="AD880" s="1" t="s">
        <v>430</v>
      </c>
      <c r="AE880" s="1" t="s">
        <v>532</v>
      </c>
      <c r="AF880" s="1" t="s">
        <v>144</v>
      </c>
      <c r="AG880" s="1">
        <v>0</v>
      </c>
      <c r="AO880" s="2">
        <v>46275</v>
      </c>
      <c r="AP880" s="1" t="s">
        <v>301</v>
      </c>
      <c r="AS880" s="1" t="s">
        <v>71</v>
      </c>
      <c r="AU880" s="1" t="s">
        <v>72</v>
      </c>
      <c r="AV880" s="1" t="s">
        <v>437</v>
      </c>
      <c r="AX880" s="1">
        <v>0</v>
      </c>
      <c r="BA880" s="1">
        <v>9</v>
      </c>
      <c r="BB880" s="1">
        <v>0</v>
      </c>
      <c r="BC880" s="1">
        <v>0</v>
      </c>
      <c r="BE880" s="1">
        <v>27188511</v>
      </c>
    </row>
    <row r="881" spans="1:57" x14ac:dyDescent="0.25">
      <c r="A881" s="1" t="str">
        <f>T("1944739401297500932")</f>
        <v>1944739401297500932</v>
      </c>
      <c r="B881" s="1" t="str">
        <f>T("249917056233")</f>
        <v>249917056233</v>
      </c>
      <c r="C881" s="1" t="str">
        <f>T("1941094470883741000")</f>
        <v>1941094470883741000</v>
      </c>
      <c r="AC881" s="1" t="s">
        <v>344</v>
      </c>
      <c r="AD881" s="1" t="s">
        <v>524</v>
      </c>
      <c r="AE881" s="1" t="s">
        <v>528</v>
      </c>
      <c r="AF881" s="1" t="s">
        <v>144</v>
      </c>
      <c r="AG881" s="1" t="s">
        <v>529</v>
      </c>
      <c r="AO881" s="2">
        <v>46275</v>
      </c>
      <c r="AP881" s="1" t="s">
        <v>301</v>
      </c>
      <c r="AS881" s="1" t="s">
        <v>71</v>
      </c>
      <c r="AU881" s="1" t="s">
        <v>72</v>
      </c>
      <c r="AV881" s="1" t="s">
        <v>73</v>
      </c>
      <c r="AX881" s="1">
        <v>0</v>
      </c>
      <c r="BA881" s="1">
        <v>9</v>
      </c>
      <c r="BB881" s="1">
        <v>0</v>
      </c>
      <c r="BC881" s="1">
        <v>0</v>
      </c>
      <c r="BE881" s="1">
        <v>27188511</v>
      </c>
    </row>
    <row r="882" spans="1:57" x14ac:dyDescent="0.25">
      <c r="A882" s="1" t="str">
        <f>T("1944739401335249904")</f>
        <v>1944739401335249904</v>
      </c>
      <c r="B882" s="1" t="str">
        <f>T("249903543989")</f>
        <v>249903543989</v>
      </c>
      <c r="C882" s="1" t="str">
        <f>T("1941094470887932508")</f>
        <v>1941094470887932508</v>
      </c>
      <c r="AC882" s="1" t="s">
        <v>276</v>
      </c>
      <c r="AD882" s="1" t="s">
        <v>277</v>
      </c>
      <c r="AE882" s="1" t="s">
        <v>530</v>
      </c>
      <c r="AF882" s="1" t="s">
        <v>144</v>
      </c>
      <c r="AG882" s="1">
        <v>21</v>
      </c>
      <c r="AO882" s="2">
        <v>46275</v>
      </c>
      <c r="AP882" s="1" t="s">
        <v>301</v>
      </c>
      <c r="AS882" s="1" t="s">
        <v>71</v>
      </c>
      <c r="AU882" s="1" t="s">
        <v>72</v>
      </c>
      <c r="AV882" s="1" t="s">
        <v>437</v>
      </c>
      <c r="AX882" s="1">
        <v>0</v>
      </c>
      <c r="BA882" s="1">
        <v>9</v>
      </c>
      <c r="BB882" s="1">
        <v>0</v>
      </c>
      <c r="BC882" s="1">
        <v>0</v>
      </c>
      <c r="BE882" s="1">
        <v>27188511</v>
      </c>
    </row>
    <row r="883" spans="1:57" x14ac:dyDescent="0.25">
      <c r="A883" s="1" t="str">
        <f>T("1944739401352025536")</f>
        <v>1944739401352025536</v>
      </c>
      <c r="B883" s="1" t="str">
        <f>T("249904425002")</f>
        <v>249904425002</v>
      </c>
      <c r="C883" s="1" t="str">
        <f>T("1941094470887935908")</f>
        <v>1941094470887935908</v>
      </c>
      <c r="AC883" s="1" t="s">
        <v>344</v>
      </c>
      <c r="AD883" s="1" t="s">
        <v>524</v>
      </c>
      <c r="AE883" s="1" t="s">
        <v>527</v>
      </c>
      <c r="AF883" s="1" t="s">
        <v>144</v>
      </c>
      <c r="AG883" s="1">
        <v>0</v>
      </c>
      <c r="AO883" s="2">
        <v>46275</v>
      </c>
      <c r="AP883" s="1" t="s">
        <v>301</v>
      </c>
      <c r="AS883" s="1" t="s">
        <v>71</v>
      </c>
      <c r="AU883" s="1" t="s">
        <v>72</v>
      </c>
      <c r="AV883" s="1" t="s">
        <v>73</v>
      </c>
      <c r="AX883" s="1">
        <v>0</v>
      </c>
      <c r="BA883" s="1">
        <v>9</v>
      </c>
      <c r="BB883" s="1">
        <v>0</v>
      </c>
      <c r="BC883" s="1">
        <v>0</v>
      </c>
      <c r="BE883" s="1">
        <v>27188511</v>
      </c>
    </row>
    <row r="884" spans="1:57" x14ac:dyDescent="0.25">
      <c r="A884" s="1" t="str">
        <f>T("1944739401352026536")</f>
        <v>1944739401352026536</v>
      </c>
      <c r="B884" s="1" t="str">
        <f>T("249969205566")</f>
        <v>249969205566</v>
      </c>
      <c r="C884" s="1" t="str">
        <f>T("1941094470887933208")</f>
        <v>1941094470887933208</v>
      </c>
      <c r="AC884" s="1" t="s">
        <v>276</v>
      </c>
      <c r="AD884" s="1" t="s">
        <v>517</v>
      </c>
      <c r="AE884" s="1" t="s">
        <v>530</v>
      </c>
      <c r="AF884" s="1" t="s">
        <v>144</v>
      </c>
      <c r="AG884" s="1">
        <v>24</v>
      </c>
      <c r="AO884" s="2">
        <v>46275</v>
      </c>
      <c r="AP884" s="1" t="s">
        <v>301</v>
      </c>
      <c r="AS884" s="1" t="s">
        <v>71</v>
      </c>
      <c r="AU884" s="1" t="s">
        <v>72</v>
      </c>
      <c r="AV884" s="1" t="s">
        <v>73</v>
      </c>
      <c r="AX884" s="1">
        <v>0</v>
      </c>
      <c r="BA884" s="1">
        <v>9</v>
      </c>
      <c r="BB884" s="1">
        <v>0</v>
      </c>
      <c r="BC884" s="1">
        <v>0</v>
      </c>
      <c r="BE884" s="1">
        <v>27188511</v>
      </c>
    </row>
    <row r="885" spans="1:57" x14ac:dyDescent="0.25">
      <c r="A885" s="1" t="str">
        <f>T("1944739401368803868")</f>
        <v>1944739401368803868</v>
      </c>
      <c r="B885" s="1" t="str">
        <f>T("249901102110")</f>
        <v>249901102110</v>
      </c>
      <c r="C885" s="1" t="str">
        <f>T("1941094470892129016")</f>
        <v>1941094470892129016</v>
      </c>
      <c r="AC885" s="1" t="s">
        <v>190</v>
      </c>
      <c r="AD885" s="1" t="s">
        <v>274</v>
      </c>
      <c r="AE885" s="1" t="s">
        <v>275</v>
      </c>
      <c r="AF885" s="1" t="s">
        <v>107</v>
      </c>
      <c r="AG885" s="1">
        <v>0</v>
      </c>
      <c r="AO885" s="2">
        <v>46275</v>
      </c>
      <c r="AP885" s="1" t="s">
        <v>301</v>
      </c>
      <c r="AS885" s="1" t="s">
        <v>71</v>
      </c>
      <c r="AU885" s="1" t="s">
        <v>72</v>
      </c>
      <c r="AV885" s="1" t="s">
        <v>73</v>
      </c>
      <c r="AX885" s="1">
        <v>0</v>
      </c>
      <c r="BA885" s="1">
        <v>9</v>
      </c>
      <c r="BB885" s="1">
        <v>0</v>
      </c>
      <c r="BC885" s="1">
        <v>0</v>
      </c>
      <c r="BE885" s="1">
        <v>27188511</v>
      </c>
    </row>
    <row r="886" spans="1:57" x14ac:dyDescent="0.25">
      <c r="A886" s="1" t="str">
        <f>T("1944739401393969216")</f>
        <v>1944739401393969216</v>
      </c>
      <c r="B886" s="1" t="str">
        <f>T("249124005159")</f>
        <v>249124005159</v>
      </c>
      <c r="C886" s="1" t="str">
        <f>T("1941094470892129616")</f>
        <v>1941094470892129616</v>
      </c>
      <c r="M886" s="1" t="s">
        <v>148</v>
      </c>
      <c r="N886" s="1" t="s">
        <v>65</v>
      </c>
      <c r="O886" s="1" t="s">
        <v>65</v>
      </c>
      <c r="P886" s="1" t="s">
        <v>91</v>
      </c>
      <c r="Q886" s="1" t="s">
        <v>92</v>
      </c>
      <c r="R886" s="1" t="s">
        <v>93</v>
      </c>
      <c r="T886" s="1" t="s">
        <v>95</v>
      </c>
      <c r="U886" s="1" t="s">
        <v>60</v>
      </c>
      <c r="V886" s="1" t="s">
        <v>66</v>
      </c>
      <c r="W886" s="1" t="s">
        <v>60</v>
      </c>
      <c r="X886" s="1" t="s">
        <v>102</v>
      </c>
      <c r="Y886" s="1" t="s">
        <v>69</v>
      </c>
      <c r="AA886" s="1">
        <v>1</v>
      </c>
      <c r="AB886" s="1">
        <v>1</v>
      </c>
      <c r="AC886" s="1" t="s">
        <v>344</v>
      </c>
      <c r="AD886" s="1" t="s">
        <v>524</v>
      </c>
      <c r="AE886" s="1" t="s">
        <v>504</v>
      </c>
      <c r="AF886" s="1" t="s">
        <v>144</v>
      </c>
      <c r="AG886" s="1">
        <v>0</v>
      </c>
      <c r="AO886" s="2">
        <v>46275</v>
      </c>
      <c r="AP886" s="1" t="s">
        <v>301</v>
      </c>
      <c r="AQ886" s="2">
        <v>46275</v>
      </c>
      <c r="AR886" s="1" t="s">
        <v>533</v>
      </c>
      <c r="AS886" s="1" t="s">
        <v>71</v>
      </c>
      <c r="AU886" s="1" t="s">
        <v>78</v>
      </c>
      <c r="AV886" s="1" t="s">
        <v>80</v>
      </c>
      <c r="AW886" s="1">
        <v>202.06</v>
      </c>
      <c r="AX886" s="1">
        <v>0</v>
      </c>
      <c r="AZ886" s="1" t="s">
        <v>81</v>
      </c>
      <c r="BA886" s="1">
        <v>1</v>
      </c>
      <c r="BB886" s="1">
        <v>0</v>
      </c>
      <c r="BC886" s="1">
        <v>0</v>
      </c>
      <c r="BE886" s="1">
        <v>27188511</v>
      </c>
    </row>
    <row r="887" spans="1:57" x14ac:dyDescent="0.25">
      <c r="A887" s="1" t="str">
        <f>T("1944739401402358832")</f>
        <v>1944739401402358832</v>
      </c>
      <c r="B887" s="1" t="str">
        <f>T("249905793583")</f>
        <v>249905793583</v>
      </c>
      <c r="C887" s="1" t="str">
        <f>T("1941094470892130116")</f>
        <v>1941094470892130116</v>
      </c>
      <c r="AC887" s="1" t="s">
        <v>344</v>
      </c>
      <c r="AD887" s="1" t="s">
        <v>430</v>
      </c>
      <c r="AE887" s="1" t="s">
        <v>531</v>
      </c>
      <c r="AF887" s="1" t="s">
        <v>144</v>
      </c>
      <c r="AG887" s="1">
        <v>0</v>
      </c>
      <c r="AO887" s="2">
        <v>46275</v>
      </c>
      <c r="AP887" s="1" t="s">
        <v>301</v>
      </c>
      <c r="AS887" s="1" t="s">
        <v>71</v>
      </c>
      <c r="AU887" s="1" t="s">
        <v>72</v>
      </c>
      <c r="AV887" s="1" t="s">
        <v>437</v>
      </c>
      <c r="AX887" s="1">
        <v>0</v>
      </c>
      <c r="BA887" s="1">
        <v>9</v>
      </c>
      <c r="BB887" s="1">
        <v>0</v>
      </c>
      <c r="BC887" s="1">
        <v>0</v>
      </c>
      <c r="BE887" s="1">
        <v>27188511</v>
      </c>
    </row>
    <row r="888" spans="1:57" x14ac:dyDescent="0.25">
      <c r="A888" s="1" t="str">
        <f>T("1944739401419135364")</f>
        <v>1944739401419135364</v>
      </c>
      <c r="B888" s="1" t="str">
        <f>T("249916734139")</f>
        <v>249916734139</v>
      </c>
      <c r="C888" s="1" t="str">
        <f>T("1941094470896320824")</f>
        <v>1941094470896320824</v>
      </c>
      <c r="AC888" s="1" t="s">
        <v>344</v>
      </c>
      <c r="AD888" s="1" t="s">
        <v>524</v>
      </c>
      <c r="AE888" s="1" t="s">
        <v>504</v>
      </c>
      <c r="AF888" s="1" t="s">
        <v>144</v>
      </c>
      <c r="AG888" s="1">
        <v>0</v>
      </c>
      <c r="AO888" s="2">
        <v>46275</v>
      </c>
      <c r="AP888" s="1" t="s">
        <v>301</v>
      </c>
      <c r="AS888" s="1" t="s">
        <v>71</v>
      </c>
      <c r="AU888" s="1" t="s">
        <v>72</v>
      </c>
      <c r="AV888" s="1" t="s">
        <v>73</v>
      </c>
      <c r="AX888" s="1">
        <v>0</v>
      </c>
      <c r="BA888" s="1">
        <v>9</v>
      </c>
      <c r="BB888" s="1">
        <v>0</v>
      </c>
      <c r="BC888" s="1">
        <v>0</v>
      </c>
      <c r="BE888" s="1">
        <v>27188511</v>
      </c>
    </row>
    <row r="889" spans="1:57" x14ac:dyDescent="0.25">
      <c r="A889" s="1" t="str">
        <f>T("1944739401440108204")</f>
        <v>1944739401440108204</v>
      </c>
      <c r="B889" s="1" t="str">
        <f>T("249909057182")</f>
        <v>249909057182</v>
      </c>
      <c r="C889" s="1" t="str">
        <f>T("1941094470896321324")</f>
        <v>1941094470896321324</v>
      </c>
      <c r="AC889" s="1" t="s">
        <v>344</v>
      </c>
      <c r="AD889" s="1" t="s">
        <v>524</v>
      </c>
      <c r="AE889" s="1" t="s">
        <v>534</v>
      </c>
      <c r="AF889" s="1" t="s">
        <v>144</v>
      </c>
      <c r="AG889" s="1" t="s">
        <v>529</v>
      </c>
      <c r="AO889" s="2">
        <v>46275</v>
      </c>
      <c r="AP889" s="1" t="s">
        <v>301</v>
      </c>
      <c r="AS889" s="1" t="s">
        <v>71</v>
      </c>
      <c r="AU889" s="1" t="s">
        <v>72</v>
      </c>
      <c r="AV889" s="1" t="s">
        <v>73</v>
      </c>
      <c r="AX889" s="1">
        <v>0</v>
      </c>
      <c r="BA889" s="1">
        <v>9</v>
      </c>
      <c r="BB889" s="1">
        <v>0</v>
      </c>
      <c r="BC889" s="1">
        <v>0</v>
      </c>
      <c r="BE889" s="1">
        <v>27188511</v>
      </c>
    </row>
    <row r="890" spans="1:57" x14ac:dyDescent="0.25">
      <c r="A890" s="1" t="str">
        <f>T("1944739401461079944")</f>
        <v>1944739401461079944</v>
      </c>
      <c r="B890" s="1" t="str">
        <f>T("24991187429")</f>
        <v>24991187429</v>
      </c>
      <c r="C890" s="1" t="str">
        <f>T("1941094470896322024")</f>
        <v>1941094470896322024</v>
      </c>
      <c r="AC890" s="1" t="s">
        <v>344</v>
      </c>
      <c r="AD890" s="1" t="s">
        <v>524</v>
      </c>
      <c r="AE890" s="1" t="s">
        <v>535</v>
      </c>
      <c r="AF890" s="1" t="s">
        <v>144</v>
      </c>
      <c r="AG890" s="1">
        <v>0</v>
      </c>
      <c r="AO890" s="2">
        <v>46275</v>
      </c>
      <c r="AP890" s="1" t="s">
        <v>301</v>
      </c>
      <c r="AS890" s="1" t="s">
        <v>71</v>
      </c>
      <c r="AU890" s="1" t="s">
        <v>72</v>
      </c>
      <c r="AV890" s="1" t="s">
        <v>73</v>
      </c>
      <c r="AX890" s="1">
        <v>0</v>
      </c>
      <c r="BA890" s="1">
        <v>9</v>
      </c>
      <c r="BB890" s="1">
        <v>0</v>
      </c>
      <c r="BC890" s="1">
        <v>0</v>
      </c>
      <c r="BE890" s="1">
        <v>27188511</v>
      </c>
    </row>
    <row r="891" spans="1:57" x14ac:dyDescent="0.25">
      <c r="A891" s="1" t="str">
        <f>T("1944739401465270952")</f>
        <v>1944739401465270952</v>
      </c>
      <c r="B891" s="1" t="str">
        <f>T("249904906636")</f>
        <v>249904906636</v>
      </c>
      <c r="C891" s="1" t="str">
        <f>T("1941094470896322524")</f>
        <v>1941094470896322524</v>
      </c>
      <c r="AC891" s="1" t="s">
        <v>276</v>
      </c>
      <c r="AD891" s="1" t="s">
        <v>277</v>
      </c>
      <c r="AE891" s="1" t="s">
        <v>530</v>
      </c>
      <c r="AF891" s="1" t="s">
        <v>144</v>
      </c>
      <c r="AG891" s="1">
        <v>38</v>
      </c>
      <c r="AO891" s="2">
        <v>46275</v>
      </c>
      <c r="AP891" s="1" t="s">
        <v>301</v>
      </c>
      <c r="AS891" s="1" t="s">
        <v>71</v>
      </c>
      <c r="AU891" s="1" t="s">
        <v>72</v>
      </c>
      <c r="AV891" s="1" t="s">
        <v>437</v>
      </c>
      <c r="AX891" s="1">
        <v>0</v>
      </c>
      <c r="BA891" s="1">
        <v>9</v>
      </c>
      <c r="BB891" s="1">
        <v>0</v>
      </c>
      <c r="BC891" s="1">
        <v>0</v>
      </c>
      <c r="BE891" s="1">
        <v>27188511</v>
      </c>
    </row>
    <row r="892" spans="1:57" x14ac:dyDescent="0.25">
      <c r="A892" s="1" t="str">
        <f>T("1944739401498824916")</f>
        <v>1944739401498824916</v>
      </c>
      <c r="B892" s="1" t="str">
        <f>T("249109604936")</f>
        <v>249109604936</v>
      </c>
      <c r="C892" s="1" t="str">
        <f>T("1941094470904712440")</f>
        <v>1941094470904712440</v>
      </c>
      <c r="AC892" s="1" t="s">
        <v>276</v>
      </c>
      <c r="AD892" s="1" t="s">
        <v>517</v>
      </c>
      <c r="AE892" s="1" t="s">
        <v>530</v>
      </c>
      <c r="AF892" s="1" t="s">
        <v>144</v>
      </c>
      <c r="AG892" s="1">
        <v>31</v>
      </c>
      <c r="AO892" s="2">
        <v>46275</v>
      </c>
      <c r="AP892" s="1" t="s">
        <v>301</v>
      </c>
      <c r="AS892" s="1" t="s">
        <v>71</v>
      </c>
      <c r="AU892" s="1" t="s">
        <v>72</v>
      </c>
      <c r="AV892" s="1" t="s">
        <v>73</v>
      </c>
      <c r="AX892" s="1">
        <v>0</v>
      </c>
      <c r="BA892" s="1">
        <v>9</v>
      </c>
      <c r="BB892" s="1">
        <v>0</v>
      </c>
      <c r="BC892" s="1">
        <v>0</v>
      </c>
      <c r="BE892" s="1">
        <v>27188511</v>
      </c>
    </row>
    <row r="893" spans="1:57" x14ac:dyDescent="0.25">
      <c r="A893" s="1" t="str">
        <f>T("1944739401523993064")</f>
        <v>1944739401523993064</v>
      </c>
      <c r="B893" s="1" t="str">
        <f>T("249161578941")</f>
        <v>249161578941</v>
      </c>
      <c r="C893" s="1" t="str">
        <f>T("1941094470908903448")</f>
        <v>1941094470908903448</v>
      </c>
      <c r="AC893" s="1" t="s">
        <v>276</v>
      </c>
      <c r="AD893" s="1" t="s">
        <v>277</v>
      </c>
      <c r="AE893" s="1" t="s">
        <v>530</v>
      </c>
      <c r="AF893" s="1" t="s">
        <v>144</v>
      </c>
      <c r="AG893" s="1">
        <v>35</v>
      </c>
      <c r="AO893" s="2">
        <v>46275</v>
      </c>
      <c r="AP893" s="1" t="s">
        <v>301</v>
      </c>
      <c r="AS893" s="1" t="s">
        <v>71</v>
      </c>
      <c r="AU893" s="1" t="s">
        <v>72</v>
      </c>
      <c r="AV893" s="1" t="s">
        <v>73</v>
      </c>
      <c r="AX893" s="1">
        <v>0</v>
      </c>
      <c r="BA893" s="1">
        <v>9</v>
      </c>
      <c r="BB893" s="1">
        <v>0</v>
      </c>
      <c r="BC893" s="1">
        <v>0</v>
      </c>
      <c r="BE893" s="1">
        <v>27188511</v>
      </c>
    </row>
    <row r="894" spans="1:57" x14ac:dyDescent="0.25">
      <c r="A894" s="1" t="str">
        <f>T("1944739401532382880")</f>
        <v>1944739401532382880</v>
      </c>
      <c r="B894" s="1" t="str">
        <f>T("249906110399")</f>
        <v>249906110399</v>
      </c>
      <c r="C894" s="1" t="str">
        <f>T("1941094470908904048")</f>
        <v>1941094470908904048</v>
      </c>
      <c r="AC894" s="1" t="s">
        <v>344</v>
      </c>
      <c r="AD894" s="1" t="s">
        <v>430</v>
      </c>
      <c r="AE894" s="1" t="s">
        <v>531</v>
      </c>
      <c r="AF894" s="1" t="s">
        <v>144</v>
      </c>
      <c r="AG894" s="1">
        <v>0</v>
      </c>
      <c r="AO894" s="2">
        <v>46275</v>
      </c>
      <c r="AP894" s="1" t="s">
        <v>301</v>
      </c>
      <c r="AS894" s="1" t="s">
        <v>71</v>
      </c>
      <c r="AU894" s="1" t="s">
        <v>72</v>
      </c>
      <c r="AV894" s="1" t="s">
        <v>73</v>
      </c>
      <c r="AX894" s="1">
        <v>0</v>
      </c>
      <c r="BA894" s="1">
        <v>9</v>
      </c>
      <c r="BB894" s="1">
        <v>0</v>
      </c>
      <c r="BC894" s="1">
        <v>0</v>
      </c>
      <c r="BE894" s="1">
        <v>27188511</v>
      </c>
    </row>
    <row r="895" spans="1:57" x14ac:dyDescent="0.25">
      <c r="A895" s="1" t="str">
        <f>T("1944739401540768496")</f>
        <v>1944739401540768496</v>
      </c>
      <c r="B895" s="1" t="str">
        <f>T("249916457559")</f>
        <v>249916457559</v>
      </c>
      <c r="C895" s="1" t="str">
        <f>T("1941094470908904448")</f>
        <v>1941094470908904448</v>
      </c>
      <c r="AC895" s="1" t="s">
        <v>366</v>
      </c>
      <c r="AD895" s="1" t="s">
        <v>367</v>
      </c>
      <c r="AE895" s="1" t="s">
        <v>368</v>
      </c>
      <c r="AF895" s="1" t="s">
        <v>144</v>
      </c>
      <c r="AG895" s="1">
        <v>56</v>
      </c>
      <c r="AO895" s="2">
        <v>46275</v>
      </c>
      <c r="AP895" s="1" t="s">
        <v>301</v>
      </c>
      <c r="AS895" s="1" t="s">
        <v>71</v>
      </c>
      <c r="AU895" s="1" t="s">
        <v>72</v>
      </c>
      <c r="AV895" s="1" t="s">
        <v>437</v>
      </c>
      <c r="AX895" s="1">
        <v>0</v>
      </c>
      <c r="BA895" s="1">
        <v>9</v>
      </c>
      <c r="BB895" s="1">
        <v>0</v>
      </c>
      <c r="BC895" s="1">
        <v>0</v>
      </c>
      <c r="BE895" s="1">
        <v>27188511</v>
      </c>
    </row>
    <row r="896" spans="1:57" x14ac:dyDescent="0.25">
      <c r="A896" s="1" t="str">
        <f>T("1944739401557547728")</f>
        <v>1944739401557547728</v>
      </c>
      <c r="B896" s="1" t="str">
        <f>T("249904792500")</f>
        <v>249904792500</v>
      </c>
      <c r="C896" s="1" t="str">
        <f>T("1941094470908904948")</f>
        <v>1941094470908904948</v>
      </c>
      <c r="AC896" s="1" t="s">
        <v>276</v>
      </c>
      <c r="AD896" s="1" t="s">
        <v>298</v>
      </c>
      <c r="AE896" s="1" t="s">
        <v>526</v>
      </c>
      <c r="AF896" s="1" t="s">
        <v>144</v>
      </c>
      <c r="AG896" s="1">
        <v>18</v>
      </c>
      <c r="AO896" s="2">
        <v>46275</v>
      </c>
      <c r="AP896" s="1" t="s">
        <v>301</v>
      </c>
      <c r="AS896" s="1" t="s">
        <v>71</v>
      </c>
      <c r="AU896" s="1" t="s">
        <v>72</v>
      </c>
      <c r="AV896" s="1" t="s">
        <v>73</v>
      </c>
      <c r="AX896" s="1">
        <v>0</v>
      </c>
      <c r="BA896" s="1">
        <v>9</v>
      </c>
      <c r="BB896" s="1">
        <v>0</v>
      </c>
      <c r="BC896" s="1">
        <v>0</v>
      </c>
      <c r="BE896" s="1">
        <v>27188511</v>
      </c>
    </row>
    <row r="897" spans="1:57" x14ac:dyDescent="0.25">
      <c r="A897" s="1" t="str">
        <f>T("1944739401591103092")</f>
        <v>1944739401591103092</v>
      </c>
      <c r="B897" s="1" t="str">
        <f>T("24990767304")</f>
        <v>24990767304</v>
      </c>
      <c r="C897" s="1" t="str">
        <f>T("1941094470908905248")</f>
        <v>1941094470908905248</v>
      </c>
      <c r="AC897" s="1" t="s">
        <v>344</v>
      </c>
      <c r="AD897" s="1" t="s">
        <v>430</v>
      </c>
      <c r="AE897" s="1" t="s">
        <v>532</v>
      </c>
      <c r="AF897" s="1" t="s">
        <v>144</v>
      </c>
      <c r="AG897" s="1">
        <v>0</v>
      </c>
      <c r="AO897" s="2">
        <v>46275</v>
      </c>
      <c r="AP897" s="1" t="s">
        <v>301</v>
      </c>
      <c r="AS897" s="1" t="s">
        <v>71</v>
      </c>
      <c r="AU897" s="1" t="s">
        <v>72</v>
      </c>
      <c r="AV897" s="1" t="s">
        <v>73</v>
      </c>
      <c r="AX897" s="1">
        <v>0</v>
      </c>
      <c r="BA897" s="1">
        <v>9</v>
      </c>
      <c r="BB897" s="1">
        <v>0</v>
      </c>
      <c r="BC897" s="1">
        <v>0</v>
      </c>
      <c r="BE897" s="1">
        <v>27188511</v>
      </c>
    </row>
    <row r="898" spans="1:57" x14ac:dyDescent="0.25">
      <c r="A898" s="1" t="str">
        <f>T("1944739401595294600")</f>
        <v>1944739401595294600</v>
      </c>
      <c r="B898" s="1" t="str">
        <f>T("249968028868")</f>
        <v>249968028868</v>
      </c>
      <c r="C898" s="1" t="str">
        <f>T("1941094470908905648")</f>
        <v>1941094470908905648</v>
      </c>
      <c r="AC898" s="1" t="s">
        <v>344</v>
      </c>
      <c r="AD898" s="1" t="s">
        <v>430</v>
      </c>
      <c r="AE898" s="1" t="s">
        <v>536</v>
      </c>
      <c r="AF898" s="1" t="s">
        <v>144</v>
      </c>
      <c r="AG898" s="1">
        <v>0</v>
      </c>
      <c r="AO898" s="2">
        <v>46275</v>
      </c>
      <c r="AP898" s="1" t="s">
        <v>301</v>
      </c>
      <c r="AS898" s="1" t="s">
        <v>71</v>
      </c>
      <c r="AU898" s="1" t="s">
        <v>72</v>
      </c>
      <c r="AV898" s="1" t="s">
        <v>437</v>
      </c>
      <c r="AX898" s="1">
        <v>0</v>
      </c>
      <c r="BA898" s="1">
        <v>9</v>
      </c>
      <c r="BB898" s="1">
        <v>0</v>
      </c>
      <c r="BC898" s="1">
        <v>0</v>
      </c>
      <c r="BE898" s="1">
        <v>27188511</v>
      </c>
    </row>
    <row r="899" spans="1:57" x14ac:dyDescent="0.25">
      <c r="A899" s="1" t="str">
        <f>T("1944739401603685216")</f>
        <v>1944739401603685216</v>
      </c>
      <c r="B899" s="1" t="str">
        <f>T("249121393935")</f>
        <v>249121393935</v>
      </c>
      <c r="C899" s="1" t="str">
        <f>T("1941094470908906048")</f>
        <v>1941094470908906048</v>
      </c>
      <c r="AC899" s="1" t="s">
        <v>276</v>
      </c>
      <c r="AD899" s="1" t="s">
        <v>298</v>
      </c>
      <c r="AE899" s="1" t="s">
        <v>526</v>
      </c>
      <c r="AF899" s="1" t="s">
        <v>144</v>
      </c>
      <c r="AG899" s="1">
        <v>35</v>
      </c>
      <c r="AO899" s="2">
        <v>46275</v>
      </c>
      <c r="AP899" s="1" t="s">
        <v>301</v>
      </c>
      <c r="AQ899" s="2">
        <v>46275</v>
      </c>
      <c r="AR899" s="1" t="s">
        <v>537</v>
      </c>
      <c r="AS899" s="1" t="s">
        <v>71</v>
      </c>
      <c r="AU899" s="1" t="s">
        <v>79</v>
      </c>
      <c r="AV899" s="1" t="s">
        <v>80</v>
      </c>
      <c r="AW899" s="1">
        <v>18.899999999999999</v>
      </c>
      <c r="AX899" s="1">
        <v>0</v>
      </c>
      <c r="AZ899" s="1" t="s">
        <v>81</v>
      </c>
      <c r="BA899" s="1">
        <v>1</v>
      </c>
      <c r="BB899" s="1">
        <v>0</v>
      </c>
      <c r="BC899" s="1">
        <v>0</v>
      </c>
      <c r="BE899" s="1">
        <v>27188511</v>
      </c>
    </row>
    <row r="900" spans="1:57" x14ac:dyDescent="0.25">
      <c r="A900" s="1" t="str">
        <f>T("1944739401624656156")</f>
        <v>1944739401624656156</v>
      </c>
      <c r="B900" s="1" t="str">
        <f>T("249912627851")</f>
        <v>249912627851</v>
      </c>
      <c r="C900" s="1" t="str">
        <f>T("1941094470908906448")</f>
        <v>1941094470908906448</v>
      </c>
      <c r="AC900" s="1" t="s">
        <v>276</v>
      </c>
      <c r="AD900" s="1" t="s">
        <v>298</v>
      </c>
      <c r="AE900" s="1" t="s">
        <v>526</v>
      </c>
      <c r="AF900" s="1" t="s">
        <v>144</v>
      </c>
      <c r="AG900" s="1">
        <v>34</v>
      </c>
      <c r="AO900" s="2">
        <v>46275</v>
      </c>
      <c r="AP900" s="1" t="s">
        <v>301</v>
      </c>
      <c r="AS900" s="1" t="s">
        <v>71</v>
      </c>
      <c r="AU900" s="1" t="s">
        <v>72</v>
      </c>
      <c r="AV900" s="1" t="s">
        <v>73</v>
      </c>
      <c r="AX900" s="1">
        <v>0</v>
      </c>
      <c r="BA900" s="1">
        <v>9</v>
      </c>
      <c r="BB900" s="1">
        <v>0</v>
      </c>
      <c r="BC900" s="1">
        <v>0</v>
      </c>
      <c r="BE900" s="1">
        <v>27188511</v>
      </c>
    </row>
    <row r="901" spans="1:57" x14ac:dyDescent="0.25">
      <c r="A901" s="1" t="str">
        <f>T("1944739401649822304")</f>
        <v>1944739401649822304</v>
      </c>
      <c r="B901" s="1" t="str">
        <f>T("249901705277")</f>
        <v>249901705277</v>
      </c>
      <c r="C901" s="1" t="str">
        <f>T("1941094470908907048")</f>
        <v>1941094470908907048</v>
      </c>
      <c r="AC901" s="1" t="s">
        <v>276</v>
      </c>
      <c r="AD901" s="1" t="s">
        <v>517</v>
      </c>
      <c r="AE901" s="1" t="s">
        <v>530</v>
      </c>
      <c r="AF901" s="1" t="s">
        <v>144</v>
      </c>
      <c r="AG901" s="1">
        <v>25</v>
      </c>
      <c r="AO901" s="2">
        <v>46275</v>
      </c>
      <c r="AP901" s="1" t="s">
        <v>301</v>
      </c>
      <c r="AS901" s="1" t="s">
        <v>71</v>
      </c>
      <c r="AU901" s="1" t="s">
        <v>72</v>
      </c>
      <c r="AV901" s="1" t="s">
        <v>437</v>
      </c>
      <c r="AX901" s="1">
        <v>0</v>
      </c>
      <c r="BA901" s="1">
        <v>9</v>
      </c>
      <c r="BB901" s="1">
        <v>0</v>
      </c>
      <c r="BC901" s="1">
        <v>0</v>
      </c>
      <c r="BE901" s="1">
        <v>27188511</v>
      </c>
    </row>
    <row r="902" spans="1:57" x14ac:dyDescent="0.25">
      <c r="A902" s="1" t="str">
        <f>T("1944739401654015312")</f>
        <v>1944739401654015312</v>
      </c>
      <c r="B902" s="1" t="str">
        <f>T("249906548204")</f>
        <v>249906548204</v>
      </c>
      <c r="C902" s="1" t="str">
        <f>T("1941094470908907448")</f>
        <v>1941094470908907448</v>
      </c>
      <c r="AC902" s="1" t="s">
        <v>276</v>
      </c>
      <c r="AD902" s="1" t="s">
        <v>298</v>
      </c>
      <c r="AE902" s="1" t="s">
        <v>538</v>
      </c>
      <c r="AF902" s="1" t="s">
        <v>144</v>
      </c>
      <c r="AG902" s="1">
        <v>36</v>
      </c>
      <c r="AO902" s="2">
        <v>46275</v>
      </c>
      <c r="AP902" s="1" t="s">
        <v>301</v>
      </c>
      <c r="AS902" s="1" t="s">
        <v>71</v>
      </c>
      <c r="AU902" s="1" t="s">
        <v>72</v>
      </c>
      <c r="AV902" s="1" t="s">
        <v>73</v>
      </c>
      <c r="AX902" s="1">
        <v>0</v>
      </c>
      <c r="BA902" s="1">
        <v>9</v>
      </c>
      <c r="BB902" s="1">
        <v>0</v>
      </c>
      <c r="BC902" s="1">
        <v>0</v>
      </c>
      <c r="BE902" s="1">
        <v>27188511</v>
      </c>
    </row>
    <row r="903" spans="1:57" x14ac:dyDescent="0.25">
      <c r="A903" s="1" t="str">
        <f>T("1944739401662403528")</f>
        <v>1944739401662403528</v>
      </c>
      <c r="B903" s="1" t="str">
        <f>T("249917413330")</f>
        <v>249917413330</v>
      </c>
      <c r="C903" s="1" t="str">
        <f>T("1941094470913098156")</f>
        <v>1941094470913098156</v>
      </c>
      <c r="AC903" s="1" t="s">
        <v>344</v>
      </c>
      <c r="AD903" s="1" t="s">
        <v>524</v>
      </c>
      <c r="AE903" s="1" t="s">
        <v>504</v>
      </c>
      <c r="AF903" s="1" t="s">
        <v>144</v>
      </c>
      <c r="AG903" s="1">
        <v>0</v>
      </c>
      <c r="AO903" s="2">
        <v>46275</v>
      </c>
      <c r="AP903" s="1" t="s">
        <v>301</v>
      </c>
      <c r="AS903" s="1" t="s">
        <v>71</v>
      </c>
      <c r="AU903" s="1" t="s">
        <v>72</v>
      </c>
      <c r="AV903" s="1" t="s">
        <v>437</v>
      </c>
      <c r="AX903" s="1">
        <v>0</v>
      </c>
      <c r="BA903" s="1">
        <v>9</v>
      </c>
      <c r="BB903" s="1">
        <v>0</v>
      </c>
      <c r="BC903" s="1">
        <v>0</v>
      </c>
      <c r="BE903" s="1">
        <v>27188511</v>
      </c>
    </row>
    <row r="904" spans="1:57" x14ac:dyDescent="0.25">
      <c r="A904" s="1" t="str">
        <f>T("1944739401683377068")</f>
        <v>1944739401683377068</v>
      </c>
      <c r="B904" s="1" t="str">
        <f>T("249960730442")</f>
        <v>249960730442</v>
      </c>
      <c r="C904" s="1" t="str">
        <f>T("1941094470913098456")</f>
        <v>1941094470913098456</v>
      </c>
      <c r="AC904" s="1" t="s">
        <v>276</v>
      </c>
      <c r="AD904" s="1" t="s">
        <v>277</v>
      </c>
      <c r="AE904" s="1" t="s">
        <v>530</v>
      </c>
      <c r="AF904" s="1" t="s">
        <v>144</v>
      </c>
      <c r="AG904" s="1">
        <v>35</v>
      </c>
      <c r="AO904" s="2">
        <v>46275</v>
      </c>
      <c r="AP904" s="1" t="s">
        <v>301</v>
      </c>
      <c r="AS904" s="1" t="s">
        <v>71</v>
      </c>
      <c r="AU904" s="1" t="s">
        <v>72</v>
      </c>
      <c r="AV904" s="1" t="s">
        <v>437</v>
      </c>
      <c r="AX904" s="1">
        <v>0</v>
      </c>
      <c r="BA904" s="1">
        <v>9</v>
      </c>
      <c r="BB904" s="1">
        <v>0</v>
      </c>
      <c r="BC904" s="1">
        <v>0</v>
      </c>
      <c r="BE904" s="1">
        <v>27188511</v>
      </c>
    </row>
    <row r="905" spans="1:57" x14ac:dyDescent="0.25">
      <c r="A905" s="1" t="str">
        <f>T("1944739401716929732")</f>
        <v>1944739401716929732</v>
      </c>
      <c r="B905" s="1" t="str">
        <f>T("249919851619")</f>
        <v>249919851619</v>
      </c>
      <c r="C905" s="1" t="str">
        <f>T("1941094470913098856")</f>
        <v>1941094470913098856</v>
      </c>
      <c r="AC905" s="1" t="s">
        <v>366</v>
      </c>
      <c r="AD905" s="1" t="s">
        <v>367</v>
      </c>
      <c r="AE905" s="1" t="s">
        <v>368</v>
      </c>
      <c r="AF905" s="1" t="s">
        <v>144</v>
      </c>
      <c r="AG905" s="1">
        <v>35</v>
      </c>
      <c r="AO905" s="2">
        <v>46275</v>
      </c>
      <c r="AP905" s="1" t="s">
        <v>301</v>
      </c>
      <c r="AS905" s="1" t="s">
        <v>71</v>
      </c>
      <c r="AU905" s="1" t="s">
        <v>72</v>
      </c>
      <c r="AV905" s="1" t="s">
        <v>437</v>
      </c>
      <c r="AX905" s="1">
        <v>0</v>
      </c>
      <c r="BA905" s="1">
        <v>9</v>
      </c>
      <c r="BB905" s="1">
        <v>0</v>
      </c>
      <c r="BC905" s="1">
        <v>0</v>
      </c>
      <c r="BE905" s="1">
        <v>27188511</v>
      </c>
    </row>
    <row r="906" spans="1:57" x14ac:dyDescent="0.25">
      <c r="A906" s="1" t="str">
        <f>T("1944739401737901372")</f>
        <v>1944739401737901372</v>
      </c>
      <c r="B906" s="1" t="str">
        <f>T("249915825097")</f>
        <v>249915825097</v>
      </c>
      <c r="C906" s="1" t="str">
        <f>T("1941094470913099256")</f>
        <v>1941094470913099256</v>
      </c>
      <c r="AC906" s="1" t="s">
        <v>344</v>
      </c>
      <c r="AD906" s="1" t="s">
        <v>524</v>
      </c>
      <c r="AE906" s="1" t="s">
        <v>504</v>
      </c>
      <c r="AF906" s="1" t="s">
        <v>144</v>
      </c>
      <c r="AG906" s="1">
        <v>0</v>
      </c>
      <c r="AO906" s="2">
        <v>46275</v>
      </c>
      <c r="AP906" s="1" t="s">
        <v>301</v>
      </c>
      <c r="AS906" s="1" t="s">
        <v>71</v>
      </c>
      <c r="AU906" s="1" t="s">
        <v>72</v>
      </c>
      <c r="AV906" s="1" t="s">
        <v>437</v>
      </c>
      <c r="AX906" s="1">
        <v>0</v>
      </c>
      <c r="BA906" s="1">
        <v>9</v>
      </c>
      <c r="BB906" s="1">
        <v>0</v>
      </c>
      <c r="BC906" s="1">
        <v>0</v>
      </c>
      <c r="BE906" s="1">
        <v>27188511</v>
      </c>
    </row>
    <row r="907" spans="1:57" x14ac:dyDescent="0.25">
      <c r="A907" s="1" t="str">
        <f>T("1944739401750484596")</f>
        <v>1944739401750484596</v>
      </c>
      <c r="B907" s="1" t="str">
        <f>T("249112885620")</f>
        <v>249112885620</v>
      </c>
      <c r="C907" s="1" t="str">
        <f>T("1941094470913099656")</f>
        <v>1941094470913099656</v>
      </c>
      <c r="AC907" s="1" t="s">
        <v>344</v>
      </c>
      <c r="AD907" s="1" t="s">
        <v>524</v>
      </c>
      <c r="AE907" s="1" t="s">
        <v>504</v>
      </c>
      <c r="AF907" s="1" t="s">
        <v>144</v>
      </c>
      <c r="AG907" s="1">
        <v>0</v>
      </c>
      <c r="AO907" s="2">
        <v>46275</v>
      </c>
      <c r="AP907" s="1" t="s">
        <v>301</v>
      </c>
      <c r="AQ907" s="2">
        <v>46275</v>
      </c>
      <c r="AR907" s="1" t="s">
        <v>539</v>
      </c>
      <c r="AS907" s="1" t="s">
        <v>71</v>
      </c>
      <c r="AU907" s="1" t="s">
        <v>79</v>
      </c>
      <c r="AV907" s="1" t="s">
        <v>80</v>
      </c>
      <c r="AW907" s="1">
        <v>9.7200000000000006</v>
      </c>
      <c r="AX907" s="1">
        <v>0</v>
      </c>
      <c r="AZ907" s="1" t="s">
        <v>81</v>
      </c>
      <c r="BA907" s="1">
        <v>2</v>
      </c>
      <c r="BB907" s="1">
        <v>0</v>
      </c>
      <c r="BC907" s="1">
        <v>0</v>
      </c>
      <c r="BE907" s="1">
        <v>27188511</v>
      </c>
    </row>
    <row r="908" spans="1:57" x14ac:dyDescent="0.25">
      <c r="A908" s="1" t="str">
        <f>T("1944739401771455636")</f>
        <v>1944739401771455636</v>
      </c>
      <c r="B908" s="1" t="str">
        <f>T("249918576295")</f>
        <v>249918576295</v>
      </c>
      <c r="C908" s="1" t="str">
        <f>T("1941094470913100056")</f>
        <v>1941094470913100056</v>
      </c>
      <c r="AC908" s="1" t="s">
        <v>344</v>
      </c>
      <c r="AD908" s="1" t="s">
        <v>524</v>
      </c>
      <c r="AE908" s="1" t="s">
        <v>534</v>
      </c>
      <c r="AF908" s="1" t="s">
        <v>144</v>
      </c>
      <c r="AG908" s="1" t="s">
        <v>529</v>
      </c>
      <c r="AO908" s="2">
        <v>46275</v>
      </c>
      <c r="AP908" s="1" t="s">
        <v>301</v>
      </c>
      <c r="AS908" s="1" t="s">
        <v>71</v>
      </c>
      <c r="AU908" s="1" t="s">
        <v>72</v>
      </c>
      <c r="AV908" s="1" t="s">
        <v>73</v>
      </c>
      <c r="AX908" s="1">
        <v>0</v>
      </c>
      <c r="BA908" s="1">
        <v>9</v>
      </c>
      <c r="BB908" s="1">
        <v>0</v>
      </c>
      <c r="BC908" s="1">
        <v>0</v>
      </c>
      <c r="BE908" s="1">
        <v>27188511</v>
      </c>
    </row>
    <row r="909" spans="1:57" x14ac:dyDescent="0.25">
      <c r="A909" s="1" t="str">
        <f>T("1944739401784038860")</f>
        <v>1944739401784038860</v>
      </c>
      <c r="B909" s="1" t="str">
        <f>T("249910338234")</f>
        <v>249910338234</v>
      </c>
      <c r="C909" s="1" t="str">
        <f>T("1941094470913100456")</f>
        <v>1941094470913100456</v>
      </c>
      <c r="AC909" s="1" t="s">
        <v>344</v>
      </c>
      <c r="AD909" s="1" t="s">
        <v>345</v>
      </c>
      <c r="AE909" s="1" t="s">
        <v>522</v>
      </c>
      <c r="AF909" s="1" t="s">
        <v>144</v>
      </c>
      <c r="AG909" s="1">
        <v>44</v>
      </c>
      <c r="AO909" s="2">
        <v>46275</v>
      </c>
      <c r="AP909" s="1" t="s">
        <v>301</v>
      </c>
      <c r="AS909" s="1" t="s">
        <v>71</v>
      </c>
      <c r="AU909" s="1" t="s">
        <v>72</v>
      </c>
      <c r="AV909" s="1" t="s">
        <v>73</v>
      </c>
      <c r="AX909" s="1">
        <v>0</v>
      </c>
      <c r="BA909" s="1">
        <v>9</v>
      </c>
      <c r="BB909" s="1">
        <v>0</v>
      </c>
      <c r="BC909" s="1">
        <v>0</v>
      </c>
      <c r="BE909" s="1">
        <v>27188511</v>
      </c>
    </row>
    <row r="910" spans="1:57" x14ac:dyDescent="0.25">
      <c r="A910" s="1" t="str">
        <f>T("1944739401796623684")</f>
        <v>1944739401796623684</v>
      </c>
      <c r="B910" s="1" t="str">
        <f>T("249913925496")</f>
        <v>249913925496</v>
      </c>
      <c r="C910" s="1" t="str">
        <f>T("1941094470913100856")</f>
        <v>1941094470913100856</v>
      </c>
      <c r="AC910" s="1" t="s">
        <v>276</v>
      </c>
      <c r="AD910" s="1" t="s">
        <v>298</v>
      </c>
      <c r="AE910" s="1" t="s">
        <v>538</v>
      </c>
      <c r="AF910" s="1" t="s">
        <v>144</v>
      </c>
      <c r="AG910" s="1">
        <v>24</v>
      </c>
      <c r="AO910" s="2">
        <v>46275</v>
      </c>
      <c r="AP910" s="1" t="s">
        <v>301</v>
      </c>
      <c r="AS910" s="1" t="s">
        <v>71</v>
      </c>
      <c r="AU910" s="1" t="s">
        <v>72</v>
      </c>
      <c r="AV910" s="1" t="s">
        <v>437</v>
      </c>
      <c r="AX910" s="1">
        <v>0</v>
      </c>
      <c r="BA910" s="1">
        <v>9</v>
      </c>
      <c r="BB910" s="1">
        <v>0</v>
      </c>
      <c r="BC910" s="1">
        <v>0</v>
      </c>
      <c r="BE910" s="1">
        <v>27188511</v>
      </c>
    </row>
    <row r="911" spans="1:57" x14ac:dyDescent="0.25">
      <c r="A911" s="1" t="str">
        <f>T("1944739401809205808")</f>
        <v>1944739401809205808</v>
      </c>
      <c r="B911" s="1" t="str">
        <f>T("249966420921")</f>
        <v>249966420921</v>
      </c>
      <c r="C911" s="1" t="str">
        <f>T("1941094470917292064")</f>
        <v>1941094470917292064</v>
      </c>
      <c r="AC911" s="1" t="s">
        <v>344</v>
      </c>
      <c r="AD911" s="1" t="s">
        <v>345</v>
      </c>
      <c r="AE911" s="1" t="s">
        <v>522</v>
      </c>
      <c r="AF911" s="1" t="s">
        <v>144</v>
      </c>
      <c r="AG911" s="1">
        <v>41</v>
      </c>
      <c r="AO911" s="2">
        <v>46275</v>
      </c>
      <c r="AP911" s="1" t="s">
        <v>301</v>
      </c>
      <c r="AS911" s="1" t="s">
        <v>71</v>
      </c>
      <c r="AU911" s="1" t="s">
        <v>72</v>
      </c>
      <c r="AV911" s="1" t="s">
        <v>73</v>
      </c>
      <c r="AX911" s="1">
        <v>0</v>
      </c>
      <c r="BA911" s="1">
        <v>9</v>
      </c>
      <c r="BB911" s="1">
        <v>0</v>
      </c>
      <c r="BC911" s="1">
        <v>0</v>
      </c>
      <c r="BE911" s="1">
        <v>27188511</v>
      </c>
    </row>
    <row r="912" spans="1:57" x14ac:dyDescent="0.25">
      <c r="A912" s="1" t="str">
        <f>T("1944739401821789632")</f>
        <v>1944739401821789632</v>
      </c>
      <c r="B912" s="1" t="str">
        <f>T("249965990024")</f>
        <v>249965990024</v>
      </c>
      <c r="C912" s="1" t="str">
        <f>T("1941094470917292564")</f>
        <v>1941094470917292564</v>
      </c>
      <c r="AC912" s="1" t="s">
        <v>344</v>
      </c>
      <c r="AD912" s="1" t="s">
        <v>524</v>
      </c>
      <c r="AE912" s="1" t="s">
        <v>528</v>
      </c>
      <c r="AF912" s="1" t="s">
        <v>144</v>
      </c>
      <c r="AG912" s="1" t="s">
        <v>529</v>
      </c>
      <c r="AO912" s="2">
        <v>46275</v>
      </c>
      <c r="AP912" s="1" t="s">
        <v>301</v>
      </c>
      <c r="AS912" s="1" t="s">
        <v>71</v>
      </c>
      <c r="AU912" s="1" t="s">
        <v>72</v>
      </c>
      <c r="AV912" s="1" t="s">
        <v>437</v>
      </c>
      <c r="AX912" s="1">
        <v>0</v>
      </c>
      <c r="BA912" s="1">
        <v>9</v>
      </c>
      <c r="BB912" s="1">
        <v>0</v>
      </c>
      <c r="BC912" s="1">
        <v>0</v>
      </c>
      <c r="BE912" s="1">
        <v>27188511</v>
      </c>
    </row>
    <row r="913" spans="1:57" x14ac:dyDescent="0.25">
      <c r="A913" s="1" t="str">
        <f>T("1944739401830178748")</f>
        <v>1944739401830178748</v>
      </c>
      <c r="B913" s="1" t="str">
        <f>T("249124923563")</f>
        <v>249124923563</v>
      </c>
      <c r="C913" s="1" t="str">
        <f>T("1941094470917293064")</f>
        <v>1941094470917293064</v>
      </c>
      <c r="AC913" s="1" t="s">
        <v>344</v>
      </c>
      <c r="AD913" s="1" t="s">
        <v>345</v>
      </c>
      <c r="AE913" s="1" t="s">
        <v>522</v>
      </c>
      <c r="AF913" s="1" t="s">
        <v>144</v>
      </c>
      <c r="AG913" s="1">
        <v>45</v>
      </c>
      <c r="AO913" s="2">
        <v>46275</v>
      </c>
      <c r="AP913" s="1" t="s">
        <v>301</v>
      </c>
      <c r="AS913" s="1" t="s">
        <v>71</v>
      </c>
      <c r="AU913" s="1" t="s">
        <v>72</v>
      </c>
      <c r="AV913" s="1" t="s">
        <v>73</v>
      </c>
      <c r="AX913" s="1">
        <v>0</v>
      </c>
      <c r="BA913" s="1">
        <v>9</v>
      </c>
      <c r="BB913" s="1">
        <v>0</v>
      </c>
      <c r="BC913" s="1">
        <v>0</v>
      </c>
      <c r="BE913" s="1">
        <v>27188511</v>
      </c>
    </row>
    <row r="914" spans="1:57" x14ac:dyDescent="0.25">
      <c r="A914" s="1" t="str">
        <f>T("1944739401859536504")</f>
        <v>1944739401859536504</v>
      </c>
      <c r="B914" s="1" t="str">
        <f>T("249917486772")</f>
        <v>249917486772</v>
      </c>
      <c r="C914" s="1" t="str">
        <f>T("1941094470917293464")</f>
        <v>1941094470917293464</v>
      </c>
      <c r="AC914" s="1" t="s">
        <v>344</v>
      </c>
      <c r="AD914" s="1" t="s">
        <v>524</v>
      </c>
      <c r="AE914" s="1" t="s">
        <v>527</v>
      </c>
      <c r="AF914" s="1" t="s">
        <v>144</v>
      </c>
      <c r="AG914" s="1">
        <v>0</v>
      </c>
      <c r="AO914" s="2">
        <v>46275</v>
      </c>
      <c r="AP914" s="1" t="s">
        <v>301</v>
      </c>
      <c r="AS914" s="1" t="s">
        <v>71</v>
      </c>
      <c r="AU914" s="1" t="s">
        <v>72</v>
      </c>
      <c r="AV914" s="1" t="s">
        <v>437</v>
      </c>
      <c r="AX914" s="1">
        <v>0</v>
      </c>
      <c r="BA914" s="1">
        <v>9</v>
      </c>
      <c r="BB914" s="1">
        <v>0</v>
      </c>
      <c r="BC914" s="1">
        <v>0</v>
      </c>
      <c r="BE914" s="1">
        <v>27188511</v>
      </c>
    </row>
    <row r="915" spans="1:57" x14ac:dyDescent="0.25">
      <c r="A915" s="1" t="str">
        <f>T("1944739401867927020")</f>
        <v>1944739401867927020</v>
      </c>
      <c r="B915" s="1" t="str">
        <f>T("249904773936")</f>
        <v>249904773936</v>
      </c>
      <c r="C915" s="1" t="str">
        <f>T("1941094470917293964")</f>
        <v>1941094470917293964</v>
      </c>
      <c r="AC915" s="1" t="s">
        <v>344</v>
      </c>
      <c r="AD915" s="1" t="s">
        <v>345</v>
      </c>
      <c r="AE915" s="1" t="s">
        <v>522</v>
      </c>
      <c r="AF915" s="1" t="s">
        <v>144</v>
      </c>
      <c r="AG915" s="1">
        <v>35</v>
      </c>
      <c r="AO915" s="2">
        <v>46275</v>
      </c>
      <c r="AP915" s="1" t="s">
        <v>301</v>
      </c>
      <c r="AS915" s="1" t="s">
        <v>71</v>
      </c>
      <c r="AU915" s="1" t="s">
        <v>72</v>
      </c>
      <c r="AV915" s="1" t="s">
        <v>437</v>
      </c>
      <c r="AX915" s="1">
        <v>0</v>
      </c>
      <c r="BA915" s="1">
        <v>9</v>
      </c>
      <c r="BB915" s="1">
        <v>0</v>
      </c>
      <c r="BC915" s="1">
        <v>0</v>
      </c>
      <c r="BE915" s="1">
        <v>27188511</v>
      </c>
    </row>
    <row r="916" spans="1:57" x14ac:dyDescent="0.25">
      <c r="A916" s="1" t="str">
        <f>T("1944739401876314336")</f>
        <v>1944739401876314336</v>
      </c>
      <c r="B916" s="1" t="str">
        <f>T("249962826685")</f>
        <v>249962826685</v>
      </c>
      <c r="C916" s="1" t="str">
        <f>T("1941094470917294364")</f>
        <v>1941094470917294364</v>
      </c>
      <c r="AC916" s="1" t="s">
        <v>344</v>
      </c>
      <c r="AD916" s="1" t="s">
        <v>524</v>
      </c>
      <c r="AE916" s="1" t="s">
        <v>528</v>
      </c>
      <c r="AF916" s="1" t="s">
        <v>144</v>
      </c>
      <c r="AG916" s="1" t="s">
        <v>529</v>
      </c>
      <c r="AO916" s="2">
        <v>46275</v>
      </c>
      <c r="AP916" s="1" t="s">
        <v>301</v>
      </c>
      <c r="AS916" s="1" t="s">
        <v>71</v>
      </c>
      <c r="AU916" s="1" t="s">
        <v>72</v>
      </c>
      <c r="AV916" s="1" t="s">
        <v>73</v>
      </c>
      <c r="AX916" s="1">
        <v>0</v>
      </c>
      <c r="BA916" s="1">
        <v>9</v>
      </c>
      <c r="BB916" s="1">
        <v>0</v>
      </c>
      <c r="BC916" s="1">
        <v>0</v>
      </c>
      <c r="BE916" s="1">
        <v>27188511</v>
      </c>
    </row>
    <row r="917" spans="1:57" x14ac:dyDescent="0.25">
      <c r="A917" s="1" t="str">
        <f>T("1944739401884704752")</f>
        <v>1944739401884704752</v>
      </c>
      <c r="B917" s="1" t="str">
        <f>T("249910235645")</f>
        <v>249910235645</v>
      </c>
      <c r="C917" s="1" t="str">
        <f>T("1941094470917294764")</f>
        <v>1941094470917294764</v>
      </c>
      <c r="AC917" s="1" t="s">
        <v>344</v>
      </c>
      <c r="AD917" s="1" t="s">
        <v>524</v>
      </c>
      <c r="AE917" s="1" t="s">
        <v>528</v>
      </c>
      <c r="AF917" s="1" t="s">
        <v>144</v>
      </c>
      <c r="AG917" s="1" t="s">
        <v>529</v>
      </c>
      <c r="AO917" s="2">
        <v>46275</v>
      </c>
      <c r="AP917" s="1" t="s">
        <v>301</v>
      </c>
      <c r="AS917" s="1" t="s">
        <v>71</v>
      </c>
      <c r="AU917" s="1" t="s">
        <v>72</v>
      </c>
      <c r="AV917" s="1" t="s">
        <v>73</v>
      </c>
      <c r="AX917" s="1">
        <v>0</v>
      </c>
      <c r="BA917" s="1">
        <v>9</v>
      </c>
      <c r="BB917" s="1">
        <v>0</v>
      </c>
      <c r="BC917" s="1">
        <v>0</v>
      </c>
      <c r="BE917" s="1">
        <v>27188511</v>
      </c>
    </row>
    <row r="918" spans="1:57" x14ac:dyDescent="0.25">
      <c r="A918" s="1" t="str">
        <f>T("1944739401926646532")</f>
        <v>1944739401926646532</v>
      </c>
      <c r="B918" s="1" t="str">
        <f>T("249964605955")</f>
        <v>249964605955</v>
      </c>
      <c r="C918" s="1" t="str">
        <f>T("1941094470917295664")</f>
        <v>1941094470917295664</v>
      </c>
      <c r="AC918" s="1" t="s">
        <v>344</v>
      </c>
      <c r="AD918" s="1" t="s">
        <v>524</v>
      </c>
      <c r="AE918" s="1" t="s">
        <v>527</v>
      </c>
      <c r="AF918" s="1" t="s">
        <v>144</v>
      </c>
      <c r="AG918" s="1">
        <v>0</v>
      </c>
      <c r="AO918" s="2">
        <v>46275</v>
      </c>
      <c r="AP918" s="1" t="s">
        <v>301</v>
      </c>
      <c r="AS918" s="1" t="s">
        <v>71</v>
      </c>
      <c r="AU918" s="1" t="s">
        <v>72</v>
      </c>
      <c r="AV918" s="1" t="s">
        <v>73</v>
      </c>
      <c r="AX918" s="1">
        <v>0</v>
      </c>
      <c r="BA918" s="1">
        <v>9</v>
      </c>
      <c r="BB918" s="1">
        <v>0</v>
      </c>
      <c r="BC918" s="1">
        <v>0</v>
      </c>
      <c r="BE918" s="1">
        <v>27188511</v>
      </c>
    </row>
    <row r="919" spans="1:57" x14ac:dyDescent="0.25">
      <c r="A919" s="1" t="str">
        <f>T("1944739401930838340")</f>
        <v>1944739401930838340</v>
      </c>
      <c r="B919" s="1" t="str">
        <f>T("249962144512")</f>
        <v>249962144512</v>
      </c>
      <c r="C919" s="1" t="str">
        <f>T("1941094470917295164")</f>
        <v>1941094470917295164</v>
      </c>
      <c r="AC919" s="1" t="s">
        <v>344</v>
      </c>
      <c r="AD919" s="1" t="s">
        <v>524</v>
      </c>
      <c r="AE919" s="1" t="s">
        <v>535</v>
      </c>
      <c r="AF919" s="1" t="s">
        <v>144</v>
      </c>
      <c r="AG919" s="1">
        <v>0</v>
      </c>
      <c r="AO919" s="2">
        <v>46275</v>
      </c>
      <c r="AP919" s="1" t="s">
        <v>301</v>
      </c>
      <c r="AS919" s="1" t="s">
        <v>71</v>
      </c>
      <c r="AU919" s="1" t="s">
        <v>72</v>
      </c>
      <c r="AV919" s="1" t="s">
        <v>437</v>
      </c>
      <c r="AX919" s="1">
        <v>0</v>
      </c>
      <c r="BA919" s="1">
        <v>9</v>
      </c>
      <c r="BB919" s="1">
        <v>0</v>
      </c>
      <c r="BC919" s="1">
        <v>0</v>
      </c>
      <c r="BE919" s="1">
        <v>27188511</v>
      </c>
    </row>
    <row r="920" spans="1:57" x14ac:dyDescent="0.25">
      <c r="A920" s="1" t="str">
        <f>T("1944739401935034648")</f>
        <v>1944739401935034648</v>
      </c>
      <c r="B920" s="1" t="str">
        <f>T("249904749503")</f>
        <v>249904749503</v>
      </c>
      <c r="C920" s="1" t="str">
        <f>T("1941094470917296064")</f>
        <v>1941094470917296064</v>
      </c>
      <c r="AC920" s="1" t="s">
        <v>276</v>
      </c>
      <c r="AD920" s="1" t="s">
        <v>517</v>
      </c>
      <c r="AE920" s="1" t="s">
        <v>540</v>
      </c>
      <c r="AF920" s="1" t="s">
        <v>144</v>
      </c>
      <c r="AG920" s="1">
        <v>33</v>
      </c>
      <c r="AO920" s="2">
        <v>46275</v>
      </c>
      <c r="AP920" s="1" t="s">
        <v>301</v>
      </c>
      <c r="AS920" s="1" t="s">
        <v>71</v>
      </c>
      <c r="AU920" s="1" t="s">
        <v>72</v>
      </c>
      <c r="AV920" s="1" t="s">
        <v>437</v>
      </c>
      <c r="AX920" s="1">
        <v>0</v>
      </c>
      <c r="BA920" s="1">
        <v>9</v>
      </c>
      <c r="BB920" s="1">
        <v>0</v>
      </c>
      <c r="BC920" s="1">
        <v>0</v>
      </c>
      <c r="BE920" s="1">
        <v>27188511</v>
      </c>
    </row>
    <row r="921" spans="1:57" x14ac:dyDescent="0.25">
      <c r="A921" s="1" t="str">
        <f>T("1944739401939229856")</f>
        <v>1944739401939229856</v>
      </c>
      <c r="B921" s="1" t="str">
        <f>T("249969366884")</f>
        <v>249969366884</v>
      </c>
      <c r="C921" s="1" t="str">
        <f>T("1941094470921486672")</f>
        <v>1941094470921486672</v>
      </c>
      <c r="AC921" s="1" t="s">
        <v>344</v>
      </c>
      <c r="AD921" s="1" t="s">
        <v>430</v>
      </c>
      <c r="AE921" s="1" t="s">
        <v>532</v>
      </c>
      <c r="AF921" s="1" t="s">
        <v>144</v>
      </c>
      <c r="AG921" s="1">
        <v>0</v>
      </c>
      <c r="AO921" s="2">
        <v>46275</v>
      </c>
      <c r="AP921" s="1" t="s">
        <v>301</v>
      </c>
      <c r="AS921" s="1" t="s">
        <v>71</v>
      </c>
      <c r="AU921" s="1" t="s">
        <v>72</v>
      </c>
      <c r="AV921" s="1" t="s">
        <v>437</v>
      </c>
      <c r="AX921" s="1">
        <v>0</v>
      </c>
      <c r="BA921" s="1">
        <v>9</v>
      </c>
      <c r="BB921" s="1">
        <v>0</v>
      </c>
      <c r="BC921" s="1">
        <v>0</v>
      </c>
      <c r="BE921" s="1">
        <v>27188511</v>
      </c>
    </row>
    <row r="922" spans="1:57" x14ac:dyDescent="0.25">
      <c r="A922" s="1" t="str">
        <f>T("1944739401993753860")</f>
        <v>1944739401993753860</v>
      </c>
      <c r="B922" s="1" t="str">
        <f>T("249916748149")</f>
        <v>249916748149</v>
      </c>
      <c r="C922" s="1" t="str">
        <f>T("1941094470921487072")</f>
        <v>1941094470921487072</v>
      </c>
      <c r="AC922" s="1" t="s">
        <v>276</v>
      </c>
      <c r="AD922" s="1" t="s">
        <v>277</v>
      </c>
      <c r="AE922" s="1" t="s">
        <v>530</v>
      </c>
      <c r="AF922" s="1" t="s">
        <v>144</v>
      </c>
      <c r="AG922" s="1">
        <v>37</v>
      </c>
      <c r="AO922" s="2">
        <v>46275</v>
      </c>
      <c r="AP922" s="1" t="s">
        <v>301</v>
      </c>
      <c r="AS922" s="1" t="s">
        <v>71</v>
      </c>
      <c r="AU922" s="1" t="s">
        <v>72</v>
      </c>
      <c r="AV922" s="1" t="s">
        <v>437</v>
      </c>
      <c r="AX922" s="1">
        <v>0</v>
      </c>
      <c r="BA922" s="1">
        <v>9</v>
      </c>
      <c r="BB922" s="1">
        <v>0</v>
      </c>
      <c r="BC922" s="1">
        <v>0</v>
      </c>
      <c r="BE922" s="1">
        <v>27188511</v>
      </c>
    </row>
    <row r="923" spans="1:57" x14ac:dyDescent="0.25">
      <c r="A923" s="1" t="str">
        <f>T("1944739401997949168")</f>
        <v>1944739401997949168</v>
      </c>
      <c r="B923" s="1" t="str">
        <f>T("249900883149")</f>
        <v>249900883149</v>
      </c>
      <c r="C923" s="1" t="str">
        <f>T("1941094470921488472")</f>
        <v>1941094470921488472</v>
      </c>
      <c r="AC923" s="1" t="s">
        <v>276</v>
      </c>
      <c r="AD923" s="1" t="s">
        <v>517</v>
      </c>
      <c r="AE923" s="1" t="s">
        <v>521</v>
      </c>
      <c r="AF923" s="1" t="s">
        <v>144</v>
      </c>
      <c r="AG923" s="1">
        <v>28</v>
      </c>
      <c r="AO923" s="2">
        <v>46275</v>
      </c>
      <c r="AP923" s="1" t="s">
        <v>301</v>
      </c>
      <c r="AS923" s="1" t="s">
        <v>71</v>
      </c>
      <c r="AU923" s="1" t="s">
        <v>72</v>
      </c>
      <c r="AV923" s="1" t="s">
        <v>437</v>
      </c>
      <c r="AX923" s="1">
        <v>0</v>
      </c>
      <c r="BA923" s="1">
        <v>9</v>
      </c>
      <c r="BB923" s="1">
        <v>0</v>
      </c>
      <c r="BC923" s="1">
        <v>0</v>
      </c>
      <c r="BE923" s="1">
        <v>27188511</v>
      </c>
    </row>
    <row r="924" spans="1:57" x14ac:dyDescent="0.25">
      <c r="A924" s="1" t="str">
        <f>T("1944739402002142576")</f>
        <v>1944739402002142576</v>
      </c>
      <c r="B924" s="1" t="str">
        <f>T("249903076151")</f>
        <v>249903076151</v>
      </c>
      <c r="C924" s="1" t="str">
        <f>T("1941094470921488072")</f>
        <v>1941094470921488072</v>
      </c>
      <c r="AC924" s="1" t="s">
        <v>344</v>
      </c>
      <c r="AD924" s="1" t="s">
        <v>430</v>
      </c>
      <c r="AE924" s="1" t="s">
        <v>531</v>
      </c>
      <c r="AF924" s="1" t="s">
        <v>144</v>
      </c>
      <c r="AG924" s="1">
        <v>0</v>
      </c>
      <c r="AO924" s="2">
        <v>46275</v>
      </c>
      <c r="AP924" s="1" t="s">
        <v>301</v>
      </c>
      <c r="AS924" s="1" t="s">
        <v>71</v>
      </c>
      <c r="AU924" s="1" t="s">
        <v>72</v>
      </c>
      <c r="AV924" s="1" t="s">
        <v>73</v>
      </c>
      <c r="AX924" s="1">
        <v>0</v>
      </c>
      <c r="BA924" s="1">
        <v>9</v>
      </c>
      <c r="BB924" s="1">
        <v>0</v>
      </c>
      <c r="BC924" s="1">
        <v>0</v>
      </c>
      <c r="BE924" s="1">
        <v>27188511</v>
      </c>
    </row>
    <row r="925" spans="1:57" x14ac:dyDescent="0.25">
      <c r="A925" s="1" t="str">
        <f>T("1944739402002142876")</f>
        <v>1944739402002142876</v>
      </c>
      <c r="B925" s="1" t="str">
        <f>T("249128980539")</f>
        <v>249128980539</v>
      </c>
      <c r="C925" s="1" t="str">
        <f>T("1941094470921488872")</f>
        <v>1941094470921488872</v>
      </c>
      <c r="M925" s="1" t="s">
        <v>59</v>
      </c>
      <c r="O925" s="1" t="s">
        <v>65</v>
      </c>
      <c r="P925" s="1" t="s">
        <v>61</v>
      </c>
      <c r="AA925" s="1">
        <v>1</v>
      </c>
      <c r="AC925" s="1" t="s">
        <v>276</v>
      </c>
      <c r="AD925" s="1" t="s">
        <v>298</v>
      </c>
      <c r="AE925" s="1" t="s">
        <v>526</v>
      </c>
      <c r="AF925" s="1" t="s">
        <v>144</v>
      </c>
      <c r="AG925" s="1">
        <v>60</v>
      </c>
      <c r="AO925" s="2">
        <v>46275</v>
      </c>
      <c r="AP925" s="1" t="s">
        <v>301</v>
      </c>
      <c r="AQ925" s="2">
        <v>46275</v>
      </c>
      <c r="AR925" s="1" t="s">
        <v>541</v>
      </c>
      <c r="AS925" s="1" t="s">
        <v>71</v>
      </c>
      <c r="AU925" s="1" t="s">
        <v>79</v>
      </c>
      <c r="AV925" s="1" t="s">
        <v>80</v>
      </c>
      <c r="AW925" s="1">
        <v>112.72</v>
      </c>
      <c r="AX925" s="1">
        <v>0</v>
      </c>
      <c r="AZ925" s="1" t="s">
        <v>81</v>
      </c>
      <c r="BA925" s="1">
        <v>7</v>
      </c>
      <c r="BB925" s="1">
        <v>0</v>
      </c>
      <c r="BC925" s="1">
        <v>0</v>
      </c>
      <c r="BE925" s="1">
        <v>27188511</v>
      </c>
    </row>
    <row r="926" spans="1:57" x14ac:dyDescent="0.25">
      <c r="A926" s="1" t="str">
        <f>T("1944739402052475172")</f>
        <v>1944739402052475172</v>
      </c>
      <c r="B926" s="1" t="str">
        <f>T("249910212590")</f>
        <v>249910212590</v>
      </c>
      <c r="C926" s="1" t="str">
        <f>T("1941094470921489272")</f>
        <v>1941094470921489272</v>
      </c>
      <c r="AC926" s="1" t="s">
        <v>344</v>
      </c>
      <c r="AD926" s="1" t="s">
        <v>524</v>
      </c>
      <c r="AE926" s="1" t="s">
        <v>528</v>
      </c>
      <c r="AF926" s="1" t="s">
        <v>144</v>
      </c>
      <c r="AG926" s="1" t="s">
        <v>529</v>
      </c>
      <c r="AO926" s="2">
        <v>46275</v>
      </c>
      <c r="AP926" s="1" t="s">
        <v>301</v>
      </c>
      <c r="AS926" s="1" t="s">
        <v>71</v>
      </c>
      <c r="AU926" s="1" t="s">
        <v>72</v>
      </c>
      <c r="AV926" s="1" t="s">
        <v>437</v>
      </c>
      <c r="AX926" s="1">
        <v>0</v>
      </c>
      <c r="BA926" s="1">
        <v>9</v>
      </c>
      <c r="BB926" s="1">
        <v>0</v>
      </c>
      <c r="BC926" s="1">
        <v>0</v>
      </c>
      <c r="BE926" s="1">
        <v>27188511</v>
      </c>
    </row>
    <row r="927" spans="1:57" x14ac:dyDescent="0.25">
      <c r="A927" s="1" t="str">
        <f>T("1944739402065056896")</f>
        <v>1944739402065056896</v>
      </c>
      <c r="B927" s="1" t="str">
        <f>T("249113992662")</f>
        <v>249113992662</v>
      </c>
      <c r="C927" s="1" t="str">
        <f>T("1941094470921490172")</f>
        <v>1941094470921490172</v>
      </c>
      <c r="M927" s="1" t="s">
        <v>59</v>
      </c>
      <c r="O927" s="1" t="s">
        <v>65</v>
      </c>
      <c r="AA927" s="1">
        <v>1</v>
      </c>
      <c r="AC927" s="1" t="s">
        <v>276</v>
      </c>
      <c r="AD927" s="1" t="s">
        <v>298</v>
      </c>
      <c r="AE927" s="1" t="s">
        <v>526</v>
      </c>
      <c r="AF927" s="1" t="s">
        <v>144</v>
      </c>
      <c r="AG927" s="1">
        <v>50</v>
      </c>
      <c r="AO927" s="2">
        <v>46275</v>
      </c>
      <c r="AP927" s="1" t="s">
        <v>301</v>
      </c>
      <c r="AQ927" s="2">
        <v>46275</v>
      </c>
      <c r="AR927" s="1" t="s">
        <v>542</v>
      </c>
      <c r="AS927" s="1" t="s">
        <v>71</v>
      </c>
      <c r="AU927" s="1" t="s">
        <v>79</v>
      </c>
      <c r="AV927" s="1" t="s">
        <v>80</v>
      </c>
      <c r="AW927" s="1">
        <v>102.66</v>
      </c>
      <c r="AX927" s="1">
        <v>0</v>
      </c>
      <c r="AZ927" s="1" t="s">
        <v>81</v>
      </c>
      <c r="BA927" s="1">
        <v>4</v>
      </c>
      <c r="BB927" s="1">
        <v>0</v>
      </c>
      <c r="BC927" s="1">
        <v>0</v>
      </c>
      <c r="BE927" s="1">
        <v>27188511</v>
      </c>
    </row>
    <row r="928" spans="1:57" x14ac:dyDescent="0.25">
      <c r="A928" s="1" t="str">
        <f>T("1944739402065057996")</f>
        <v>1944739402065057996</v>
      </c>
      <c r="B928" s="1" t="str">
        <f>T("249969869414")</f>
        <v>249969869414</v>
      </c>
      <c r="C928" s="1" t="str">
        <f>T("1941094470921489772")</f>
        <v>1941094470921489772</v>
      </c>
      <c r="AC928" s="1" t="s">
        <v>276</v>
      </c>
      <c r="AD928" s="1" t="s">
        <v>298</v>
      </c>
      <c r="AE928" s="1" t="s">
        <v>538</v>
      </c>
      <c r="AF928" s="1" t="s">
        <v>144</v>
      </c>
      <c r="AG928" s="1">
        <v>42</v>
      </c>
      <c r="AO928" s="2">
        <v>46275</v>
      </c>
      <c r="AP928" s="1" t="s">
        <v>301</v>
      </c>
      <c r="AS928" s="1" t="s">
        <v>71</v>
      </c>
      <c r="AU928" s="1" t="s">
        <v>72</v>
      </c>
      <c r="AV928" s="1" t="s">
        <v>73</v>
      </c>
      <c r="AX928" s="1">
        <v>0</v>
      </c>
      <c r="BA928" s="1">
        <v>9</v>
      </c>
      <c r="BB928" s="1">
        <v>0</v>
      </c>
      <c r="BC928" s="1">
        <v>0</v>
      </c>
      <c r="BE928" s="1">
        <v>27188511</v>
      </c>
    </row>
    <row r="929" spans="1:57" x14ac:dyDescent="0.25">
      <c r="A929" s="1" t="str">
        <f>T("1944739402073447712")</f>
        <v>1944739402073447712</v>
      </c>
      <c r="B929" s="1" t="str">
        <f>T("249911290311")</f>
        <v>249911290311</v>
      </c>
      <c r="C929" s="1" t="str">
        <f>T("1941094470925680880")</f>
        <v>1941094470925680880</v>
      </c>
      <c r="AC929" s="1" t="s">
        <v>104</v>
      </c>
      <c r="AD929" s="1" t="s">
        <v>105</v>
      </c>
      <c r="AE929" s="1" t="s">
        <v>401</v>
      </c>
      <c r="AF929" s="1" t="s">
        <v>144</v>
      </c>
      <c r="AG929" s="1">
        <v>58</v>
      </c>
      <c r="AO929" s="2">
        <v>46275</v>
      </c>
      <c r="AP929" s="1" t="s">
        <v>301</v>
      </c>
      <c r="AS929" s="1" t="s">
        <v>71</v>
      </c>
      <c r="AU929" s="1" t="s">
        <v>72</v>
      </c>
      <c r="AV929" s="1" t="s">
        <v>73</v>
      </c>
      <c r="AX929" s="1">
        <v>0</v>
      </c>
      <c r="BA929" s="1">
        <v>9</v>
      </c>
      <c r="BB929" s="1">
        <v>0</v>
      </c>
      <c r="BC929" s="1">
        <v>0</v>
      </c>
      <c r="BE929" s="1">
        <v>27188511</v>
      </c>
    </row>
    <row r="930" spans="1:57" x14ac:dyDescent="0.25">
      <c r="A930" s="1" t="str">
        <f>T("1944739402107002676")</f>
        <v>1944739402107002676</v>
      </c>
      <c r="B930" s="1" t="str">
        <f>T("249904463521")</f>
        <v>249904463521</v>
      </c>
      <c r="C930" s="1" t="str">
        <f>T("1941094470925681280")</f>
        <v>1941094470925681280</v>
      </c>
      <c r="AC930" s="1" t="s">
        <v>344</v>
      </c>
      <c r="AD930" s="1" t="s">
        <v>345</v>
      </c>
      <c r="AE930" s="1" t="s">
        <v>522</v>
      </c>
      <c r="AF930" s="1" t="s">
        <v>144</v>
      </c>
      <c r="AG930" s="1">
        <v>40</v>
      </c>
      <c r="AO930" s="2">
        <v>46275</v>
      </c>
      <c r="AP930" s="1" t="s">
        <v>301</v>
      </c>
      <c r="AS930" s="1" t="s">
        <v>71</v>
      </c>
      <c r="AU930" s="1" t="s">
        <v>72</v>
      </c>
      <c r="AV930" s="1" t="s">
        <v>437</v>
      </c>
      <c r="AX930" s="1">
        <v>0</v>
      </c>
      <c r="BA930" s="1">
        <v>9</v>
      </c>
      <c r="BB930" s="1">
        <v>0</v>
      </c>
      <c r="BC930" s="1">
        <v>0</v>
      </c>
      <c r="BE930" s="1">
        <v>27188511</v>
      </c>
    </row>
    <row r="931" spans="1:57" x14ac:dyDescent="0.25">
      <c r="A931" s="1" t="str">
        <f>T("1944739402127971516")</f>
        <v>1944739402127971516</v>
      </c>
      <c r="B931" s="1" t="str">
        <f>T("249914425904")</f>
        <v>249914425904</v>
      </c>
      <c r="C931" s="1" t="str">
        <f>T("1941094470925681680")</f>
        <v>1941094470925681680</v>
      </c>
      <c r="AC931" s="1" t="s">
        <v>344</v>
      </c>
      <c r="AD931" s="1" t="s">
        <v>345</v>
      </c>
      <c r="AE931" s="1" t="s">
        <v>522</v>
      </c>
      <c r="AF931" s="1" t="s">
        <v>144</v>
      </c>
      <c r="AG931" s="1">
        <v>41</v>
      </c>
      <c r="AO931" s="2">
        <v>46275</v>
      </c>
      <c r="AP931" s="1" t="s">
        <v>301</v>
      </c>
      <c r="AS931" s="1" t="s">
        <v>71</v>
      </c>
      <c r="AU931" s="1" t="s">
        <v>72</v>
      </c>
      <c r="AV931" s="1" t="s">
        <v>437</v>
      </c>
      <c r="AX931" s="1">
        <v>0</v>
      </c>
      <c r="BA931" s="1">
        <v>9</v>
      </c>
      <c r="BB931" s="1">
        <v>0</v>
      </c>
      <c r="BC931" s="1">
        <v>0</v>
      </c>
      <c r="BE931" s="1">
        <v>27188511</v>
      </c>
    </row>
    <row r="932" spans="1:57" x14ac:dyDescent="0.25">
      <c r="A932" s="1" t="str">
        <f>T("1944739402136362932")</f>
        <v>1944739402136362932</v>
      </c>
      <c r="B932" s="1" t="str">
        <f>T("249914059554")</f>
        <v>249914059554</v>
      </c>
      <c r="C932" s="1" t="str">
        <f>T("1941094470925682080")</f>
        <v>1941094470925682080</v>
      </c>
      <c r="AC932" s="1" t="s">
        <v>344</v>
      </c>
      <c r="AD932" s="1" t="s">
        <v>524</v>
      </c>
      <c r="AE932" s="1" t="s">
        <v>528</v>
      </c>
      <c r="AF932" s="1" t="s">
        <v>144</v>
      </c>
      <c r="AG932" s="1" t="s">
        <v>529</v>
      </c>
      <c r="AO932" s="2">
        <v>46275</v>
      </c>
      <c r="AP932" s="1" t="s">
        <v>301</v>
      </c>
      <c r="AS932" s="1" t="s">
        <v>71</v>
      </c>
      <c r="AU932" s="1" t="s">
        <v>72</v>
      </c>
      <c r="AV932" s="1" t="s">
        <v>437</v>
      </c>
      <c r="AX932" s="1">
        <v>0</v>
      </c>
      <c r="BA932" s="1">
        <v>9</v>
      </c>
      <c r="BB932" s="1">
        <v>0</v>
      </c>
      <c r="BC932" s="1">
        <v>0</v>
      </c>
      <c r="BE932" s="1">
        <v>27188511</v>
      </c>
    </row>
    <row r="933" spans="1:57" x14ac:dyDescent="0.25">
      <c r="A933" s="1" t="str">
        <f>T("1944739402148945156")</f>
        <v>1944739402148945156</v>
      </c>
      <c r="B933" s="1" t="str">
        <f>T("249917148036")</f>
        <v>249917148036</v>
      </c>
      <c r="C933" s="1" t="str">
        <f>T("1941094470925683880")</f>
        <v>1941094470925683880</v>
      </c>
      <c r="AC933" s="1" t="s">
        <v>366</v>
      </c>
      <c r="AD933" s="1" t="s">
        <v>367</v>
      </c>
      <c r="AE933" s="1" t="s">
        <v>368</v>
      </c>
      <c r="AF933" s="1" t="s">
        <v>144</v>
      </c>
      <c r="AG933" s="1">
        <v>46</v>
      </c>
      <c r="AO933" s="2">
        <v>46275</v>
      </c>
      <c r="AP933" s="1" t="s">
        <v>301</v>
      </c>
      <c r="AS933" s="1" t="s">
        <v>71</v>
      </c>
      <c r="AU933" s="1" t="s">
        <v>72</v>
      </c>
      <c r="AV933" s="1" t="s">
        <v>437</v>
      </c>
      <c r="AX933" s="1">
        <v>0</v>
      </c>
      <c r="BA933" s="1">
        <v>9</v>
      </c>
      <c r="BB933" s="1">
        <v>0</v>
      </c>
      <c r="BC933" s="1">
        <v>0</v>
      </c>
      <c r="BE933" s="1">
        <v>27188511</v>
      </c>
    </row>
    <row r="934" spans="1:57" x14ac:dyDescent="0.25">
      <c r="A934" s="1" t="str">
        <f>T("1944739402153140064")</f>
        <v>1944739402153140064</v>
      </c>
      <c r="B934" s="1" t="str">
        <f>T("249906446977")</f>
        <v>249906446977</v>
      </c>
      <c r="C934" s="1" t="str">
        <f>T("1941094470925684580")</f>
        <v>1941094470925684580</v>
      </c>
      <c r="AC934" s="1" t="s">
        <v>344</v>
      </c>
      <c r="AD934" s="1" t="s">
        <v>345</v>
      </c>
      <c r="AE934" s="1" t="s">
        <v>522</v>
      </c>
      <c r="AF934" s="1" t="s">
        <v>144</v>
      </c>
      <c r="AG934" s="1">
        <v>25</v>
      </c>
      <c r="AO934" s="2">
        <v>46275</v>
      </c>
      <c r="AP934" s="1" t="s">
        <v>301</v>
      </c>
      <c r="AS934" s="1" t="s">
        <v>71</v>
      </c>
      <c r="AU934" s="1" t="s">
        <v>72</v>
      </c>
      <c r="AV934" s="1" t="s">
        <v>437</v>
      </c>
      <c r="AX934" s="1">
        <v>0</v>
      </c>
      <c r="BA934" s="1">
        <v>9</v>
      </c>
      <c r="BB934" s="1">
        <v>0</v>
      </c>
      <c r="BC934" s="1">
        <v>0</v>
      </c>
      <c r="BE934" s="1">
        <v>27188511</v>
      </c>
    </row>
    <row r="935" spans="1:57" x14ac:dyDescent="0.25">
      <c r="A935" s="1" t="str">
        <f>T("1944739402190887736")</f>
        <v>1944739402190887736</v>
      </c>
      <c r="B935" s="1" t="str">
        <f>T("249962200597")</f>
        <v>249962200597</v>
      </c>
      <c r="C935" s="1" t="str">
        <f>T("1941094470929875288")</f>
        <v>1941094470929875288</v>
      </c>
      <c r="AC935" s="1" t="s">
        <v>276</v>
      </c>
      <c r="AD935" s="1" t="s">
        <v>517</v>
      </c>
      <c r="AE935" s="1" t="s">
        <v>540</v>
      </c>
      <c r="AF935" s="1" t="s">
        <v>144</v>
      </c>
      <c r="AG935" s="1">
        <v>29</v>
      </c>
      <c r="AO935" s="2">
        <v>46275</v>
      </c>
      <c r="AP935" s="1" t="s">
        <v>301</v>
      </c>
      <c r="AS935" s="1" t="s">
        <v>71</v>
      </c>
      <c r="AU935" s="1" t="s">
        <v>72</v>
      </c>
      <c r="AV935" s="1" t="s">
        <v>437</v>
      </c>
      <c r="AX935" s="1">
        <v>0</v>
      </c>
      <c r="BA935" s="1">
        <v>9</v>
      </c>
      <c r="BB935" s="1">
        <v>0</v>
      </c>
      <c r="BC935" s="1">
        <v>0</v>
      </c>
      <c r="BE935" s="1">
        <v>27188511</v>
      </c>
    </row>
    <row r="936" spans="1:57" x14ac:dyDescent="0.25">
      <c r="A936" s="1" t="str">
        <f>T("1944739402199273652")</f>
        <v>1944739402199273652</v>
      </c>
      <c r="B936" s="1" t="str">
        <f>T("249903645111")</f>
        <v>249903645111</v>
      </c>
      <c r="C936" s="1" t="str">
        <f>T("1941094470929875688")</f>
        <v>1941094470929875688</v>
      </c>
      <c r="AC936" s="1" t="s">
        <v>276</v>
      </c>
      <c r="AD936" s="1" t="s">
        <v>517</v>
      </c>
      <c r="AE936" s="1" t="s">
        <v>530</v>
      </c>
      <c r="AF936" s="1" t="s">
        <v>144</v>
      </c>
      <c r="AG936" s="1">
        <v>31</v>
      </c>
      <c r="AO936" s="2">
        <v>46275</v>
      </c>
      <c r="AP936" s="1" t="s">
        <v>301</v>
      </c>
      <c r="AS936" s="1" t="s">
        <v>71</v>
      </c>
      <c r="AU936" s="1" t="s">
        <v>72</v>
      </c>
      <c r="AV936" s="1" t="s">
        <v>437</v>
      </c>
      <c r="AX936" s="1">
        <v>0</v>
      </c>
      <c r="BA936" s="1">
        <v>9</v>
      </c>
      <c r="BB936" s="1">
        <v>0</v>
      </c>
      <c r="BC936" s="1">
        <v>0</v>
      </c>
      <c r="BE936" s="1">
        <v>27188511</v>
      </c>
    </row>
    <row r="937" spans="1:57" x14ac:dyDescent="0.25">
      <c r="A937" s="1" t="str">
        <f>T("1944739402211856476")</f>
        <v>1944739402211856476</v>
      </c>
      <c r="B937" s="1" t="str">
        <f>T("249902670702")</f>
        <v>249902670702</v>
      </c>
      <c r="C937" s="1" t="str">
        <f>T("1941094470929876088")</f>
        <v>1941094470929876088</v>
      </c>
      <c r="AC937" s="1" t="s">
        <v>344</v>
      </c>
      <c r="AD937" s="1" t="s">
        <v>430</v>
      </c>
      <c r="AE937" s="1" t="s">
        <v>531</v>
      </c>
      <c r="AF937" s="1" t="s">
        <v>144</v>
      </c>
      <c r="AG937" s="1">
        <v>0</v>
      </c>
      <c r="AO937" s="2">
        <v>46275</v>
      </c>
      <c r="AP937" s="1" t="s">
        <v>301</v>
      </c>
      <c r="AS937" s="1" t="s">
        <v>71</v>
      </c>
      <c r="AU937" s="1" t="s">
        <v>72</v>
      </c>
      <c r="AV937" s="1" t="s">
        <v>73</v>
      </c>
      <c r="AX937" s="1">
        <v>0</v>
      </c>
      <c r="BA937" s="1">
        <v>9</v>
      </c>
      <c r="BB937" s="1">
        <v>0</v>
      </c>
      <c r="BC937" s="1">
        <v>0</v>
      </c>
      <c r="BE937" s="1">
        <v>27188511</v>
      </c>
    </row>
    <row r="938" spans="1:57" x14ac:dyDescent="0.25">
      <c r="A938" s="1" t="str">
        <f>T("1944739402224443200")</f>
        <v>1944739402224443200</v>
      </c>
      <c r="B938" s="1" t="str">
        <f>T("249915372538")</f>
        <v>249915372538</v>
      </c>
      <c r="C938" s="1" t="str">
        <f>T("1941094470929876488")</f>
        <v>1941094470929876488</v>
      </c>
      <c r="AC938" s="1" t="s">
        <v>344</v>
      </c>
      <c r="AD938" s="1" t="s">
        <v>524</v>
      </c>
      <c r="AE938" s="1" t="s">
        <v>528</v>
      </c>
      <c r="AF938" s="1" t="s">
        <v>144</v>
      </c>
      <c r="AG938" s="1" t="s">
        <v>529</v>
      </c>
      <c r="AO938" s="2">
        <v>46275</v>
      </c>
      <c r="AP938" s="1" t="s">
        <v>301</v>
      </c>
      <c r="AS938" s="1" t="s">
        <v>71</v>
      </c>
      <c r="AU938" s="1" t="s">
        <v>72</v>
      </c>
      <c r="AV938" s="1" t="s">
        <v>73</v>
      </c>
      <c r="AX938" s="1">
        <v>0</v>
      </c>
      <c r="BA938" s="1">
        <v>9</v>
      </c>
      <c r="BB938" s="1">
        <v>0</v>
      </c>
      <c r="BC938" s="1">
        <v>0</v>
      </c>
      <c r="BE938" s="1">
        <v>27188511</v>
      </c>
    </row>
    <row r="939" spans="1:57" x14ac:dyDescent="0.25">
      <c r="A939" s="1" t="str">
        <f>T("1944739402257995664")</f>
        <v>1944739402257995664</v>
      </c>
      <c r="B939" s="1" t="str">
        <f>T("249124358142")</f>
        <v>249124358142</v>
      </c>
      <c r="C939" s="1" t="str">
        <f>T("1941094470938266604")</f>
        <v>1941094470938266604</v>
      </c>
      <c r="AA939" s="1">
        <v>1</v>
      </c>
      <c r="AC939" s="1" t="s">
        <v>344</v>
      </c>
      <c r="AD939" s="1" t="s">
        <v>524</v>
      </c>
      <c r="AE939" s="1" t="s">
        <v>527</v>
      </c>
      <c r="AF939" s="1" t="s">
        <v>144</v>
      </c>
      <c r="AG939" s="1">
        <v>0</v>
      </c>
      <c r="AO939" s="2">
        <v>46275</v>
      </c>
      <c r="AP939" s="1" t="s">
        <v>301</v>
      </c>
      <c r="AQ939" s="2">
        <v>46275</v>
      </c>
      <c r="AR939" s="1" t="s">
        <v>543</v>
      </c>
      <c r="AS939" s="1" t="s">
        <v>71</v>
      </c>
      <c r="AU939" s="1" t="s">
        <v>78</v>
      </c>
      <c r="AV939" s="1" t="s">
        <v>80</v>
      </c>
      <c r="AW939" s="1">
        <v>134.56</v>
      </c>
      <c r="AX939" s="1">
        <v>0</v>
      </c>
      <c r="AZ939" s="1" t="s">
        <v>81</v>
      </c>
      <c r="BA939" s="1">
        <v>3</v>
      </c>
      <c r="BB939" s="1">
        <v>0</v>
      </c>
      <c r="BC939" s="1">
        <v>0</v>
      </c>
      <c r="BE939" s="1">
        <v>27188511</v>
      </c>
    </row>
    <row r="940" spans="1:57" x14ac:dyDescent="0.25">
      <c r="A940" s="1" t="str">
        <f>T("1944739402262189172")</f>
        <v>1944739402262189172</v>
      </c>
      <c r="B940" s="1" t="str">
        <f>T("249966528075")</f>
        <v>249966528075</v>
      </c>
      <c r="C940" s="1" t="str">
        <f>T("1941094470938267404")</f>
        <v>1941094470938267404</v>
      </c>
      <c r="AC940" s="1" t="s">
        <v>344</v>
      </c>
      <c r="AD940" s="1" t="s">
        <v>430</v>
      </c>
      <c r="AE940" s="1" t="s">
        <v>531</v>
      </c>
      <c r="AF940" s="1" t="s">
        <v>144</v>
      </c>
      <c r="AG940" s="1">
        <v>0</v>
      </c>
      <c r="AO940" s="2">
        <v>46275</v>
      </c>
      <c r="AP940" s="1" t="s">
        <v>301</v>
      </c>
      <c r="AS940" s="1" t="s">
        <v>71</v>
      </c>
      <c r="AU940" s="1" t="s">
        <v>72</v>
      </c>
      <c r="AV940" s="1" t="s">
        <v>73</v>
      </c>
      <c r="AX940" s="1">
        <v>0</v>
      </c>
      <c r="BA940" s="1">
        <v>9</v>
      </c>
      <c r="BB940" s="1">
        <v>0</v>
      </c>
      <c r="BC940" s="1">
        <v>0</v>
      </c>
      <c r="BE940" s="1">
        <v>27188511</v>
      </c>
    </row>
    <row r="941" spans="1:57" x14ac:dyDescent="0.25">
      <c r="A941" s="1" t="str">
        <f>T("1944739402266385680")</f>
        <v>1944739402266385680</v>
      </c>
      <c r="B941" s="1" t="str">
        <f>T("249917235951")</f>
        <v>249917235951</v>
      </c>
      <c r="C941" s="1" t="str">
        <f>T("1941094470942459212")</f>
        <v>1941094470942459212</v>
      </c>
      <c r="AC941" s="1" t="s">
        <v>344</v>
      </c>
      <c r="AD941" s="1" t="s">
        <v>524</v>
      </c>
      <c r="AE941" s="1" t="s">
        <v>528</v>
      </c>
      <c r="AF941" s="1" t="s">
        <v>144</v>
      </c>
      <c r="AG941" s="1" t="s">
        <v>529</v>
      </c>
      <c r="AO941" s="2">
        <v>46275</v>
      </c>
      <c r="AP941" s="1" t="s">
        <v>301</v>
      </c>
      <c r="AS941" s="1" t="s">
        <v>71</v>
      </c>
      <c r="AU941" s="1" t="s">
        <v>72</v>
      </c>
      <c r="AV941" s="1" t="s">
        <v>73</v>
      </c>
      <c r="AX941" s="1">
        <v>0</v>
      </c>
      <c r="BA941" s="1">
        <v>9</v>
      </c>
      <c r="BB941" s="1">
        <v>0</v>
      </c>
      <c r="BC941" s="1">
        <v>0</v>
      </c>
      <c r="BE941" s="1">
        <v>27188511</v>
      </c>
    </row>
    <row r="942" spans="1:57" x14ac:dyDescent="0.25">
      <c r="A942" s="1" t="str">
        <f>T("1944739402312520268")</f>
        <v>1944739402312520268</v>
      </c>
      <c r="B942" s="1" t="str">
        <f>T("249908233554")</f>
        <v>249908233554</v>
      </c>
      <c r="C942" s="1" t="str">
        <f>T("1941094470942461612")</f>
        <v>1941094470942461612</v>
      </c>
      <c r="AC942" s="1" t="s">
        <v>276</v>
      </c>
      <c r="AD942" s="1" t="s">
        <v>517</v>
      </c>
      <c r="AE942" s="1" t="s">
        <v>530</v>
      </c>
      <c r="AF942" s="1" t="s">
        <v>144</v>
      </c>
      <c r="AG942" s="1">
        <v>25</v>
      </c>
      <c r="AO942" s="2">
        <v>46275</v>
      </c>
      <c r="AP942" s="1" t="s">
        <v>301</v>
      </c>
      <c r="AS942" s="1" t="s">
        <v>71</v>
      </c>
      <c r="AU942" s="1" t="s">
        <v>72</v>
      </c>
      <c r="AV942" s="1" t="s">
        <v>73</v>
      </c>
      <c r="AX942" s="1">
        <v>0</v>
      </c>
      <c r="BA942" s="1">
        <v>9</v>
      </c>
      <c r="BB942" s="1">
        <v>0</v>
      </c>
      <c r="BC942" s="1">
        <v>0</v>
      </c>
      <c r="BE942" s="1">
        <v>27188511</v>
      </c>
    </row>
    <row r="943" spans="1:57" x14ac:dyDescent="0.25">
      <c r="A943" s="1" t="str">
        <f>T("1944739402320911784")</f>
        <v>1944739402320911784</v>
      </c>
      <c r="B943" s="1" t="str">
        <f>T("249968280882")</f>
        <v>249968280882</v>
      </c>
      <c r="C943" s="1" t="str">
        <f>T("1941094470946652520")</f>
        <v>1941094470946652520</v>
      </c>
      <c r="AC943" s="1" t="s">
        <v>344</v>
      </c>
      <c r="AD943" s="1" t="s">
        <v>524</v>
      </c>
      <c r="AE943" s="1" t="s">
        <v>534</v>
      </c>
      <c r="AF943" s="1" t="s">
        <v>144</v>
      </c>
      <c r="AG943" s="1" t="s">
        <v>529</v>
      </c>
      <c r="AO943" s="2">
        <v>46275</v>
      </c>
      <c r="AP943" s="1" t="s">
        <v>301</v>
      </c>
      <c r="AS943" s="1" t="s">
        <v>71</v>
      </c>
      <c r="AU943" s="1" t="s">
        <v>72</v>
      </c>
      <c r="AV943" s="1" t="s">
        <v>437</v>
      </c>
      <c r="AX943" s="1">
        <v>0</v>
      </c>
      <c r="BA943" s="1">
        <v>9</v>
      </c>
      <c r="BB943" s="1">
        <v>0</v>
      </c>
      <c r="BC943" s="1">
        <v>0</v>
      </c>
      <c r="BE943" s="1">
        <v>27188511</v>
      </c>
    </row>
    <row r="944" spans="1:57" x14ac:dyDescent="0.25">
      <c r="A944" s="1" t="str">
        <f>T("1944739402333492908")</f>
        <v>1944739402333492908</v>
      </c>
      <c r="B944" s="1" t="str">
        <f>T("249917021733")</f>
        <v>249917021733</v>
      </c>
      <c r="C944" s="1" t="str">
        <f>T("1941094470946653320")</f>
        <v>1941094470946653320</v>
      </c>
      <c r="AC944" s="1" t="s">
        <v>344</v>
      </c>
      <c r="AD944" s="1" t="s">
        <v>524</v>
      </c>
      <c r="AE944" s="1" t="s">
        <v>535</v>
      </c>
      <c r="AF944" s="1" t="s">
        <v>144</v>
      </c>
      <c r="AG944" s="1">
        <v>0</v>
      </c>
      <c r="AO944" s="2">
        <v>46275</v>
      </c>
      <c r="AP944" s="1" t="s">
        <v>301</v>
      </c>
      <c r="AS944" s="1" t="s">
        <v>71</v>
      </c>
      <c r="AU944" s="1" t="s">
        <v>72</v>
      </c>
      <c r="AV944" s="1" t="s">
        <v>73</v>
      </c>
      <c r="AX944" s="1">
        <v>0</v>
      </c>
      <c r="BA944" s="1">
        <v>9</v>
      </c>
      <c r="BB944" s="1">
        <v>0</v>
      </c>
      <c r="BC944" s="1">
        <v>0</v>
      </c>
      <c r="BE944" s="1">
        <v>27188511</v>
      </c>
    </row>
    <row r="945" spans="1:57" x14ac:dyDescent="0.25">
      <c r="A945" s="1" t="str">
        <f>T("1944746941313914572")</f>
        <v>1944746941313914572</v>
      </c>
      <c r="B945" s="1" t="str">
        <f>T("249965650100")</f>
        <v>249965650100</v>
      </c>
      <c r="C945" s="1" t="str">
        <f>T("1941094470946653820")</f>
        <v>1941094470946653820</v>
      </c>
      <c r="AC945" s="1" t="s">
        <v>276</v>
      </c>
      <c r="AD945" s="1" t="s">
        <v>517</v>
      </c>
      <c r="AE945" s="1" t="s">
        <v>540</v>
      </c>
      <c r="AF945" s="1" t="s">
        <v>144</v>
      </c>
      <c r="AG945" s="1">
        <v>26</v>
      </c>
      <c r="AO945" s="2">
        <v>46275</v>
      </c>
      <c r="AP945" s="1" t="s">
        <v>157</v>
      </c>
      <c r="AS945" s="1" t="s">
        <v>71</v>
      </c>
      <c r="AU945" s="1" t="s">
        <v>72</v>
      </c>
      <c r="AV945" s="1" t="s">
        <v>73</v>
      </c>
      <c r="AX945" s="1">
        <v>0</v>
      </c>
      <c r="BA945" s="1">
        <v>9</v>
      </c>
      <c r="BB945" s="1">
        <v>0</v>
      </c>
      <c r="BC945" s="1">
        <v>0</v>
      </c>
      <c r="BE945" s="1">
        <v>27188517</v>
      </c>
    </row>
    <row r="946" spans="1:57" x14ac:dyDescent="0.25">
      <c r="A946" s="1" t="str">
        <f>T("1944746941565572552")</f>
        <v>1944746941565572552</v>
      </c>
      <c r="B946" s="1" t="str">
        <f>T("249919728348")</f>
        <v>249919728348</v>
      </c>
      <c r="C946" s="1" t="str">
        <f>T("1941094470946654420")</f>
        <v>1941094470946654420</v>
      </c>
      <c r="AC946" s="1" t="s">
        <v>276</v>
      </c>
      <c r="AD946" s="1" t="s">
        <v>517</v>
      </c>
      <c r="AE946" s="1" t="s">
        <v>521</v>
      </c>
      <c r="AF946" s="1" t="s">
        <v>144</v>
      </c>
      <c r="AG946" s="1">
        <v>35</v>
      </c>
      <c r="AO946" s="2">
        <v>46275</v>
      </c>
      <c r="AP946" s="1" t="s">
        <v>157</v>
      </c>
      <c r="AS946" s="1" t="s">
        <v>71</v>
      </c>
      <c r="AU946" s="1" t="s">
        <v>72</v>
      </c>
      <c r="AV946" s="1" t="s">
        <v>437</v>
      </c>
      <c r="AX946" s="1">
        <v>0</v>
      </c>
      <c r="BA946" s="1">
        <v>9</v>
      </c>
      <c r="BB946" s="1">
        <v>0</v>
      </c>
      <c r="BC946" s="1">
        <v>0</v>
      </c>
      <c r="BE946" s="1">
        <v>27188517</v>
      </c>
    </row>
    <row r="947" spans="1:57" x14ac:dyDescent="0.25">
      <c r="A947" s="1" t="str">
        <f>T("1944746941624291964")</f>
        <v>1944746941624291964</v>
      </c>
      <c r="B947" s="1" t="str">
        <f>T("249908310570")</f>
        <v>249908310570</v>
      </c>
      <c r="C947" s="1" t="str">
        <f>T("1941094470946655120")</f>
        <v>1941094470946655120</v>
      </c>
      <c r="AC947" s="1" t="s">
        <v>276</v>
      </c>
      <c r="AD947" s="1" t="s">
        <v>517</v>
      </c>
      <c r="AE947" s="1" t="s">
        <v>521</v>
      </c>
      <c r="AF947" s="1" t="s">
        <v>144</v>
      </c>
      <c r="AG947" s="1">
        <v>29</v>
      </c>
      <c r="AO947" s="2">
        <v>46275</v>
      </c>
      <c r="AP947" s="1" t="s">
        <v>157</v>
      </c>
      <c r="AS947" s="1" t="s">
        <v>71</v>
      </c>
      <c r="AU947" s="1" t="s">
        <v>72</v>
      </c>
      <c r="AV947" s="1" t="s">
        <v>73</v>
      </c>
      <c r="AX947" s="1">
        <v>0</v>
      </c>
      <c r="BA947" s="1">
        <v>9</v>
      </c>
      <c r="BB947" s="1">
        <v>0</v>
      </c>
      <c r="BC947" s="1">
        <v>0</v>
      </c>
      <c r="BE947" s="1">
        <v>27188517</v>
      </c>
    </row>
    <row r="948" spans="1:57" x14ac:dyDescent="0.25">
      <c r="A948" s="1" t="str">
        <f>T("1944746941687205984")</f>
        <v>1944746941687205984</v>
      </c>
      <c r="B948" s="1" t="str">
        <f>T("249904577253")</f>
        <v>249904577253</v>
      </c>
      <c r="C948" s="1" t="str">
        <f>T("1941094470946655820")</f>
        <v>1941094470946655820</v>
      </c>
      <c r="AC948" s="1" t="s">
        <v>344</v>
      </c>
      <c r="AD948" s="1" t="s">
        <v>345</v>
      </c>
      <c r="AE948" s="1" t="s">
        <v>522</v>
      </c>
      <c r="AF948" s="1" t="s">
        <v>144</v>
      </c>
      <c r="AG948" s="1">
        <v>33</v>
      </c>
      <c r="AO948" s="2">
        <v>46275</v>
      </c>
      <c r="AP948" s="1" t="s">
        <v>157</v>
      </c>
      <c r="AS948" s="1" t="s">
        <v>71</v>
      </c>
      <c r="AU948" s="1" t="s">
        <v>72</v>
      </c>
      <c r="AV948" s="1" t="s">
        <v>73</v>
      </c>
      <c r="AX948" s="1">
        <v>0</v>
      </c>
      <c r="BA948" s="1">
        <v>9</v>
      </c>
      <c r="BB948" s="1">
        <v>0</v>
      </c>
      <c r="BC948" s="1">
        <v>0</v>
      </c>
      <c r="BE948" s="1">
        <v>27188517</v>
      </c>
    </row>
    <row r="949" spans="1:57" x14ac:dyDescent="0.25">
      <c r="A949" s="1" t="str">
        <f>T("1944746941771095444")</f>
        <v>1944746941771095444</v>
      </c>
      <c r="B949" s="1" t="str">
        <f>T("249966289716")</f>
        <v>249966289716</v>
      </c>
      <c r="C949" s="1" t="str">
        <f>T("1941094470950846628")</f>
        <v>1941094470950846628</v>
      </c>
      <c r="AC949" s="1" t="s">
        <v>276</v>
      </c>
      <c r="AD949" s="1" t="s">
        <v>517</v>
      </c>
      <c r="AE949" s="1" t="s">
        <v>530</v>
      </c>
      <c r="AF949" s="1" t="s">
        <v>144</v>
      </c>
      <c r="AG949" s="1">
        <v>33</v>
      </c>
      <c r="AO949" s="2">
        <v>46275</v>
      </c>
      <c r="AP949" s="1" t="s">
        <v>157</v>
      </c>
      <c r="AS949" s="1" t="s">
        <v>71</v>
      </c>
      <c r="AU949" s="1" t="s">
        <v>72</v>
      </c>
      <c r="AV949" s="1" t="s">
        <v>437</v>
      </c>
      <c r="AX949" s="1">
        <v>0</v>
      </c>
      <c r="BA949" s="1">
        <v>9</v>
      </c>
      <c r="BB949" s="1">
        <v>0</v>
      </c>
      <c r="BC949" s="1">
        <v>0</v>
      </c>
      <c r="BE949" s="1">
        <v>27188517</v>
      </c>
    </row>
    <row r="950" spans="1:57" x14ac:dyDescent="0.25">
      <c r="A950" s="1" t="str">
        <f>T("1944746941859176212")</f>
        <v>1944746941859176212</v>
      </c>
      <c r="B950" s="1" t="str">
        <f>T("249904968657")</f>
        <v>249904968657</v>
      </c>
      <c r="C950" s="1" t="str">
        <f>T("1941094470950847128")</f>
        <v>1941094470950847128</v>
      </c>
      <c r="AC950" s="1" t="s">
        <v>344</v>
      </c>
      <c r="AD950" s="1" t="s">
        <v>524</v>
      </c>
      <c r="AE950" s="1" t="s">
        <v>527</v>
      </c>
      <c r="AF950" s="1" t="s">
        <v>144</v>
      </c>
      <c r="AG950" s="1">
        <v>0</v>
      </c>
      <c r="AO950" s="2">
        <v>46275</v>
      </c>
      <c r="AP950" s="1" t="s">
        <v>157</v>
      </c>
      <c r="AS950" s="1" t="s">
        <v>71</v>
      </c>
      <c r="AU950" s="1" t="s">
        <v>72</v>
      </c>
      <c r="AV950" s="1" t="s">
        <v>437</v>
      </c>
      <c r="AX950" s="1">
        <v>0</v>
      </c>
      <c r="BA950" s="1">
        <v>9</v>
      </c>
      <c r="BB950" s="1">
        <v>0</v>
      </c>
      <c r="BC950" s="1">
        <v>0</v>
      </c>
      <c r="BE950" s="1">
        <v>27188517</v>
      </c>
    </row>
    <row r="951" spans="1:57" x14ac:dyDescent="0.25">
      <c r="A951" s="1" t="str">
        <f>T("1944746941947252780")</f>
        <v>1944746941947252780</v>
      </c>
      <c r="B951" s="1" t="str">
        <f>T("249963857201")</f>
        <v>249963857201</v>
      </c>
      <c r="C951" s="1" t="str">
        <f>T("1941094470950847628")</f>
        <v>1941094470950847628</v>
      </c>
      <c r="AC951" s="1" t="s">
        <v>344</v>
      </c>
      <c r="AD951" s="1" t="s">
        <v>524</v>
      </c>
      <c r="AE951" s="1" t="s">
        <v>528</v>
      </c>
      <c r="AF951" s="1" t="s">
        <v>144</v>
      </c>
      <c r="AG951" s="1" t="s">
        <v>529</v>
      </c>
      <c r="AO951" s="2">
        <v>46275</v>
      </c>
      <c r="AP951" s="1" t="s">
        <v>157</v>
      </c>
      <c r="AS951" s="1" t="s">
        <v>71</v>
      </c>
      <c r="AU951" s="1" t="s">
        <v>72</v>
      </c>
      <c r="AV951" s="1" t="s">
        <v>437</v>
      </c>
      <c r="AX951" s="1">
        <v>0</v>
      </c>
      <c r="BA951" s="1">
        <v>9</v>
      </c>
      <c r="BB951" s="1">
        <v>0</v>
      </c>
      <c r="BC951" s="1">
        <v>0</v>
      </c>
      <c r="BE951" s="1">
        <v>27188517</v>
      </c>
    </row>
    <row r="952" spans="1:57" x14ac:dyDescent="0.25">
      <c r="A952" s="1" t="str">
        <f>T("1944746942026946032")</f>
        <v>1944746942026946032</v>
      </c>
      <c r="B952" s="1" t="str">
        <f>T("24992426833")</f>
        <v>24992426833</v>
      </c>
      <c r="C952" s="1" t="str">
        <f>T("1941094470950848128")</f>
        <v>1941094470950848128</v>
      </c>
      <c r="AC952" s="1" t="s">
        <v>344</v>
      </c>
      <c r="AD952" s="1" t="s">
        <v>524</v>
      </c>
      <c r="AE952" s="1" t="s">
        <v>534</v>
      </c>
      <c r="AF952" s="1" t="s">
        <v>144</v>
      </c>
      <c r="AG952" s="1" t="s">
        <v>529</v>
      </c>
      <c r="AO952" s="2">
        <v>46275</v>
      </c>
      <c r="AP952" s="1" t="s">
        <v>157</v>
      </c>
      <c r="AS952" s="1" t="s">
        <v>71</v>
      </c>
      <c r="AU952" s="1" t="s">
        <v>72</v>
      </c>
      <c r="AV952" s="1" t="s">
        <v>73</v>
      </c>
      <c r="AX952" s="1">
        <v>0</v>
      </c>
      <c r="BA952" s="1">
        <v>9</v>
      </c>
      <c r="BB952" s="1">
        <v>0</v>
      </c>
      <c r="BC952" s="1">
        <v>0</v>
      </c>
      <c r="BE952" s="1">
        <v>27188517</v>
      </c>
    </row>
    <row r="953" spans="1:57" x14ac:dyDescent="0.25">
      <c r="A953" s="1" t="str">
        <f>T("1944746942089861752")</f>
        <v>1944746942089861752</v>
      </c>
      <c r="B953" s="1" t="str">
        <f>T("249917576317")</f>
        <v>249917576317</v>
      </c>
      <c r="C953" s="1" t="str">
        <f>T("1941094470955041836")</f>
        <v>1941094470955041836</v>
      </c>
      <c r="AC953" s="1" t="s">
        <v>344</v>
      </c>
      <c r="AD953" s="1" t="s">
        <v>524</v>
      </c>
      <c r="AE953" s="1" t="s">
        <v>534</v>
      </c>
      <c r="AF953" s="1" t="s">
        <v>144</v>
      </c>
      <c r="AG953" s="1" t="s">
        <v>529</v>
      </c>
      <c r="AO953" s="2">
        <v>46275</v>
      </c>
      <c r="AP953" s="1" t="s">
        <v>157</v>
      </c>
      <c r="AS953" s="1" t="s">
        <v>71</v>
      </c>
      <c r="AU953" s="1" t="s">
        <v>72</v>
      </c>
      <c r="AV953" s="1" t="s">
        <v>73</v>
      </c>
      <c r="AX953" s="1">
        <v>0</v>
      </c>
      <c r="BA953" s="1">
        <v>9</v>
      </c>
      <c r="BB953" s="1">
        <v>0</v>
      </c>
      <c r="BC953" s="1">
        <v>0</v>
      </c>
      <c r="BE953" s="1">
        <v>27188517</v>
      </c>
    </row>
    <row r="954" spans="1:57" x14ac:dyDescent="0.25">
      <c r="A954" s="1" t="str">
        <f>T("1944746942161164688")</f>
        <v>1944746942161164688</v>
      </c>
      <c r="B954" s="1" t="str">
        <f>T("249963360116")</f>
        <v>249963360116</v>
      </c>
      <c r="C954" s="1" t="str">
        <f>T("1941094470959236144")</f>
        <v>1941094470959236144</v>
      </c>
      <c r="AC954" s="1" t="s">
        <v>344</v>
      </c>
      <c r="AD954" s="1" t="s">
        <v>524</v>
      </c>
      <c r="AE954" s="1" t="s">
        <v>535</v>
      </c>
      <c r="AF954" s="1" t="s">
        <v>144</v>
      </c>
      <c r="AG954" s="1">
        <v>0</v>
      </c>
      <c r="AO954" s="2">
        <v>46275</v>
      </c>
      <c r="AP954" s="1" t="s">
        <v>157</v>
      </c>
      <c r="AS954" s="1" t="s">
        <v>71</v>
      </c>
      <c r="AU954" s="1" t="s">
        <v>72</v>
      </c>
      <c r="AV954" s="1" t="s">
        <v>437</v>
      </c>
      <c r="AX954" s="1">
        <v>0</v>
      </c>
      <c r="BA954" s="1">
        <v>9</v>
      </c>
      <c r="BB954" s="1">
        <v>0</v>
      </c>
      <c r="BC954" s="1">
        <v>0</v>
      </c>
      <c r="BE954" s="1">
        <v>27188517</v>
      </c>
    </row>
    <row r="955" spans="1:57" x14ac:dyDescent="0.25">
      <c r="A955" s="1" t="str">
        <f>T("1944746942219885000")</f>
        <v>1944746942219885000</v>
      </c>
      <c r="B955" s="1" t="str">
        <f>T("249962534113")</f>
        <v>249962534113</v>
      </c>
      <c r="C955" s="1" t="str">
        <f>T("1941094470963430352")</f>
        <v>1941094470963430352</v>
      </c>
      <c r="AC955" s="1" t="s">
        <v>344</v>
      </c>
      <c r="AD955" s="1" t="s">
        <v>524</v>
      </c>
      <c r="AE955" s="1" t="s">
        <v>528</v>
      </c>
      <c r="AF955" s="1" t="s">
        <v>144</v>
      </c>
      <c r="AG955" s="1" t="s">
        <v>529</v>
      </c>
      <c r="AO955" s="2">
        <v>46275</v>
      </c>
      <c r="AP955" s="1" t="s">
        <v>157</v>
      </c>
      <c r="AS955" s="1" t="s">
        <v>71</v>
      </c>
      <c r="AU955" s="1" t="s">
        <v>72</v>
      </c>
      <c r="AV955" s="1" t="s">
        <v>437</v>
      </c>
      <c r="AX955" s="1">
        <v>0</v>
      </c>
      <c r="BA955" s="1">
        <v>9</v>
      </c>
      <c r="BB955" s="1">
        <v>0</v>
      </c>
      <c r="BC955" s="1">
        <v>0</v>
      </c>
      <c r="BE955" s="1">
        <v>27188517</v>
      </c>
    </row>
    <row r="956" spans="1:57" x14ac:dyDescent="0.25">
      <c r="A956" s="1" t="str">
        <f>T("1944746942299577552")</f>
        <v>1944746942299577552</v>
      </c>
      <c r="B956" s="1" t="str">
        <f>T("249968110577")</f>
        <v>249968110577</v>
      </c>
      <c r="C956" s="1" t="str">
        <f>T("1941094470963431152")</f>
        <v>1941094470963431152</v>
      </c>
      <c r="AC956" s="1" t="s">
        <v>344</v>
      </c>
      <c r="AD956" s="1" t="s">
        <v>430</v>
      </c>
      <c r="AE956" s="1" t="s">
        <v>531</v>
      </c>
      <c r="AF956" s="1" t="s">
        <v>144</v>
      </c>
      <c r="AG956" s="1">
        <v>0</v>
      </c>
      <c r="AO956" s="2">
        <v>46275</v>
      </c>
      <c r="AP956" s="1" t="s">
        <v>157</v>
      </c>
      <c r="AS956" s="1" t="s">
        <v>71</v>
      </c>
      <c r="AU956" s="1" t="s">
        <v>72</v>
      </c>
      <c r="AV956" s="1" t="s">
        <v>73</v>
      </c>
      <c r="AX956" s="1">
        <v>0</v>
      </c>
      <c r="BA956" s="1">
        <v>9</v>
      </c>
      <c r="BB956" s="1">
        <v>0</v>
      </c>
      <c r="BC956" s="1">
        <v>0</v>
      </c>
      <c r="BE956" s="1">
        <v>27188517</v>
      </c>
    </row>
    <row r="957" spans="1:57" x14ac:dyDescent="0.25">
      <c r="A957" s="1" t="str">
        <f>T("1944746942408627560")</f>
        <v>1944746942408627560</v>
      </c>
      <c r="B957" s="1" t="str">
        <f>T("249903994784")</f>
        <v>249903994784</v>
      </c>
      <c r="C957" s="1" t="str">
        <f>T("1941094470963431652")</f>
        <v>1941094470963431652</v>
      </c>
      <c r="AC957" s="1" t="s">
        <v>366</v>
      </c>
      <c r="AD957" s="1" t="s">
        <v>367</v>
      </c>
      <c r="AE957" s="1" t="s">
        <v>368</v>
      </c>
      <c r="AF957" s="1" t="s">
        <v>144</v>
      </c>
      <c r="AG957" s="1">
        <v>44</v>
      </c>
      <c r="AO957" s="2">
        <v>46275</v>
      </c>
      <c r="AP957" s="1" t="s">
        <v>157</v>
      </c>
      <c r="AS957" s="1" t="s">
        <v>71</v>
      </c>
      <c r="AU957" s="1" t="s">
        <v>72</v>
      </c>
      <c r="AV957" s="1" t="s">
        <v>73</v>
      </c>
      <c r="AX957" s="1">
        <v>0</v>
      </c>
      <c r="BA957" s="1">
        <v>9</v>
      </c>
      <c r="BB957" s="1">
        <v>0</v>
      </c>
      <c r="BC957" s="1">
        <v>0</v>
      </c>
      <c r="BE957" s="1">
        <v>27188517</v>
      </c>
    </row>
    <row r="958" spans="1:57" x14ac:dyDescent="0.25">
      <c r="A958" s="1" t="str">
        <f>T("1944746942488320812")</f>
        <v>1944746942488320812</v>
      </c>
      <c r="B958" s="1" t="str">
        <f>T("249116958901")</f>
        <v>249116958901</v>
      </c>
      <c r="C958" s="1" t="str">
        <f>T("1941094470963432052")</f>
        <v>1941094470963432052</v>
      </c>
      <c r="M958" s="1" t="s">
        <v>59</v>
      </c>
      <c r="O958" s="1" t="s">
        <v>60</v>
      </c>
      <c r="P958" s="1" t="s">
        <v>111</v>
      </c>
      <c r="Q958" s="1" t="s">
        <v>112</v>
      </c>
      <c r="R958" s="1" t="s">
        <v>63</v>
      </c>
      <c r="S958" s="1" t="s">
        <v>94</v>
      </c>
      <c r="U958" s="1" t="s">
        <v>65</v>
      </c>
      <c r="V958" s="1" t="s">
        <v>103</v>
      </c>
      <c r="W958" s="1" t="s">
        <v>60</v>
      </c>
      <c r="X958" s="1" t="s">
        <v>103</v>
      </c>
      <c r="Y958" s="1" t="s">
        <v>69</v>
      </c>
      <c r="AA958" s="1">
        <v>1</v>
      </c>
      <c r="AB958" s="1">
        <v>1</v>
      </c>
      <c r="AC958" s="1" t="s">
        <v>276</v>
      </c>
      <c r="AD958" s="1" t="s">
        <v>298</v>
      </c>
      <c r="AE958" s="1" t="s">
        <v>538</v>
      </c>
      <c r="AF958" s="1" t="s">
        <v>144</v>
      </c>
      <c r="AG958" s="1">
        <v>40</v>
      </c>
      <c r="AO958" s="2">
        <v>46275</v>
      </c>
      <c r="AP958" s="1" t="s">
        <v>157</v>
      </c>
      <c r="AQ958" s="2">
        <v>46275</v>
      </c>
      <c r="AR958" s="1" t="s">
        <v>169</v>
      </c>
      <c r="AS958" s="1" t="s">
        <v>71</v>
      </c>
      <c r="AU958" s="1" t="s">
        <v>78</v>
      </c>
      <c r="AV958" s="1" t="s">
        <v>80</v>
      </c>
      <c r="AW958" s="1">
        <v>348.46</v>
      </c>
      <c r="AX958" s="1">
        <v>0</v>
      </c>
      <c r="AZ958" s="1" t="s">
        <v>81</v>
      </c>
      <c r="BA958" s="1">
        <v>1</v>
      </c>
      <c r="BB958" s="1">
        <v>0</v>
      </c>
      <c r="BC958" s="1">
        <v>0</v>
      </c>
      <c r="BE958" s="1">
        <v>27188517</v>
      </c>
    </row>
    <row r="959" spans="1:57" x14ac:dyDescent="0.25">
      <c r="A959" s="1" t="str">
        <f>T("1944746942547038624")</f>
        <v>1944746942547038624</v>
      </c>
      <c r="B959" s="1" t="str">
        <f>T("249964565729")</f>
        <v>249964565729</v>
      </c>
      <c r="C959" s="1" t="str">
        <f>T("1941094470963432652")</f>
        <v>1941094470963432652</v>
      </c>
      <c r="AC959" s="1" t="s">
        <v>344</v>
      </c>
      <c r="AD959" s="1" t="s">
        <v>524</v>
      </c>
      <c r="AE959" s="1" t="s">
        <v>504</v>
      </c>
      <c r="AF959" s="1" t="s">
        <v>144</v>
      </c>
      <c r="AG959" s="1">
        <v>0</v>
      </c>
      <c r="AO959" s="2">
        <v>46275</v>
      </c>
      <c r="AP959" s="1" t="s">
        <v>157</v>
      </c>
      <c r="AS959" s="1" t="s">
        <v>71</v>
      </c>
      <c r="AU959" s="1" t="s">
        <v>72</v>
      </c>
      <c r="AV959" s="1" t="s">
        <v>437</v>
      </c>
      <c r="AX959" s="1">
        <v>0</v>
      </c>
      <c r="BA959" s="1">
        <v>9</v>
      </c>
      <c r="BB959" s="1">
        <v>0</v>
      </c>
      <c r="BC959" s="1">
        <v>0</v>
      </c>
      <c r="BE959" s="1">
        <v>27188517</v>
      </c>
    </row>
    <row r="960" spans="1:57" x14ac:dyDescent="0.25">
      <c r="A960" s="1" t="str">
        <f>T("1944746942622536968")</f>
        <v>1944746942622536968</v>
      </c>
      <c r="B960" s="1" t="str">
        <f>T("24996731833")</f>
        <v>24996731833</v>
      </c>
      <c r="C960" s="1" t="str">
        <f>T("1941094470963433152")</f>
        <v>1941094470963433152</v>
      </c>
      <c r="AC960" s="1" t="s">
        <v>344</v>
      </c>
      <c r="AD960" s="1" t="s">
        <v>524</v>
      </c>
      <c r="AE960" s="1" t="s">
        <v>527</v>
      </c>
      <c r="AF960" s="1" t="s">
        <v>144</v>
      </c>
      <c r="AG960" s="1">
        <v>0</v>
      </c>
      <c r="AO960" s="2">
        <v>46275</v>
      </c>
      <c r="AP960" s="1" t="s">
        <v>157</v>
      </c>
      <c r="AS960" s="1" t="s">
        <v>71</v>
      </c>
      <c r="AU960" s="1" t="s">
        <v>72</v>
      </c>
      <c r="AV960" s="1" t="s">
        <v>73</v>
      </c>
      <c r="AX960" s="1">
        <v>0</v>
      </c>
      <c r="BA960" s="1">
        <v>9</v>
      </c>
      <c r="BB960" s="1">
        <v>0</v>
      </c>
      <c r="BC960" s="1">
        <v>0</v>
      </c>
      <c r="BE960" s="1">
        <v>27188517</v>
      </c>
    </row>
    <row r="961" spans="1:57" x14ac:dyDescent="0.25">
      <c r="A961" s="1" t="str">
        <f>T("1944746942693840904")</f>
        <v>1944746942693840904</v>
      </c>
      <c r="B961" s="1" t="str">
        <f>T("249962821009")</f>
        <v>249962821009</v>
      </c>
      <c r="C961" s="1" t="str">
        <f>T("1941094470967624560")</f>
        <v>1941094470967624560</v>
      </c>
      <c r="AC961" s="1" t="s">
        <v>344</v>
      </c>
      <c r="AD961" s="1" t="s">
        <v>430</v>
      </c>
      <c r="AE961" s="1" t="s">
        <v>531</v>
      </c>
      <c r="AF961" s="1" t="s">
        <v>144</v>
      </c>
      <c r="AG961" s="1">
        <v>0</v>
      </c>
      <c r="AO961" s="2">
        <v>46275</v>
      </c>
      <c r="AP961" s="1" t="s">
        <v>157</v>
      </c>
      <c r="AS961" s="1" t="s">
        <v>71</v>
      </c>
      <c r="AU961" s="1" t="s">
        <v>72</v>
      </c>
      <c r="AV961" s="1" t="s">
        <v>73</v>
      </c>
      <c r="AX961" s="1">
        <v>0</v>
      </c>
      <c r="BA961" s="1">
        <v>9</v>
      </c>
      <c r="BB961" s="1">
        <v>0</v>
      </c>
      <c r="BC961" s="1">
        <v>0</v>
      </c>
      <c r="BE961" s="1">
        <v>27188517</v>
      </c>
    </row>
    <row r="962" spans="1:57" x14ac:dyDescent="0.25">
      <c r="A962" s="1" t="str">
        <f>T("1944746942773533656")</f>
        <v>1944746942773533656</v>
      </c>
      <c r="B962" s="1" t="str">
        <f>T("249963091092")</f>
        <v>249963091092</v>
      </c>
      <c r="C962" s="1" t="str">
        <f>T("1941094470967625060")</f>
        <v>1941094470967625060</v>
      </c>
      <c r="AC962" s="1" t="s">
        <v>276</v>
      </c>
      <c r="AD962" s="1" t="s">
        <v>517</v>
      </c>
      <c r="AE962" s="1" t="s">
        <v>521</v>
      </c>
      <c r="AF962" s="1" t="s">
        <v>144</v>
      </c>
      <c r="AG962" s="1">
        <v>35</v>
      </c>
      <c r="AO962" s="2">
        <v>46275</v>
      </c>
      <c r="AP962" s="1" t="s">
        <v>157</v>
      </c>
      <c r="AS962" s="1" t="s">
        <v>71</v>
      </c>
      <c r="AU962" s="1" t="s">
        <v>72</v>
      </c>
      <c r="AV962" s="1" t="s">
        <v>73</v>
      </c>
      <c r="AX962" s="1">
        <v>0</v>
      </c>
      <c r="BA962" s="1">
        <v>9</v>
      </c>
      <c r="BB962" s="1">
        <v>0</v>
      </c>
      <c r="BC962" s="1">
        <v>0</v>
      </c>
      <c r="BE962" s="1">
        <v>27188517</v>
      </c>
    </row>
    <row r="963" spans="1:57" x14ac:dyDescent="0.25">
      <c r="A963" s="1" t="str">
        <f>T("1944746942840640784")</f>
        <v>1944746942840640784</v>
      </c>
      <c r="B963" s="1" t="str">
        <f>T("249915977605")</f>
        <v>249915977605</v>
      </c>
      <c r="C963" s="1" t="str">
        <f>T("1941094470971820368")</f>
        <v>1941094470971820368</v>
      </c>
      <c r="AC963" s="1" t="s">
        <v>344</v>
      </c>
      <c r="AD963" s="1" t="s">
        <v>345</v>
      </c>
      <c r="AE963" s="1" t="s">
        <v>522</v>
      </c>
      <c r="AF963" s="1" t="s">
        <v>144</v>
      </c>
      <c r="AG963" s="1">
        <v>35</v>
      </c>
      <c r="AO963" s="2">
        <v>46275</v>
      </c>
      <c r="AP963" s="1" t="s">
        <v>157</v>
      </c>
      <c r="AS963" s="1" t="s">
        <v>71</v>
      </c>
      <c r="AU963" s="1" t="s">
        <v>72</v>
      </c>
      <c r="AV963" s="1" t="s">
        <v>437</v>
      </c>
      <c r="AX963" s="1">
        <v>0</v>
      </c>
      <c r="BA963" s="1">
        <v>9</v>
      </c>
      <c r="BB963" s="1">
        <v>0</v>
      </c>
      <c r="BC963" s="1">
        <v>0</v>
      </c>
      <c r="BE963" s="1">
        <v>27188517</v>
      </c>
    </row>
    <row r="964" spans="1:57" x14ac:dyDescent="0.25">
      <c r="A964" s="1" t="str">
        <f>T("1944746942895167788")</f>
        <v>1944746942895167788</v>
      </c>
      <c r="B964" s="1" t="str">
        <f>T("249914777920")</f>
        <v>249914777920</v>
      </c>
      <c r="C964" s="1" t="str">
        <f>T("1941094470976013076")</f>
        <v>1941094470976013076</v>
      </c>
      <c r="AC964" s="1" t="s">
        <v>366</v>
      </c>
      <c r="AD964" s="1" t="s">
        <v>367</v>
      </c>
      <c r="AE964" s="1" t="s">
        <v>368</v>
      </c>
      <c r="AF964" s="1" t="s">
        <v>144</v>
      </c>
      <c r="AG964" s="1">
        <v>37</v>
      </c>
      <c r="AO964" s="2">
        <v>46275</v>
      </c>
      <c r="AP964" s="1" t="s">
        <v>157</v>
      </c>
      <c r="AS964" s="1" t="s">
        <v>71</v>
      </c>
      <c r="AU964" s="1" t="s">
        <v>72</v>
      </c>
      <c r="AV964" s="1" t="s">
        <v>437</v>
      </c>
      <c r="AX964" s="1">
        <v>0</v>
      </c>
      <c r="BA964" s="1">
        <v>9</v>
      </c>
      <c r="BB964" s="1">
        <v>0</v>
      </c>
      <c r="BC964" s="1">
        <v>0</v>
      </c>
      <c r="BE964" s="1">
        <v>27188517</v>
      </c>
    </row>
    <row r="965" spans="1:57" x14ac:dyDescent="0.25">
      <c r="A965" s="1" t="str">
        <f>T("1944746942970663432")</f>
        <v>1944746942970663432</v>
      </c>
      <c r="B965" s="1" t="str">
        <f>T("249902099769")</f>
        <v>249902099769</v>
      </c>
      <c r="C965" s="1" t="str">
        <f>T("1941094470976015776")</f>
        <v>1941094470976015776</v>
      </c>
      <c r="AC965" s="1" t="s">
        <v>344</v>
      </c>
      <c r="AD965" s="1" t="s">
        <v>345</v>
      </c>
      <c r="AE965" s="1" t="s">
        <v>522</v>
      </c>
      <c r="AF965" s="1" t="s">
        <v>144</v>
      </c>
      <c r="AG965" s="1">
        <v>41</v>
      </c>
      <c r="AO965" s="2">
        <v>46275</v>
      </c>
      <c r="AP965" s="1" t="s">
        <v>157</v>
      </c>
      <c r="AS965" s="1" t="s">
        <v>71</v>
      </c>
      <c r="AU965" s="1" t="s">
        <v>72</v>
      </c>
      <c r="AV965" s="1" t="s">
        <v>437</v>
      </c>
      <c r="AX965" s="1">
        <v>0</v>
      </c>
      <c r="BA965" s="1">
        <v>9</v>
      </c>
      <c r="BB965" s="1">
        <v>0</v>
      </c>
      <c r="BC965" s="1">
        <v>0</v>
      </c>
      <c r="BE965" s="1">
        <v>27188517</v>
      </c>
    </row>
    <row r="966" spans="1:57" x14ac:dyDescent="0.25">
      <c r="A966" s="1" t="str">
        <f>T("1944746943046161776")</f>
        <v>1944746943046161776</v>
      </c>
      <c r="B966" s="1" t="str">
        <f>T("249910229981")</f>
        <v>249910229981</v>
      </c>
      <c r="C966" s="1" t="str">
        <f>T("1941094470976016376")</f>
        <v>1941094470976016376</v>
      </c>
      <c r="AC966" s="1" t="s">
        <v>276</v>
      </c>
      <c r="AD966" s="1" t="s">
        <v>517</v>
      </c>
      <c r="AE966" s="1" t="s">
        <v>540</v>
      </c>
      <c r="AF966" s="1" t="s">
        <v>144</v>
      </c>
      <c r="AG966" s="1">
        <v>27</v>
      </c>
      <c r="AO966" s="2">
        <v>46275</v>
      </c>
      <c r="AP966" s="1" t="s">
        <v>157</v>
      </c>
      <c r="AS966" s="1" t="s">
        <v>71</v>
      </c>
      <c r="AU966" s="1" t="s">
        <v>72</v>
      </c>
      <c r="AV966" s="1" t="s">
        <v>73</v>
      </c>
      <c r="AX966" s="1">
        <v>0</v>
      </c>
      <c r="BA966" s="1">
        <v>9</v>
      </c>
      <c r="BB966" s="1">
        <v>0</v>
      </c>
      <c r="BC966" s="1">
        <v>0</v>
      </c>
      <c r="BE966" s="1">
        <v>27188517</v>
      </c>
    </row>
    <row r="967" spans="1:57" x14ac:dyDescent="0.25">
      <c r="A967" s="1" t="str">
        <f>T("1944746943121658520")</f>
        <v>1944746943121658520</v>
      </c>
      <c r="B967" s="1" t="str">
        <f>T("249901101386")</f>
        <v>249901101386</v>
      </c>
      <c r="C967" s="1" t="str">
        <f>T("1941094470980207684")</f>
        <v>1941094470980207684</v>
      </c>
      <c r="AC967" s="1" t="s">
        <v>276</v>
      </c>
      <c r="AD967" s="1" t="s">
        <v>277</v>
      </c>
      <c r="AE967" s="1" t="s">
        <v>530</v>
      </c>
      <c r="AF967" s="1" t="s">
        <v>144</v>
      </c>
      <c r="AG967" s="1">
        <v>22</v>
      </c>
      <c r="AO967" s="2">
        <v>46275</v>
      </c>
      <c r="AP967" s="1" t="s">
        <v>157</v>
      </c>
      <c r="AS967" s="1" t="s">
        <v>71</v>
      </c>
      <c r="AU967" s="1" t="s">
        <v>72</v>
      </c>
      <c r="AV967" s="1" t="s">
        <v>73</v>
      </c>
      <c r="AX967" s="1">
        <v>0</v>
      </c>
      <c r="BA967" s="1">
        <v>9</v>
      </c>
      <c r="BB967" s="1">
        <v>0</v>
      </c>
      <c r="BC967" s="1">
        <v>0</v>
      </c>
      <c r="BE967" s="1">
        <v>27188517</v>
      </c>
    </row>
    <row r="968" spans="1:57" x14ac:dyDescent="0.25">
      <c r="A968" s="1" t="str">
        <f>T("1944746943180379332")</f>
        <v>1944746943180379332</v>
      </c>
      <c r="B968" s="1" t="str">
        <f>T("249964596969")</f>
        <v>249964596969</v>
      </c>
      <c r="C968" s="1" t="str">
        <f>T("1941094470980208184")</f>
        <v>1941094470980208184</v>
      </c>
      <c r="AC968" s="1" t="s">
        <v>344</v>
      </c>
      <c r="AD968" s="1" t="s">
        <v>524</v>
      </c>
      <c r="AE968" s="1" t="s">
        <v>527</v>
      </c>
      <c r="AF968" s="1" t="s">
        <v>144</v>
      </c>
      <c r="AG968" s="1">
        <v>0</v>
      </c>
      <c r="AO968" s="2">
        <v>46275</v>
      </c>
      <c r="AP968" s="1" t="s">
        <v>157</v>
      </c>
      <c r="AS968" s="1" t="s">
        <v>71</v>
      </c>
      <c r="AU968" s="1" t="s">
        <v>72</v>
      </c>
      <c r="AV968" s="1" t="s">
        <v>73</v>
      </c>
      <c r="AX968" s="1">
        <v>0</v>
      </c>
      <c r="BA968" s="1">
        <v>9</v>
      </c>
      <c r="BB968" s="1">
        <v>0</v>
      </c>
      <c r="BC968" s="1">
        <v>0</v>
      </c>
      <c r="BE968" s="1">
        <v>27188517</v>
      </c>
    </row>
    <row r="969" spans="1:57" x14ac:dyDescent="0.25">
      <c r="A969" s="1" t="str">
        <f>T("1944746943222323112")</f>
        <v>1944746943222323112</v>
      </c>
      <c r="B969" s="1" t="str">
        <f>T("249963024661")</f>
        <v>249963024661</v>
      </c>
      <c r="C969" s="1" t="str">
        <f>T("1941094470984401292")</f>
        <v>1941094470984401292</v>
      </c>
      <c r="AC969" s="1" t="s">
        <v>276</v>
      </c>
      <c r="AD969" s="1" t="s">
        <v>517</v>
      </c>
      <c r="AE969" s="1" t="s">
        <v>544</v>
      </c>
      <c r="AF969" s="1" t="s">
        <v>144</v>
      </c>
      <c r="AG969" s="1">
        <v>28</v>
      </c>
      <c r="AO969" s="2">
        <v>46275</v>
      </c>
      <c r="AP969" s="1" t="s">
        <v>157</v>
      </c>
      <c r="AS969" s="1" t="s">
        <v>71</v>
      </c>
      <c r="AU969" s="1" t="s">
        <v>72</v>
      </c>
      <c r="AV969" s="1" t="s">
        <v>437</v>
      </c>
      <c r="AX969" s="1">
        <v>0</v>
      </c>
      <c r="BA969" s="1">
        <v>9</v>
      </c>
      <c r="BB969" s="1">
        <v>0</v>
      </c>
      <c r="BC969" s="1">
        <v>0</v>
      </c>
      <c r="BE969" s="1">
        <v>27188517</v>
      </c>
    </row>
    <row r="970" spans="1:57" x14ac:dyDescent="0.25">
      <c r="A970" s="1" t="str">
        <f>T("1944746943272654408")</f>
        <v>1944746943272654408</v>
      </c>
      <c r="B970" s="1" t="str">
        <f>T("249915453947")</f>
        <v>249915453947</v>
      </c>
      <c r="C970" s="1" t="str">
        <f>T("1941094470984402492")</f>
        <v>1941094470984402492</v>
      </c>
      <c r="AC970" s="1" t="s">
        <v>344</v>
      </c>
      <c r="AD970" s="1" t="s">
        <v>345</v>
      </c>
      <c r="AE970" s="1" t="s">
        <v>522</v>
      </c>
      <c r="AF970" s="1" t="s">
        <v>144</v>
      </c>
      <c r="AG970" s="1">
        <v>45</v>
      </c>
      <c r="AO970" s="2">
        <v>46275</v>
      </c>
      <c r="AP970" s="1" t="s">
        <v>157</v>
      </c>
      <c r="AS970" s="1" t="s">
        <v>71</v>
      </c>
      <c r="AU970" s="1" t="s">
        <v>72</v>
      </c>
      <c r="AV970" s="1" t="s">
        <v>437</v>
      </c>
      <c r="AX970" s="1">
        <v>0</v>
      </c>
      <c r="BA970" s="1">
        <v>9</v>
      </c>
      <c r="BB970" s="1">
        <v>0</v>
      </c>
      <c r="BC970" s="1">
        <v>0</v>
      </c>
      <c r="BE970" s="1">
        <v>27188517</v>
      </c>
    </row>
    <row r="971" spans="1:57" x14ac:dyDescent="0.25">
      <c r="A971" s="1" t="str">
        <f>T("1944746943322986504")</f>
        <v>1944746943322986504</v>
      </c>
      <c r="B971" s="1" t="str">
        <f>T("249969604337")</f>
        <v>249969604337</v>
      </c>
      <c r="C971" s="1" t="str">
        <f>T("1941094470988597000")</f>
        <v>1941094470988597000</v>
      </c>
      <c r="AC971" s="1" t="s">
        <v>344</v>
      </c>
      <c r="AD971" s="1" t="s">
        <v>345</v>
      </c>
      <c r="AE971" s="1" t="s">
        <v>522</v>
      </c>
      <c r="AF971" s="1" t="s">
        <v>144</v>
      </c>
      <c r="AG971" s="1">
        <v>30</v>
      </c>
      <c r="AO971" s="2">
        <v>46275</v>
      </c>
      <c r="AP971" s="1" t="s">
        <v>157</v>
      </c>
      <c r="AS971" s="1" t="s">
        <v>71</v>
      </c>
      <c r="AU971" s="1" t="s">
        <v>72</v>
      </c>
      <c r="AV971" s="1" t="s">
        <v>437</v>
      </c>
      <c r="AX971" s="1">
        <v>0</v>
      </c>
      <c r="BA971" s="1">
        <v>9</v>
      </c>
      <c r="BB971" s="1">
        <v>0</v>
      </c>
      <c r="BC971" s="1">
        <v>0</v>
      </c>
      <c r="BE971" s="1">
        <v>27188517</v>
      </c>
    </row>
    <row r="972" spans="1:57" x14ac:dyDescent="0.25">
      <c r="A972" s="1" t="str">
        <f>T("1944746943385899124")</f>
        <v>1944746943385899124</v>
      </c>
      <c r="B972" s="1" t="str">
        <f>T("249906464166")</f>
        <v>249906464166</v>
      </c>
      <c r="C972" s="1" t="str">
        <f>T("1941094470988597600")</f>
        <v>1941094470988597600</v>
      </c>
      <c r="AC972" s="1" t="s">
        <v>344</v>
      </c>
      <c r="AD972" s="1" t="s">
        <v>524</v>
      </c>
      <c r="AE972" s="1" t="s">
        <v>527</v>
      </c>
      <c r="AF972" s="1" t="s">
        <v>144</v>
      </c>
      <c r="AG972" s="1">
        <v>0</v>
      </c>
      <c r="AO972" s="2">
        <v>46275</v>
      </c>
      <c r="AP972" s="1" t="s">
        <v>157</v>
      </c>
      <c r="AS972" s="1" t="s">
        <v>71</v>
      </c>
      <c r="AU972" s="1" t="s">
        <v>72</v>
      </c>
      <c r="AV972" s="1" t="s">
        <v>73</v>
      </c>
      <c r="AX972" s="1">
        <v>0</v>
      </c>
      <c r="BA972" s="1">
        <v>9</v>
      </c>
      <c r="BB972" s="1">
        <v>0</v>
      </c>
      <c r="BC972" s="1">
        <v>0</v>
      </c>
      <c r="BE972" s="1">
        <v>27188517</v>
      </c>
    </row>
    <row r="973" spans="1:57" x14ac:dyDescent="0.25">
      <c r="A973" s="1" t="str">
        <f>T("1944746943440425428")</f>
        <v>1944746943440425428</v>
      </c>
      <c r="B973" s="1" t="str">
        <f>T("249964862667")</f>
        <v>249964862667</v>
      </c>
      <c r="C973" s="1" t="str">
        <f>T("1941094470988597900")</f>
        <v>1941094470988597900</v>
      </c>
      <c r="AC973" s="1" t="s">
        <v>276</v>
      </c>
      <c r="AD973" s="1" t="s">
        <v>517</v>
      </c>
      <c r="AE973" s="1" t="s">
        <v>521</v>
      </c>
      <c r="AF973" s="1" t="s">
        <v>144</v>
      </c>
      <c r="AG973" s="1">
        <v>24</v>
      </c>
      <c r="AO973" s="2">
        <v>46275</v>
      </c>
      <c r="AP973" s="1" t="s">
        <v>157</v>
      </c>
      <c r="AS973" s="1" t="s">
        <v>71</v>
      </c>
      <c r="AU973" s="1" t="s">
        <v>72</v>
      </c>
      <c r="AV973" s="1" t="s">
        <v>437</v>
      </c>
      <c r="AX973" s="1">
        <v>0</v>
      </c>
      <c r="BA973" s="1">
        <v>9</v>
      </c>
      <c r="BB973" s="1">
        <v>0</v>
      </c>
      <c r="BC973" s="1">
        <v>0</v>
      </c>
      <c r="BE973" s="1">
        <v>27188517</v>
      </c>
    </row>
    <row r="974" spans="1:57" x14ac:dyDescent="0.25">
      <c r="A974" s="1" t="str">
        <f>T("1944746943520119380")</f>
        <v>1944746943520119380</v>
      </c>
      <c r="B974" s="1" t="str">
        <f>T("249914934073")</f>
        <v>249914934073</v>
      </c>
      <c r="C974" s="1" t="str">
        <f>T("1941094470988598400")</f>
        <v>1941094470988598400</v>
      </c>
      <c r="AC974" s="1" t="s">
        <v>276</v>
      </c>
      <c r="AD974" s="1" t="s">
        <v>298</v>
      </c>
      <c r="AE974" s="1" t="s">
        <v>538</v>
      </c>
      <c r="AF974" s="1" t="s">
        <v>144</v>
      </c>
      <c r="AG974" s="1">
        <v>30</v>
      </c>
      <c r="AO974" s="2">
        <v>46275</v>
      </c>
      <c r="AP974" s="1" t="s">
        <v>157</v>
      </c>
      <c r="AS974" s="1" t="s">
        <v>71</v>
      </c>
      <c r="AU974" s="1" t="s">
        <v>72</v>
      </c>
      <c r="AV974" s="1" t="s">
        <v>437</v>
      </c>
      <c r="AX974" s="1">
        <v>0</v>
      </c>
      <c r="BA974" s="1">
        <v>9</v>
      </c>
      <c r="BB974" s="1">
        <v>0</v>
      </c>
      <c r="BC974" s="1">
        <v>0</v>
      </c>
      <c r="BE974" s="1">
        <v>27188517</v>
      </c>
    </row>
    <row r="975" spans="1:57" x14ac:dyDescent="0.25">
      <c r="A975" s="1" t="str">
        <f>T("1944746943604005440")</f>
        <v>1944746943604005440</v>
      </c>
      <c r="B975" s="1" t="str">
        <f>T("249911930169")</f>
        <v>249911930169</v>
      </c>
      <c r="C975" s="1" t="str">
        <f>T("1941094470988598800")</f>
        <v>1941094470988598800</v>
      </c>
      <c r="AC975" s="1" t="s">
        <v>344</v>
      </c>
      <c r="AD975" s="1" t="s">
        <v>524</v>
      </c>
      <c r="AE975" s="1" t="s">
        <v>534</v>
      </c>
      <c r="AF975" s="1" t="s">
        <v>144</v>
      </c>
      <c r="AG975" s="1" t="s">
        <v>529</v>
      </c>
      <c r="AO975" s="2">
        <v>46275</v>
      </c>
      <c r="AP975" s="1" t="s">
        <v>157</v>
      </c>
      <c r="AS975" s="1" t="s">
        <v>71</v>
      </c>
      <c r="AU975" s="1" t="s">
        <v>72</v>
      </c>
      <c r="AV975" s="1" t="s">
        <v>73</v>
      </c>
      <c r="AX975" s="1">
        <v>0</v>
      </c>
      <c r="BA975" s="1">
        <v>9</v>
      </c>
      <c r="BB975" s="1">
        <v>0</v>
      </c>
      <c r="BC975" s="1">
        <v>0</v>
      </c>
      <c r="BE975" s="1">
        <v>27188517</v>
      </c>
    </row>
    <row r="976" spans="1:57" x14ac:dyDescent="0.25">
      <c r="A976" s="1" t="str">
        <f>T("1944746943662727052")</f>
        <v>1944746943662727052</v>
      </c>
      <c r="B976" s="1" t="str">
        <f>T("249909948691")</f>
        <v>249909948691</v>
      </c>
      <c r="C976" s="1" t="str">
        <f>T("1941094470992789808")</f>
        <v>1941094470992789808</v>
      </c>
      <c r="AC976" s="1" t="s">
        <v>344</v>
      </c>
      <c r="AD976" s="1" t="s">
        <v>524</v>
      </c>
      <c r="AE976" s="1" t="s">
        <v>528</v>
      </c>
      <c r="AF976" s="1" t="s">
        <v>144</v>
      </c>
      <c r="AG976" s="1" t="s">
        <v>529</v>
      </c>
      <c r="AO976" s="2">
        <v>46275</v>
      </c>
      <c r="AP976" s="1" t="s">
        <v>157</v>
      </c>
      <c r="AS976" s="1" t="s">
        <v>71</v>
      </c>
      <c r="AU976" s="1" t="s">
        <v>72</v>
      </c>
      <c r="AV976" s="1" t="s">
        <v>437</v>
      </c>
      <c r="AX976" s="1">
        <v>0</v>
      </c>
      <c r="BA976" s="1">
        <v>9</v>
      </c>
      <c r="BB976" s="1">
        <v>0</v>
      </c>
      <c r="BC976" s="1">
        <v>0</v>
      </c>
      <c r="BE976" s="1">
        <v>27188517</v>
      </c>
    </row>
    <row r="977" spans="1:57" x14ac:dyDescent="0.25">
      <c r="A977" s="1" t="str">
        <f>T("1944746943721444864")</f>
        <v>1944746943721444864</v>
      </c>
      <c r="B977" s="1" t="str">
        <f>T("249907339516")</f>
        <v>249907339516</v>
      </c>
      <c r="C977" s="1" t="str">
        <f>T("1941094470992791908")</f>
        <v>1941094470992791908</v>
      </c>
      <c r="AC977" s="1" t="s">
        <v>344</v>
      </c>
      <c r="AD977" s="1" t="s">
        <v>430</v>
      </c>
      <c r="AE977" s="1" t="s">
        <v>531</v>
      </c>
      <c r="AF977" s="1" t="s">
        <v>144</v>
      </c>
      <c r="AG977" s="1">
        <v>0</v>
      </c>
      <c r="AO977" s="2">
        <v>46275</v>
      </c>
      <c r="AP977" s="1" t="s">
        <v>157</v>
      </c>
      <c r="AS977" s="1" t="s">
        <v>71</v>
      </c>
      <c r="AU977" s="1" t="s">
        <v>72</v>
      </c>
      <c r="AV977" s="1" t="s">
        <v>73</v>
      </c>
      <c r="AX977" s="1">
        <v>0</v>
      </c>
      <c r="BA977" s="1">
        <v>9</v>
      </c>
      <c r="BB977" s="1">
        <v>0</v>
      </c>
      <c r="BC977" s="1">
        <v>0</v>
      </c>
      <c r="BE977" s="1">
        <v>27188517</v>
      </c>
    </row>
    <row r="978" spans="1:57" x14ac:dyDescent="0.25">
      <c r="A978" s="1" t="str">
        <f>T("1944746943801136516")</f>
        <v>1944746943801136516</v>
      </c>
      <c r="B978" s="1" t="str">
        <f>T("249909315941")</f>
        <v>249909315941</v>
      </c>
      <c r="C978" s="1" t="str">
        <f>T("1941094470992792508")</f>
        <v>1941094470992792508</v>
      </c>
      <c r="AC978" s="1" t="s">
        <v>344</v>
      </c>
      <c r="AD978" s="1" t="s">
        <v>430</v>
      </c>
      <c r="AE978" s="1" t="s">
        <v>531</v>
      </c>
      <c r="AF978" s="1" t="s">
        <v>144</v>
      </c>
      <c r="AG978" s="1">
        <v>0</v>
      </c>
      <c r="AO978" s="2">
        <v>46275</v>
      </c>
      <c r="AP978" s="1" t="s">
        <v>157</v>
      </c>
      <c r="AS978" s="1" t="s">
        <v>71</v>
      </c>
      <c r="AU978" s="1" t="s">
        <v>72</v>
      </c>
      <c r="AV978" s="1" t="s">
        <v>437</v>
      </c>
      <c r="AX978" s="1">
        <v>0</v>
      </c>
      <c r="BA978" s="1">
        <v>9</v>
      </c>
      <c r="BB978" s="1">
        <v>0</v>
      </c>
      <c r="BC978" s="1">
        <v>0</v>
      </c>
      <c r="BE978" s="1">
        <v>27188517</v>
      </c>
    </row>
    <row r="979" spans="1:57" x14ac:dyDescent="0.25">
      <c r="A979" s="1" t="str">
        <f>T("1944746943872440652")</f>
        <v>1944746943872440652</v>
      </c>
      <c r="B979" s="1" t="str">
        <f>T("249917886449")</f>
        <v>249917886449</v>
      </c>
      <c r="C979" s="1" t="str">
        <f>T("1941094470992793208")</f>
        <v>1941094470992793208</v>
      </c>
      <c r="AC979" s="1" t="s">
        <v>276</v>
      </c>
      <c r="AD979" s="1" t="s">
        <v>517</v>
      </c>
      <c r="AE979" s="1" t="s">
        <v>530</v>
      </c>
      <c r="AF979" s="1" t="s">
        <v>144</v>
      </c>
      <c r="AG979" s="1">
        <v>28</v>
      </c>
      <c r="AO979" s="2">
        <v>46275</v>
      </c>
      <c r="AP979" s="1" t="s">
        <v>157</v>
      </c>
      <c r="AS979" s="1" t="s">
        <v>71</v>
      </c>
      <c r="AU979" s="1" t="s">
        <v>72</v>
      </c>
      <c r="AV979" s="1" t="s">
        <v>437</v>
      </c>
      <c r="AX979" s="1">
        <v>0</v>
      </c>
      <c r="BA979" s="1">
        <v>9</v>
      </c>
      <c r="BB979" s="1">
        <v>0</v>
      </c>
      <c r="BC979" s="1">
        <v>0</v>
      </c>
      <c r="BE979" s="1">
        <v>27188517</v>
      </c>
    </row>
    <row r="980" spans="1:57" x14ac:dyDescent="0.25">
      <c r="A980" s="1" t="str">
        <f>T("1944746943931159364")</f>
        <v>1944746943931159364</v>
      </c>
      <c r="B980" s="1" t="str">
        <f>T("249906563501")</f>
        <v>249906563501</v>
      </c>
      <c r="C980" s="1" t="str">
        <f>T("1941094470996984116")</f>
        <v>1941094470996984116</v>
      </c>
      <c r="AC980" s="1" t="s">
        <v>344</v>
      </c>
      <c r="AD980" s="1" t="s">
        <v>430</v>
      </c>
      <c r="AE980" s="1" t="s">
        <v>531</v>
      </c>
      <c r="AF980" s="1" t="s">
        <v>144</v>
      </c>
      <c r="AG980" s="1">
        <v>0</v>
      </c>
      <c r="AO980" s="2">
        <v>46275</v>
      </c>
      <c r="AP980" s="1" t="s">
        <v>157</v>
      </c>
      <c r="AS980" s="1" t="s">
        <v>71</v>
      </c>
      <c r="AU980" s="1" t="s">
        <v>72</v>
      </c>
      <c r="AV980" s="1" t="s">
        <v>437</v>
      </c>
      <c r="AX980" s="1">
        <v>0</v>
      </c>
      <c r="BA980" s="1">
        <v>9</v>
      </c>
      <c r="BB980" s="1">
        <v>0</v>
      </c>
      <c r="BC980" s="1">
        <v>0</v>
      </c>
      <c r="BE980" s="1">
        <v>27188517</v>
      </c>
    </row>
    <row r="981" spans="1:57" x14ac:dyDescent="0.25">
      <c r="A981" s="1" t="str">
        <f>T("1944746943994076084")</f>
        <v>1944746943994076084</v>
      </c>
      <c r="B981" s="1" t="str">
        <f>T("24996478334")</f>
        <v>24996478334</v>
      </c>
      <c r="C981" s="1" t="str">
        <f>T("1941094470996984516")</f>
        <v>1941094470996984516</v>
      </c>
      <c r="AC981" s="1" t="s">
        <v>344</v>
      </c>
      <c r="AD981" s="1" t="s">
        <v>524</v>
      </c>
      <c r="AE981" s="1" t="s">
        <v>528</v>
      </c>
      <c r="AF981" s="1" t="s">
        <v>144</v>
      </c>
      <c r="AG981" s="1" t="s">
        <v>529</v>
      </c>
      <c r="AO981" s="2">
        <v>46275</v>
      </c>
      <c r="AP981" s="1" t="s">
        <v>157</v>
      </c>
      <c r="AS981" s="1" t="s">
        <v>71</v>
      </c>
      <c r="AU981" s="1" t="s">
        <v>72</v>
      </c>
      <c r="AV981" s="1" t="s">
        <v>73</v>
      </c>
      <c r="AX981" s="1">
        <v>0</v>
      </c>
      <c r="BA981" s="1">
        <v>9</v>
      </c>
      <c r="BB981" s="1">
        <v>0</v>
      </c>
      <c r="BC981" s="1">
        <v>0</v>
      </c>
      <c r="BE981" s="1">
        <v>27188517</v>
      </c>
    </row>
    <row r="982" spans="1:57" x14ac:dyDescent="0.25">
      <c r="A982" s="1" t="str">
        <f>T("1944746944056990304")</f>
        <v>1944746944056990304</v>
      </c>
      <c r="B982" s="1" t="str">
        <f>T("249911283113")</f>
        <v>249911283113</v>
      </c>
      <c r="C982" s="1" t="str">
        <f>T("1941094470996987416")</f>
        <v>1941094470996987416</v>
      </c>
      <c r="AC982" s="1" t="s">
        <v>344</v>
      </c>
      <c r="AD982" s="1" t="s">
        <v>345</v>
      </c>
      <c r="AE982" s="1" t="s">
        <v>522</v>
      </c>
      <c r="AF982" s="1" t="s">
        <v>144</v>
      </c>
      <c r="AG982" s="1">
        <v>39</v>
      </c>
      <c r="AO982" s="2">
        <v>46275</v>
      </c>
      <c r="AP982" s="1" t="s">
        <v>157</v>
      </c>
      <c r="AS982" s="1" t="s">
        <v>71</v>
      </c>
      <c r="AU982" s="1" t="s">
        <v>72</v>
      </c>
      <c r="AV982" s="1" t="s">
        <v>73</v>
      </c>
      <c r="AX982" s="1">
        <v>0</v>
      </c>
      <c r="BA982" s="1">
        <v>9</v>
      </c>
      <c r="BB982" s="1">
        <v>0</v>
      </c>
      <c r="BC982" s="1">
        <v>0</v>
      </c>
      <c r="BE982" s="1">
        <v>27188517</v>
      </c>
    </row>
    <row r="983" spans="1:57" x14ac:dyDescent="0.25">
      <c r="A983" s="1" t="str">
        <f>T("1944746944111516008")</f>
        <v>1944746944111516008</v>
      </c>
      <c r="B983" s="1" t="str">
        <f>T("249908515483")</f>
        <v>249908515483</v>
      </c>
      <c r="C983" s="1" t="str">
        <f>T("1941094471001178224")</f>
        <v>1941094471001178224</v>
      </c>
      <c r="AC983" s="1" t="s">
        <v>276</v>
      </c>
      <c r="AD983" s="1" t="s">
        <v>517</v>
      </c>
      <c r="AE983" s="1" t="s">
        <v>530</v>
      </c>
      <c r="AF983" s="1" t="s">
        <v>144</v>
      </c>
      <c r="AG983" s="1">
        <v>29</v>
      </c>
      <c r="AO983" s="2">
        <v>46275</v>
      </c>
      <c r="AP983" s="1" t="s">
        <v>157</v>
      </c>
      <c r="AS983" s="1" t="s">
        <v>71</v>
      </c>
      <c r="AU983" s="1" t="s">
        <v>72</v>
      </c>
      <c r="AV983" s="1" t="s">
        <v>437</v>
      </c>
      <c r="AX983" s="1">
        <v>0</v>
      </c>
      <c r="BA983" s="1">
        <v>9</v>
      </c>
      <c r="BB983" s="1">
        <v>0</v>
      </c>
      <c r="BC983" s="1">
        <v>0</v>
      </c>
      <c r="BE983" s="1">
        <v>27188517</v>
      </c>
    </row>
    <row r="984" spans="1:57" x14ac:dyDescent="0.25">
      <c r="A984" s="1" t="str">
        <f>T("1944746944166040612")</f>
        <v>1944746944166040612</v>
      </c>
      <c r="B984" s="1" t="str">
        <f>T("249967182997")</f>
        <v>249967182997</v>
      </c>
      <c r="C984" s="1" t="str">
        <f>T("1941094471001178624")</f>
        <v>1941094471001178624</v>
      </c>
      <c r="AC984" s="1" t="s">
        <v>276</v>
      </c>
      <c r="AD984" s="1" t="s">
        <v>298</v>
      </c>
      <c r="AE984" s="1" t="s">
        <v>538</v>
      </c>
      <c r="AF984" s="1" t="s">
        <v>144</v>
      </c>
      <c r="AG984" s="1">
        <v>25</v>
      </c>
      <c r="AO984" s="2">
        <v>46275</v>
      </c>
      <c r="AP984" s="1" t="s">
        <v>157</v>
      </c>
      <c r="AS984" s="1" t="s">
        <v>71</v>
      </c>
      <c r="AU984" s="1" t="s">
        <v>72</v>
      </c>
      <c r="AV984" s="1" t="s">
        <v>437</v>
      </c>
      <c r="AX984" s="1">
        <v>0</v>
      </c>
      <c r="BA984" s="1">
        <v>9</v>
      </c>
      <c r="BB984" s="1">
        <v>0</v>
      </c>
      <c r="BC984" s="1">
        <v>0</v>
      </c>
      <c r="BE984" s="1">
        <v>27188517</v>
      </c>
    </row>
    <row r="985" spans="1:57" x14ac:dyDescent="0.25">
      <c r="A985" s="1" t="str">
        <f>T("1944746944237343948")</f>
        <v>1944746944237343948</v>
      </c>
      <c r="B985" s="1" t="str">
        <f>T("249965589909")</f>
        <v>249965589909</v>
      </c>
      <c r="C985" s="1" t="str">
        <f>T("1941094471001179124")</f>
        <v>1941094471001179124</v>
      </c>
      <c r="AC985" s="1" t="s">
        <v>276</v>
      </c>
      <c r="AD985" s="1" t="s">
        <v>298</v>
      </c>
      <c r="AE985" s="1" t="s">
        <v>526</v>
      </c>
      <c r="AF985" s="1" t="s">
        <v>144</v>
      </c>
      <c r="AG985" s="1">
        <v>35</v>
      </c>
      <c r="AO985" s="2">
        <v>46275</v>
      </c>
      <c r="AP985" s="1" t="s">
        <v>157</v>
      </c>
      <c r="AS985" s="1" t="s">
        <v>71</v>
      </c>
      <c r="AU985" s="1" t="s">
        <v>72</v>
      </c>
      <c r="AV985" s="1" t="s">
        <v>437</v>
      </c>
      <c r="AX985" s="1">
        <v>0</v>
      </c>
      <c r="BA985" s="1">
        <v>9</v>
      </c>
      <c r="BB985" s="1">
        <v>0</v>
      </c>
      <c r="BC985" s="1">
        <v>0</v>
      </c>
      <c r="BE985" s="1">
        <v>27188517</v>
      </c>
    </row>
    <row r="986" spans="1:57" x14ac:dyDescent="0.25">
      <c r="A986" s="1" t="str">
        <f>T("1944746944300258268")</f>
        <v>1944746944300258268</v>
      </c>
      <c r="B986" s="1" t="str">
        <f>T("249964116471")</f>
        <v>249964116471</v>
      </c>
      <c r="C986" s="1" t="str">
        <f>T("1941094471001179524")</f>
        <v>1941094471001179524</v>
      </c>
      <c r="AC986" s="1" t="s">
        <v>344</v>
      </c>
      <c r="AD986" s="1" t="s">
        <v>524</v>
      </c>
      <c r="AE986" s="1" t="s">
        <v>527</v>
      </c>
      <c r="AF986" s="1" t="s">
        <v>144</v>
      </c>
      <c r="AG986" s="1">
        <v>0</v>
      </c>
      <c r="AO986" s="2">
        <v>46275</v>
      </c>
      <c r="AP986" s="1" t="s">
        <v>157</v>
      </c>
      <c r="AS986" s="1" t="s">
        <v>71</v>
      </c>
      <c r="AU986" s="1" t="s">
        <v>72</v>
      </c>
      <c r="AV986" s="1" t="s">
        <v>437</v>
      </c>
      <c r="AX986" s="1">
        <v>0</v>
      </c>
      <c r="BA986" s="1">
        <v>9</v>
      </c>
      <c r="BB986" s="1">
        <v>0</v>
      </c>
      <c r="BC986" s="1">
        <v>0</v>
      </c>
      <c r="BE986" s="1">
        <v>27188517</v>
      </c>
    </row>
    <row r="987" spans="1:57" x14ac:dyDescent="0.25">
      <c r="A987" s="1" t="str">
        <f>T("1944746944354786872")</f>
        <v>1944746944354786872</v>
      </c>
      <c r="B987" s="1" t="str">
        <f>T("249963579923")</f>
        <v>249963579923</v>
      </c>
      <c r="C987" s="1" t="str">
        <f>T("1941094471001179824")</f>
        <v>1941094471001179824</v>
      </c>
      <c r="AC987" s="1" t="s">
        <v>344</v>
      </c>
      <c r="AD987" s="1" t="s">
        <v>524</v>
      </c>
      <c r="AE987" s="1" t="s">
        <v>528</v>
      </c>
      <c r="AF987" s="1" t="s">
        <v>144</v>
      </c>
      <c r="AG987" s="1" t="s">
        <v>529</v>
      </c>
      <c r="AO987" s="2">
        <v>46275</v>
      </c>
      <c r="AP987" s="1" t="s">
        <v>157</v>
      </c>
      <c r="AS987" s="1" t="s">
        <v>71</v>
      </c>
      <c r="AU987" s="1" t="s">
        <v>72</v>
      </c>
      <c r="AV987" s="1" t="s">
        <v>73</v>
      </c>
      <c r="AX987" s="1">
        <v>0</v>
      </c>
      <c r="BA987" s="1">
        <v>9</v>
      </c>
      <c r="BB987" s="1">
        <v>0</v>
      </c>
      <c r="BC987" s="1">
        <v>0</v>
      </c>
      <c r="BE987" s="1">
        <v>27188517</v>
      </c>
    </row>
    <row r="988" spans="1:57" x14ac:dyDescent="0.25">
      <c r="A988" s="1" t="str">
        <f>T("1944746944417701092")</f>
        <v>1944746944417701092</v>
      </c>
      <c r="B988" s="1" t="str">
        <f>T("249903583975")</f>
        <v>249903583975</v>
      </c>
      <c r="C988" s="1" t="str">
        <f>T("1941094471001180124")</f>
        <v>1941094471001180124</v>
      </c>
      <c r="AC988" s="1" t="s">
        <v>276</v>
      </c>
      <c r="AD988" s="1" t="s">
        <v>298</v>
      </c>
      <c r="AE988" s="1" t="s">
        <v>526</v>
      </c>
      <c r="AF988" s="1" t="s">
        <v>144</v>
      </c>
      <c r="AG988" s="1">
        <v>40</v>
      </c>
      <c r="AO988" s="2">
        <v>46275</v>
      </c>
      <c r="AP988" s="1" t="s">
        <v>157</v>
      </c>
      <c r="AS988" s="1" t="s">
        <v>71</v>
      </c>
      <c r="AU988" s="1" t="s">
        <v>72</v>
      </c>
      <c r="AV988" s="1" t="s">
        <v>73</v>
      </c>
      <c r="AX988" s="1">
        <v>0</v>
      </c>
      <c r="BA988" s="1">
        <v>9</v>
      </c>
      <c r="BB988" s="1">
        <v>0</v>
      </c>
      <c r="BC988" s="1">
        <v>0</v>
      </c>
      <c r="BE988" s="1">
        <v>27188517</v>
      </c>
    </row>
    <row r="989" spans="1:57" x14ac:dyDescent="0.25">
      <c r="A989" s="1" t="str">
        <f>T("1944746944489002528")</f>
        <v>1944746944489002528</v>
      </c>
      <c r="B989" s="1" t="str">
        <f>T("249915520401")</f>
        <v>249915520401</v>
      </c>
      <c r="C989" s="1" t="str">
        <f>T("1941094471001180524")</f>
        <v>1941094471001180524</v>
      </c>
      <c r="AC989" s="1" t="s">
        <v>276</v>
      </c>
      <c r="AD989" s="1" t="s">
        <v>298</v>
      </c>
      <c r="AE989" s="1" t="s">
        <v>526</v>
      </c>
      <c r="AF989" s="1" t="s">
        <v>144</v>
      </c>
      <c r="AG989" s="1">
        <v>40</v>
      </c>
      <c r="AO989" s="2">
        <v>46275</v>
      </c>
      <c r="AP989" s="1" t="s">
        <v>157</v>
      </c>
      <c r="AS989" s="1" t="s">
        <v>71</v>
      </c>
      <c r="AU989" s="1" t="s">
        <v>72</v>
      </c>
      <c r="AV989" s="1" t="s">
        <v>437</v>
      </c>
      <c r="AX989" s="1">
        <v>0</v>
      </c>
      <c r="BA989" s="1">
        <v>9</v>
      </c>
      <c r="BB989" s="1">
        <v>0</v>
      </c>
      <c r="BC989" s="1">
        <v>0</v>
      </c>
      <c r="BE989" s="1">
        <v>27188517</v>
      </c>
    </row>
    <row r="990" spans="1:57" x14ac:dyDescent="0.25">
      <c r="A990" s="1" t="str">
        <f>T("1944746944568693980")</f>
        <v>1944746944568693980</v>
      </c>
      <c r="B990" s="1" t="str">
        <f>T("249902421848")</f>
        <v>249902421848</v>
      </c>
      <c r="C990" s="1" t="str">
        <f>T("1941094471005375132")</f>
        <v>1941094471005375132</v>
      </c>
      <c r="AC990" s="1" t="s">
        <v>276</v>
      </c>
      <c r="AD990" s="1" t="s">
        <v>277</v>
      </c>
      <c r="AE990" s="1" t="s">
        <v>530</v>
      </c>
      <c r="AF990" s="1" t="s">
        <v>144</v>
      </c>
      <c r="AG990" s="1">
        <v>19</v>
      </c>
      <c r="AO990" s="2">
        <v>46275</v>
      </c>
      <c r="AP990" s="1" t="s">
        <v>157</v>
      </c>
      <c r="AS990" s="1" t="s">
        <v>71</v>
      </c>
      <c r="AU990" s="1" t="s">
        <v>72</v>
      </c>
      <c r="AV990" s="1" t="s">
        <v>73</v>
      </c>
      <c r="AX990" s="1">
        <v>0</v>
      </c>
      <c r="BA990" s="1">
        <v>9</v>
      </c>
      <c r="BB990" s="1">
        <v>0</v>
      </c>
      <c r="BC990" s="1">
        <v>0</v>
      </c>
      <c r="BE990" s="1">
        <v>27188517</v>
      </c>
    </row>
    <row r="991" spans="1:57" x14ac:dyDescent="0.25">
      <c r="A991" s="1" t="str">
        <f>T("1944746944652578840")</f>
        <v>1944746944652578840</v>
      </c>
      <c r="B991" s="1" t="str">
        <f>T("249903881406")</f>
        <v>249903881406</v>
      </c>
      <c r="C991" s="1" t="str">
        <f>T("1941094471005375732")</f>
        <v>1941094471005375732</v>
      </c>
      <c r="AC991" s="1" t="s">
        <v>344</v>
      </c>
      <c r="AD991" s="1" t="s">
        <v>430</v>
      </c>
      <c r="AE991" s="1" t="s">
        <v>531</v>
      </c>
      <c r="AF991" s="1" t="s">
        <v>144</v>
      </c>
      <c r="AG991" s="1">
        <v>0</v>
      </c>
      <c r="AO991" s="2">
        <v>46275</v>
      </c>
      <c r="AP991" s="1" t="s">
        <v>157</v>
      </c>
      <c r="AS991" s="1" t="s">
        <v>71</v>
      </c>
      <c r="AU991" s="1" t="s">
        <v>72</v>
      </c>
      <c r="AV991" s="1" t="s">
        <v>437</v>
      </c>
      <c r="AX991" s="1">
        <v>0</v>
      </c>
      <c r="BA991" s="1">
        <v>9</v>
      </c>
      <c r="BB991" s="1">
        <v>0</v>
      </c>
      <c r="BC991" s="1">
        <v>0</v>
      </c>
      <c r="BE991" s="1">
        <v>27188517</v>
      </c>
    </row>
    <row r="992" spans="1:57" x14ac:dyDescent="0.25">
      <c r="A992" s="1" t="str">
        <f>T("1944746944715495160")</f>
        <v>1944746944715495160</v>
      </c>
      <c r="B992" s="1" t="str">
        <f>T("249918813519")</f>
        <v>249918813519</v>
      </c>
      <c r="C992" s="1" t="str">
        <f>T("1941094471005376232")</f>
        <v>1941094471005376232</v>
      </c>
      <c r="AC992" s="1" t="s">
        <v>276</v>
      </c>
      <c r="AD992" s="1" t="s">
        <v>517</v>
      </c>
      <c r="AE992" s="1" t="s">
        <v>530</v>
      </c>
      <c r="AF992" s="1" t="s">
        <v>144</v>
      </c>
      <c r="AG992" s="1">
        <v>40</v>
      </c>
      <c r="AO992" s="2">
        <v>46275</v>
      </c>
      <c r="AP992" s="1" t="s">
        <v>157</v>
      </c>
      <c r="AS992" s="1" t="s">
        <v>71</v>
      </c>
      <c r="AU992" s="1" t="s">
        <v>72</v>
      </c>
      <c r="AV992" s="1" t="s">
        <v>73</v>
      </c>
      <c r="AX992" s="1">
        <v>0</v>
      </c>
      <c r="BA992" s="1">
        <v>9</v>
      </c>
      <c r="BB992" s="1">
        <v>0</v>
      </c>
      <c r="BC992" s="1">
        <v>0</v>
      </c>
      <c r="BE992" s="1">
        <v>27188517</v>
      </c>
    </row>
    <row r="993" spans="1:57" x14ac:dyDescent="0.25">
      <c r="A993" s="1" t="str">
        <f>T("1944746944782603788")</f>
        <v>1944746944782603788</v>
      </c>
      <c r="B993" s="1" t="str">
        <f>T("249918793657")</f>
        <v>249918793657</v>
      </c>
      <c r="C993" s="1" t="str">
        <f>T("1941094471009566840")</f>
        <v>1941094471009566840</v>
      </c>
      <c r="AC993" s="1" t="s">
        <v>344</v>
      </c>
      <c r="AD993" s="1" t="s">
        <v>524</v>
      </c>
      <c r="AE993" s="1" t="s">
        <v>535</v>
      </c>
      <c r="AF993" s="1" t="s">
        <v>144</v>
      </c>
      <c r="AG993" s="1">
        <v>0</v>
      </c>
      <c r="AO993" s="2">
        <v>46275</v>
      </c>
      <c r="AP993" s="1" t="s">
        <v>157</v>
      </c>
      <c r="AS993" s="1" t="s">
        <v>71</v>
      </c>
      <c r="AU993" s="1" t="s">
        <v>72</v>
      </c>
      <c r="AV993" s="1" t="s">
        <v>73</v>
      </c>
      <c r="AX993" s="1">
        <v>0</v>
      </c>
      <c r="BA993" s="1">
        <v>9</v>
      </c>
      <c r="BB993" s="1">
        <v>0</v>
      </c>
      <c r="BC993" s="1">
        <v>0</v>
      </c>
      <c r="BE993" s="1">
        <v>27188517</v>
      </c>
    </row>
    <row r="994" spans="1:57" x14ac:dyDescent="0.25">
      <c r="A994" s="1" t="str">
        <f>T("1944746944853909024")</f>
        <v>1944746944853909024</v>
      </c>
      <c r="B994" s="1" t="str">
        <f>T("249969737825")</f>
        <v>249969737825</v>
      </c>
      <c r="C994" s="1" t="str">
        <f>T("1941094471009567340")</f>
        <v>1941094471009567340</v>
      </c>
      <c r="AC994" s="1" t="s">
        <v>344</v>
      </c>
      <c r="AD994" s="1" t="s">
        <v>524</v>
      </c>
      <c r="AE994" s="1" t="s">
        <v>527</v>
      </c>
      <c r="AF994" s="1" t="s">
        <v>144</v>
      </c>
      <c r="AG994" s="1">
        <v>0</v>
      </c>
      <c r="AO994" s="2">
        <v>46275</v>
      </c>
      <c r="AP994" s="1" t="s">
        <v>157</v>
      </c>
      <c r="AS994" s="1" t="s">
        <v>71</v>
      </c>
      <c r="AU994" s="1" t="s">
        <v>72</v>
      </c>
      <c r="AV994" s="1" t="s">
        <v>437</v>
      </c>
      <c r="AX994" s="1">
        <v>0</v>
      </c>
      <c r="BA994" s="1">
        <v>9</v>
      </c>
      <c r="BB994" s="1">
        <v>0</v>
      </c>
      <c r="BC994" s="1">
        <v>0</v>
      </c>
      <c r="BE994" s="1">
        <v>27188517</v>
      </c>
    </row>
    <row r="995" spans="1:57" x14ac:dyDescent="0.25">
      <c r="A995" s="1" t="str">
        <f>T("1944746944912626936")</f>
        <v>1944746944912626936</v>
      </c>
      <c r="B995" s="1" t="str">
        <f>T("249966678142")</f>
        <v>249966678142</v>
      </c>
      <c r="C995" s="1" t="str">
        <f>T("1941094471009567740")</f>
        <v>1941094471009567740</v>
      </c>
      <c r="AC995" s="1" t="s">
        <v>344</v>
      </c>
      <c r="AD995" s="1" t="s">
        <v>345</v>
      </c>
      <c r="AE995" s="1" t="s">
        <v>522</v>
      </c>
      <c r="AF995" s="1" t="s">
        <v>144</v>
      </c>
      <c r="AG995" s="1">
        <v>33</v>
      </c>
      <c r="AO995" s="2">
        <v>46275</v>
      </c>
      <c r="AP995" s="1" t="s">
        <v>157</v>
      </c>
      <c r="AS995" s="1" t="s">
        <v>71</v>
      </c>
      <c r="AU995" s="1" t="s">
        <v>72</v>
      </c>
      <c r="AV995" s="1" t="s">
        <v>73</v>
      </c>
      <c r="AX995" s="1">
        <v>0</v>
      </c>
      <c r="BA995" s="1">
        <v>9</v>
      </c>
      <c r="BB995" s="1">
        <v>0</v>
      </c>
      <c r="BC995" s="1">
        <v>0</v>
      </c>
      <c r="BE995" s="1">
        <v>27188517</v>
      </c>
    </row>
    <row r="996" spans="1:57" x14ac:dyDescent="0.25">
      <c r="A996" s="1" t="str">
        <f>T("1944746944992319688")</f>
        <v>1944746944992319688</v>
      </c>
      <c r="B996" s="1" t="str">
        <f>T("249961695608")</f>
        <v>249961695608</v>
      </c>
      <c r="C996" s="1" t="str">
        <f>T("1941094471009568140")</f>
        <v>1941094471009568140</v>
      </c>
      <c r="AC996" s="1" t="s">
        <v>366</v>
      </c>
      <c r="AD996" s="1" t="s">
        <v>367</v>
      </c>
      <c r="AE996" s="1" t="s">
        <v>368</v>
      </c>
      <c r="AF996" s="1" t="s">
        <v>144</v>
      </c>
      <c r="AG996" s="1">
        <v>24</v>
      </c>
      <c r="AO996" s="2">
        <v>46275</v>
      </c>
      <c r="AP996" s="1" t="s">
        <v>157</v>
      </c>
      <c r="AS996" s="1" t="s">
        <v>71</v>
      </c>
      <c r="AU996" s="1" t="s">
        <v>72</v>
      </c>
      <c r="AV996" s="1" t="s">
        <v>437</v>
      </c>
      <c r="AX996" s="1">
        <v>0</v>
      </c>
      <c r="BA996" s="1">
        <v>9</v>
      </c>
      <c r="BB996" s="1">
        <v>0</v>
      </c>
      <c r="BC996" s="1">
        <v>0</v>
      </c>
      <c r="BE996" s="1">
        <v>27188517</v>
      </c>
    </row>
    <row r="997" spans="1:57" x14ac:dyDescent="0.25">
      <c r="A997" s="1" t="str">
        <f>T("1944746945084592364")</f>
        <v>1944746945084592364</v>
      </c>
      <c r="B997" s="1" t="str">
        <f>T("249913456860")</f>
        <v>249913456860</v>
      </c>
      <c r="C997" s="1" t="str">
        <f>T("1941094471009568640")</f>
        <v>1941094471009568640</v>
      </c>
      <c r="AC997" s="1" t="s">
        <v>276</v>
      </c>
      <c r="AD997" s="1" t="s">
        <v>517</v>
      </c>
      <c r="AE997" s="1" t="s">
        <v>530</v>
      </c>
      <c r="AF997" s="1" t="s">
        <v>144</v>
      </c>
      <c r="AG997" s="1">
        <v>24</v>
      </c>
      <c r="AO997" s="2">
        <v>46275</v>
      </c>
      <c r="AP997" s="1" t="s">
        <v>157</v>
      </c>
      <c r="AS997" s="1" t="s">
        <v>71</v>
      </c>
      <c r="AU997" s="1" t="s">
        <v>72</v>
      </c>
      <c r="AV997" s="1" t="s">
        <v>437</v>
      </c>
      <c r="AX997" s="1">
        <v>0</v>
      </c>
      <c r="BA997" s="1">
        <v>9</v>
      </c>
      <c r="BB997" s="1">
        <v>0</v>
      </c>
      <c r="BC997" s="1">
        <v>0</v>
      </c>
      <c r="BE997" s="1">
        <v>27188517</v>
      </c>
    </row>
    <row r="998" spans="1:57" x14ac:dyDescent="0.25">
      <c r="A998" s="1" t="str">
        <f>T("1944746945164287516")</f>
        <v>1944746945164287516</v>
      </c>
      <c r="B998" s="1" t="str">
        <f>T("249907763451")</f>
        <v>249907763451</v>
      </c>
      <c r="C998" s="1" t="str">
        <f>T("1941094471009569040")</f>
        <v>1941094471009569040</v>
      </c>
      <c r="AC998" s="1" t="s">
        <v>276</v>
      </c>
      <c r="AD998" s="1" t="s">
        <v>277</v>
      </c>
      <c r="AE998" s="1" t="s">
        <v>530</v>
      </c>
      <c r="AF998" s="1" t="s">
        <v>144</v>
      </c>
      <c r="AG998" s="1">
        <v>34</v>
      </c>
      <c r="AO998" s="2">
        <v>46275</v>
      </c>
      <c r="AP998" s="1" t="s">
        <v>157</v>
      </c>
      <c r="AS998" s="1" t="s">
        <v>71</v>
      </c>
      <c r="AU998" s="1" t="s">
        <v>72</v>
      </c>
      <c r="AV998" s="1" t="s">
        <v>73</v>
      </c>
      <c r="AX998" s="1">
        <v>0</v>
      </c>
      <c r="BA998" s="1">
        <v>9</v>
      </c>
      <c r="BB998" s="1">
        <v>0</v>
      </c>
      <c r="BC998" s="1">
        <v>0</v>
      </c>
      <c r="BE998" s="1">
        <v>27188517</v>
      </c>
    </row>
    <row r="999" spans="1:57" x14ac:dyDescent="0.25">
      <c r="A999" s="1" t="str">
        <f>T("1944746945243977768")</f>
        <v>1944746945243977768</v>
      </c>
      <c r="B999" s="1" t="str">
        <f>T("249969142802")</f>
        <v>249969142802</v>
      </c>
      <c r="C999" s="1" t="str">
        <f>T("1941094471009569540")</f>
        <v>1941094471009569540</v>
      </c>
      <c r="AC999" s="1" t="s">
        <v>276</v>
      </c>
      <c r="AD999" s="1" t="s">
        <v>277</v>
      </c>
      <c r="AE999" s="1" t="s">
        <v>530</v>
      </c>
      <c r="AF999" s="1" t="s">
        <v>144</v>
      </c>
      <c r="AG999" s="1">
        <v>30</v>
      </c>
      <c r="AO999" s="2">
        <v>46275</v>
      </c>
      <c r="AP999" s="1" t="s">
        <v>157</v>
      </c>
      <c r="AS999" s="1" t="s">
        <v>71</v>
      </c>
      <c r="AU999" s="1" t="s">
        <v>72</v>
      </c>
      <c r="AV999" s="1" t="s">
        <v>437</v>
      </c>
      <c r="AX999" s="1">
        <v>0</v>
      </c>
      <c r="BA999" s="1">
        <v>9</v>
      </c>
      <c r="BB999" s="1">
        <v>0</v>
      </c>
      <c r="BC999" s="1">
        <v>0</v>
      </c>
      <c r="BE999" s="1">
        <v>27188517</v>
      </c>
    </row>
    <row r="1000" spans="1:57" x14ac:dyDescent="0.25">
      <c r="A1000" s="1" t="str">
        <f>T("1944746945323669120")</f>
        <v>1944746945323669120</v>
      </c>
      <c r="B1000" s="1" t="str">
        <f>T("249962342895")</f>
        <v>249962342895</v>
      </c>
      <c r="C1000" s="1" t="str">
        <f>T("1941094471009570140")</f>
        <v>1941094471009570140</v>
      </c>
      <c r="AC1000" s="1" t="s">
        <v>276</v>
      </c>
      <c r="AD1000" s="1" t="s">
        <v>517</v>
      </c>
      <c r="AE1000" s="1" t="s">
        <v>540</v>
      </c>
      <c r="AF1000" s="1" t="s">
        <v>144</v>
      </c>
      <c r="AG1000" s="1">
        <v>28</v>
      </c>
      <c r="AO1000" s="2">
        <v>46275</v>
      </c>
      <c r="AP1000" s="1" t="s">
        <v>157</v>
      </c>
      <c r="AS1000" s="1" t="s">
        <v>71</v>
      </c>
      <c r="AU1000" s="1" t="s">
        <v>72</v>
      </c>
      <c r="AV1000" s="1" t="s">
        <v>437</v>
      </c>
      <c r="AX1000" s="1">
        <v>0</v>
      </c>
      <c r="BA1000" s="1">
        <v>9</v>
      </c>
      <c r="BB1000" s="1">
        <v>0</v>
      </c>
      <c r="BC1000" s="1">
        <v>0</v>
      </c>
      <c r="BE1000" s="1">
        <v>27188517</v>
      </c>
    </row>
    <row r="1001" spans="1:57" x14ac:dyDescent="0.25">
      <c r="A1001" s="1" t="str">
        <f>T("1944746945382388832")</f>
        <v>1944746945382388832</v>
      </c>
      <c r="B1001" s="1" t="str">
        <f>T("249910180072")</f>
        <v>249910180072</v>
      </c>
      <c r="C1001" s="1" t="str">
        <f>T("1941094471009570540")</f>
        <v>1941094471009570540</v>
      </c>
      <c r="AC1001" s="1" t="s">
        <v>276</v>
      </c>
      <c r="AD1001" s="1" t="s">
        <v>298</v>
      </c>
      <c r="AE1001" s="1" t="s">
        <v>526</v>
      </c>
      <c r="AF1001" s="1" t="s">
        <v>144</v>
      </c>
      <c r="AG1001" s="1">
        <v>25</v>
      </c>
      <c r="AO1001" s="2">
        <v>46275</v>
      </c>
      <c r="AP1001" s="1" t="s">
        <v>157</v>
      </c>
      <c r="AS1001" s="1" t="s">
        <v>71</v>
      </c>
      <c r="AU1001" s="1" t="s">
        <v>72</v>
      </c>
      <c r="AV1001" s="1" t="s">
        <v>73</v>
      </c>
      <c r="AX1001" s="1">
        <v>0</v>
      </c>
      <c r="BA1001" s="1">
        <v>9</v>
      </c>
      <c r="BB1001" s="1">
        <v>0</v>
      </c>
      <c r="BC1001" s="1">
        <v>0</v>
      </c>
      <c r="BE1001" s="1">
        <v>27188517</v>
      </c>
    </row>
    <row r="1002" spans="1:57" x14ac:dyDescent="0.25">
      <c r="A1002" s="1" t="str">
        <f>T("1944746945445306052")</f>
        <v>1944746945445306052</v>
      </c>
      <c r="B1002" s="1" t="str">
        <f>T("249903999145")</f>
        <v>249903999145</v>
      </c>
      <c r="C1002" s="1" t="str">
        <f>T("1941094471013761148")</f>
        <v>1941094471013761148</v>
      </c>
      <c r="AC1002" s="1" t="s">
        <v>344</v>
      </c>
      <c r="AD1002" s="1" t="s">
        <v>430</v>
      </c>
      <c r="AE1002" s="1" t="s">
        <v>531</v>
      </c>
      <c r="AF1002" s="1" t="s">
        <v>144</v>
      </c>
      <c r="AG1002" s="1">
        <v>0</v>
      </c>
      <c r="AO1002" s="2">
        <v>46275</v>
      </c>
      <c r="AP1002" s="1" t="s">
        <v>157</v>
      </c>
      <c r="AS1002" s="1" t="s">
        <v>71</v>
      </c>
      <c r="AU1002" s="1" t="s">
        <v>72</v>
      </c>
      <c r="AV1002" s="1" t="s">
        <v>73</v>
      </c>
      <c r="AX1002" s="1">
        <v>0</v>
      </c>
      <c r="BA1002" s="1">
        <v>9</v>
      </c>
      <c r="BB1002" s="1">
        <v>0</v>
      </c>
      <c r="BC1002" s="1">
        <v>0</v>
      </c>
      <c r="BE1002" s="1">
        <v>27188517</v>
      </c>
    </row>
    <row r="1003" spans="1:57" x14ac:dyDescent="0.25">
      <c r="A1003" s="1" t="str">
        <f>T("1944746945512411380")</f>
        <v>1944746945512411380</v>
      </c>
      <c r="B1003" s="1" t="str">
        <f>T("249925607686")</f>
        <v>249925607686</v>
      </c>
      <c r="C1003" s="1" t="str">
        <f>T("1941094471013761548")</f>
        <v>1941094471013761548</v>
      </c>
      <c r="AC1003" s="1" t="s">
        <v>344</v>
      </c>
      <c r="AD1003" s="1" t="s">
        <v>524</v>
      </c>
      <c r="AE1003" s="1" t="s">
        <v>527</v>
      </c>
      <c r="AF1003" s="1" t="s">
        <v>144</v>
      </c>
      <c r="AG1003" s="1">
        <v>0</v>
      </c>
      <c r="AO1003" s="2">
        <v>46275</v>
      </c>
      <c r="AP1003" s="1" t="s">
        <v>157</v>
      </c>
      <c r="AS1003" s="1" t="s">
        <v>71</v>
      </c>
      <c r="AU1003" s="1" t="s">
        <v>72</v>
      </c>
      <c r="AV1003" s="1" t="s">
        <v>73</v>
      </c>
      <c r="AX1003" s="1">
        <v>0</v>
      </c>
      <c r="BA1003" s="1">
        <v>9</v>
      </c>
      <c r="BB1003" s="1">
        <v>0</v>
      </c>
      <c r="BC1003" s="1">
        <v>0</v>
      </c>
      <c r="BE1003" s="1">
        <v>27188517</v>
      </c>
    </row>
    <row r="1004" spans="1:57" x14ac:dyDescent="0.25">
      <c r="A1004" s="1" t="str">
        <f>T("1944746945592106132")</f>
        <v>1944746945592106132</v>
      </c>
      <c r="B1004" s="1" t="str">
        <f>T("249903142786")</f>
        <v>249903142786</v>
      </c>
      <c r="C1004" s="1" t="str">
        <f>T("1941094471013761948")</f>
        <v>1941094471013761948</v>
      </c>
      <c r="AC1004" s="1" t="s">
        <v>276</v>
      </c>
      <c r="AD1004" s="1" t="s">
        <v>277</v>
      </c>
      <c r="AE1004" s="1" t="s">
        <v>530</v>
      </c>
      <c r="AF1004" s="1" t="s">
        <v>144</v>
      </c>
      <c r="AG1004" s="1">
        <v>21</v>
      </c>
      <c r="AO1004" s="2">
        <v>46275</v>
      </c>
      <c r="AP1004" s="1" t="s">
        <v>157</v>
      </c>
      <c r="AS1004" s="1" t="s">
        <v>71</v>
      </c>
      <c r="AU1004" s="1" t="s">
        <v>72</v>
      </c>
      <c r="AV1004" s="1" t="s">
        <v>437</v>
      </c>
      <c r="AX1004" s="1">
        <v>0</v>
      </c>
      <c r="BA1004" s="1">
        <v>9</v>
      </c>
      <c r="BB1004" s="1">
        <v>0</v>
      </c>
      <c r="BC1004" s="1">
        <v>0</v>
      </c>
      <c r="BE1004" s="1">
        <v>27188517</v>
      </c>
    </row>
    <row r="1005" spans="1:57" x14ac:dyDescent="0.25">
      <c r="A1005" s="1" t="str">
        <f>T("1944746945667601276")</f>
        <v>1944746945667601276</v>
      </c>
      <c r="B1005" s="1" t="str">
        <f>T("249966310409")</f>
        <v>249966310409</v>
      </c>
      <c r="C1005" s="1" t="str">
        <f>T("1941094471013763348")</f>
        <v>1941094471013763348</v>
      </c>
      <c r="AC1005" s="1" t="s">
        <v>366</v>
      </c>
      <c r="AD1005" s="1" t="s">
        <v>367</v>
      </c>
      <c r="AE1005" s="1" t="s">
        <v>368</v>
      </c>
      <c r="AF1005" s="1" t="s">
        <v>144</v>
      </c>
      <c r="AG1005" s="1">
        <v>36</v>
      </c>
      <c r="AO1005" s="2">
        <v>46275</v>
      </c>
      <c r="AP1005" s="1" t="s">
        <v>157</v>
      </c>
      <c r="AS1005" s="1" t="s">
        <v>71</v>
      </c>
      <c r="AU1005" s="1" t="s">
        <v>72</v>
      </c>
      <c r="AV1005" s="1" t="s">
        <v>73</v>
      </c>
      <c r="AX1005" s="1">
        <v>0</v>
      </c>
      <c r="BA1005" s="1">
        <v>9</v>
      </c>
      <c r="BB1005" s="1">
        <v>0</v>
      </c>
      <c r="BC1005" s="1">
        <v>0</v>
      </c>
      <c r="BE1005" s="1">
        <v>27188517</v>
      </c>
    </row>
    <row r="1006" spans="1:57" x14ac:dyDescent="0.25">
      <c r="A1006" s="1" t="str">
        <f>T("1944746945755682844")</f>
        <v>1944746945755682844</v>
      </c>
      <c r="B1006" s="1" t="str">
        <f>T("249914761186")</f>
        <v>249914761186</v>
      </c>
      <c r="C1006" s="1" t="str">
        <f>T("1941094471017955456")</f>
        <v>1941094471017955456</v>
      </c>
      <c r="AC1006" s="1" t="s">
        <v>344</v>
      </c>
      <c r="AD1006" s="1" t="s">
        <v>524</v>
      </c>
      <c r="AE1006" s="1" t="s">
        <v>504</v>
      </c>
      <c r="AF1006" s="1" t="s">
        <v>144</v>
      </c>
      <c r="AG1006" s="1">
        <v>0</v>
      </c>
      <c r="AO1006" s="2">
        <v>46275</v>
      </c>
      <c r="AP1006" s="1" t="s">
        <v>157</v>
      </c>
      <c r="AS1006" s="1" t="s">
        <v>71</v>
      </c>
      <c r="AU1006" s="1" t="s">
        <v>72</v>
      </c>
      <c r="AV1006" s="1" t="s">
        <v>437</v>
      </c>
      <c r="AX1006" s="1">
        <v>0</v>
      </c>
      <c r="BA1006" s="1">
        <v>9</v>
      </c>
      <c r="BB1006" s="1">
        <v>0</v>
      </c>
      <c r="BC1006" s="1">
        <v>0</v>
      </c>
      <c r="BE1006" s="1">
        <v>27188517</v>
      </c>
    </row>
    <row r="1007" spans="1:57" x14ac:dyDescent="0.25">
      <c r="A1007" s="1" t="str">
        <f>T("1944746945835374396")</f>
        <v>1944746945835374396</v>
      </c>
      <c r="B1007" s="1" t="str">
        <f>T("249903874751")</f>
        <v>249903874751</v>
      </c>
      <c r="C1007" s="1" t="str">
        <f>T("1941094471017956056")</f>
        <v>1941094471017956056</v>
      </c>
      <c r="AC1007" s="1" t="s">
        <v>344</v>
      </c>
      <c r="AD1007" s="1" t="s">
        <v>524</v>
      </c>
      <c r="AE1007" s="1" t="s">
        <v>528</v>
      </c>
      <c r="AF1007" s="1" t="s">
        <v>144</v>
      </c>
      <c r="AG1007" s="1" t="s">
        <v>529</v>
      </c>
      <c r="AO1007" s="2">
        <v>46275</v>
      </c>
      <c r="AP1007" s="1" t="s">
        <v>157</v>
      </c>
      <c r="AS1007" s="1" t="s">
        <v>71</v>
      </c>
      <c r="AU1007" s="1" t="s">
        <v>72</v>
      </c>
      <c r="AV1007" s="1" t="s">
        <v>73</v>
      </c>
      <c r="AX1007" s="1">
        <v>0</v>
      </c>
      <c r="BA1007" s="1">
        <v>9</v>
      </c>
      <c r="BB1007" s="1">
        <v>0</v>
      </c>
      <c r="BC1007" s="1">
        <v>0</v>
      </c>
      <c r="BE1007" s="1">
        <v>27188517</v>
      </c>
    </row>
    <row r="1008" spans="1:57" x14ac:dyDescent="0.25">
      <c r="A1008" s="1" t="str">
        <f>T("1944746945923456864")</f>
        <v>1944746945923456864</v>
      </c>
      <c r="B1008" s="1" t="str">
        <f>T("249916125515")</f>
        <v>249916125515</v>
      </c>
      <c r="C1008" s="1" t="str">
        <f>T("1941094471017956456")</f>
        <v>1941094471017956456</v>
      </c>
      <c r="AC1008" s="1" t="s">
        <v>344</v>
      </c>
      <c r="AD1008" s="1" t="s">
        <v>430</v>
      </c>
      <c r="AE1008" s="1" t="s">
        <v>531</v>
      </c>
      <c r="AF1008" s="1" t="s">
        <v>144</v>
      </c>
      <c r="AG1008" s="1">
        <v>0</v>
      </c>
      <c r="AO1008" s="2">
        <v>46275</v>
      </c>
      <c r="AP1008" s="1" t="s">
        <v>157</v>
      </c>
      <c r="AS1008" s="1" t="s">
        <v>71</v>
      </c>
      <c r="AU1008" s="1" t="s">
        <v>72</v>
      </c>
      <c r="AV1008" s="1" t="s">
        <v>73</v>
      </c>
      <c r="AX1008" s="1">
        <v>0</v>
      </c>
      <c r="BA1008" s="1">
        <v>9</v>
      </c>
      <c r="BB1008" s="1">
        <v>0</v>
      </c>
      <c r="BC1008" s="1">
        <v>0</v>
      </c>
      <c r="BE1008" s="1">
        <v>27188517</v>
      </c>
    </row>
    <row r="1009" spans="1:57" x14ac:dyDescent="0.25">
      <c r="A1009" s="1" t="str">
        <f>T("1944746946015729240")</f>
        <v>1944746946015729240</v>
      </c>
      <c r="B1009" s="1" t="str">
        <f>T("249917774687")</f>
        <v>249917774687</v>
      </c>
      <c r="C1009" s="1" t="str">
        <f>T("1941094471017956956")</f>
        <v>1941094471017956956</v>
      </c>
      <c r="AC1009" s="1" t="s">
        <v>276</v>
      </c>
      <c r="AD1009" s="1" t="s">
        <v>298</v>
      </c>
      <c r="AE1009" s="1" t="s">
        <v>526</v>
      </c>
      <c r="AF1009" s="1" t="s">
        <v>144</v>
      </c>
      <c r="AG1009" s="1">
        <v>45</v>
      </c>
      <c r="AO1009" s="2">
        <v>46275</v>
      </c>
      <c r="AP1009" s="1" t="s">
        <v>157</v>
      </c>
      <c r="AS1009" s="1" t="s">
        <v>71</v>
      </c>
      <c r="AU1009" s="1" t="s">
        <v>72</v>
      </c>
      <c r="AV1009" s="1" t="s">
        <v>437</v>
      </c>
      <c r="AX1009" s="1">
        <v>0</v>
      </c>
      <c r="BA1009" s="1">
        <v>9</v>
      </c>
      <c r="BB1009" s="1">
        <v>0</v>
      </c>
      <c r="BC1009" s="1">
        <v>0</v>
      </c>
      <c r="BE1009" s="1">
        <v>27188517</v>
      </c>
    </row>
    <row r="1010" spans="1:57" x14ac:dyDescent="0.25">
      <c r="A1010" s="1" t="str">
        <f>T("1944746946095421392")</f>
        <v>1944746946095421392</v>
      </c>
      <c r="B1010" s="1" t="str">
        <f>T("249902876562")</f>
        <v>249902876562</v>
      </c>
      <c r="C1010" s="1" t="str">
        <f>T("1941094471017957356")</f>
        <v>1941094471017957356</v>
      </c>
      <c r="AC1010" s="1" t="s">
        <v>344</v>
      </c>
      <c r="AD1010" s="1" t="s">
        <v>430</v>
      </c>
      <c r="AE1010" s="1" t="s">
        <v>531</v>
      </c>
      <c r="AF1010" s="1" t="s">
        <v>144</v>
      </c>
      <c r="AG1010" s="1">
        <v>0</v>
      </c>
      <c r="AO1010" s="2">
        <v>46275</v>
      </c>
      <c r="AP1010" s="1" t="s">
        <v>157</v>
      </c>
      <c r="AS1010" s="1" t="s">
        <v>71</v>
      </c>
      <c r="AU1010" s="1" t="s">
        <v>72</v>
      </c>
      <c r="AV1010" s="1" t="s">
        <v>73</v>
      </c>
      <c r="AX1010" s="1">
        <v>0</v>
      </c>
      <c r="BA1010" s="1">
        <v>9</v>
      </c>
      <c r="BB1010" s="1">
        <v>0</v>
      </c>
      <c r="BC1010" s="1">
        <v>0</v>
      </c>
      <c r="BE1010" s="1">
        <v>27188517</v>
      </c>
    </row>
    <row r="1011" spans="1:57" x14ac:dyDescent="0.25">
      <c r="A1011" s="1" t="str">
        <f>T("1944746946175112244")</f>
        <v>1944746946175112244</v>
      </c>
      <c r="B1011" s="1" t="str">
        <f>T("249969410106")</f>
        <v>249969410106</v>
      </c>
      <c r="C1011" s="1" t="str">
        <f>T("1941094471017958556")</f>
        <v>1941094471017958556</v>
      </c>
      <c r="AC1011" s="1" t="s">
        <v>366</v>
      </c>
      <c r="AD1011" s="1" t="s">
        <v>367</v>
      </c>
      <c r="AE1011" s="1" t="s">
        <v>368</v>
      </c>
      <c r="AF1011" s="1" t="s">
        <v>144</v>
      </c>
      <c r="AG1011" s="1">
        <v>37</v>
      </c>
      <c r="AO1011" s="2">
        <v>46275</v>
      </c>
      <c r="AP1011" s="1" t="s">
        <v>157</v>
      </c>
      <c r="AS1011" s="1" t="s">
        <v>71</v>
      </c>
      <c r="AU1011" s="1" t="s">
        <v>72</v>
      </c>
      <c r="AV1011" s="1" t="s">
        <v>437</v>
      </c>
      <c r="AX1011" s="1">
        <v>0</v>
      </c>
      <c r="BA1011" s="1">
        <v>9</v>
      </c>
      <c r="BB1011" s="1">
        <v>0</v>
      </c>
      <c r="BC1011" s="1">
        <v>0</v>
      </c>
      <c r="BE1011" s="1">
        <v>27188517</v>
      </c>
    </row>
    <row r="1012" spans="1:57" x14ac:dyDescent="0.25">
      <c r="A1012" s="1" t="str">
        <f>T("1944746946267386220")</f>
        <v>1944746946267386220</v>
      </c>
      <c r="B1012" s="1" t="str">
        <f>T("249135858039")</f>
        <v>249135858039</v>
      </c>
      <c r="C1012" s="1" t="str">
        <f>T("1941094471022149764")</f>
        <v>1941094471022149764</v>
      </c>
      <c r="AC1012" s="1" t="s">
        <v>344</v>
      </c>
      <c r="AD1012" s="1" t="s">
        <v>430</v>
      </c>
      <c r="AE1012" s="1" t="s">
        <v>536</v>
      </c>
      <c r="AF1012" s="1" t="s">
        <v>144</v>
      </c>
      <c r="AG1012" s="1">
        <v>0</v>
      </c>
      <c r="AO1012" s="2">
        <v>46275</v>
      </c>
      <c r="AP1012" s="1" t="s">
        <v>157</v>
      </c>
      <c r="AS1012" s="1" t="s">
        <v>71</v>
      </c>
      <c r="AU1012" s="1" t="s">
        <v>72</v>
      </c>
      <c r="AV1012" s="1" t="s">
        <v>73</v>
      </c>
      <c r="AX1012" s="1">
        <v>0</v>
      </c>
      <c r="BA1012" s="1">
        <v>9</v>
      </c>
      <c r="BB1012" s="1">
        <v>0</v>
      </c>
      <c r="BC1012" s="1">
        <v>0</v>
      </c>
      <c r="BE1012" s="1">
        <v>27188517</v>
      </c>
    </row>
    <row r="1013" spans="1:57" x14ac:dyDescent="0.25">
      <c r="A1013" s="1" t="str">
        <f>T("1944746946334495648")</f>
        <v>1944746946334495648</v>
      </c>
      <c r="B1013" s="1" t="str">
        <f>T("249962662426")</f>
        <v>249962662426</v>
      </c>
      <c r="C1013" s="1" t="str">
        <f>T("1941094471022150364")</f>
        <v>1941094471022150364</v>
      </c>
      <c r="AC1013" s="1" t="s">
        <v>276</v>
      </c>
      <c r="AD1013" s="1" t="s">
        <v>298</v>
      </c>
      <c r="AE1013" s="1" t="s">
        <v>538</v>
      </c>
      <c r="AF1013" s="1" t="s">
        <v>144</v>
      </c>
      <c r="AG1013" s="1">
        <v>40</v>
      </c>
      <c r="AO1013" s="2">
        <v>46275</v>
      </c>
      <c r="AP1013" s="1" t="s">
        <v>157</v>
      </c>
      <c r="AS1013" s="1" t="s">
        <v>71</v>
      </c>
      <c r="AU1013" s="1" t="s">
        <v>72</v>
      </c>
      <c r="AV1013" s="1" t="s">
        <v>73</v>
      </c>
      <c r="AX1013" s="1">
        <v>0</v>
      </c>
      <c r="BA1013" s="1">
        <v>9</v>
      </c>
      <c r="BB1013" s="1">
        <v>0</v>
      </c>
      <c r="BC1013" s="1">
        <v>0</v>
      </c>
      <c r="BE1013" s="1">
        <v>27188517</v>
      </c>
    </row>
    <row r="1014" spans="1:57" x14ac:dyDescent="0.25">
      <c r="A1014" s="1" t="str">
        <f>T("1944746946401604076")</f>
        <v>1944746946401604076</v>
      </c>
      <c r="B1014" s="1" t="str">
        <f>T("249613413397")</f>
        <v>249613413397</v>
      </c>
      <c r="C1014" s="1" t="str">
        <f>T("1941094471022150864")</f>
        <v>1941094471022150864</v>
      </c>
      <c r="AC1014" s="1" t="s">
        <v>344</v>
      </c>
      <c r="AD1014" s="1" t="s">
        <v>345</v>
      </c>
      <c r="AE1014" s="1" t="s">
        <v>522</v>
      </c>
      <c r="AF1014" s="1" t="s">
        <v>144</v>
      </c>
      <c r="AG1014" s="1">
        <v>41</v>
      </c>
      <c r="AO1014" s="2">
        <v>46275</v>
      </c>
      <c r="AP1014" s="1" t="s">
        <v>157</v>
      </c>
      <c r="AS1014" s="1" t="s">
        <v>71</v>
      </c>
      <c r="AU1014" s="1" t="s">
        <v>72</v>
      </c>
      <c r="AV1014" s="1" t="s">
        <v>73</v>
      </c>
      <c r="AX1014" s="1">
        <v>0</v>
      </c>
      <c r="BA1014" s="1">
        <v>9</v>
      </c>
      <c r="BB1014" s="1">
        <v>0</v>
      </c>
      <c r="BC1014" s="1">
        <v>0</v>
      </c>
      <c r="BE1014" s="1">
        <v>27188517</v>
      </c>
    </row>
    <row r="1015" spans="1:57" x14ac:dyDescent="0.25">
      <c r="A1015" s="1" t="str">
        <f>T("1944746946468713304")</f>
        <v>1944746946468713304</v>
      </c>
      <c r="B1015" s="1" t="str">
        <f>T("249915853761")</f>
        <v>249915853761</v>
      </c>
      <c r="C1015" s="1" t="str">
        <f>T("1941094471022151964")</f>
        <v>1941094471022151964</v>
      </c>
      <c r="AC1015" s="1" t="s">
        <v>344</v>
      </c>
      <c r="AD1015" s="1" t="s">
        <v>524</v>
      </c>
      <c r="AE1015" s="1" t="s">
        <v>528</v>
      </c>
      <c r="AF1015" s="1" t="s">
        <v>144</v>
      </c>
      <c r="AG1015" s="1" t="s">
        <v>529</v>
      </c>
      <c r="AO1015" s="2">
        <v>46275</v>
      </c>
      <c r="AP1015" s="1" t="s">
        <v>157</v>
      </c>
      <c r="AS1015" s="1" t="s">
        <v>71</v>
      </c>
      <c r="AU1015" s="1" t="s">
        <v>72</v>
      </c>
      <c r="AV1015" s="1" t="s">
        <v>437</v>
      </c>
      <c r="AX1015" s="1">
        <v>0</v>
      </c>
      <c r="BA1015" s="1">
        <v>9</v>
      </c>
      <c r="BB1015" s="1">
        <v>0</v>
      </c>
      <c r="BC1015" s="1">
        <v>0</v>
      </c>
      <c r="BE1015" s="1">
        <v>27188517</v>
      </c>
    </row>
    <row r="1016" spans="1:57" x14ac:dyDescent="0.25">
      <c r="A1016" s="1" t="str">
        <f>T("1944746946531630624")</f>
        <v>1944746946531630624</v>
      </c>
      <c r="B1016" s="1" t="str">
        <f>T("249918578705")</f>
        <v>249918578705</v>
      </c>
      <c r="C1016" s="1" t="str">
        <f>T("1941094471022152364")</f>
        <v>1941094471022152364</v>
      </c>
      <c r="AC1016" s="1" t="s">
        <v>344</v>
      </c>
      <c r="AD1016" s="1" t="s">
        <v>345</v>
      </c>
      <c r="AE1016" s="1" t="s">
        <v>522</v>
      </c>
      <c r="AF1016" s="1" t="s">
        <v>144</v>
      </c>
      <c r="AG1016" s="1">
        <v>35</v>
      </c>
      <c r="AO1016" s="2">
        <v>46275</v>
      </c>
      <c r="AP1016" s="1" t="s">
        <v>157</v>
      </c>
      <c r="AS1016" s="1" t="s">
        <v>71</v>
      </c>
      <c r="AU1016" s="1" t="s">
        <v>72</v>
      </c>
      <c r="AV1016" s="1" t="s">
        <v>73</v>
      </c>
      <c r="AX1016" s="1">
        <v>0</v>
      </c>
      <c r="BA1016" s="1">
        <v>9</v>
      </c>
      <c r="BB1016" s="1">
        <v>0</v>
      </c>
      <c r="BC1016" s="1">
        <v>0</v>
      </c>
      <c r="BE1016" s="1">
        <v>27188517</v>
      </c>
    </row>
    <row r="1017" spans="1:57" x14ac:dyDescent="0.25">
      <c r="A1017" s="1" t="str">
        <f>T("1944746946598739652")</f>
        <v>1944746946598739652</v>
      </c>
      <c r="B1017" s="1" t="str">
        <f>T("249923842118")</f>
        <v>249923842118</v>
      </c>
      <c r="C1017" s="1" t="str">
        <f>T("1941094471026345572")</f>
        <v>1941094471026345572</v>
      </c>
      <c r="AC1017" s="1" t="s">
        <v>344</v>
      </c>
      <c r="AD1017" s="1" t="s">
        <v>524</v>
      </c>
      <c r="AE1017" s="1" t="s">
        <v>535</v>
      </c>
      <c r="AF1017" s="1" t="s">
        <v>144</v>
      </c>
      <c r="AG1017" s="1">
        <v>0</v>
      </c>
      <c r="AO1017" s="2">
        <v>46275</v>
      </c>
      <c r="AP1017" s="1" t="s">
        <v>157</v>
      </c>
      <c r="AS1017" s="1" t="s">
        <v>71</v>
      </c>
      <c r="AU1017" s="1" t="s">
        <v>72</v>
      </c>
      <c r="AV1017" s="1" t="s">
        <v>73</v>
      </c>
      <c r="AX1017" s="1">
        <v>0</v>
      </c>
      <c r="BA1017" s="1">
        <v>9</v>
      </c>
      <c r="BB1017" s="1">
        <v>0</v>
      </c>
      <c r="BC1017" s="1">
        <v>0</v>
      </c>
      <c r="BE1017" s="1">
        <v>27188517</v>
      </c>
    </row>
    <row r="1018" spans="1:57" x14ac:dyDescent="0.25">
      <c r="A1018" s="1" t="str">
        <f>T("1944746946678431404")</f>
        <v>1944746946678431404</v>
      </c>
      <c r="B1018" s="1" t="str">
        <f>T("249922191462")</f>
        <v>249922191462</v>
      </c>
      <c r="C1018" s="1" t="str">
        <f>T("1941094471026345972")</f>
        <v>1941094471026345972</v>
      </c>
      <c r="AA1018" s="1">
        <v>1</v>
      </c>
      <c r="AC1018" s="1" t="s">
        <v>344</v>
      </c>
      <c r="AD1018" s="1" t="s">
        <v>345</v>
      </c>
      <c r="AE1018" s="1" t="s">
        <v>522</v>
      </c>
      <c r="AF1018" s="1" t="s">
        <v>144</v>
      </c>
      <c r="AG1018" s="1">
        <v>31</v>
      </c>
      <c r="AO1018" s="2">
        <v>46275</v>
      </c>
      <c r="AP1018" s="1" t="s">
        <v>157</v>
      </c>
      <c r="AQ1018" s="2">
        <v>46275</v>
      </c>
      <c r="AR1018" s="1" t="s">
        <v>545</v>
      </c>
      <c r="AS1018" s="1" t="s">
        <v>71</v>
      </c>
      <c r="AU1018" s="1" t="s">
        <v>79</v>
      </c>
      <c r="AV1018" s="1" t="s">
        <v>80</v>
      </c>
      <c r="AW1018" s="1">
        <v>69.260000000000005</v>
      </c>
      <c r="AX1018" s="1">
        <v>0</v>
      </c>
      <c r="AZ1018" s="1" t="s">
        <v>81</v>
      </c>
      <c r="BA1018" s="1">
        <v>1</v>
      </c>
      <c r="BB1018" s="1">
        <v>0</v>
      </c>
      <c r="BC1018" s="1">
        <v>0</v>
      </c>
      <c r="BE1018" s="1">
        <v>27188517</v>
      </c>
    </row>
    <row r="1019" spans="1:57" x14ac:dyDescent="0.25">
      <c r="A1019" s="1" t="str">
        <f>T("1944746946774897888")</f>
        <v>1944746946774897888</v>
      </c>
      <c r="B1019" s="1" t="str">
        <f>T("249911962902")</f>
        <v>249911962902</v>
      </c>
      <c r="C1019" s="1" t="str">
        <f>T("1941094471026346472")</f>
        <v>1941094471026346472</v>
      </c>
      <c r="AC1019" s="1" t="s">
        <v>344</v>
      </c>
      <c r="AD1019" s="1" t="s">
        <v>524</v>
      </c>
      <c r="AE1019" s="1" t="s">
        <v>527</v>
      </c>
      <c r="AF1019" s="1" t="s">
        <v>144</v>
      </c>
      <c r="AG1019" s="1">
        <v>0</v>
      </c>
      <c r="AO1019" s="2">
        <v>46275</v>
      </c>
      <c r="AP1019" s="1" t="s">
        <v>157</v>
      </c>
      <c r="AS1019" s="1" t="s">
        <v>71</v>
      </c>
      <c r="AU1019" s="1" t="s">
        <v>72</v>
      </c>
      <c r="AV1019" s="1" t="s">
        <v>437</v>
      </c>
      <c r="AX1019" s="1">
        <v>0</v>
      </c>
      <c r="BA1019" s="1">
        <v>9</v>
      </c>
      <c r="BB1019" s="1">
        <v>0</v>
      </c>
      <c r="BC1019" s="1">
        <v>0</v>
      </c>
      <c r="BE1019" s="1">
        <v>27188517</v>
      </c>
    </row>
    <row r="1020" spans="1:57" x14ac:dyDescent="0.25">
      <c r="A1020" s="1" t="str">
        <f>T("1944746946854591640")</f>
        <v>1944746946854591640</v>
      </c>
      <c r="B1020" s="1" t="str">
        <f>T("249919478172")</f>
        <v>249919478172</v>
      </c>
      <c r="C1020" s="1" t="str">
        <f>T("1941094471026346772")</f>
        <v>1941094471026346772</v>
      </c>
      <c r="AC1020" s="1" t="s">
        <v>276</v>
      </c>
      <c r="AD1020" s="1" t="s">
        <v>517</v>
      </c>
      <c r="AE1020" s="1" t="s">
        <v>530</v>
      </c>
      <c r="AF1020" s="1" t="s">
        <v>144</v>
      </c>
      <c r="AG1020" s="1">
        <v>19</v>
      </c>
      <c r="AO1020" s="2">
        <v>46275</v>
      </c>
      <c r="AP1020" s="1" t="s">
        <v>157</v>
      </c>
      <c r="AS1020" s="1" t="s">
        <v>71</v>
      </c>
      <c r="AU1020" s="1" t="s">
        <v>72</v>
      </c>
      <c r="AV1020" s="1" t="s">
        <v>437</v>
      </c>
      <c r="AX1020" s="1">
        <v>0</v>
      </c>
      <c r="BA1020" s="1">
        <v>9</v>
      </c>
      <c r="BB1020" s="1">
        <v>0</v>
      </c>
      <c r="BC1020" s="1">
        <v>0</v>
      </c>
      <c r="BE1020" s="1">
        <v>27188517</v>
      </c>
    </row>
    <row r="1021" spans="1:57" x14ac:dyDescent="0.25">
      <c r="A1021" s="1" t="str">
        <f>T("1944746946946865116")</f>
        <v>1944746946946865116</v>
      </c>
      <c r="B1021" s="1" t="str">
        <f>T("249965768611")</f>
        <v>249965768611</v>
      </c>
      <c r="C1021" s="1" t="str">
        <f>T("1941094471030538980")</f>
        <v>1941094471030538980</v>
      </c>
      <c r="AC1021" s="1" t="s">
        <v>344</v>
      </c>
      <c r="AD1021" s="1" t="s">
        <v>524</v>
      </c>
      <c r="AE1021" s="1" t="s">
        <v>527</v>
      </c>
      <c r="AF1021" s="1" t="s">
        <v>144</v>
      </c>
      <c r="AG1021" s="1">
        <v>0</v>
      </c>
      <c r="AO1021" s="2">
        <v>46275</v>
      </c>
      <c r="AP1021" s="1" t="s">
        <v>157</v>
      </c>
      <c r="AS1021" s="1" t="s">
        <v>71</v>
      </c>
      <c r="AU1021" s="1" t="s">
        <v>72</v>
      </c>
      <c r="AV1021" s="1" t="s">
        <v>73</v>
      </c>
      <c r="AX1021" s="1">
        <v>0</v>
      </c>
      <c r="BA1021" s="1">
        <v>9</v>
      </c>
      <c r="BB1021" s="1">
        <v>0</v>
      </c>
      <c r="BC1021" s="1">
        <v>0</v>
      </c>
      <c r="BE1021" s="1">
        <v>27188517</v>
      </c>
    </row>
    <row r="1022" spans="1:57" x14ac:dyDescent="0.25">
      <c r="A1022" s="1" t="str">
        <f>T("1944746947005586328")</f>
        <v>1944746947005586328</v>
      </c>
      <c r="B1022" s="1" t="str">
        <f>T("249906203781")</f>
        <v>249906203781</v>
      </c>
      <c r="C1022" s="1" t="str">
        <f>T("1941094471030539780")</f>
        <v>1941094471030539780</v>
      </c>
      <c r="AC1022" s="1" t="s">
        <v>344</v>
      </c>
      <c r="AD1022" s="1" t="s">
        <v>524</v>
      </c>
      <c r="AE1022" s="1" t="s">
        <v>527</v>
      </c>
      <c r="AF1022" s="1" t="s">
        <v>144</v>
      </c>
      <c r="AG1022" s="1">
        <v>0</v>
      </c>
      <c r="AO1022" s="2">
        <v>46275</v>
      </c>
      <c r="AP1022" s="1" t="s">
        <v>157</v>
      </c>
      <c r="AS1022" s="1" t="s">
        <v>71</v>
      </c>
      <c r="AU1022" s="1" t="s">
        <v>72</v>
      </c>
      <c r="AV1022" s="1" t="s">
        <v>437</v>
      </c>
      <c r="AX1022" s="1">
        <v>0</v>
      </c>
      <c r="BA1022" s="1">
        <v>9</v>
      </c>
      <c r="BB1022" s="1">
        <v>0</v>
      </c>
      <c r="BC1022" s="1">
        <v>0</v>
      </c>
      <c r="BE1022" s="1">
        <v>27188517</v>
      </c>
    </row>
    <row r="1023" spans="1:57" x14ac:dyDescent="0.25">
      <c r="A1023" s="1" t="str">
        <f>T("1944746947064304740")</f>
        <v>1944746947064304740</v>
      </c>
      <c r="B1023" s="1" t="str">
        <f>T("249963805416")</f>
        <v>249963805416</v>
      </c>
      <c r="C1023" s="1" t="str">
        <f>T("1941094471030540280")</f>
        <v>1941094471030540280</v>
      </c>
      <c r="AC1023" s="1" t="s">
        <v>276</v>
      </c>
      <c r="AD1023" s="1" t="s">
        <v>277</v>
      </c>
      <c r="AE1023" s="1" t="s">
        <v>530</v>
      </c>
      <c r="AF1023" s="1" t="s">
        <v>144</v>
      </c>
      <c r="AG1023" s="1">
        <v>31</v>
      </c>
      <c r="AO1023" s="2">
        <v>46275</v>
      </c>
      <c r="AP1023" s="1" t="s">
        <v>157</v>
      </c>
      <c r="AS1023" s="1" t="s">
        <v>71</v>
      </c>
      <c r="AU1023" s="1" t="s">
        <v>72</v>
      </c>
      <c r="AV1023" s="1" t="s">
        <v>73</v>
      </c>
      <c r="AX1023" s="1">
        <v>0</v>
      </c>
      <c r="BA1023" s="1">
        <v>9</v>
      </c>
      <c r="BB1023" s="1">
        <v>0</v>
      </c>
      <c r="BC1023" s="1">
        <v>0</v>
      </c>
      <c r="BE1023" s="1">
        <v>27188517</v>
      </c>
    </row>
    <row r="1024" spans="1:57" x14ac:dyDescent="0.25">
      <c r="A1024" s="1" t="str">
        <f>T("1944746947148193500")</f>
        <v>1944746947148193500</v>
      </c>
      <c r="B1024" s="1" t="str">
        <f>T("249913781321")</f>
        <v>249913781321</v>
      </c>
      <c r="C1024" s="1" t="str">
        <f>T("1941094471030540780")</f>
        <v>1941094471030540780</v>
      </c>
      <c r="AC1024" s="1" t="s">
        <v>276</v>
      </c>
      <c r="AD1024" s="1" t="s">
        <v>517</v>
      </c>
      <c r="AE1024" s="1" t="s">
        <v>521</v>
      </c>
      <c r="AF1024" s="1" t="s">
        <v>144</v>
      </c>
      <c r="AG1024" s="1">
        <v>29</v>
      </c>
      <c r="AO1024" s="2">
        <v>46275</v>
      </c>
      <c r="AP1024" s="1" t="s">
        <v>157</v>
      </c>
      <c r="AS1024" s="1" t="s">
        <v>71</v>
      </c>
      <c r="AU1024" s="1" t="s">
        <v>72</v>
      </c>
      <c r="AV1024" s="1" t="s">
        <v>73</v>
      </c>
      <c r="AX1024" s="1">
        <v>0</v>
      </c>
      <c r="BA1024" s="1">
        <v>9</v>
      </c>
      <c r="BB1024" s="1">
        <v>0</v>
      </c>
      <c r="BC1024" s="1">
        <v>0</v>
      </c>
      <c r="BE1024" s="1">
        <v>27188517</v>
      </c>
    </row>
    <row r="1025" spans="1:57" x14ac:dyDescent="0.25">
      <c r="A1025" s="1" t="str">
        <f>T("1944746947211107120")</f>
        <v>1944746947211107120</v>
      </c>
      <c r="B1025" s="1" t="str">
        <f>T("249903199657")</f>
        <v>249903199657</v>
      </c>
      <c r="C1025" s="1" t="str">
        <f>T("1941094471030541280")</f>
        <v>1941094471030541280</v>
      </c>
      <c r="AC1025" s="1" t="s">
        <v>344</v>
      </c>
      <c r="AD1025" s="1" t="s">
        <v>345</v>
      </c>
      <c r="AE1025" s="1" t="s">
        <v>522</v>
      </c>
      <c r="AF1025" s="1" t="s">
        <v>144</v>
      </c>
      <c r="AG1025" s="1">
        <v>30</v>
      </c>
      <c r="AO1025" s="2">
        <v>46275</v>
      </c>
      <c r="AP1025" s="1" t="s">
        <v>157</v>
      </c>
      <c r="AS1025" s="1" t="s">
        <v>71</v>
      </c>
      <c r="AU1025" s="1" t="s">
        <v>72</v>
      </c>
      <c r="AV1025" s="1" t="s">
        <v>437</v>
      </c>
      <c r="AX1025" s="1">
        <v>0</v>
      </c>
      <c r="BA1025" s="1">
        <v>9</v>
      </c>
      <c r="BB1025" s="1">
        <v>0</v>
      </c>
      <c r="BC1025" s="1">
        <v>0</v>
      </c>
      <c r="BE1025" s="1">
        <v>27188517</v>
      </c>
    </row>
    <row r="1026" spans="1:57" x14ac:dyDescent="0.25">
      <c r="A1026" s="1" t="str">
        <f>T("1944746947269827232")</f>
        <v>1944746947269827232</v>
      </c>
      <c r="B1026" s="1" t="str">
        <f>T("249903873033")</f>
        <v>249903873033</v>
      </c>
      <c r="C1026" s="1" t="str">
        <f>T("1941094471030541880")</f>
        <v>1941094471030541880</v>
      </c>
      <c r="AC1026" s="1" t="s">
        <v>344</v>
      </c>
      <c r="AD1026" s="1" t="s">
        <v>524</v>
      </c>
      <c r="AE1026" s="1" t="s">
        <v>527</v>
      </c>
      <c r="AF1026" s="1" t="s">
        <v>144</v>
      </c>
      <c r="AG1026" s="1">
        <v>0</v>
      </c>
      <c r="AO1026" s="2">
        <v>46275</v>
      </c>
      <c r="AP1026" s="1" t="s">
        <v>157</v>
      </c>
      <c r="AS1026" s="1" t="s">
        <v>71</v>
      </c>
      <c r="AU1026" s="1" t="s">
        <v>72</v>
      </c>
      <c r="AV1026" s="1" t="s">
        <v>73</v>
      </c>
      <c r="AX1026" s="1">
        <v>0</v>
      </c>
      <c r="BA1026" s="1">
        <v>9</v>
      </c>
      <c r="BB1026" s="1">
        <v>0</v>
      </c>
      <c r="BC1026" s="1">
        <v>0</v>
      </c>
      <c r="BE1026" s="1">
        <v>27188517</v>
      </c>
    </row>
    <row r="1027" spans="1:57" x14ac:dyDescent="0.25">
      <c r="A1027" s="1" t="str">
        <f>T("1944746947328545444")</f>
        <v>1944746947328545444</v>
      </c>
      <c r="B1027" s="1" t="str">
        <f>T("249907667553")</f>
        <v>249907667553</v>
      </c>
      <c r="C1027" s="1" t="str">
        <f>T("1941094471034733788")</f>
        <v>1941094471034733788</v>
      </c>
      <c r="AC1027" s="1" t="s">
        <v>366</v>
      </c>
      <c r="AD1027" s="1" t="s">
        <v>367</v>
      </c>
      <c r="AE1027" s="1" t="s">
        <v>368</v>
      </c>
      <c r="AF1027" s="1" t="s">
        <v>144</v>
      </c>
      <c r="AG1027" s="1">
        <v>28</v>
      </c>
      <c r="AO1027" s="2">
        <v>46275</v>
      </c>
      <c r="AP1027" s="1" t="s">
        <v>157</v>
      </c>
      <c r="AS1027" s="1" t="s">
        <v>71</v>
      </c>
      <c r="AU1027" s="1" t="s">
        <v>72</v>
      </c>
      <c r="AV1027" s="1" t="s">
        <v>73</v>
      </c>
      <c r="AX1027" s="1">
        <v>0</v>
      </c>
      <c r="BA1027" s="1">
        <v>9</v>
      </c>
      <c r="BB1027" s="1">
        <v>0</v>
      </c>
      <c r="BC1027" s="1">
        <v>0</v>
      </c>
      <c r="BE1027" s="1">
        <v>27188517</v>
      </c>
    </row>
    <row r="1028" spans="1:57" x14ac:dyDescent="0.25">
      <c r="A1028" s="1" t="str">
        <f>T("1944746947395655072")</f>
        <v>1944746947395655072</v>
      </c>
      <c r="B1028" s="1" t="str">
        <f>T("24991887991")</f>
        <v>24991887991</v>
      </c>
      <c r="C1028" s="1" t="str">
        <f>T("1941094471034734288")</f>
        <v>1941094471034734288</v>
      </c>
      <c r="AC1028" s="1" t="s">
        <v>344</v>
      </c>
      <c r="AD1028" s="1" t="s">
        <v>524</v>
      </c>
      <c r="AE1028" s="1" t="s">
        <v>504</v>
      </c>
      <c r="AF1028" s="1" t="s">
        <v>144</v>
      </c>
      <c r="AG1028" s="1">
        <v>0</v>
      </c>
      <c r="AO1028" s="2">
        <v>46275</v>
      </c>
      <c r="AP1028" s="1" t="s">
        <v>157</v>
      </c>
      <c r="AS1028" s="1" t="s">
        <v>71</v>
      </c>
      <c r="AU1028" s="1" t="s">
        <v>72</v>
      </c>
      <c r="AV1028" s="1" t="s">
        <v>73</v>
      </c>
      <c r="AX1028" s="1">
        <v>0</v>
      </c>
      <c r="BA1028" s="1">
        <v>9</v>
      </c>
      <c r="BB1028" s="1">
        <v>0</v>
      </c>
      <c r="BC1028" s="1">
        <v>0</v>
      </c>
      <c r="BE1028" s="1">
        <v>27188517</v>
      </c>
    </row>
    <row r="1029" spans="1:57" x14ac:dyDescent="0.25">
      <c r="A1029" s="1" t="str">
        <f>T("1944746947462764100")</f>
        <v>1944746947462764100</v>
      </c>
      <c r="B1029" s="1" t="str">
        <f>T("249964143729")</f>
        <v>249964143729</v>
      </c>
      <c r="C1029" s="1" t="str">
        <f>T("1941094471034734788")</f>
        <v>1941094471034734788</v>
      </c>
      <c r="AC1029" s="1" t="s">
        <v>344</v>
      </c>
      <c r="AD1029" s="1" t="s">
        <v>430</v>
      </c>
      <c r="AE1029" s="1" t="s">
        <v>531</v>
      </c>
      <c r="AF1029" s="1" t="s">
        <v>144</v>
      </c>
      <c r="AG1029" s="1">
        <v>0</v>
      </c>
      <c r="AO1029" s="2">
        <v>46275</v>
      </c>
      <c r="AP1029" s="1" t="s">
        <v>157</v>
      </c>
      <c r="AS1029" s="1" t="s">
        <v>71</v>
      </c>
      <c r="AU1029" s="1" t="s">
        <v>72</v>
      </c>
      <c r="AV1029" s="1" t="s">
        <v>73</v>
      </c>
      <c r="AX1029" s="1">
        <v>0</v>
      </c>
      <c r="BA1029" s="1">
        <v>9</v>
      </c>
      <c r="BB1029" s="1">
        <v>0</v>
      </c>
      <c r="BC1029" s="1">
        <v>0</v>
      </c>
      <c r="BE1029" s="1">
        <v>27188517</v>
      </c>
    </row>
    <row r="1030" spans="1:57" x14ac:dyDescent="0.25">
      <c r="A1030" s="1" t="str">
        <f>T("1944746947529873028")</f>
        <v>1944746947529873028</v>
      </c>
      <c r="B1030" s="1" t="str">
        <f>T("249917196428")</f>
        <v>249917196428</v>
      </c>
      <c r="C1030" s="1" t="str">
        <f>T("1941094471034736588")</f>
        <v>1941094471034736588</v>
      </c>
      <c r="AC1030" s="1" t="s">
        <v>276</v>
      </c>
      <c r="AD1030" s="1" t="s">
        <v>277</v>
      </c>
      <c r="AE1030" s="1" t="s">
        <v>530</v>
      </c>
      <c r="AF1030" s="1" t="s">
        <v>107</v>
      </c>
      <c r="AG1030" s="1">
        <v>27</v>
      </c>
      <c r="AO1030" s="2">
        <v>46275</v>
      </c>
      <c r="AP1030" s="1" t="s">
        <v>157</v>
      </c>
      <c r="AS1030" s="1" t="s">
        <v>71</v>
      </c>
      <c r="AU1030" s="1" t="s">
        <v>72</v>
      </c>
      <c r="AV1030" s="1" t="s">
        <v>437</v>
      </c>
      <c r="AX1030" s="1">
        <v>0</v>
      </c>
      <c r="BA1030" s="1">
        <v>9</v>
      </c>
      <c r="BB1030" s="1">
        <v>0</v>
      </c>
      <c r="BC1030" s="1">
        <v>0</v>
      </c>
      <c r="BE1030" s="1">
        <v>27188517</v>
      </c>
    </row>
    <row r="1031" spans="1:57" x14ac:dyDescent="0.25">
      <c r="A1031" s="1" t="str">
        <f>T("1944746947617952496")</f>
        <v>1944746947617952496</v>
      </c>
      <c r="B1031" s="1" t="str">
        <f>T("249905480371")</f>
        <v>249905480371</v>
      </c>
      <c r="C1031" s="1" t="str">
        <f>T("1941094471038927296")</f>
        <v>1941094471038927296</v>
      </c>
      <c r="AC1031" s="1" t="s">
        <v>344</v>
      </c>
      <c r="AD1031" s="1" t="s">
        <v>430</v>
      </c>
      <c r="AE1031" s="1" t="s">
        <v>532</v>
      </c>
      <c r="AF1031" s="1" t="s">
        <v>144</v>
      </c>
      <c r="AG1031" s="1">
        <v>0</v>
      </c>
      <c r="AO1031" s="2">
        <v>46275</v>
      </c>
      <c r="AP1031" s="1" t="s">
        <v>157</v>
      </c>
      <c r="AS1031" s="1" t="s">
        <v>71</v>
      </c>
      <c r="AU1031" s="1" t="s">
        <v>72</v>
      </c>
      <c r="AV1031" s="1" t="s">
        <v>73</v>
      </c>
      <c r="AX1031" s="1">
        <v>0</v>
      </c>
      <c r="BA1031" s="1">
        <v>9</v>
      </c>
      <c r="BB1031" s="1">
        <v>0</v>
      </c>
      <c r="BC1031" s="1">
        <v>0</v>
      </c>
      <c r="BE1031" s="1">
        <v>27188517</v>
      </c>
    </row>
    <row r="1032" spans="1:57" x14ac:dyDescent="0.25">
      <c r="A1032" s="1" t="str">
        <f>T("1944746947693451640")</f>
        <v>1944746947693451640</v>
      </c>
      <c r="B1032" s="1" t="str">
        <f>T("249911102925")</f>
        <v>249911102925</v>
      </c>
      <c r="C1032" s="1" t="str">
        <f>T("1941094471038927896")</f>
        <v>1941094471038927896</v>
      </c>
      <c r="AC1032" s="1" t="s">
        <v>276</v>
      </c>
      <c r="AD1032" s="1" t="s">
        <v>277</v>
      </c>
      <c r="AE1032" s="1" t="s">
        <v>530</v>
      </c>
      <c r="AF1032" s="1" t="s">
        <v>144</v>
      </c>
      <c r="AG1032" s="1">
        <v>39</v>
      </c>
      <c r="AO1032" s="2">
        <v>46275</v>
      </c>
      <c r="AP1032" s="1" t="s">
        <v>157</v>
      </c>
      <c r="AS1032" s="1" t="s">
        <v>71</v>
      </c>
      <c r="AU1032" s="1" t="s">
        <v>72</v>
      </c>
      <c r="AV1032" s="1" t="s">
        <v>73</v>
      </c>
      <c r="AX1032" s="1">
        <v>0</v>
      </c>
      <c r="BA1032" s="1">
        <v>9</v>
      </c>
      <c r="BB1032" s="1">
        <v>0</v>
      </c>
      <c r="BC1032" s="1">
        <v>0</v>
      </c>
      <c r="BE1032" s="1">
        <v>27188517</v>
      </c>
    </row>
    <row r="1033" spans="1:57" x14ac:dyDescent="0.25">
      <c r="A1033" s="1" t="str">
        <f>T("1944746947760559768")</f>
        <v>1944746947760559768</v>
      </c>
      <c r="B1033" s="1" t="str">
        <f>T("249111992657")</f>
        <v>249111992657</v>
      </c>
      <c r="C1033" s="1" t="str">
        <f>T("1941094471038930896")</f>
        <v>1941094471038930896</v>
      </c>
      <c r="AC1033" s="1" t="s">
        <v>344</v>
      </c>
      <c r="AD1033" s="1" t="s">
        <v>524</v>
      </c>
      <c r="AE1033" s="1" t="s">
        <v>504</v>
      </c>
      <c r="AF1033" s="1" t="s">
        <v>144</v>
      </c>
      <c r="AG1033" s="1">
        <v>0</v>
      </c>
      <c r="AO1033" s="2">
        <v>46275</v>
      </c>
      <c r="AP1033" s="1" t="s">
        <v>157</v>
      </c>
      <c r="AS1033" s="1" t="s">
        <v>71</v>
      </c>
      <c r="AU1033" s="1" t="s">
        <v>72</v>
      </c>
      <c r="AV1033" s="1" t="s">
        <v>73</v>
      </c>
      <c r="AX1033" s="1">
        <v>0</v>
      </c>
      <c r="BA1033" s="1">
        <v>9</v>
      </c>
      <c r="BB1033" s="1">
        <v>0</v>
      </c>
      <c r="BC1033" s="1">
        <v>0</v>
      </c>
      <c r="BE1033" s="1">
        <v>27188517</v>
      </c>
    </row>
    <row r="1034" spans="1:57" x14ac:dyDescent="0.25">
      <c r="A1034" s="1" t="str">
        <f>T("1944746947831864004")</f>
        <v>1944746947831864004</v>
      </c>
      <c r="B1034" s="1" t="str">
        <f>T("249962461246")</f>
        <v>249962461246</v>
      </c>
      <c r="C1034" s="1" t="str">
        <f>T("1941094471043122104")</f>
        <v>1941094471043122104</v>
      </c>
      <c r="AC1034" s="1" t="s">
        <v>344</v>
      </c>
      <c r="AD1034" s="1" t="s">
        <v>524</v>
      </c>
      <c r="AE1034" s="1" t="s">
        <v>504</v>
      </c>
      <c r="AF1034" s="1" t="s">
        <v>144</v>
      </c>
      <c r="AG1034" s="1">
        <v>0</v>
      </c>
      <c r="AO1034" s="2">
        <v>46275</v>
      </c>
      <c r="AP1034" s="1" t="s">
        <v>157</v>
      </c>
      <c r="AS1034" s="1" t="s">
        <v>71</v>
      </c>
      <c r="AU1034" s="1" t="s">
        <v>72</v>
      </c>
      <c r="AV1034" s="1" t="s">
        <v>73</v>
      </c>
      <c r="AX1034" s="1">
        <v>0</v>
      </c>
      <c r="BA1034" s="1">
        <v>9</v>
      </c>
      <c r="BB1034" s="1">
        <v>0</v>
      </c>
      <c r="BC1034" s="1">
        <v>0</v>
      </c>
      <c r="BE1034" s="1">
        <v>27188517</v>
      </c>
    </row>
    <row r="1035" spans="1:57" x14ac:dyDescent="0.25">
      <c r="A1035" s="1" t="str">
        <f>T("1944746947898971132")</f>
        <v>1944746947898971132</v>
      </c>
      <c r="B1035" s="1" t="str">
        <f>T("249908790648")</f>
        <v>249908790648</v>
      </c>
      <c r="C1035" s="1" t="str">
        <f>T("1941094471043122904")</f>
        <v>1941094471043122904</v>
      </c>
      <c r="AC1035" s="1" t="s">
        <v>344</v>
      </c>
      <c r="AD1035" s="1" t="s">
        <v>345</v>
      </c>
      <c r="AE1035" s="1" t="s">
        <v>522</v>
      </c>
      <c r="AF1035" s="1" t="s">
        <v>144</v>
      </c>
      <c r="AG1035" s="1">
        <v>38</v>
      </c>
      <c r="AO1035" s="2">
        <v>46275</v>
      </c>
      <c r="AP1035" s="1" t="s">
        <v>157</v>
      </c>
      <c r="AS1035" s="1" t="s">
        <v>71</v>
      </c>
      <c r="AU1035" s="1" t="s">
        <v>72</v>
      </c>
      <c r="AV1035" s="1" t="s">
        <v>437</v>
      </c>
      <c r="AX1035" s="1">
        <v>0</v>
      </c>
      <c r="BA1035" s="1">
        <v>9</v>
      </c>
      <c r="BB1035" s="1">
        <v>0</v>
      </c>
      <c r="BC1035" s="1">
        <v>0</v>
      </c>
      <c r="BE1035" s="1">
        <v>27188517</v>
      </c>
    </row>
    <row r="1036" spans="1:57" x14ac:dyDescent="0.25">
      <c r="A1036" s="1" t="str">
        <f>T("1944746947978663184")</f>
        <v>1944746947978663184</v>
      </c>
      <c r="B1036" s="1" t="str">
        <f>T("249905650572")</f>
        <v>249905650572</v>
      </c>
      <c r="C1036" s="1" t="str">
        <f>T("1941094471043123304")</f>
        <v>1941094471043123304</v>
      </c>
      <c r="AC1036" s="1" t="s">
        <v>366</v>
      </c>
      <c r="AD1036" s="1" t="s">
        <v>367</v>
      </c>
      <c r="AE1036" s="1" t="s">
        <v>368</v>
      </c>
      <c r="AF1036" s="1" t="s">
        <v>144</v>
      </c>
      <c r="AG1036" s="1">
        <v>34</v>
      </c>
      <c r="AO1036" s="2">
        <v>46275</v>
      </c>
      <c r="AP1036" s="1" t="s">
        <v>157</v>
      </c>
      <c r="AS1036" s="1" t="s">
        <v>71</v>
      </c>
      <c r="AU1036" s="1" t="s">
        <v>72</v>
      </c>
      <c r="AV1036" s="1" t="s">
        <v>73</v>
      </c>
      <c r="AX1036" s="1">
        <v>0</v>
      </c>
      <c r="BA1036" s="1">
        <v>9</v>
      </c>
      <c r="BB1036" s="1">
        <v>0</v>
      </c>
      <c r="BC1036" s="1">
        <v>0</v>
      </c>
      <c r="BE1036" s="1">
        <v>27188517</v>
      </c>
    </row>
    <row r="1037" spans="1:57" x14ac:dyDescent="0.25">
      <c r="A1037" s="1" t="str">
        <f>T("1944746948058354036")</f>
        <v>1944746948058354036</v>
      </c>
      <c r="B1037" s="1" t="str">
        <f>T("249967933904")</f>
        <v>249967933904</v>
      </c>
      <c r="C1037" s="1" t="str">
        <f>T("1941094471043124004")</f>
        <v>1941094471043124004</v>
      </c>
      <c r="AC1037" s="1" t="s">
        <v>276</v>
      </c>
      <c r="AD1037" s="1" t="s">
        <v>517</v>
      </c>
      <c r="AE1037" s="1" t="s">
        <v>546</v>
      </c>
      <c r="AF1037" s="1" t="s">
        <v>144</v>
      </c>
      <c r="AG1037" s="1">
        <v>38</v>
      </c>
      <c r="AO1037" s="2">
        <v>46275</v>
      </c>
      <c r="AP1037" s="1" t="s">
        <v>157</v>
      </c>
      <c r="AS1037" s="1" t="s">
        <v>71</v>
      </c>
      <c r="AU1037" s="1" t="s">
        <v>72</v>
      </c>
      <c r="AV1037" s="1" t="s">
        <v>73</v>
      </c>
      <c r="AX1037" s="1">
        <v>0</v>
      </c>
      <c r="BA1037" s="1">
        <v>9</v>
      </c>
      <c r="BB1037" s="1">
        <v>0</v>
      </c>
      <c r="BC1037" s="1">
        <v>0</v>
      </c>
      <c r="BE1037" s="1">
        <v>27188517</v>
      </c>
    </row>
    <row r="1038" spans="1:57" x14ac:dyDescent="0.25">
      <c r="A1038" s="1" t="str">
        <f>T("1944746948117074548")</f>
        <v>1944746948117074548</v>
      </c>
      <c r="B1038" s="1" t="str">
        <f>T("249100537293")</f>
        <v>249100537293</v>
      </c>
      <c r="C1038" s="1" t="str">
        <f>T("1941094471043124304")</f>
        <v>1941094471043124304</v>
      </c>
      <c r="AA1038" s="1">
        <v>1</v>
      </c>
      <c r="AC1038" s="1" t="s">
        <v>344</v>
      </c>
      <c r="AD1038" s="1" t="s">
        <v>524</v>
      </c>
      <c r="AE1038" s="1" t="s">
        <v>504</v>
      </c>
      <c r="AF1038" s="1" t="s">
        <v>144</v>
      </c>
      <c r="AG1038" s="1">
        <v>0</v>
      </c>
      <c r="AO1038" s="2">
        <v>46275</v>
      </c>
      <c r="AP1038" s="1" t="s">
        <v>157</v>
      </c>
      <c r="AQ1038" s="2">
        <v>46275</v>
      </c>
      <c r="AR1038" s="1" t="s">
        <v>547</v>
      </c>
      <c r="AS1038" s="1" t="s">
        <v>71</v>
      </c>
      <c r="AU1038" s="1" t="s">
        <v>78</v>
      </c>
      <c r="AV1038" s="1" t="s">
        <v>80</v>
      </c>
      <c r="AW1038" s="1">
        <v>134.63999999999999</v>
      </c>
      <c r="AX1038" s="1">
        <v>0</v>
      </c>
      <c r="AZ1038" s="1" t="s">
        <v>81</v>
      </c>
      <c r="BA1038" s="1">
        <v>1</v>
      </c>
      <c r="BB1038" s="1">
        <v>0</v>
      </c>
      <c r="BC1038" s="1">
        <v>0</v>
      </c>
      <c r="BE1038" s="1">
        <v>27188517</v>
      </c>
    </row>
    <row r="1039" spans="1:57" x14ac:dyDescent="0.25">
      <c r="A1039" s="1" t="str">
        <f>T("1944746948184184176")</f>
        <v>1944746948184184176</v>
      </c>
      <c r="B1039" s="1" t="str">
        <f>T("249902446711")</f>
        <v>249902446711</v>
      </c>
      <c r="C1039" s="1" t="str">
        <f>T("1941094471043124804")</f>
        <v>1941094471043124804</v>
      </c>
      <c r="AC1039" s="1" t="s">
        <v>276</v>
      </c>
      <c r="AD1039" s="1" t="s">
        <v>298</v>
      </c>
      <c r="AE1039" s="1" t="s">
        <v>526</v>
      </c>
      <c r="AF1039" s="1" t="s">
        <v>144</v>
      </c>
      <c r="AG1039" s="1">
        <v>19</v>
      </c>
      <c r="AO1039" s="2">
        <v>46275</v>
      </c>
      <c r="AP1039" s="1" t="s">
        <v>157</v>
      </c>
      <c r="AS1039" s="1" t="s">
        <v>71</v>
      </c>
      <c r="AU1039" s="1" t="s">
        <v>72</v>
      </c>
      <c r="AV1039" s="1" t="s">
        <v>73</v>
      </c>
      <c r="AX1039" s="1">
        <v>0</v>
      </c>
      <c r="BA1039" s="1">
        <v>9</v>
      </c>
      <c r="BB1039" s="1">
        <v>0</v>
      </c>
      <c r="BC1039" s="1">
        <v>0</v>
      </c>
      <c r="BE1039" s="1">
        <v>27188517</v>
      </c>
    </row>
    <row r="1040" spans="1:57" x14ac:dyDescent="0.25">
      <c r="A1040" s="1" t="str">
        <f>T("1944746948255489512")</f>
        <v>1944746948255489512</v>
      </c>
      <c r="B1040" s="1" t="str">
        <f>T("249962344514")</f>
        <v>249962344514</v>
      </c>
      <c r="C1040" s="1" t="str">
        <f>T("1941094471047315512")</f>
        <v>1941094471047315512</v>
      </c>
      <c r="AC1040" s="1" t="s">
        <v>344</v>
      </c>
      <c r="AD1040" s="1" t="s">
        <v>524</v>
      </c>
      <c r="AE1040" s="1" t="s">
        <v>527</v>
      </c>
      <c r="AF1040" s="1" t="s">
        <v>144</v>
      </c>
      <c r="AG1040" s="1">
        <v>0</v>
      </c>
      <c r="AO1040" s="2">
        <v>46275</v>
      </c>
      <c r="AP1040" s="1" t="s">
        <v>157</v>
      </c>
      <c r="AS1040" s="1" t="s">
        <v>71</v>
      </c>
      <c r="AU1040" s="1" t="s">
        <v>72</v>
      </c>
      <c r="AV1040" s="1" t="s">
        <v>437</v>
      </c>
      <c r="AX1040" s="1">
        <v>0</v>
      </c>
      <c r="BA1040" s="1">
        <v>9</v>
      </c>
      <c r="BB1040" s="1">
        <v>0</v>
      </c>
      <c r="BC1040" s="1">
        <v>0</v>
      </c>
      <c r="BE1040" s="1">
        <v>27188517</v>
      </c>
    </row>
    <row r="1041" spans="1:57" x14ac:dyDescent="0.25">
      <c r="A1041" s="1" t="str">
        <f>T("1944746948330986056")</f>
        <v>1944746948330986056</v>
      </c>
      <c r="B1041" s="1" t="str">
        <f>T("249907698970")</f>
        <v>249907698970</v>
      </c>
      <c r="C1041" s="1" t="str">
        <f>T("1941094471047315912")</f>
        <v>1941094471047315912</v>
      </c>
      <c r="AC1041" s="1" t="s">
        <v>344</v>
      </c>
      <c r="AD1041" s="1" t="s">
        <v>524</v>
      </c>
      <c r="AE1041" s="1" t="s">
        <v>535</v>
      </c>
      <c r="AF1041" s="1" t="s">
        <v>144</v>
      </c>
      <c r="AG1041" s="1">
        <v>0</v>
      </c>
      <c r="AO1041" s="2">
        <v>46275</v>
      </c>
      <c r="AP1041" s="1" t="s">
        <v>157</v>
      </c>
      <c r="AS1041" s="1" t="s">
        <v>71</v>
      </c>
      <c r="AU1041" s="1" t="s">
        <v>72</v>
      </c>
      <c r="AV1041" s="1" t="s">
        <v>73</v>
      </c>
      <c r="AX1041" s="1">
        <v>0</v>
      </c>
      <c r="BA1041" s="1">
        <v>9</v>
      </c>
      <c r="BB1041" s="1">
        <v>0</v>
      </c>
      <c r="BC1041" s="1">
        <v>0</v>
      </c>
      <c r="BE1041" s="1">
        <v>27188517</v>
      </c>
    </row>
    <row r="1042" spans="1:57" x14ac:dyDescent="0.25">
      <c r="A1042" s="1" t="str">
        <f>T("1944746948419067124")</f>
        <v>1944746948419067124</v>
      </c>
      <c r="B1042" s="1" t="str">
        <f>T("249909600945")</f>
        <v>249909600945</v>
      </c>
      <c r="C1042" s="1" t="str">
        <f>T("1941094471047316312")</f>
        <v>1941094471047316312</v>
      </c>
      <c r="AC1042" s="1" t="s">
        <v>344</v>
      </c>
      <c r="AD1042" s="1" t="s">
        <v>524</v>
      </c>
      <c r="AE1042" s="1" t="s">
        <v>528</v>
      </c>
      <c r="AF1042" s="1" t="s">
        <v>144</v>
      </c>
      <c r="AG1042" s="1" t="s">
        <v>529</v>
      </c>
      <c r="AO1042" s="2">
        <v>46275</v>
      </c>
      <c r="AP1042" s="1" t="s">
        <v>157</v>
      </c>
      <c r="AS1042" s="1" t="s">
        <v>71</v>
      </c>
      <c r="AU1042" s="1" t="s">
        <v>72</v>
      </c>
      <c r="AV1042" s="1" t="s">
        <v>437</v>
      </c>
      <c r="AX1042" s="1">
        <v>0</v>
      </c>
      <c r="BA1042" s="1">
        <v>9</v>
      </c>
      <c r="BB1042" s="1">
        <v>0</v>
      </c>
      <c r="BC1042" s="1">
        <v>0</v>
      </c>
      <c r="BE1042" s="1">
        <v>27188517</v>
      </c>
    </row>
    <row r="1043" spans="1:57" x14ac:dyDescent="0.25">
      <c r="A1043" s="1" t="str">
        <f>T("1944746948490367060")</f>
        <v>1944746948490367060</v>
      </c>
      <c r="B1043" s="1" t="str">
        <f>T("249116705605")</f>
        <v>249116705605</v>
      </c>
      <c r="C1043" s="1" t="str">
        <f>T("1941094471047316712")</f>
        <v>1941094471047316712</v>
      </c>
      <c r="AA1043" s="1">
        <v>1</v>
      </c>
      <c r="AC1043" s="1" t="s">
        <v>276</v>
      </c>
      <c r="AD1043" s="1" t="s">
        <v>298</v>
      </c>
      <c r="AE1043" s="1" t="s">
        <v>526</v>
      </c>
      <c r="AF1043" s="1" t="s">
        <v>144</v>
      </c>
      <c r="AG1043" s="1">
        <v>34</v>
      </c>
      <c r="AO1043" s="2">
        <v>46275</v>
      </c>
      <c r="AP1043" s="1" t="s">
        <v>157</v>
      </c>
      <c r="AQ1043" s="2">
        <v>46275</v>
      </c>
      <c r="AR1043" s="1" t="s">
        <v>548</v>
      </c>
      <c r="AS1043" s="1" t="s">
        <v>71</v>
      </c>
      <c r="AU1043" s="1" t="s">
        <v>79</v>
      </c>
      <c r="AV1043" s="1" t="s">
        <v>80</v>
      </c>
      <c r="AW1043" s="1">
        <v>85.317999999999998</v>
      </c>
      <c r="AX1043" s="1">
        <v>0</v>
      </c>
      <c r="AZ1043" s="1" t="s">
        <v>81</v>
      </c>
      <c r="BA1043" s="1">
        <v>1</v>
      </c>
      <c r="BB1043" s="1">
        <v>0</v>
      </c>
      <c r="BC1043" s="1">
        <v>0</v>
      </c>
      <c r="BE1043" s="1">
        <v>27188517</v>
      </c>
    </row>
    <row r="1044" spans="1:57" x14ac:dyDescent="0.25">
      <c r="A1044" s="1" t="str">
        <f>T("1944746948557479688")</f>
        <v>1944746948557479688</v>
      </c>
      <c r="B1044" s="1" t="str">
        <f>T("249905712795")</f>
        <v>249905712795</v>
      </c>
      <c r="C1044" s="1" t="str">
        <f>T("1941094471047317212")</f>
        <v>1941094471047317212</v>
      </c>
      <c r="AC1044" s="1" t="s">
        <v>344</v>
      </c>
      <c r="AD1044" s="1" t="s">
        <v>430</v>
      </c>
      <c r="AE1044" s="1" t="s">
        <v>531</v>
      </c>
      <c r="AF1044" s="1" t="s">
        <v>144</v>
      </c>
      <c r="AG1044" s="1">
        <v>0</v>
      </c>
      <c r="AO1044" s="2">
        <v>46275</v>
      </c>
      <c r="AP1044" s="1" t="s">
        <v>157</v>
      </c>
      <c r="AS1044" s="1" t="s">
        <v>71</v>
      </c>
      <c r="AU1044" s="1" t="s">
        <v>72</v>
      </c>
      <c r="AV1044" s="1" t="s">
        <v>437</v>
      </c>
      <c r="AX1044" s="1">
        <v>0</v>
      </c>
      <c r="BA1044" s="1">
        <v>9</v>
      </c>
      <c r="BB1044" s="1">
        <v>0</v>
      </c>
      <c r="BC1044" s="1">
        <v>0</v>
      </c>
      <c r="BE1044" s="1">
        <v>27188517</v>
      </c>
    </row>
    <row r="1045" spans="1:57" x14ac:dyDescent="0.25">
      <c r="A1045" s="1" t="str">
        <f>T("1944829996871390076")</f>
        <v>1944829996871390076</v>
      </c>
      <c r="B1045" s="1" t="str">
        <f>T("249904652555")</f>
        <v>249904652555</v>
      </c>
      <c r="C1045" s="1" t="str">
        <f>T("1941094471047317612")</f>
        <v>1941094471047317612</v>
      </c>
      <c r="AC1045" s="1" t="s">
        <v>344</v>
      </c>
      <c r="AD1045" s="1" t="s">
        <v>345</v>
      </c>
      <c r="AE1045" s="1" t="s">
        <v>522</v>
      </c>
      <c r="AF1045" s="1" t="s">
        <v>144</v>
      </c>
      <c r="AG1045" s="1">
        <v>40</v>
      </c>
      <c r="AO1045" s="2">
        <v>46275</v>
      </c>
      <c r="AP1045" s="1" t="s">
        <v>226</v>
      </c>
      <c r="AS1045" s="1" t="s">
        <v>71</v>
      </c>
      <c r="AU1045" s="1" t="s">
        <v>72</v>
      </c>
      <c r="AV1045" s="1" t="s">
        <v>73</v>
      </c>
      <c r="AX1045" s="1">
        <v>0</v>
      </c>
      <c r="BA1045" s="1">
        <v>9</v>
      </c>
      <c r="BB1045" s="1">
        <v>0</v>
      </c>
      <c r="BC1045" s="1">
        <v>0</v>
      </c>
      <c r="BE1045" s="1">
        <v>27188519</v>
      </c>
    </row>
    <row r="1046" spans="1:57" x14ac:dyDescent="0.25">
      <c r="A1046" s="1" t="str">
        <f>T("1944829997076911768")</f>
        <v>1944829997076911768</v>
      </c>
      <c r="B1046" s="1" t="str">
        <f>T("249913978234")</f>
        <v>249913978234</v>
      </c>
      <c r="C1046" s="1" t="str">
        <f>T("1941094471047318012")</f>
        <v>1941094471047318012</v>
      </c>
      <c r="AC1046" s="1" t="s">
        <v>344</v>
      </c>
      <c r="AD1046" s="1" t="s">
        <v>524</v>
      </c>
      <c r="AE1046" s="1" t="s">
        <v>527</v>
      </c>
      <c r="AF1046" s="1" t="s">
        <v>144</v>
      </c>
      <c r="AG1046" s="1">
        <v>0</v>
      </c>
      <c r="AO1046" s="2">
        <v>46275</v>
      </c>
      <c r="AP1046" s="1" t="s">
        <v>226</v>
      </c>
      <c r="AS1046" s="1" t="s">
        <v>71</v>
      </c>
      <c r="AU1046" s="1" t="s">
        <v>72</v>
      </c>
      <c r="AV1046" s="1" t="s">
        <v>73</v>
      </c>
      <c r="AX1046" s="1">
        <v>0</v>
      </c>
      <c r="BA1046" s="1">
        <v>9</v>
      </c>
      <c r="BB1046" s="1">
        <v>0</v>
      </c>
      <c r="BC1046" s="1">
        <v>0</v>
      </c>
      <c r="BE1046" s="1">
        <v>27188519</v>
      </c>
    </row>
    <row r="1047" spans="1:57" x14ac:dyDescent="0.25">
      <c r="A1047" s="1" t="str">
        <f>T("1944829997169185244")</f>
        <v>1944829997169185244</v>
      </c>
      <c r="B1047" s="1" t="str">
        <f>T("249110282889")</f>
        <v>249110282889</v>
      </c>
      <c r="C1047" s="1" t="str">
        <f>T("1941094471047318412")</f>
        <v>1941094471047318412</v>
      </c>
      <c r="M1047" s="1" t="s">
        <v>59</v>
      </c>
      <c r="O1047" s="1" t="s">
        <v>60</v>
      </c>
      <c r="P1047" s="1" t="s">
        <v>91</v>
      </c>
      <c r="Q1047" s="1" t="s">
        <v>112</v>
      </c>
      <c r="R1047" s="1" t="s">
        <v>84</v>
      </c>
      <c r="S1047" s="1" t="s">
        <v>64</v>
      </c>
      <c r="U1047" s="1" t="s">
        <v>60</v>
      </c>
      <c r="V1047" s="1" t="s">
        <v>66</v>
      </c>
      <c r="W1047" s="1" t="s">
        <v>60</v>
      </c>
      <c r="X1047" s="1" t="s">
        <v>103</v>
      </c>
      <c r="Y1047" s="1" t="s">
        <v>69</v>
      </c>
      <c r="AA1047" s="1">
        <v>1</v>
      </c>
      <c r="AB1047" s="1">
        <v>1</v>
      </c>
      <c r="AC1047" s="1" t="s">
        <v>276</v>
      </c>
      <c r="AD1047" s="1" t="s">
        <v>277</v>
      </c>
      <c r="AE1047" s="1" t="s">
        <v>530</v>
      </c>
      <c r="AF1047" s="1" t="s">
        <v>144</v>
      </c>
      <c r="AG1047" s="1">
        <v>28</v>
      </c>
      <c r="AO1047" s="2">
        <v>46275</v>
      </c>
      <c r="AP1047" s="1" t="s">
        <v>226</v>
      </c>
      <c r="AQ1047" s="2">
        <v>46276</v>
      </c>
      <c r="AR1047" s="1" t="s">
        <v>549</v>
      </c>
      <c r="AS1047" s="1" t="s">
        <v>71</v>
      </c>
      <c r="AU1047" s="1" t="s">
        <v>78</v>
      </c>
      <c r="AV1047" s="1" t="s">
        <v>80</v>
      </c>
      <c r="AW1047" s="1">
        <v>451.54</v>
      </c>
      <c r="AX1047" s="1">
        <v>0</v>
      </c>
      <c r="AZ1047" s="1" t="s">
        <v>81</v>
      </c>
      <c r="BA1047" s="1">
        <v>4</v>
      </c>
      <c r="BB1047" s="1">
        <v>0</v>
      </c>
      <c r="BC1047" s="1">
        <v>0</v>
      </c>
      <c r="BE1047" s="1">
        <v>27188519</v>
      </c>
    </row>
    <row r="1048" spans="1:57" x14ac:dyDescent="0.25">
      <c r="A1048" s="1" t="str">
        <f>T("1944829997269848536")</f>
        <v>1944829997269848536</v>
      </c>
      <c r="B1048" s="1" t="str">
        <f>T("249967951978")</f>
        <v>249967951978</v>
      </c>
      <c r="C1048" s="1" t="str">
        <f>T("1941094471047318912")</f>
        <v>1941094471047318912</v>
      </c>
      <c r="AC1048" s="1" t="s">
        <v>344</v>
      </c>
      <c r="AD1048" s="1" t="s">
        <v>430</v>
      </c>
      <c r="AE1048" s="1" t="s">
        <v>531</v>
      </c>
      <c r="AF1048" s="1" t="s">
        <v>144</v>
      </c>
      <c r="AG1048" s="1">
        <v>0</v>
      </c>
      <c r="AO1048" s="2">
        <v>46275</v>
      </c>
      <c r="AP1048" s="1" t="s">
        <v>226</v>
      </c>
      <c r="AS1048" s="1" t="s">
        <v>71</v>
      </c>
      <c r="AU1048" s="1" t="s">
        <v>72</v>
      </c>
      <c r="AV1048" s="1" t="s">
        <v>73</v>
      </c>
      <c r="AX1048" s="1">
        <v>0</v>
      </c>
      <c r="BA1048" s="1">
        <v>9</v>
      </c>
      <c r="BB1048" s="1">
        <v>0</v>
      </c>
      <c r="BC1048" s="1">
        <v>0</v>
      </c>
      <c r="BE1048" s="1">
        <v>27188519</v>
      </c>
    </row>
    <row r="1049" spans="1:57" x14ac:dyDescent="0.25">
      <c r="A1049" s="1" t="str">
        <f>T("1944829997437622956")</f>
        <v>1944829997437622956</v>
      </c>
      <c r="B1049" s="1" t="str">
        <f>T("249913286265")</f>
        <v>249913286265</v>
      </c>
      <c r="C1049" s="1" t="str">
        <f>T("1941094471047319312")</f>
        <v>1941094471047319312</v>
      </c>
      <c r="AC1049" s="1" t="s">
        <v>276</v>
      </c>
      <c r="AD1049" s="1" t="s">
        <v>277</v>
      </c>
      <c r="AE1049" s="1" t="s">
        <v>530</v>
      </c>
      <c r="AF1049" s="1" t="s">
        <v>144</v>
      </c>
      <c r="AG1049" s="1">
        <v>37</v>
      </c>
      <c r="AO1049" s="2">
        <v>46275</v>
      </c>
      <c r="AP1049" s="1" t="s">
        <v>226</v>
      </c>
      <c r="AS1049" s="1" t="s">
        <v>71</v>
      </c>
      <c r="AU1049" s="1" t="s">
        <v>72</v>
      </c>
      <c r="AV1049" s="1" t="s">
        <v>437</v>
      </c>
      <c r="AX1049" s="1">
        <v>0</v>
      </c>
      <c r="BA1049" s="1">
        <v>9</v>
      </c>
      <c r="BB1049" s="1">
        <v>0</v>
      </c>
      <c r="BC1049" s="1">
        <v>0</v>
      </c>
      <c r="BE1049" s="1">
        <v>27188519</v>
      </c>
    </row>
    <row r="1050" spans="1:57" x14ac:dyDescent="0.25">
      <c r="A1050" s="1" t="str">
        <f>T("1944829997563451596")</f>
        <v>1944829997563451596</v>
      </c>
      <c r="B1050" s="1" t="str">
        <f>T("249908164313")</f>
        <v>249908164313</v>
      </c>
      <c r="C1050" s="1" t="str">
        <f>T("1941094471051509920")</f>
        <v>1941094471051509920</v>
      </c>
      <c r="AC1050" s="1" t="s">
        <v>366</v>
      </c>
      <c r="AD1050" s="1" t="s">
        <v>367</v>
      </c>
      <c r="AE1050" s="1" t="s">
        <v>368</v>
      </c>
      <c r="AF1050" s="1" t="s">
        <v>144</v>
      </c>
      <c r="AG1050" s="1">
        <v>36</v>
      </c>
      <c r="AO1050" s="2">
        <v>46275</v>
      </c>
      <c r="AP1050" s="1" t="s">
        <v>226</v>
      </c>
      <c r="AS1050" s="1" t="s">
        <v>71</v>
      </c>
      <c r="AU1050" s="1" t="s">
        <v>72</v>
      </c>
      <c r="AV1050" s="1" t="s">
        <v>437</v>
      </c>
      <c r="AX1050" s="1">
        <v>0</v>
      </c>
      <c r="BA1050" s="1">
        <v>9</v>
      </c>
      <c r="BB1050" s="1">
        <v>0</v>
      </c>
      <c r="BC1050" s="1">
        <v>0</v>
      </c>
      <c r="BE1050" s="1">
        <v>27188519</v>
      </c>
    </row>
    <row r="1051" spans="1:57" x14ac:dyDescent="0.25">
      <c r="A1051" s="1" t="str">
        <f>T("1944829997659920880")</f>
        <v>1944829997659920880</v>
      </c>
      <c r="B1051" s="1" t="str">
        <f>T("249910075059")</f>
        <v>249910075059</v>
      </c>
      <c r="C1051" s="1" t="str">
        <f>T("1941094471051510620")</f>
        <v>1941094471051510620</v>
      </c>
      <c r="AC1051" s="1" t="s">
        <v>276</v>
      </c>
      <c r="AD1051" s="1" t="s">
        <v>517</v>
      </c>
      <c r="AE1051" s="1" t="s">
        <v>540</v>
      </c>
      <c r="AF1051" s="1" t="s">
        <v>144</v>
      </c>
      <c r="AG1051" s="1">
        <v>30</v>
      </c>
      <c r="AO1051" s="2">
        <v>46275</v>
      </c>
      <c r="AP1051" s="1" t="s">
        <v>226</v>
      </c>
      <c r="AS1051" s="1" t="s">
        <v>71</v>
      </c>
      <c r="AU1051" s="1" t="s">
        <v>72</v>
      </c>
      <c r="AV1051" s="1" t="s">
        <v>73</v>
      </c>
      <c r="AX1051" s="1">
        <v>0</v>
      </c>
      <c r="BA1051" s="1">
        <v>9</v>
      </c>
      <c r="BB1051" s="1">
        <v>0</v>
      </c>
      <c r="BC1051" s="1">
        <v>0</v>
      </c>
      <c r="BE1051" s="1">
        <v>27188519</v>
      </c>
    </row>
    <row r="1052" spans="1:57" x14ac:dyDescent="0.25">
      <c r="A1052" s="1" t="str">
        <f>T("1944829997768973688")</f>
        <v>1944829997768973688</v>
      </c>
      <c r="B1052" s="1" t="str">
        <f>T("249906332331")</f>
        <v>249906332331</v>
      </c>
      <c r="C1052" s="1" t="str">
        <f>T("1941094471051511020")</f>
        <v>1941094471051511020</v>
      </c>
      <c r="AC1052" s="1" t="s">
        <v>276</v>
      </c>
      <c r="AD1052" s="1" t="s">
        <v>298</v>
      </c>
      <c r="AE1052" s="1" t="s">
        <v>526</v>
      </c>
      <c r="AF1052" s="1" t="s">
        <v>144</v>
      </c>
      <c r="AG1052" s="1">
        <v>48</v>
      </c>
      <c r="AO1052" s="2">
        <v>46275</v>
      </c>
      <c r="AP1052" s="1" t="s">
        <v>226</v>
      </c>
      <c r="AS1052" s="1" t="s">
        <v>71</v>
      </c>
      <c r="AU1052" s="1" t="s">
        <v>72</v>
      </c>
      <c r="AV1052" s="1" t="s">
        <v>437</v>
      </c>
      <c r="AX1052" s="1">
        <v>0</v>
      </c>
      <c r="BA1052" s="1">
        <v>9</v>
      </c>
      <c r="BB1052" s="1">
        <v>0</v>
      </c>
      <c r="BC1052" s="1">
        <v>0</v>
      </c>
      <c r="BE1052" s="1">
        <v>27188519</v>
      </c>
    </row>
    <row r="1053" spans="1:57" x14ac:dyDescent="0.25">
      <c r="A1053" s="1" t="str">
        <f>T("1944829997869634880")</f>
        <v>1944829997869634880</v>
      </c>
      <c r="B1053" s="1" t="str">
        <f>T("249919398907")</f>
        <v>249919398907</v>
      </c>
      <c r="C1053" s="1" t="str">
        <f>T("1941094471051511520")</f>
        <v>1941094471051511520</v>
      </c>
      <c r="AC1053" s="1" t="s">
        <v>344</v>
      </c>
      <c r="AD1053" s="1" t="s">
        <v>524</v>
      </c>
      <c r="AE1053" s="1" t="s">
        <v>534</v>
      </c>
      <c r="AF1053" s="1" t="s">
        <v>144</v>
      </c>
      <c r="AG1053" s="1" t="s">
        <v>529</v>
      </c>
      <c r="AO1053" s="2">
        <v>46275</v>
      </c>
      <c r="AP1053" s="1" t="s">
        <v>226</v>
      </c>
      <c r="AS1053" s="1" t="s">
        <v>71</v>
      </c>
      <c r="AU1053" s="1" t="s">
        <v>72</v>
      </c>
      <c r="AV1053" s="1" t="s">
        <v>437</v>
      </c>
      <c r="AX1053" s="1">
        <v>0</v>
      </c>
      <c r="BA1053" s="1">
        <v>9</v>
      </c>
      <c r="BB1053" s="1">
        <v>0</v>
      </c>
      <c r="BC1053" s="1">
        <v>0</v>
      </c>
      <c r="BE1053" s="1">
        <v>27188519</v>
      </c>
    </row>
    <row r="1054" spans="1:57" x14ac:dyDescent="0.25">
      <c r="A1054" s="1" t="str">
        <f>T("1944829997957714948")</f>
        <v>1944829997957714948</v>
      </c>
      <c r="B1054" s="1" t="str">
        <f>T("249965408980")</f>
        <v>249965408980</v>
      </c>
      <c r="C1054" s="1" t="str">
        <f>T("1941094471051511820")</f>
        <v>1941094471051511820</v>
      </c>
      <c r="AC1054" s="1" t="s">
        <v>344</v>
      </c>
      <c r="AD1054" s="1" t="s">
        <v>524</v>
      </c>
      <c r="AE1054" s="1" t="s">
        <v>504</v>
      </c>
      <c r="AF1054" s="1" t="s">
        <v>144</v>
      </c>
      <c r="AG1054" s="1">
        <v>0</v>
      </c>
      <c r="AO1054" s="2">
        <v>46275</v>
      </c>
      <c r="AP1054" s="1" t="s">
        <v>226</v>
      </c>
      <c r="AS1054" s="1" t="s">
        <v>71</v>
      </c>
      <c r="AU1054" s="1" t="s">
        <v>72</v>
      </c>
      <c r="AV1054" s="1" t="s">
        <v>437</v>
      </c>
      <c r="AX1054" s="1">
        <v>0</v>
      </c>
      <c r="BA1054" s="1">
        <v>9</v>
      </c>
      <c r="BB1054" s="1">
        <v>0</v>
      </c>
      <c r="BC1054" s="1">
        <v>0</v>
      </c>
      <c r="BE1054" s="1">
        <v>27188519</v>
      </c>
    </row>
    <row r="1055" spans="1:57" x14ac:dyDescent="0.25">
      <c r="A1055" s="1" t="str">
        <f>T("1944829998070961764")</f>
        <v>1944829998070961764</v>
      </c>
      <c r="B1055" s="1" t="str">
        <f>T("249914613842")</f>
        <v>249914613842</v>
      </c>
      <c r="C1055" s="1" t="str">
        <f>T("1941094471051512220")</f>
        <v>1941094471051512220</v>
      </c>
      <c r="AC1055" s="1" t="s">
        <v>276</v>
      </c>
      <c r="AD1055" s="1" t="s">
        <v>517</v>
      </c>
      <c r="AE1055" s="1" t="s">
        <v>530</v>
      </c>
      <c r="AF1055" s="1" t="s">
        <v>144</v>
      </c>
      <c r="AG1055" s="1">
        <v>23</v>
      </c>
      <c r="AO1055" s="2">
        <v>46275</v>
      </c>
      <c r="AP1055" s="1" t="s">
        <v>226</v>
      </c>
      <c r="AS1055" s="1" t="s">
        <v>71</v>
      </c>
      <c r="AU1055" s="1" t="s">
        <v>72</v>
      </c>
      <c r="AV1055" s="1" t="s">
        <v>73</v>
      </c>
      <c r="AX1055" s="1">
        <v>0</v>
      </c>
      <c r="BA1055" s="1">
        <v>9</v>
      </c>
      <c r="BB1055" s="1">
        <v>0</v>
      </c>
      <c r="BC1055" s="1">
        <v>0</v>
      </c>
      <c r="BE1055" s="1">
        <v>27188519</v>
      </c>
    </row>
    <row r="1056" spans="1:57" x14ac:dyDescent="0.25">
      <c r="A1056" s="1" t="str">
        <f>T("1944829998188404388")</f>
        <v>1944829998188404388</v>
      </c>
      <c r="B1056" s="1" t="str">
        <f>T("249917653961")</f>
        <v>249917653961</v>
      </c>
      <c r="C1056" s="1" t="str">
        <f>T("1941094471051512620")</f>
        <v>1941094471051512620</v>
      </c>
      <c r="AC1056" s="1" t="s">
        <v>276</v>
      </c>
      <c r="AD1056" s="1" t="s">
        <v>298</v>
      </c>
      <c r="AE1056" s="1" t="s">
        <v>526</v>
      </c>
      <c r="AF1056" s="1" t="s">
        <v>144</v>
      </c>
      <c r="AG1056" s="1">
        <v>46</v>
      </c>
      <c r="AO1056" s="2">
        <v>46275</v>
      </c>
      <c r="AP1056" s="1" t="s">
        <v>226</v>
      </c>
      <c r="AS1056" s="1" t="s">
        <v>71</v>
      </c>
      <c r="AU1056" s="1" t="s">
        <v>72</v>
      </c>
      <c r="AV1056" s="1" t="s">
        <v>73</v>
      </c>
      <c r="AX1056" s="1">
        <v>0</v>
      </c>
      <c r="BA1056" s="1">
        <v>9</v>
      </c>
      <c r="BB1056" s="1">
        <v>0</v>
      </c>
      <c r="BC1056" s="1">
        <v>0</v>
      </c>
      <c r="BE1056" s="1">
        <v>27188519</v>
      </c>
    </row>
    <row r="1057" spans="1:57" x14ac:dyDescent="0.25">
      <c r="A1057" s="1" t="str">
        <f>T("1944829998289064380")</f>
        <v>1944829998289064380</v>
      </c>
      <c r="B1057" s="1" t="str">
        <f>T("249907926819")</f>
        <v>249907926819</v>
      </c>
      <c r="C1057" s="1" t="str">
        <f>T("1941094471051513120")</f>
        <v>1941094471051513120</v>
      </c>
      <c r="AC1057" s="1" t="s">
        <v>344</v>
      </c>
      <c r="AD1057" s="1" t="s">
        <v>524</v>
      </c>
      <c r="AE1057" s="1" t="s">
        <v>528</v>
      </c>
      <c r="AF1057" s="1" t="s">
        <v>144</v>
      </c>
      <c r="AG1057" s="1" t="s">
        <v>529</v>
      </c>
      <c r="AO1057" s="2">
        <v>46275</v>
      </c>
      <c r="AP1057" s="1" t="s">
        <v>226</v>
      </c>
      <c r="AS1057" s="1" t="s">
        <v>71</v>
      </c>
      <c r="AU1057" s="1" t="s">
        <v>72</v>
      </c>
      <c r="AV1057" s="1" t="s">
        <v>437</v>
      </c>
      <c r="AX1057" s="1">
        <v>0</v>
      </c>
      <c r="BA1057" s="1">
        <v>9</v>
      </c>
      <c r="BB1057" s="1">
        <v>0</v>
      </c>
      <c r="BC1057" s="1">
        <v>0</v>
      </c>
      <c r="BE1057" s="1">
        <v>27188519</v>
      </c>
    </row>
    <row r="1058" spans="1:57" x14ac:dyDescent="0.25">
      <c r="A1058" s="1" t="str">
        <f>T("1944829998440059368")</f>
        <v>1944829998440059368</v>
      </c>
      <c r="B1058" s="1" t="str">
        <f>T("249917424591")</f>
        <v>249917424591</v>
      </c>
      <c r="C1058" s="1" t="str">
        <f>T("1941094471055704228")</f>
        <v>1941094471055704228</v>
      </c>
      <c r="AC1058" s="1" t="s">
        <v>344</v>
      </c>
      <c r="AD1058" s="1" t="s">
        <v>345</v>
      </c>
      <c r="AE1058" s="1" t="s">
        <v>522</v>
      </c>
      <c r="AF1058" s="1" t="s">
        <v>144</v>
      </c>
      <c r="AG1058" s="1">
        <v>48</v>
      </c>
      <c r="AO1058" s="2">
        <v>46275</v>
      </c>
      <c r="AP1058" s="1" t="s">
        <v>226</v>
      </c>
      <c r="AS1058" s="1" t="s">
        <v>71</v>
      </c>
      <c r="AU1058" s="1" t="s">
        <v>72</v>
      </c>
      <c r="AV1058" s="1" t="s">
        <v>73</v>
      </c>
      <c r="AX1058" s="1">
        <v>0</v>
      </c>
      <c r="BA1058" s="1">
        <v>9</v>
      </c>
      <c r="BB1058" s="1">
        <v>0</v>
      </c>
      <c r="BC1058" s="1">
        <v>0</v>
      </c>
      <c r="BE1058" s="1">
        <v>27188519</v>
      </c>
    </row>
    <row r="1059" spans="1:57" x14ac:dyDescent="0.25">
      <c r="A1059" s="1" t="str">
        <f>T("1944829998440062268")</f>
        <v>1944829998440062268</v>
      </c>
      <c r="B1059" s="1" t="str">
        <f>T("249911516639")</f>
        <v>249911516639</v>
      </c>
      <c r="C1059" s="1" t="str">
        <f>T("1941094471051513520")</f>
        <v>1941094471051513520</v>
      </c>
      <c r="AC1059" s="1" t="s">
        <v>344</v>
      </c>
      <c r="AD1059" s="1" t="s">
        <v>430</v>
      </c>
      <c r="AE1059" s="1" t="s">
        <v>531</v>
      </c>
      <c r="AF1059" s="1" t="s">
        <v>144</v>
      </c>
      <c r="AG1059" s="1">
        <v>0</v>
      </c>
      <c r="AO1059" s="2">
        <v>46275</v>
      </c>
      <c r="AP1059" s="1" t="s">
        <v>226</v>
      </c>
      <c r="AS1059" s="1" t="s">
        <v>71</v>
      </c>
      <c r="AU1059" s="1" t="s">
        <v>72</v>
      </c>
      <c r="AV1059" s="1" t="s">
        <v>73</v>
      </c>
      <c r="AX1059" s="1">
        <v>0</v>
      </c>
      <c r="BA1059" s="1">
        <v>9</v>
      </c>
      <c r="BB1059" s="1">
        <v>0</v>
      </c>
      <c r="BC1059" s="1">
        <v>0</v>
      </c>
      <c r="BE1059" s="1">
        <v>27188519</v>
      </c>
    </row>
    <row r="1060" spans="1:57" x14ac:dyDescent="0.25">
      <c r="A1060" s="1" t="str">
        <f>T("1944829998473613732")</f>
        <v>1944829998473613732</v>
      </c>
      <c r="B1060" s="1" t="str">
        <f>T("249144055641")</f>
        <v>249144055641</v>
      </c>
      <c r="C1060" s="1" t="str">
        <f>T("1941094471055705928")</f>
        <v>1941094471055705928</v>
      </c>
      <c r="AC1060" s="1" t="s">
        <v>276</v>
      </c>
      <c r="AD1060" s="1" t="s">
        <v>277</v>
      </c>
      <c r="AE1060" s="1" t="s">
        <v>530</v>
      </c>
      <c r="AF1060" s="1" t="s">
        <v>144</v>
      </c>
      <c r="AG1060" s="1">
        <v>32</v>
      </c>
      <c r="AO1060" s="2">
        <v>46275</v>
      </c>
      <c r="AP1060" s="1" t="s">
        <v>226</v>
      </c>
      <c r="AS1060" s="1" t="s">
        <v>71</v>
      </c>
      <c r="AU1060" s="1" t="s">
        <v>72</v>
      </c>
      <c r="AV1060" s="1" t="s">
        <v>73</v>
      </c>
      <c r="AX1060" s="1">
        <v>0</v>
      </c>
      <c r="BA1060" s="1">
        <v>9</v>
      </c>
      <c r="BB1060" s="1">
        <v>0</v>
      </c>
      <c r="BC1060" s="1">
        <v>0</v>
      </c>
      <c r="BE1060" s="1">
        <v>27188519</v>
      </c>
    </row>
    <row r="1061" spans="1:57" x14ac:dyDescent="0.25">
      <c r="A1061" s="1" t="str">
        <f>T("1944829998742051144")</f>
        <v>1944829998742051144</v>
      </c>
      <c r="B1061" s="1" t="str">
        <f>T("249960877958")</f>
        <v>249960877958</v>
      </c>
      <c r="C1061" s="1" t="str">
        <f>T("1941094471059901836")</f>
        <v>1941094471059901836</v>
      </c>
      <c r="AC1061" s="1" t="s">
        <v>344</v>
      </c>
      <c r="AD1061" s="1" t="s">
        <v>524</v>
      </c>
      <c r="AE1061" s="1" t="s">
        <v>504</v>
      </c>
      <c r="AF1061" s="1" t="s">
        <v>144</v>
      </c>
      <c r="AG1061" s="1">
        <v>0</v>
      </c>
      <c r="AO1061" s="2">
        <v>46275</v>
      </c>
      <c r="AP1061" s="1" t="s">
        <v>226</v>
      </c>
      <c r="AS1061" s="1" t="s">
        <v>71</v>
      </c>
      <c r="AU1061" s="1" t="s">
        <v>72</v>
      </c>
      <c r="AV1061" s="1" t="s">
        <v>437</v>
      </c>
      <c r="AX1061" s="1">
        <v>0</v>
      </c>
      <c r="BA1061" s="1">
        <v>9</v>
      </c>
      <c r="BB1061" s="1">
        <v>0</v>
      </c>
      <c r="BC1061" s="1">
        <v>0</v>
      </c>
      <c r="BE1061" s="1">
        <v>27188519</v>
      </c>
    </row>
    <row r="1062" spans="1:57" x14ac:dyDescent="0.25">
      <c r="A1062" s="1" t="str">
        <f>T("1944829998779800816")</f>
        <v>1944829998779800816</v>
      </c>
      <c r="B1062" s="1" t="str">
        <f>T("249965724887")</f>
        <v>249965724887</v>
      </c>
      <c r="C1062" s="1" t="str">
        <f>T("1941094471059902436")</f>
        <v>1941094471059902436</v>
      </c>
      <c r="AC1062" s="1" t="s">
        <v>344</v>
      </c>
      <c r="AD1062" s="1" t="s">
        <v>345</v>
      </c>
      <c r="AE1062" s="1" t="s">
        <v>522</v>
      </c>
      <c r="AF1062" s="1" t="s">
        <v>144</v>
      </c>
      <c r="AG1062" s="1">
        <v>34</v>
      </c>
      <c r="AO1062" s="2">
        <v>46275</v>
      </c>
      <c r="AP1062" s="1" t="s">
        <v>226</v>
      </c>
      <c r="AS1062" s="1" t="s">
        <v>71</v>
      </c>
      <c r="AU1062" s="1" t="s">
        <v>72</v>
      </c>
      <c r="AV1062" s="1" t="s">
        <v>73</v>
      </c>
      <c r="AX1062" s="1">
        <v>0</v>
      </c>
      <c r="BA1062" s="1">
        <v>9</v>
      </c>
      <c r="BB1062" s="1">
        <v>0</v>
      </c>
      <c r="BC1062" s="1">
        <v>0</v>
      </c>
      <c r="BE1062" s="1">
        <v>27188519</v>
      </c>
    </row>
    <row r="1063" spans="1:57" x14ac:dyDescent="0.25">
      <c r="A1063" s="1" t="str">
        <f>T("1944829998813354180")</f>
        <v>1944829998813354180</v>
      </c>
      <c r="B1063" s="1" t="str">
        <f>T("249918529886")</f>
        <v>249918529886</v>
      </c>
      <c r="C1063" s="1" t="str">
        <f>T("1941094471064093044")</f>
        <v>1941094471064093044</v>
      </c>
      <c r="AC1063" s="1" t="s">
        <v>344</v>
      </c>
      <c r="AD1063" s="1" t="s">
        <v>524</v>
      </c>
      <c r="AE1063" s="1" t="s">
        <v>527</v>
      </c>
      <c r="AF1063" s="1" t="s">
        <v>144</v>
      </c>
      <c r="AG1063" s="1">
        <v>0</v>
      </c>
      <c r="AO1063" s="2">
        <v>46275</v>
      </c>
      <c r="AP1063" s="1" t="s">
        <v>226</v>
      </c>
      <c r="AS1063" s="1" t="s">
        <v>71</v>
      </c>
      <c r="AU1063" s="1" t="s">
        <v>72</v>
      </c>
      <c r="AV1063" s="1" t="s">
        <v>437</v>
      </c>
      <c r="AX1063" s="1">
        <v>0</v>
      </c>
      <c r="BA1063" s="1">
        <v>9</v>
      </c>
      <c r="BB1063" s="1">
        <v>0</v>
      </c>
      <c r="BC1063" s="1">
        <v>0</v>
      </c>
      <c r="BE1063" s="1">
        <v>27188519</v>
      </c>
    </row>
    <row r="1064" spans="1:57" x14ac:dyDescent="0.25">
      <c r="A1064" s="1" t="str">
        <f>T("1944829998934989712")</f>
        <v>1944829998934989712</v>
      </c>
      <c r="B1064" s="1" t="str">
        <f>T("249967962440")</f>
        <v>249967962440</v>
      </c>
      <c r="C1064" s="1" t="str">
        <f>T("1941094471064093444")</f>
        <v>1941094471064093444</v>
      </c>
      <c r="AC1064" s="1" t="s">
        <v>344</v>
      </c>
      <c r="AD1064" s="1" t="s">
        <v>524</v>
      </c>
      <c r="AE1064" s="1" t="s">
        <v>527</v>
      </c>
      <c r="AF1064" s="1" t="s">
        <v>144</v>
      </c>
      <c r="AG1064" s="1">
        <v>0</v>
      </c>
      <c r="AO1064" s="2">
        <v>46275</v>
      </c>
      <c r="AP1064" s="1" t="s">
        <v>226</v>
      </c>
      <c r="AS1064" s="1" t="s">
        <v>71</v>
      </c>
      <c r="AU1064" s="1" t="s">
        <v>72</v>
      </c>
      <c r="AV1064" s="1" t="s">
        <v>437</v>
      </c>
      <c r="AX1064" s="1">
        <v>0</v>
      </c>
      <c r="BA1064" s="1">
        <v>9</v>
      </c>
      <c r="BB1064" s="1">
        <v>0</v>
      </c>
      <c r="BC1064" s="1">
        <v>0</v>
      </c>
      <c r="BE1064" s="1">
        <v>27188519</v>
      </c>
    </row>
    <row r="1065" spans="1:57" x14ac:dyDescent="0.25">
      <c r="A1065" s="1" t="str">
        <f>T("1944829998939184920")</f>
        <v>1944829998939184920</v>
      </c>
      <c r="B1065" s="1" t="str">
        <f>T("249911055353")</f>
        <v>249911055353</v>
      </c>
      <c r="C1065" s="1" t="str">
        <f>T("1941094471064094544")</f>
        <v>1941094471064094544</v>
      </c>
      <c r="AC1065" s="1" t="s">
        <v>344</v>
      </c>
      <c r="AD1065" s="1" t="s">
        <v>524</v>
      </c>
      <c r="AE1065" s="1" t="s">
        <v>534</v>
      </c>
      <c r="AF1065" s="1" t="s">
        <v>144</v>
      </c>
      <c r="AG1065" s="1" t="s">
        <v>529</v>
      </c>
      <c r="AO1065" s="2">
        <v>46275</v>
      </c>
      <c r="AP1065" s="1" t="s">
        <v>226</v>
      </c>
      <c r="AS1065" s="1" t="s">
        <v>71</v>
      </c>
      <c r="AU1065" s="1" t="s">
        <v>72</v>
      </c>
      <c r="AV1065" s="1" t="s">
        <v>73</v>
      </c>
      <c r="AX1065" s="1">
        <v>0</v>
      </c>
      <c r="BA1065" s="1">
        <v>9</v>
      </c>
      <c r="BB1065" s="1">
        <v>0</v>
      </c>
      <c r="BC1065" s="1">
        <v>0</v>
      </c>
      <c r="BE1065" s="1">
        <v>27188519</v>
      </c>
    </row>
    <row r="1066" spans="1:57" x14ac:dyDescent="0.25">
      <c r="A1066" s="1" t="str">
        <f>T("1944829998943375928")</f>
        <v>1944829998943375928</v>
      </c>
      <c r="B1066" s="1" t="str">
        <f>T("249906344494")</f>
        <v>249906344494</v>
      </c>
      <c r="C1066" s="1" t="str">
        <f>T("1941094471064095044")</f>
        <v>1941094471064095044</v>
      </c>
      <c r="AC1066" s="1" t="s">
        <v>344</v>
      </c>
      <c r="AD1066" s="1" t="s">
        <v>524</v>
      </c>
      <c r="AE1066" s="1" t="s">
        <v>527</v>
      </c>
      <c r="AF1066" s="1" t="s">
        <v>144</v>
      </c>
      <c r="AG1066" s="1">
        <v>0</v>
      </c>
      <c r="AO1066" s="2">
        <v>46275</v>
      </c>
      <c r="AP1066" s="1" t="s">
        <v>226</v>
      </c>
      <c r="AS1066" s="1" t="s">
        <v>71</v>
      </c>
      <c r="AU1066" s="1" t="s">
        <v>72</v>
      </c>
      <c r="AV1066" s="1" t="s">
        <v>73</v>
      </c>
      <c r="AX1066" s="1">
        <v>0</v>
      </c>
      <c r="BA1066" s="1">
        <v>9</v>
      </c>
      <c r="BB1066" s="1">
        <v>0</v>
      </c>
      <c r="BC1066" s="1">
        <v>0</v>
      </c>
      <c r="BE1066" s="1">
        <v>27188519</v>
      </c>
    </row>
    <row r="1067" spans="1:57" x14ac:dyDescent="0.25">
      <c r="A1067" s="1" t="str">
        <f>T("1944829999048233728")</f>
        <v>1944829999048233728</v>
      </c>
      <c r="B1067" s="1" t="str">
        <f>T("249967323300")</f>
        <v>249967323300</v>
      </c>
      <c r="C1067" s="1" t="str">
        <f>T("1941094471076678068")</f>
        <v>1941094471076678068</v>
      </c>
      <c r="AC1067" s="1" t="s">
        <v>344</v>
      </c>
      <c r="AD1067" s="1" t="s">
        <v>345</v>
      </c>
      <c r="AE1067" s="1" t="s">
        <v>522</v>
      </c>
      <c r="AF1067" s="1" t="s">
        <v>144</v>
      </c>
      <c r="AG1067" s="1">
        <v>33</v>
      </c>
      <c r="AO1067" s="2">
        <v>46275</v>
      </c>
      <c r="AP1067" s="1" t="s">
        <v>226</v>
      </c>
      <c r="AS1067" s="1" t="s">
        <v>71</v>
      </c>
      <c r="AU1067" s="1" t="s">
        <v>72</v>
      </c>
      <c r="AV1067" s="1" t="s">
        <v>73</v>
      </c>
      <c r="AX1067" s="1">
        <v>0</v>
      </c>
      <c r="BA1067" s="1">
        <v>9</v>
      </c>
      <c r="BB1067" s="1">
        <v>0</v>
      </c>
      <c r="BC1067" s="1">
        <v>0</v>
      </c>
      <c r="BE1067" s="1">
        <v>27188519</v>
      </c>
    </row>
    <row r="1068" spans="1:57" x14ac:dyDescent="0.25">
      <c r="A1068" s="1" t="str">
        <f>T("1944829999048233828")</f>
        <v>1944829999048233828</v>
      </c>
      <c r="B1068" s="1" t="str">
        <f>T("249967298324")</f>
        <v>249967298324</v>
      </c>
      <c r="C1068" s="1" t="str">
        <f>T("1941094471076675768")</f>
        <v>1941094471076675768</v>
      </c>
      <c r="AC1068" s="1" t="s">
        <v>344</v>
      </c>
      <c r="AD1068" s="1" t="s">
        <v>524</v>
      </c>
      <c r="AE1068" s="1" t="s">
        <v>528</v>
      </c>
      <c r="AF1068" s="1" t="s">
        <v>144</v>
      </c>
      <c r="AG1068" s="1" t="s">
        <v>529</v>
      </c>
      <c r="AO1068" s="2">
        <v>46275</v>
      </c>
      <c r="AP1068" s="1" t="s">
        <v>226</v>
      </c>
      <c r="AS1068" s="1" t="s">
        <v>71</v>
      </c>
      <c r="AU1068" s="1" t="s">
        <v>72</v>
      </c>
      <c r="AV1068" s="1" t="s">
        <v>437</v>
      </c>
      <c r="AX1068" s="1">
        <v>0</v>
      </c>
      <c r="BA1068" s="1">
        <v>9</v>
      </c>
      <c r="BB1068" s="1">
        <v>0</v>
      </c>
      <c r="BC1068" s="1">
        <v>0</v>
      </c>
      <c r="BE1068" s="1">
        <v>27188519</v>
      </c>
    </row>
    <row r="1069" spans="1:57" x14ac:dyDescent="0.25">
      <c r="A1069" s="1" t="str">
        <f>T("1944829999048234028")</f>
        <v>1944829999048234028</v>
      </c>
      <c r="B1069" s="1" t="str">
        <f>T("249918911864")</f>
        <v>249918911864</v>
      </c>
      <c r="C1069" s="1" t="str">
        <f>T("1941094471064095844")</f>
        <v>1941094471064095844</v>
      </c>
      <c r="AC1069" s="1" t="s">
        <v>276</v>
      </c>
      <c r="AD1069" s="1" t="s">
        <v>277</v>
      </c>
      <c r="AE1069" s="1" t="s">
        <v>530</v>
      </c>
      <c r="AF1069" s="1" t="s">
        <v>144</v>
      </c>
      <c r="AG1069" s="1">
        <v>29</v>
      </c>
      <c r="AO1069" s="2">
        <v>46275</v>
      </c>
      <c r="AP1069" s="1" t="s">
        <v>226</v>
      </c>
      <c r="AS1069" s="1" t="s">
        <v>71</v>
      </c>
      <c r="AU1069" s="1" t="s">
        <v>72</v>
      </c>
      <c r="AV1069" s="1" t="s">
        <v>437</v>
      </c>
      <c r="AX1069" s="1">
        <v>0</v>
      </c>
      <c r="BA1069" s="1">
        <v>9</v>
      </c>
      <c r="BB1069" s="1">
        <v>0</v>
      </c>
      <c r="BC1069" s="1">
        <v>0</v>
      </c>
      <c r="BE1069" s="1">
        <v>27188519</v>
      </c>
    </row>
    <row r="1070" spans="1:57" x14ac:dyDescent="0.25">
      <c r="A1070" s="1" t="str">
        <f>T("1944829999165677152")</f>
        <v>1944829999165677152</v>
      </c>
      <c r="B1070" s="1" t="str">
        <f>T("249118123950")</f>
        <v>249118123950</v>
      </c>
      <c r="C1070" s="1" t="str">
        <f>T("1941094471076679368")</f>
        <v>1941094471076679368</v>
      </c>
      <c r="AC1070" s="1" t="s">
        <v>344</v>
      </c>
      <c r="AD1070" s="1" t="s">
        <v>345</v>
      </c>
      <c r="AE1070" s="1" t="s">
        <v>522</v>
      </c>
      <c r="AF1070" s="1" t="s">
        <v>144</v>
      </c>
      <c r="AG1070" s="1">
        <v>25</v>
      </c>
      <c r="AO1070" s="2">
        <v>46275</v>
      </c>
      <c r="AP1070" s="1" t="s">
        <v>226</v>
      </c>
      <c r="AS1070" s="1" t="s">
        <v>71</v>
      </c>
      <c r="AU1070" s="1" t="s">
        <v>72</v>
      </c>
      <c r="AV1070" s="1" t="s">
        <v>73</v>
      </c>
      <c r="AX1070" s="1">
        <v>0</v>
      </c>
      <c r="BA1070" s="1">
        <v>9</v>
      </c>
      <c r="BB1070" s="1">
        <v>0</v>
      </c>
      <c r="BC1070" s="1">
        <v>0</v>
      </c>
      <c r="BE1070" s="1">
        <v>27188519</v>
      </c>
    </row>
    <row r="1071" spans="1:57" x14ac:dyDescent="0.25">
      <c r="A1071" s="1" t="str">
        <f>T("1944829999174064468")</f>
        <v>1944829999174064468</v>
      </c>
      <c r="B1071" s="1" t="str">
        <f>T("249918708078")</f>
        <v>249918708078</v>
      </c>
      <c r="C1071" s="1" t="str">
        <f>T("1941094471080870276")</f>
        <v>1941094471080870276</v>
      </c>
      <c r="AC1071" s="1" t="s">
        <v>344</v>
      </c>
      <c r="AD1071" s="1" t="s">
        <v>345</v>
      </c>
      <c r="AE1071" s="1" t="s">
        <v>522</v>
      </c>
      <c r="AF1071" s="1" t="s">
        <v>144</v>
      </c>
      <c r="AG1071" s="1">
        <v>22</v>
      </c>
      <c r="AO1071" s="2">
        <v>46275</v>
      </c>
      <c r="AP1071" s="1" t="s">
        <v>226</v>
      </c>
      <c r="AS1071" s="1" t="s">
        <v>71</v>
      </c>
      <c r="AU1071" s="1" t="s">
        <v>72</v>
      </c>
      <c r="AV1071" s="1" t="s">
        <v>73</v>
      </c>
      <c r="AX1071" s="1">
        <v>0</v>
      </c>
      <c r="BA1071" s="1">
        <v>9</v>
      </c>
      <c r="BB1071" s="1">
        <v>0</v>
      </c>
      <c r="BC1071" s="1">
        <v>0</v>
      </c>
      <c r="BE1071" s="1">
        <v>27188519</v>
      </c>
    </row>
    <row r="1072" spans="1:57" x14ac:dyDescent="0.25">
      <c r="A1072" s="1" t="str">
        <f>T("1944829999174064668")</f>
        <v>1944829999174064668</v>
      </c>
      <c r="B1072" s="1" t="str">
        <f>T("249901302249")</f>
        <v>249901302249</v>
      </c>
      <c r="C1072" s="1" t="str">
        <f>T("1941094471076678868")</f>
        <v>1941094471076678868</v>
      </c>
      <c r="AC1072" s="1" t="s">
        <v>276</v>
      </c>
      <c r="AD1072" s="1" t="s">
        <v>517</v>
      </c>
      <c r="AE1072" s="1" t="s">
        <v>530</v>
      </c>
      <c r="AF1072" s="1" t="s">
        <v>144</v>
      </c>
      <c r="AG1072" s="1">
        <v>22</v>
      </c>
      <c r="AO1072" s="2">
        <v>46275</v>
      </c>
      <c r="AP1072" s="1" t="s">
        <v>226</v>
      </c>
      <c r="AS1072" s="1" t="s">
        <v>71</v>
      </c>
      <c r="AU1072" s="1" t="s">
        <v>72</v>
      </c>
      <c r="AV1072" s="1" t="s">
        <v>437</v>
      </c>
      <c r="AX1072" s="1">
        <v>0</v>
      </c>
      <c r="BA1072" s="1">
        <v>9</v>
      </c>
      <c r="BB1072" s="1">
        <v>0</v>
      </c>
      <c r="BC1072" s="1">
        <v>0</v>
      </c>
      <c r="BE1072" s="1">
        <v>27188519</v>
      </c>
    </row>
    <row r="1073" spans="1:57" x14ac:dyDescent="0.25">
      <c r="A1073" s="1" t="str">
        <f>T("1944829999287309984")</f>
        <v>1944829999287309984</v>
      </c>
      <c r="B1073" s="1" t="str">
        <f>T("249966138278")</f>
        <v>249966138278</v>
      </c>
      <c r="C1073" s="1" t="str">
        <f>T("1941094471080871976")</f>
        <v>1941094471080871976</v>
      </c>
      <c r="AC1073" s="1" t="s">
        <v>344</v>
      </c>
      <c r="AD1073" s="1" t="s">
        <v>524</v>
      </c>
      <c r="AE1073" s="1" t="s">
        <v>528</v>
      </c>
      <c r="AF1073" s="1" t="s">
        <v>144</v>
      </c>
      <c r="AG1073" s="1" t="s">
        <v>529</v>
      </c>
      <c r="AO1073" s="2">
        <v>46275</v>
      </c>
      <c r="AP1073" s="1" t="s">
        <v>226</v>
      </c>
      <c r="AS1073" s="1" t="s">
        <v>71</v>
      </c>
      <c r="AU1073" s="1" t="s">
        <v>72</v>
      </c>
      <c r="AV1073" s="1" t="s">
        <v>437</v>
      </c>
      <c r="AX1073" s="1">
        <v>0</v>
      </c>
      <c r="BA1073" s="1">
        <v>9</v>
      </c>
      <c r="BB1073" s="1">
        <v>0</v>
      </c>
      <c r="BC1073" s="1">
        <v>0</v>
      </c>
      <c r="BE1073" s="1">
        <v>27188519</v>
      </c>
    </row>
    <row r="1074" spans="1:57" x14ac:dyDescent="0.25">
      <c r="A1074" s="1" t="str">
        <f>T("1944829999287309985")</f>
        <v>1944829999287309985</v>
      </c>
      <c r="B1074" s="1" t="str">
        <f>T("249907577471")</f>
        <v>249907577471</v>
      </c>
      <c r="C1074" s="1" t="str">
        <f>T("1941094471080871576")</f>
        <v>1941094471080871576</v>
      </c>
      <c r="AC1074" s="1" t="s">
        <v>276</v>
      </c>
      <c r="AD1074" s="1" t="s">
        <v>298</v>
      </c>
      <c r="AE1074" s="1" t="s">
        <v>526</v>
      </c>
      <c r="AF1074" s="1" t="s">
        <v>144</v>
      </c>
      <c r="AG1074" s="1">
        <v>20</v>
      </c>
      <c r="AO1074" s="2">
        <v>46275</v>
      </c>
      <c r="AP1074" s="1" t="s">
        <v>226</v>
      </c>
      <c r="AS1074" s="1" t="s">
        <v>71</v>
      </c>
      <c r="AU1074" s="1" t="s">
        <v>72</v>
      </c>
      <c r="AV1074" s="1" t="s">
        <v>73</v>
      </c>
      <c r="AX1074" s="1">
        <v>0</v>
      </c>
      <c r="BA1074" s="1">
        <v>9</v>
      </c>
      <c r="BB1074" s="1">
        <v>0</v>
      </c>
      <c r="BC1074" s="1">
        <v>0</v>
      </c>
      <c r="BE1074" s="1">
        <v>27188519</v>
      </c>
    </row>
    <row r="1075" spans="1:57" x14ac:dyDescent="0.25">
      <c r="A1075" s="1" t="str">
        <f>T("1944829999287310384")</f>
        <v>1944829999287310384</v>
      </c>
      <c r="B1075" s="1" t="str">
        <f>T("249911142798")</f>
        <v>249911142798</v>
      </c>
      <c r="C1075" s="1" t="str">
        <f>T("1941094471080871076")</f>
        <v>1941094471080871076</v>
      </c>
      <c r="AC1075" s="1" t="s">
        <v>276</v>
      </c>
      <c r="AD1075" s="1" t="s">
        <v>298</v>
      </c>
      <c r="AE1075" s="1" t="s">
        <v>538</v>
      </c>
      <c r="AF1075" s="1" t="s">
        <v>144</v>
      </c>
      <c r="AG1075" s="1">
        <v>40</v>
      </c>
      <c r="AO1075" s="2">
        <v>46275</v>
      </c>
      <c r="AP1075" s="1" t="s">
        <v>226</v>
      </c>
      <c r="AS1075" s="1" t="s">
        <v>71</v>
      </c>
      <c r="AU1075" s="1" t="s">
        <v>72</v>
      </c>
      <c r="AV1075" s="1" t="s">
        <v>126</v>
      </c>
      <c r="AX1075" s="1">
        <v>0</v>
      </c>
      <c r="BA1075" s="1">
        <v>9</v>
      </c>
      <c r="BB1075" s="1">
        <v>0</v>
      </c>
      <c r="BC1075" s="1">
        <v>0</v>
      </c>
      <c r="BE1075" s="1">
        <v>27188519</v>
      </c>
    </row>
    <row r="1076" spans="1:57" x14ac:dyDescent="0.25">
      <c r="A1076" s="1" t="str">
        <f>T("1944829999480246552")</f>
        <v>1944829999480246552</v>
      </c>
      <c r="B1076" s="1" t="str">
        <f>T("249905168567")</f>
        <v>249905168567</v>
      </c>
      <c r="C1076" s="1" t="str">
        <f>T("1941094471080872576")</f>
        <v>1941094471080872576</v>
      </c>
      <c r="AC1076" s="1" t="s">
        <v>344</v>
      </c>
      <c r="AD1076" s="1" t="s">
        <v>345</v>
      </c>
      <c r="AE1076" s="1" t="s">
        <v>522</v>
      </c>
      <c r="AF1076" s="1" t="s">
        <v>144</v>
      </c>
      <c r="AG1076" s="1">
        <v>37</v>
      </c>
      <c r="AO1076" s="2">
        <v>46275</v>
      </c>
      <c r="AP1076" s="1" t="s">
        <v>226</v>
      </c>
      <c r="AS1076" s="1" t="s">
        <v>71</v>
      </c>
      <c r="AU1076" s="1" t="s">
        <v>72</v>
      </c>
      <c r="AV1076" s="1" t="s">
        <v>126</v>
      </c>
      <c r="AX1076" s="1">
        <v>0</v>
      </c>
      <c r="BA1076" s="1">
        <v>9</v>
      </c>
      <c r="BB1076" s="1">
        <v>0</v>
      </c>
      <c r="BC1076" s="1">
        <v>0</v>
      </c>
      <c r="BE1076" s="1">
        <v>27188519</v>
      </c>
    </row>
    <row r="1077" spans="1:57" x14ac:dyDescent="0.25">
      <c r="A1077" s="1" t="str">
        <f>T("1944829999484444060")</f>
        <v>1944829999484444060</v>
      </c>
      <c r="B1077" s="1" t="str">
        <f>T("249960943347")</f>
        <v>249960943347</v>
      </c>
      <c r="C1077" s="1" t="str">
        <f>T("1941094471080873176")</f>
        <v>1941094471080873176</v>
      </c>
      <c r="AC1077" s="1" t="s">
        <v>276</v>
      </c>
      <c r="AD1077" s="1" t="s">
        <v>517</v>
      </c>
      <c r="AE1077" s="1" t="s">
        <v>530</v>
      </c>
      <c r="AF1077" s="1" t="s">
        <v>144</v>
      </c>
      <c r="AG1077" s="1">
        <v>25</v>
      </c>
      <c r="AO1077" s="2">
        <v>46275</v>
      </c>
      <c r="AP1077" s="1" t="s">
        <v>226</v>
      </c>
      <c r="AS1077" s="1" t="s">
        <v>71</v>
      </c>
      <c r="AU1077" s="1" t="s">
        <v>72</v>
      </c>
      <c r="AV1077" s="1" t="s">
        <v>437</v>
      </c>
      <c r="AX1077" s="1">
        <v>0</v>
      </c>
      <c r="BA1077" s="1">
        <v>9</v>
      </c>
      <c r="BB1077" s="1">
        <v>0</v>
      </c>
      <c r="BC1077" s="1">
        <v>0</v>
      </c>
      <c r="BE1077" s="1">
        <v>27188519</v>
      </c>
    </row>
    <row r="1078" spans="1:57" x14ac:dyDescent="0.25">
      <c r="A1078" s="1" t="str">
        <f>T("1944829999488637268")</f>
        <v>1944829999488637268</v>
      </c>
      <c r="B1078" s="1" t="str">
        <f>T("249916364280")</f>
        <v>249916364280</v>
      </c>
      <c r="C1078" s="1" t="str">
        <f>T("1941094471080873676")</f>
        <v>1941094471080873676</v>
      </c>
      <c r="AC1078" s="1" t="s">
        <v>366</v>
      </c>
      <c r="AD1078" s="1" t="s">
        <v>367</v>
      </c>
      <c r="AE1078" s="1" t="s">
        <v>368</v>
      </c>
      <c r="AF1078" s="1" t="s">
        <v>144</v>
      </c>
      <c r="AG1078" s="1">
        <v>32</v>
      </c>
      <c r="AO1078" s="2">
        <v>46275</v>
      </c>
      <c r="AP1078" s="1" t="s">
        <v>226</v>
      </c>
      <c r="AS1078" s="1" t="s">
        <v>71</v>
      </c>
      <c r="AU1078" s="1" t="s">
        <v>72</v>
      </c>
      <c r="AV1078" s="1" t="s">
        <v>437</v>
      </c>
      <c r="AX1078" s="1">
        <v>0</v>
      </c>
      <c r="BA1078" s="1">
        <v>9</v>
      </c>
      <c r="BB1078" s="1">
        <v>0</v>
      </c>
      <c r="BC1078" s="1">
        <v>0</v>
      </c>
      <c r="BE1078" s="1">
        <v>27188519</v>
      </c>
    </row>
    <row r="1079" spans="1:57" x14ac:dyDescent="0.25">
      <c r="A1079" s="1" t="str">
        <f>T("1944829999652216480")</f>
        <v>1944829999652216480</v>
      </c>
      <c r="B1079" s="1" t="str">
        <f>T("249908846082")</f>
        <v>249908846082</v>
      </c>
      <c r="C1079" s="1" t="str">
        <f>T("1941094471085064384")</f>
        <v>1941094471085064384</v>
      </c>
      <c r="AC1079" s="1" t="s">
        <v>276</v>
      </c>
      <c r="AD1079" s="1" t="s">
        <v>298</v>
      </c>
      <c r="AE1079" s="1" t="s">
        <v>538</v>
      </c>
      <c r="AF1079" s="1" t="s">
        <v>144</v>
      </c>
      <c r="AG1079" s="1">
        <v>30</v>
      </c>
      <c r="AO1079" s="2">
        <v>46275</v>
      </c>
      <c r="AP1079" s="1" t="s">
        <v>226</v>
      </c>
      <c r="AS1079" s="1" t="s">
        <v>71</v>
      </c>
      <c r="AU1079" s="1" t="s">
        <v>72</v>
      </c>
      <c r="AV1079" s="1" t="s">
        <v>73</v>
      </c>
      <c r="AX1079" s="1">
        <v>0</v>
      </c>
      <c r="BA1079" s="1">
        <v>9</v>
      </c>
      <c r="BB1079" s="1">
        <v>0</v>
      </c>
      <c r="BC1079" s="1">
        <v>0</v>
      </c>
      <c r="BE1079" s="1">
        <v>27188519</v>
      </c>
    </row>
    <row r="1080" spans="1:57" x14ac:dyDescent="0.25">
      <c r="A1080" s="1" t="str">
        <f>T("1944829999660602596")</f>
        <v>1944829999660602596</v>
      </c>
      <c r="B1080" s="1" t="str">
        <f>T("24996547558")</f>
        <v>24996547558</v>
      </c>
      <c r="C1080" s="1" t="str">
        <f>T("1941094471085064884")</f>
        <v>1941094471085064884</v>
      </c>
      <c r="AC1080" s="1" t="s">
        <v>344</v>
      </c>
      <c r="AD1080" s="1" t="s">
        <v>430</v>
      </c>
      <c r="AE1080" s="1" t="s">
        <v>531</v>
      </c>
      <c r="AF1080" s="1" t="s">
        <v>144</v>
      </c>
      <c r="AG1080" s="1">
        <v>0</v>
      </c>
      <c r="AO1080" s="2">
        <v>46275</v>
      </c>
      <c r="AP1080" s="1" t="s">
        <v>226</v>
      </c>
      <c r="AS1080" s="1" t="s">
        <v>71</v>
      </c>
      <c r="AU1080" s="1" t="s">
        <v>72</v>
      </c>
      <c r="AV1080" s="1" t="s">
        <v>73</v>
      </c>
      <c r="AX1080" s="1">
        <v>0</v>
      </c>
      <c r="BA1080" s="1">
        <v>9</v>
      </c>
      <c r="BB1080" s="1">
        <v>0</v>
      </c>
      <c r="BC1080" s="1">
        <v>0</v>
      </c>
      <c r="BE1080" s="1">
        <v>27188519</v>
      </c>
    </row>
    <row r="1081" spans="1:57" x14ac:dyDescent="0.25">
      <c r="A1081" s="1" t="str">
        <f>T("1944829999660603396")</f>
        <v>1944829999660603396</v>
      </c>
      <c r="B1081" s="1" t="str">
        <f>T("24996838599")</f>
        <v>24996838599</v>
      </c>
      <c r="C1081" s="1" t="str">
        <f>T("1941094471085065884")</f>
        <v>1941094471085065884</v>
      </c>
      <c r="AC1081" s="1" t="s">
        <v>344</v>
      </c>
      <c r="AD1081" s="1" t="s">
        <v>430</v>
      </c>
      <c r="AE1081" s="1" t="s">
        <v>531</v>
      </c>
      <c r="AF1081" s="1" t="s">
        <v>144</v>
      </c>
      <c r="AG1081" s="1">
        <v>0</v>
      </c>
      <c r="AO1081" s="2">
        <v>46275</v>
      </c>
      <c r="AP1081" s="1" t="s">
        <v>226</v>
      </c>
      <c r="AS1081" s="1" t="s">
        <v>71</v>
      </c>
      <c r="AU1081" s="1" t="s">
        <v>72</v>
      </c>
      <c r="AV1081" s="1" t="s">
        <v>73</v>
      </c>
      <c r="AX1081" s="1">
        <v>0</v>
      </c>
      <c r="BA1081" s="1">
        <v>9</v>
      </c>
      <c r="BB1081" s="1">
        <v>0</v>
      </c>
      <c r="BC1081" s="1">
        <v>0</v>
      </c>
      <c r="BE1081" s="1">
        <v>27188519</v>
      </c>
    </row>
    <row r="1082" spans="1:57" x14ac:dyDescent="0.25">
      <c r="A1082" s="1" t="str">
        <f>T("1944829999819984900")</f>
        <v>1944829999819984900</v>
      </c>
      <c r="B1082" s="1" t="str">
        <f>T("249916347784")</f>
        <v>249916347784</v>
      </c>
      <c r="C1082" s="1" t="str">
        <f>T("1941094471089259092")</f>
        <v>1941094471089259092</v>
      </c>
      <c r="AC1082" s="1" t="s">
        <v>366</v>
      </c>
      <c r="AD1082" s="1" t="s">
        <v>367</v>
      </c>
      <c r="AE1082" s="1" t="s">
        <v>368</v>
      </c>
      <c r="AF1082" s="1" t="s">
        <v>144</v>
      </c>
      <c r="AG1082" s="1">
        <v>35</v>
      </c>
      <c r="AO1082" s="2">
        <v>46275</v>
      </c>
      <c r="AP1082" s="1" t="s">
        <v>226</v>
      </c>
      <c r="AS1082" s="1" t="s">
        <v>71</v>
      </c>
      <c r="AU1082" s="1" t="s">
        <v>72</v>
      </c>
      <c r="AV1082" s="1" t="s">
        <v>126</v>
      </c>
      <c r="AX1082" s="1">
        <v>0</v>
      </c>
      <c r="BA1082" s="1">
        <v>9</v>
      </c>
      <c r="BB1082" s="1">
        <v>0</v>
      </c>
      <c r="BC1082" s="1">
        <v>0</v>
      </c>
      <c r="BE1082" s="1">
        <v>27188519</v>
      </c>
    </row>
    <row r="1083" spans="1:57" x14ac:dyDescent="0.25">
      <c r="A1083" s="1" t="str">
        <f>T("1944829999832570424")</f>
        <v>1944829999832570424</v>
      </c>
      <c r="B1083" s="1" t="str">
        <f>T("249968086926")</f>
        <v>249968086926</v>
      </c>
      <c r="C1083" s="1" t="str">
        <f>T("1941094471089261392")</f>
        <v>1941094471089261392</v>
      </c>
      <c r="AC1083" s="1" t="s">
        <v>344</v>
      </c>
      <c r="AD1083" s="1" t="s">
        <v>524</v>
      </c>
      <c r="AE1083" s="1" t="s">
        <v>534</v>
      </c>
      <c r="AF1083" s="1" t="s">
        <v>144</v>
      </c>
      <c r="AG1083" s="1" t="s">
        <v>529</v>
      </c>
      <c r="AO1083" s="2">
        <v>46275</v>
      </c>
      <c r="AP1083" s="1" t="s">
        <v>226</v>
      </c>
      <c r="AS1083" s="1" t="s">
        <v>71</v>
      </c>
      <c r="AU1083" s="1" t="s">
        <v>72</v>
      </c>
      <c r="AV1083" s="1" t="s">
        <v>73</v>
      </c>
      <c r="AX1083" s="1">
        <v>0</v>
      </c>
      <c r="BA1083" s="1">
        <v>9</v>
      </c>
      <c r="BB1083" s="1">
        <v>0</v>
      </c>
      <c r="BC1083" s="1">
        <v>0</v>
      </c>
      <c r="BE1083" s="1">
        <v>27188519</v>
      </c>
    </row>
    <row r="1084" spans="1:57" x14ac:dyDescent="0.25">
      <c r="A1084" s="1" t="str">
        <f>T("1944829999836762432")</f>
        <v>1944829999836762432</v>
      </c>
      <c r="B1084" s="1" t="str">
        <f>T("249116635411")</f>
        <v>249116635411</v>
      </c>
      <c r="C1084" s="1" t="str">
        <f>T("1941094471089258592")</f>
        <v>1941094471089258592</v>
      </c>
      <c r="AC1084" s="1" t="s">
        <v>344</v>
      </c>
      <c r="AD1084" s="1" t="s">
        <v>524</v>
      </c>
      <c r="AE1084" s="1" t="s">
        <v>504</v>
      </c>
      <c r="AF1084" s="1" t="s">
        <v>144</v>
      </c>
      <c r="AG1084" s="1">
        <v>0</v>
      </c>
      <c r="AO1084" s="2">
        <v>46275</v>
      </c>
      <c r="AP1084" s="1" t="s">
        <v>226</v>
      </c>
      <c r="AQ1084" s="2">
        <v>46275</v>
      </c>
      <c r="AR1084" s="1" t="s">
        <v>378</v>
      </c>
      <c r="AS1084" s="1" t="s">
        <v>71</v>
      </c>
      <c r="AU1084" s="1" t="s">
        <v>79</v>
      </c>
      <c r="AV1084" s="1" t="s">
        <v>80</v>
      </c>
      <c r="AW1084" s="1">
        <v>11.7</v>
      </c>
      <c r="AX1084" s="1">
        <v>0</v>
      </c>
      <c r="AZ1084" s="1" t="s">
        <v>81</v>
      </c>
      <c r="BA1084" s="1">
        <v>1</v>
      </c>
      <c r="BB1084" s="1">
        <v>0</v>
      </c>
      <c r="BC1084" s="1">
        <v>0</v>
      </c>
      <c r="BE1084" s="1">
        <v>27188519</v>
      </c>
    </row>
    <row r="1085" spans="1:57" x14ac:dyDescent="0.25">
      <c r="A1085" s="1" t="str">
        <f>T("1944829999970981588")</f>
        <v>1944829999970981588</v>
      </c>
      <c r="B1085" s="1" t="str">
        <f>T("249916940047")</f>
        <v>249916940047</v>
      </c>
      <c r="C1085" s="1" t="str">
        <f>T("1941094471093453800")</f>
        <v>1941094471093453800</v>
      </c>
      <c r="AC1085" s="1" t="s">
        <v>344</v>
      </c>
      <c r="AD1085" s="1" t="s">
        <v>345</v>
      </c>
      <c r="AE1085" s="1" t="s">
        <v>522</v>
      </c>
      <c r="AF1085" s="1" t="s">
        <v>144</v>
      </c>
      <c r="AG1085" s="1">
        <v>31</v>
      </c>
      <c r="AO1085" s="2">
        <v>46275</v>
      </c>
      <c r="AP1085" s="1" t="s">
        <v>226</v>
      </c>
      <c r="AS1085" s="1" t="s">
        <v>71</v>
      </c>
      <c r="AU1085" s="1" t="s">
        <v>72</v>
      </c>
      <c r="AV1085" s="1" t="s">
        <v>73</v>
      </c>
      <c r="AX1085" s="1">
        <v>0</v>
      </c>
      <c r="BA1085" s="1">
        <v>9</v>
      </c>
      <c r="BB1085" s="1">
        <v>0</v>
      </c>
      <c r="BC1085" s="1">
        <v>0</v>
      </c>
      <c r="BE1085" s="1">
        <v>27188519</v>
      </c>
    </row>
    <row r="1086" spans="1:57" x14ac:dyDescent="0.25">
      <c r="A1086" s="1" t="str">
        <f>T("1944829999975174796")</f>
        <v>1944829999975174796</v>
      </c>
      <c r="B1086" s="1" t="str">
        <f>T("249911045043")</f>
        <v>249911045043</v>
      </c>
      <c r="C1086" s="1" t="str">
        <f>T("1941094471093454300")</f>
        <v>1941094471093454300</v>
      </c>
      <c r="AC1086" s="1" t="s">
        <v>344</v>
      </c>
      <c r="AD1086" s="1" t="s">
        <v>524</v>
      </c>
      <c r="AE1086" s="1" t="s">
        <v>534</v>
      </c>
      <c r="AF1086" s="1" t="s">
        <v>144</v>
      </c>
      <c r="AG1086" s="1" t="s">
        <v>529</v>
      </c>
      <c r="AO1086" s="2">
        <v>46275</v>
      </c>
      <c r="AP1086" s="1" t="s">
        <v>226</v>
      </c>
      <c r="AS1086" s="1" t="s">
        <v>71</v>
      </c>
      <c r="AU1086" s="1" t="s">
        <v>72</v>
      </c>
      <c r="AV1086" s="1" t="s">
        <v>437</v>
      </c>
      <c r="AX1086" s="1">
        <v>0</v>
      </c>
      <c r="BA1086" s="1">
        <v>9</v>
      </c>
      <c r="BB1086" s="1">
        <v>0</v>
      </c>
      <c r="BC1086" s="1">
        <v>0</v>
      </c>
      <c r="BE1086" s="1">
        <v>27188519</v>
      </c>
    </row>
    <row r="1087" spans="1:57" x14ac:dyDescent="0.25">
      <c r="A1087" s="1" t="str">
        <f>T("1944829999979368504")</f>
        <v>1944829999979368504</v>
      </c>
      <c r="B1087" s="1" t="str">
        <f>T("249902149145")</f>
        <v>249902149145</v>
      </c>
      <c r="C1087" s="1" t="str">
        <f>T("1941094471093454800")</f>
        <v>1941094471093454800</v>
      </c>
      <c r="AC1087" s="1" t="s">
        <v>344</v>
      </c>
      <c r="AD1087" s="1" t="s">
        <v>430</v>
      </c>
      <c r="AE1087" s="1" t="s">
        <v>531</v>
      </c>
      <c r="AF1087" s="1" t="s">
        <v>144</v>
      </c>
      <c r="AG1087" s="1">
        <v>0</v>
      </c>
      <c r="AO1087" s="2">
        <v>46275</v>
      </c>
      <c r="AP1087" s="1" t="s">
        <v>226</v>
      </c>
      <c r="AS1087" s="1" t="s">
        <v>71</v>
      </c>
      <c r="AU1087" s="1" t="s">
        <v>72</v>
      </c>
      <c r="AV1087" s="1" t="s">
        <v>437</v>
      </c>
      <c r="AX1087" s="1">
        <v>0</v>
      </c>
      <c r="BA1087" s="1">
        <v>9</v>
      </c>
      <c r="BB1087" s="1">
        <v>0</v>
      </c>
      <c r="BC1087" s="1">
        <v>0</v>
      </c>
      <c r="BE1087" s="1">
        <v>27188519</v>
      </c>
    </row>
    <row r="1088" spans="1:57" x14ac:dyDescent="0.25">
      <c r="A1088" s="1" t="str">
        <f>T("1944830000071644580")</f>
        <v>1944830000071644580</v>
      </c>
      <c r="B1088" s="1" t="str">
        <f>T("249969236567")</f>
        <v>249969236567</v>
      </c>
      <c r="C1088" s="1" t="str">
        <f>T("1941094471093455200")</f>
        <v>1941094471093455200</v>
      </c>
      <c r="AC1088" s="1" t="s">
        <v>276</v>
      </c>
      <c r="AD1088" s="1" t="s">
        <v>517</v>
      </c>
      <c r="AE1088" s="1" t="s">
        <v>530</v>
      </c>
      <c r="AF1088" s="1" t="s">
        <v>107</v>
      </c>
      <c r="AG1088" s="1">
        <v>20</v>
      </c>
      <c r="AO1088" s="2">
        <v>46275</v>
      </c>
      <c r="AP1088" s="1" t="s">
        <v>226</v>
      </c>
      <c r="AS1088" s="1" t="s">
        <v>71</v>
      </c>
      <c r="AU1088" s="1" t="s">
        <v>72</v>
      </c>
      <c r="AV1088" s="1" t="s">
        <v>73</v>
      </c>
      <c r="AX1088" s="1">
        <v>0</v>
      </c>
      <c r="BA1088" s="1">
        <v>9</v>
      </c>
      <c r="BB1088" s="1">
        <v>0</v>
      </c>
      <c r="BC1088" s="1">
        <v>0</v>
      </c>
      <c r="BE1088" s="1">
        <v>27188519</v>
      </c>
    </row>
    <row r="1089" spans="1:57" x14ac:dyDescent="0.25">
      <c r="A1089" s="1" t="str">
        <f>T("1944830000084227904")</f>
        <v>1944830000084227904</v>
      </c>
      <c r="B1089" s="1" t="str">
        <f>T("249919324314")</f>
        <v>249919324314</v>
      </c>
      <c r="C1089" s="1" t="str">
        <f>T("1941094471093455600")</f>
        <v>1941094471093455600</v>
      </c>
      <c r="AC1089" s="1" t="s">
        <v>276</v>
      </c>
      <c r="AD1089" s="1" t="s">
        <v>277</v>
      </c>
      <c r="AE1089" s="1" t="s">
        <v>530</v>
      </c>
      <c r="AF1089" s="1" t="s">
        <v>144</v>
      </c>
      <c r="AG1089" s="1">
        <v>35</v>
      </c>
      <c r="AO1089" s="2">
        <v>46275</v>
      </c>
      <c r="AP1089" s="1" t="s">
        <v>226</v>
      </c>
      <c r="AS1089" s="1" t="s">
        <v>71</v>
      </c>
      <c r="AU1089" s="1" t="s">
        <v>72</v>
      </c>
      <c r="AV1089" s="1" t="s">
        <v>73</v>
      </c>
      <c r="AX1089" s="1">
        <v>0</v>
      </c>
      <c r="BA1089" s="1">
        <v>9</v>
      </c>
      <c r="BB1089" s="1">
        <v>0</v>
      </c>
      <c r="BC1089" s="1">
        <v>0</v>
      </c>
      <c r="BE1089" s="1">
        <v>27188519</v>
      </c>
    </row>
    <row r="1090" spans="1:57" x14ac:dyDescent="0.25">
      <c r="A1090" s="1" t="str">
        <f>T("1944830000088423812")</f>
        <v>1944830000088423812</v>
      </c>
      <c r="B1090" s="1" t="str">
        <f>T("249960876061")</f>
        <v>249960876061</v>
      </c>
      <c r="C1090" s="1" t="str">
        <f>T("1941094471093456200")</f>
        <v>1941094471093456200</v>
      </c>
      <c r="AC1090" s="1" t="s">
        <v>344</v>
      </c>
      <c r="AD1090" s="1" t="s">
        <v>524</v>
      </c>
      <c r="AE1090" s="1" t="s">
        <v>527</v>
      </c>
      <c r="AF1090" s="1" t="s">
        <v>144</v>
      </c>
      <c r="AG1090" s="1">
        <v>0</v>
      </c>
      <c r="AO1090" s="2">
        <v>46275</v>
      </c>
      <c r="AP1090" s="1" t="s">
        <v>226</v>
      </c>
      <c r="AS1090" s="1" t="s">
        <v>71</v>
      </c>
      <c r="AU1090" s="1" t="s">
        <v>72</v>
      </c>
      <c r="AV1090" s="1" t="s">
        <v>73</v>
      </c>
      <c r="AX1090" s="1">
        <v>0</v>
      </c>
      <c r="BA1090" s="1">
        <v>9</v>
      </c>
      <c r="BB1090" s="1">
        <v>0</v>
      </c>
      <c r="BC1090" s="1">
        <v>0</v>
      </c>
      <c r="BE1090" s="1">
        <v>27188519</v>
      </c>
    </row>
    <row r="1091" spans="1:57" x14ac:dyDescent="0.25">
      <c r="A1091" s="1" t="str">
        <f>T("1944830000172307272")</f>
        <v>1944830000172307272</v>
      </c>
      <c r="B1091" s="1" t="str">
        <f>T("249900224620")</f>
        <v>249900224620</v>
      </c>
      <c r="C1091" s="1" t="str">
        <f>T("1941094471093456700")</f>
        <v>1941094471093456700</v>
      </c>
      <c r="AC1091" s="1" t="s">
        <v>344</v>
      </c>
      <c r="AD1091" s="1" t="s">
        <v>524</v>
      </c>
      <c r="AE1091" s="1" t="s">
        <v>528</v>
      </c>
      <c r="AF1091" s="1" t="s">
        <v>144</v>
      </c>
      <c r="AG1091" s="1" t="s">
        <v>529</v>
      </c>
      <c r="AO1091" s="2">
        <v>46275</v>
      </c>
      <c r="AP1091" s="1" t="s">
        <v>226</v>
      </c>
      <c r="AS1091" s="1" t="s">
        <v>71</v>
      </c>
      <c r="AU1091" s="1" t="s">
        <v>72</v>
      </c>
      <c r="AV1091" s="1" t="s">
        <v>437</v>
      </c>
      <c r="AX1091" s="1">
        <v>0</v>
      </c>
      <c r="BA1091" s="1">
        <v>9</v>
      </c>
      <c r="BB1091" s="1">
        <v>0</v>
      </c>
      <c r="BC1091" s="1">
        <v>0</v>
      </c>
      <c r="BE1091" s="1">
        <v>27188519</v>
      </c>
    </row>
    <row r="1092" spans="1:57" x14ac:dyDescent="0.25">
      <c r="A1092" s="1" t="str">
        <f>T("1944830000180698088")</f>
        <v>1944830000180698088</v>
      </c>
      <c r="B1092" s="1" t="str">
        <f>T("249900469206")</f>
        <v>249900469206</v>
      </c>
      <c r="C1092" s="1" t="str">
        <f>T("1941094471097647408")</f>
        <v>1941094471097647408</v>
      </c>
      <c r="AC1092" s="1" t="s">
        <v>344</v>
      </c>
      <c r="AD1092" s="1" t="s">
        <v>524</v>
      </c>
      <c r="AE1092" s="1" t="s">
        <v>528</v>
      </c>
      <c r="AF1092" s="1" t="s">
        <v>144</v>
      </c>
      <c r="AG1092" s="1" t="s">
        <v>529</v>
      </c>
      <c r="AO1092" s="2">
        <v>46275</v>
      </c>
      <c r="AP1092" s="1" t="s">
        <v>226</v>
      </c>
      <c r="AS1092" s="1" t="s">
        <v>71</v>
      </c>
      <c r="AU1092" s="1" t="s">
        <v>72</v>
      </c>
      <c r="AV1092" s="1" t="s">
        <v>73</v>
      </c>
      <c r="AX1092" s="1">
        <v>0</v>
      </c>
      <c r="BA1092" s="1">
        <v>9</v>
      </c>
      <c r="BB1092" s="1">
        <v>0</v>
      </c>
      <c r="BC1092" s="1">
        <v>0</v>
      </c>
      <c r="BE1092" s="1">
        <v>27188519</v>
      </c>
    </row>
    <row r="1093" spans="1:57" x14ac:dyDescent="0.25">
      <c r="A1093" s="1" t="str">
        <f>T("1944830000184890696")</f>
        <v>1944830000184890696</v>
      </c>
      <c r="B1093" s="1" t="str">
        <f>T("249901047585")</f>
        <v>249901047585</v>
      </c>
      <c r="C1093" s="1" t="str">
        <f>T("1941094471097647908")</f>
        <v>1941094471097647908</v>
      </c>
      <c r="AC1093" s="1" t="s">
        <v>276</v>
      </c>
      <c r="AD1093" s="1" t="s">
        <v>517</v>
      </c>
      <c r="AE1093" s="1" t="s">
        <v>540</v>
      </c>
      <c r="AF1093" s="1" t="s">
        <v>144</v>
      </c>
      <c r="AG1093" s="1">
        <v>26</v>
      </c>
      <c r="AO1093" s="2">
        <v>46275</v>
      </c>
      <c r="AP1093" s="1" t="s">
        <v>226</v>
      </c>
      <c r="AS1093" s="1" t="s">
        <v>71</v>
      </c>
      <c r="AU1093" s="1" t="s">
        <v>72</v>
      </c>
      <c r="AV1093" s="1" t="s">
        <v>437</v>
      </c>
      <c r="AX1093" s="1">
        <v>0</v>
      </c>
      <c r="BA1093" s="1">
        <v>9</v>
      </c>
      <c r="BB1093" s="1">
        <v>0</v>
      </c>
      <c r="BC1093" s="1">
        <v>0</v>
      </c>
      <c r="BE1093" s="1">
        <v>27188519</v>
      </c>
    </row>
    <row r="1094" spans="1:57" x14ac:dyDescent="0.25">
      <c r="A1094" s="1" t="str">
        <f>T("1944830000272973364")</f>
        <v>1944830000272973364</v>
      </c>
      <c r="B1094" s="1" t="str">
        <f>T("249966282040")</f>
        <v>249966282040</v>
      </c>
      <c r="C1094" s="1" t="str">
        <f>T("1941094471097648308")</f>
        <v>1941094471097648308</v>
      </c>
      <c r="AC1094" s="1" t="s">
        <v>276</v>
      </c>
      <c r="AD1094" s="1" t="s">
        <v>517</v>
      </c>
      <c r="AE1094" s="1" t="s">
        <v>530</v>
      </c>
      <c r="AF1094" s="1" t="s">
        <v>144</v>
      </c>
      <c r="AG1094" s="1">
        <v>37</v>
      </c>
      <c r="AO1094" s="2">
        <v>46275</v>
      </c>
      <c r="AP1094" s="1" t="s">
        <v>226</v>
      </c>
      <c r="AS1094" s="1" t="s">
        <v>71</v>
      </c>
      <c r="AU1094" s="1" t="s">
        <v>72</v>
      </c>
      <c r="AV1094" s="1" t="s">
        <v>437</v>
      </c>
      <c r="AX1094" s="1">
        <v>0</v>
      </c>
      <c r="BA1094" s="1">
        <v>9</v>
      </c>
      <c r="BB1094" s="1">
        <v>0</v>
      </c>
      <c r="BC1094" s="1">
        <v>0</v>
      </c>
      <c r="BE1094" s="1">
        <v>27188519</v>
      </c>
    </row>
    <row r="1095" spans="1:57" x14ac:dyDescent="0.25">
      <c r="A1095" s="1" t="str">
        <f>T("1944830000293941704")</f>
        <v>1944830000293941704</v>
      </c>
      <c r="B1095" s="1" t="str">
        <f>T("249962472273")</f>
        <v>249962472273</v>
      </c>
      <c r="C1095" s="1" t="str">
        <f>T("1941094471097648808")</f>
        <v>1941094471097648808</v>
      </c>
      <c r="AC1095" s="1" t="s">
        <v>344</v>
      </c>
      <c r="AD1095" s="1" t="s">
        <v>430</v>
      </c>
      <c r="AE1095" s="1" t="s">
        <v>531</v>
      </c>
      <c r="AF1095" s="1" t="s">
        <v>144</v>
      </c>
      <c r="AG1095" s="1">
        <v>0</v>
      </c>
      <c r="AO1095" s="2">
        <v>46275</v>
      </c>
      <c r="AP1095" s="1" t="s">
        <v>226</v>
      </c>
      <c r="AS1095" s="1" t="s">
        <v>71</v>
      </c>
      <c r="AU1095" s="1" t="s">
        <v>72</v>
      </c>
      <c r="AV1095" s="1" t="s">
        <v>73</v>
      </c>
      <c r="AX1095" s="1">
        <v>0</v>
      </c>
      <c r="BA1095" s="1">
        <v>9</v>
      </c>
      <c r="BB1095" s="1">
        <v>0</v>
      </c>
      <c r="BC1095" s="1">
        <v>0</v>
      </c>
      <c r="BE1095" s="1">
        <v>27188519</v>
      </c>
    </row>
    <row r="1096" spans="1:57" x14ac:dyDescent="0.25">
      <c r="A1096" s="1" t="str">
        <f>T("1944830000298139612")</f>
        <v>1944830000298139612</v>
      </c>
      <c r="B1096" s="1" t="str">
        <f>T("249966563487")</f>
        <v>249966563487</v>
      </c>
      <c r="C1096" s="1" t="str">
        <f>T("1941094471097649208")</f>
        <v>1941094471097649208</v>
      </c>
      <c r="AC1096" s="1" t="s">
        <v>344</v>
      </c>
      <c r="AD1096" s="1" t="s">
        <v>345</v>
      </c>
      <c r="AE1096" s="1" t="s">
        <v>522</v>
      </c>
      <c r="AF1096" s="1" t="s">
        <v>144</v>
      </c>
      <c r="AG1096" s="1">
        <v>43</v>
      </c>
      <c r="AO1096" s="2">
        <v>46275</v>
      </c>
      <c r="AP1096" s="1" t="s">
        <v>226</v>
      </c>
      <c r="AS1096" s="1" t="s">
        <v>71</v>
      </c>
      <c r="AU1096" s="1" t="s">
        <v>72</v>
      </c>
      <c r="AV1096" s="1" t="s">
        <v>437</v>
      </c>
      <c r="AX1096" s="1">
        <v>0</v>
      </c>
      <c r="BA1096" s="1">
        <v>9</v>
      </c>
      <c r="BB1096" s="1">
        <v>0</v>
      </c>
      <c r="BC1096" s="1">
        <v>0</v>
      </c>
      <c r="BE1096" s="1">
        <v>27188519</v>
      </c>
    </row>
    <row r="1097" spans="1:57" x14ac:dyDescent="0.25">
      <c r="A1097" s="1" t="str">
        <f>T("1944830000516242028")</f>
        <v>1944830000516242028</v>
      </c>
      <c r="B1097" s="1" t="str">
        <f>T("249915809042")</f>
        <v>249915809042</v>
      </c>
      <c r="C1097" s="1" t="str">
        <f>T("1941094471101841716")</f>
        <v>1941094471101841716</v>
      </c>
      <c r="AC1097" s="1" t="s">
        <v>276</v>
      </c>
      <c r="AD1097" s="1" t="s">
        <v>517</v>
      </c>
      <c r="AE1097" s="1" t="s">
        <v>521</v>
      </c>
      <c r="AF1097" s="1" t="s">
        <v>144</v>
      </c>
      <c r="AG1097" s="1">
        <v>31</v>
      </c>
      <c r="AO1097" s="2">
        <v>46275</v>
      </c>
      <c r="AP1097" s="1" t="s">
        <v>226</v>
      </c>
      <c r="AS1097" s="1" t="s">
        <v>71</v>
      </c>
      <c r="AU1097" s="1" t="s">
        <v>72</v>
      </c>
      <c r="AV1097" s="1" t="s">
        <v>73</v>
      </c>
      <c r="AX1097" s="1">
        <v>0</v>
      </c>
      <c r="BA1097" s="1">
        <v>9</v>
      </c>
      <c r="BB1097" s="1">
        <v>0</v>
      </c>
      <c r="BC1097" s="1">
        <v>0</v>
      </c>
      <c r="BE1097" s="1">
        <v>27188519</v>
      </c>
    </row>
    <row r="1098" spans="1:57" x14ac:dyDescent="0.25">
      <c r="A1098" s="1" t="str">
        <f>T("1944830000520434036")</f>
        <v>1944830000520434036</v>
      </c>
      <c r="B1098" s="1" t="str">
        <f>T("249918060500")</f>
        <v>249918060500</v>
      </c>
      <c r="C1098" s="1" t="str">
        <f>T("1941094471097650808")</f>
        <v>1941094471097650808</v>
      </c>
      <c r="AC1098" s="1" t="s">
        <v>190</v>
      </c>
      <c r="AD1098" s="1" t="s">
        <v>274</v>
      </c>
      <c r="AE1098" s="1" t="s">
        <v>275</v>
      </c>
      <c r="AF1098" s="1" t="s">
        <v>107</v>
      </c>
      <c r="AG1098" s="1">
        <v>0</v>
      </c>
      <c r="AO1098" s="2">
        <v>46275</v>
      </c>
      <c r="AP1098" s="1" t="s">
        <v>226</v>
      </c>
      <c r="AS1098" s="1" t="s">
        <v>71</v>
      </c>
      <c r="AU1098" s="1" t="s">
        <v>72</v>
      </c>
      <c r="AV1098" s="1" t="s">
        <v>437</v>
      </c>
      <c r="AX1098" s="1">
        <v>0</v>
      </c>
      <c r="BA1098" s="1">
        <v>9</v>
      </c>
      <c r="BB1098" s="1">
        <v>0</v>
      </c>
      <c r="BC1098" s="1">
        <v>0</v>
      </c>
      <c r="BE1098" s="1">
        <v>27188519</v>
      </c>
    </row>
    <row r="1099" spans="1:57" x14ac:dyDescent="0.25">
      <c r="A1099" s="1" t="str">
        <f>T("1944830000520436736")</f>
        <v>1944830000520436736</v>
      </c>
      <c r="B1099" s="1" t="str">
        <f>T("249903002536")</f>
        <v>249903002536</v>
      </c>
      <c r="C1099" s="1" t="str">
        <f>T("1941094471101842116")</f>
        <v>1941094471101842116</v>
      </c>
      <c r="AC1099" s="1" t="s">
        <v>344</v>
      </c>
      <c r="AD1099" s="1" t="s">
        <v>524</v>
      </c>
      <c r="AE1099" s="1" t="s">
        <v>527</v>
      </c>
      <c r="AF1099" s="1" t="s">
        <v>144</v>
      </c>
      <c r="AG1099" s="1">
        <v>0</v>
      </c>
      <c r="AO1099" s="2">
        <v>46275</v>
      </c>
      <c r="AP1099" s="1" t="s">
        <v>226</v>
      </c>
      <c r="AS1099" s="1" t="s">
        <v>71</v>
      </c>
      <c r="AU1099" s="1" t="s">
        <v>72</v>
      </c>
      <c r="AV1099" s="1" t="s">
        <v>126</v>
      </c>
      <c r="AX1099" s="1">
        <v>0</v>
      </c>
      <c r="BA1099" s="1">
        <v>9</v>
      </c>
      <c r="BB1099" s="1">
        <v>0</v>
      </c>
      <c r="BC1099" s="1">
        <v>0</v>
      </c>
      <c r="BE1099" s="1">
        <v>27188519</v>
      </c>
    </row>
    <row r="1100" spans="1:57" x14ac:dyDescent="0.25">
      <c r="A1100" s="1" t="str">
        <f>T("1944830000616903920")</f>
        <v>1944830000616903920</v>
      </c>
      <c r="B1100" s="1" t="str">
        <f>T("249919607573")</f>
        <v>249919607573</v>
      </c>
      <c r="C1100" s="1" t="str">
        <f>T("1941094471101842616")</f>
        <v>1941094471101842616</v>
      </c>
      <c r="AC1100" s="1" t="s">
        <v>344</v>
      </c>
      <c r="AD1100" s="1" t="s">
        <v>524</v>
      </c>
      <c r="AE1100" s="1" t="s">
        <v>534</v>
      </c>
      <c r="AF1100" s="1" t="s">
        <v>144</v>
      </c>
      <c r="AG1100" s="1" t="s">
        <v>529</v>
      </c>
      <c r="AO1100" s="2">
        <v>46275</v>
      </c>
      <c r="AP1100" s="1" t="s">
        <v>226</v>
      </c>
      <c r="AS1100" s="1" t="s">
        <v>71</v>
      </c>
      <c r="AU1100" s="1" t="s">
        <v>72</v>
      </c>
      <c r="AV1100" s="1" t="s">
        <v>73</v>
      </c>
      <c r="AX1100" s="1">
        <v>0</v>
      </c>
      <c r="BA1100" s="1">
        <v>9</v>
      </c>
      <c r="BB1100" s="1">
        <v>0</v>
      </c>
      <c r="BC1100" s="1">
        <v>0</v>
      </c>
      <c r="BE1100" s="1">
        <v>27188519</v>
      </c>
    </row>
    <row r="1101" spans="1:57" x14ac:dyDescent="0.25">
      <c r="A1101" s="1" t="str">
        <f>T("1944830000616905620")</f>
        <v>1944830000616905620</v>
      </c>
      <c r="B1101" s="1" t="str">
        <f>T("249110282549")</f>
        <v>249110282549</v>
      </c>
      <c r="C1101" s="1" t="str">
        <f>T("1941094471106036624")</f>
        <v>1941094471106036624</v>
      </c>
      <c r="AC1101" s="1" t="s">
        <v>344</v>
      </c>
      <c r="AD1101" s="1" t="s">
        <v>345</v>
      </c>
      <c r="AE1101" s="1" t="s">
        <v>522</v>
      </c>
      <c r="AF1101" s="1" t="s">
        <v>144</v>
      </c>
      <c r="AG1101" s="1">
        <v>30</v>
      </c>
      <c r="AO1101" s="2">
        <v>46275</v>
      </c>
      <c r="AP1101" s="1" t="s">
        <v>226</v>
      </c>
      <c r="AQ1101" s="2">
        <v>46275</v>
      </c>
      <c r="AR1101" s="1" t="s">
        <v>390</v>
      </c>
      <c r="AS1101" s="1" t="s">
        <v>71</v>
      </c>
      <c r="AU1101" s="1" t="s">
        <v>79</v>
      </c>
      <c r="AV1101" s="1" t="s">
        <v>80</v>
      </c>
      <c r="AW1101" s="1">
        <v>12.74</v>
      </c>
      <c r="AX1101" s="1">
        <v>0</v>
      </c>
      <c r="AZ1101" s="1" t="s">
        <v>81</v>
      </c>
      <c r="BA1101" s="1">
        <v>1</v>
      </c>
      <c r="BB1101" s="1">
        <v>0</v>
      </c>
      <c r="BC1101" s="1">
        <v>0</v>
      </c>
      <c r="BE1101" s="1">
        <v>27188519</v>
      </c>
    </row>
    <row r="1102" spans="1:57" x14ac:dyDescent="0.25">
      <c r="A1102" s="1" t="str">
        <f>T("1944830000625294936")</f>
        <v>1944830000625294936</v>
      </c>
      <c r="B1102" s="1" t="str">
        <f>T("249900459808")</f>
        <v>249900459808</v>
      </c>
      <c r="C1102" s="1" t="str">
        <f>T("1941094471106037124")</f>
        <v>1941094471106037124</v>
      </c>
      <c r="AC1102" s="1" t="s">
        <v>276</v>
      </c>
      <c r="AD1102" s="1" t="s">
        <v>277</v>
      </c>
      <c r="AE1102" s="1" t="s">
        <v>530</v>
      </c>
      <c r="AF1102" s="1" t="s">
        <v>144</v>
      </c>
      <c r="AG1102" s="1">
        <v>35</v>
      </c>
      <c r="AO1102" s="2">
        <v>46275</v>
      </c>
      <c r="AP1102" s="1" t="s">
        <v>226</v>
      </c>
      <c r="AS1102" s="1" t="s">
        <v>71</v>
      </c>
      <c r="AU1102" s="1" t="s">
        <v>72</v>
      </c>
      <c r="AV1102" s="1" t="s">
        <v>126</v>
      </c>
      <c r="AX1102" s="1">
        <v>0</v>
      </c>
      <c r="BA1102" s="1">
        <v>9</v>
      </c>
      <c r="BB1102" s="1">
        <v>0</v>
      </c>
      <c r="BC1102" s="1">
        <v>0</v>
      </c>
      <c r="BE1102" s="1">
        <v>27188519</v>
      </c>
    </row>
    <row r="1103" spans="1:57" x14ac:dyDescent="0.25">
      <c r="A1103" s="1" t="str">
        <f>T("1944830000688209856")</f>
        <v>1944830000688209856</v>
      </c>
      <c r="B1103" s="1" t="str">
        <f>T("249962617984")</f>
        <v>249962617984</v>
      </c>
      <c r="C1103" s="1" t="str">
        <f>T("1941094471106037624")</f>
        <v>1941094471106037624</v>
      </c>
      <c r="AC1103" s="1" t="s">
        <v>276</v>
      </c>
      <c r="AD1103" s="1" t="s">
        <v>298</v>
      </c>
      <c r="AE1103" s="1" t="s">
        <v>538</v>
      </c>
      <c r="AF1103" s="1" t="s">
        <v>144</v>
      </c>
      <c r="AG1103" s="1">
        <v>45</v>
      </c>
      <c r="AO1103" s="2">
        <v>46275</v>
      </c>
      <c r="AP1103" s="1" t="s">
        <v>226</v>
      </c>
      <c r="AS1103" s="1" t="s">
        <v>71</v>
      </c>
      <c r="AU1103" s="1" t="s">
        <v>72</v>
      </c>
      <c r="AV1103" s="1" t="s">
        <v>73</v>
      </c>
      <c r="AX1103" s="1">
        <v>0</v>
      </c>
      <c r="BA1103" s="1">
        <v>9</v>
      </c>
      <c r="BB1103" s="1">
        <v>0</v>
      </c>
      <c r="BC1103" s="1">
        <v>0</v>
      </c>
      <c r="BE1103" s="1">
        <v>27188519</v>
      </c>
    </row>
    <row r="1104" spans="1:57" x14ac:dyDescent="0.25">
      <c r="A1104" s="1" t="str">
        <f>T("1944830000704985588")</f>
        <v>1944830000704985588</v>
      </c>
      <c r="B1104" s="1" t="str">
        <f>T("249914866081")</f>
        <v>249914866081</v>
      </c>
      <c r="C1104" s="1" t="str">
        <f>T("1941094471106038124")</f>
        <v>1941094471106038124</v>
      </c>
      <c r="AC1104" s="1" t="s">
        <v>276</v>
      </c>
      <c r="AD1104" s="1" t="s">
        <v>517</v>
      </c>
      <c r="AE1104" s="1" t="s">
        <v>530</v>
      </c>
      <c r="AF1104" s="1" t="s">
        <v>144</v>
      </c>
      <c r="AG1104" s="1">
        <v>30</v>
      </c>
      <c r="AO1104" s="2">
        <v>46275</v>
      </c>
      <c r="AP1104" s="1" t="s">
        <v>226</v>
      </c>
      <c r="AS1104" s="1" t="s">
        <v>71</v>
      </c>
      <c r="AU1104" s="1" t="s">
        <v>72</v>
      </c>
      <c r="AV1104" s="1" t="s">
        <v>73</v>
      </c>
      <c r="AX1104" s="1">
        <v>0</v>
      </c>
      <c r="BA1104" s="1">
        <v>9</v>
      </c>
      <c r="BB1104" s="1">
        <v>0</v>
      </c>
      <c r="BC1104" s="1">
        <v>0</v>
      </c>
      <c r="BE1104" s="1">
        <v>27188519</v>
      </c>
    </row>
    <row r="1105" spans="1:57" x14ac:dyDescent="0.25">
      <c r="A1105" s="1" t="str">
        <f>T("1944830000713373604")</f>
        <v>1944830000713373604</v>
      </c>
      <c r="B1105" s="1" t="str">
        <f>T("249968561988")</f>
        <v>249968561988</v>
      </c>
      <c r="C1105" s="1" t="str">
        <f>T("1941094471106038624")</f>
        <v>1941094471106038624</v>
      </c>
      <c r="AC1105" s="1" t="s">
        <v>344</v>
      </c>
      <c r="AD1105" s="1" t="s">
        <v>345</v>
      </c>
      <c r="AE1105" s="1" t="s">
        <v>522</v>
      </c>
      <c r="AF1105" s="1" t="s">
        <v>144</v>
      </c>
      <c r="AG1105" s="1">
        <v>36</v>
      </c>
      <c r="AO1105" s="2">
        <v>46275</v>
      </c>
      <c r="AP1105" s="1" t="s">
        <v>226</v>
      </c>
      <c r="AS1105" s="1" t="s">
        <v>71</v>
      </c>
      <c r="AU1105" s="1" t="s">
        <v>72</v>
      </c>
      <c r="AV1105" s="1" t="s">
        <v>437</v>
      </c>
      <c r="AX1105" s="1">
        <v>0</v>
      </c>
      <c r="BA1105" s="1">
        <v>9</v>
      </c>
      <c r="BB1105" s="1">
        <v>0</v>
      </c>
      <c r="BC1105" s="1">
        <v>0</v>
      </c>
      <c r="BE1105" s="1">
        <v>27188519</v>
      </c>
    </row>
    <row r="1106" spans="1:57" x14ac:dyDescent="0.25">
      <c r="A1106" s="1" t="str">
        <f>T("1944830000814036996")</f>
        <v>1944830000814036996</v>
      </c>
      <c r="B1106" s="1" t="str">
        <f>T("24980339195")</f>
        <v>24980339195</v>
      </c>
      <c r="C1106" s="1" t="str">
        <f>T("1941094471106039224")</f>
        <v>1941094471106039224</v>
      </c>
      <c r="AC1106" s="1" t="s">
        <v>276</v>
      </c>
      <c r="AD1106" s="1" t="s">
        <v>517</v>
      </c>
      <c r="AE1106" s="1" t="s">
        <v>530</v>
      </c>
      <c r="AF1106" s="1" t="s">
        <v>144</v>
      </c>
      <c r="AG1106" s="1">
        <v>30</v>
      </c>
      <c r="AO1106" s="2">
        <v>46275</v>
      </c>
      <c r="AP1106" s="1" t="s">
        <v>226</v>
      </c>
      <c r="AS1106" s="1" t="s">
        <v>71</v>
      </c>
      <c r="AU1106" s="1" t="s">
        <v>72</v>
      </c>
      <c r="AV1106" s="1" t="s">
        <v>73</v>
      </c>
      <c r="AX1106" s="1">
        <v>0</v>
      </c>
      <c r="BA1106" s="1">
        <v>9</v>
      </c>
      <c r="BB1106" s="1">
        <v>0</v>
      </c>
      <c r="BC1106" s="1">
        <v>0</v>
      </c>
      <c r="BE1106" s="1">
        <v>27188519</v>
      </c>
    </row>
    <row r="1107" spans="1:57" x14ac:dyDescent="0.25">
      <c r="A1107" s="1" t="str">
        <f>T("1944830000830812528")</f>
        <v>1944830000830812528</v>
      </c>
      <c r="B1107" s="1" t="str">
        <f>T("249914568610")</f>
        <v>249914568610</v>
      </c>
      <c r="C1107" s="1" t="str">
        <f>T("1941094471110230432")</f>
        <v>1941094471110230432</v>
      </c>
      <c r="AC1107" s="1" t="s">
        <v>366</v>
      </c>
      <c r="AD1107" s="1" t="s">
        <v>367</v>
      </c>
      <c r="AE1107" s="1" t="s">
        <v>368</v>
      </c>
      <c r="AF1107" s="1" t="s">
        <v>144</v>
      </c>
      <c r="AG1107" s="1">
        <v>49</v>
      </c>
      <c r="AO1107" s="2">
        <v>46275</v>
      </c>
      <c r="AP1107" s="1" t="s">
        <v>226</v>
      </c>
      <c r="AS1107" s="1" t="s">
        <v>71</v>
      </c>
      <c r="AU1107" s="1" t="s">
        <v>72</v>
      </c>
      <c r="AV1107" s="1" t="s">
        <v>437</v>
      </c>
      <c r="AX1107" s="1">
        <v>0</v>
      </c>
      <c r="BA1107" s="1">
        <v>9</v>
      </c>
      <c r="BB1107" s="1">
        <v>0</v>
      </c>
      <c r="BC1107" s="1">
        <v>0</v>
      </c>
      <c r="BE1107" s="1">
        <v>27188519</v>
      </c>
    </row>
    <row r="1108" spans="1:57" x14ac:dyDescent="0.25">
      <c r="A1108" s="1" t="str">
        <f>T("1944830000830815328")</f>
        <v>1944830000830815328</v>
      </c>
      <c r="B1108" s="1" t="str">
        <f>T("24996883317")</f>
        <v>24996883317</v>
      </c>
      <c r="C1108" s="1" t="str">
        <f>T("1941094471110230032")</f>
        <v>1941094471110230032</v>
      </c>
      <c r="AC1108" s="1" t="s">
        <v>344</v>
      </c>
      <c r="AD1108" s="1" t="s">
        <v>345</v>
      </c>
      <c r="AE1108" s="1" t="s">
        <v>522</v>
      </c>
      <c r="AF1108" s="1" t="s">
        <v>144</v>
      </c>
      <c r="AG1108" s="1">
        <v>43</v>
      </c>
      <c r="AO1108" s="2">
        <v>46275</v>
      </c>
      <c r="AP1108" s="1" t="s">
        <v>226</v>
      </c>
      <c r="AS1108" s="1" t="s">
        <v>71</v>
      </c>
      <c r="AU1108" s="1" t="s">
        <v>72</v>
      </c>
      <c r="AV1108" s="1" t="s">
        <v>73</v>
      </c>
      <c r="AX1108" s="1">
        <v>0</v>
      </c>
      <c r="BA1108" s="1">
        <v>9</v>
      </c>
      <c r="BB1108" s="1">
        <v>0</v>
      </c>
      <c r="BC1108" s="1">
        <v>0</v>
      </c>
      <c r="BE1108" s="1">
        <v>27188519</v>
      </c>
    </row>
    <row r="1109" spans="1:57" x14ac:dyDescent="0.25">
      <c r="A1109" s="1" t="str">
        <f>T("1944830000923088704")</f>
        <v>1944830000923088704</v>
      </c>
      <c r="B1109" s="1" t="str">
        <f>T("249917313756")</f>
        <v>249917313756</v>
      </c>
      <c r="C1109" s="1" t="str">
        <f>T("1941094471110230832")</f>
        <v>1941094471110230832</v>
      </c>
      <c r="AC1109" s="1" t="s">
        <v>344</v>
      </c>
      <c r="AD1109" s="1" t="s">
        <v>430</v>
      </c>
      <c r="AE1109" s="1" t="s">
        <v>531</v>
      </c>
      <c r="AF1109" s="1" t="s">
        <v>144</v>
      </c>
      <c r="AG1109" s="1">
        <v>0</v>
      </c>
      <c r="AO1109" s="2">
        <v>46275</v>
      </c>
      <c r="AP1109" s="1" t="s">
        <v>226</v>
      </c>
      <c r="AS1109" s="1" t="s">
        <v>71</v>
      </c>
      <c r="AU1109" s="1" t="s">
        <v>72</v>
      </c>
      <c r="AV1109" s="1" t="s">
        <v>73</v>
      </c>
      <c r="AX1109" s="1">
        <v>0</v>
      </c>
      <c r="BA1109" s="1">
        <v>9</v>
      </c>
      <c r="BB1109" s="1">
        <v>0</v>
      </c>
      <c r="BC1109" s="1">
        <v>0</v>
      </c>
      <c r="BE1109" s="1">
        <v>27188519</v>
      </c>
    </row>
    <row r="1110" spans="1:57" x14ac:dyDescent="0.25">
      <c r="A1110" s="1" t="str">
        <f>T("1944830000931476120")</f>
        <v>1944830000931476120</v>
      </c>
      <c r="B1110" s="1" t="str">
        <f>T("249911039825")</f>
        <v>249911039825</v>
      </c>
      <c r="C1110" s="1" t="str">
        <f>T("1941094471110232132")</f>
        <v>1941094471110232132</v>
      </c>
      <c r="AC1110" s="1" t="s">
        <v>276</v>
      </c>
      <c r="AD1110" s="1" t="s">
        <v>517</v>
      </c>
      <c r="AE1110" s="1" t="s">
        <v>540</v>
      </c>
      <c r="AF1110" s="1" t="s">
        <v>144</v>
      </c>
      <c r="AG1110" s="1">
        <v>34</v>
      </c>
      <c r="AO1110" s="2">
        <v>46275</v>
      </c>
      <c r="AP1110" s="1" t="s">
        <v>226</v>
      </c>
      <c r="AS1110" s="1" t="s">
        <v>71</v>
      </c>
      <c r="AU1110" s="1" t="s">
        <v>72</v>
      </c>
      <c r="AV1110" s="1" t="s">
        <v>437</v>
      </c>
      <c r="AX1110" s="1">
        <v>0</v>
      </c>
      <c r="BA1110" s="1">
        <v>9</v>
      </c>
      <c r="BB1110" s="1">
        <v>0</v>
      </c>
      <c r="BC1110" s="1">
        <v>0</v>
      </c>
      <c r="BE1110" s="1">
        <v>27188519</v>
      </c>
    </row>
    <row r="1111" spans="1:57" x14ac:dyDescent="0.25">
      <c r="A1111" s="1" t="str">
        <f>T("1944830000931478720")</f>
        <v>1944830000931478720</v>
      </c>
      <c r="B1111" s="1" t="str">
        <f>T("249965238321")</f>
        <v>249965238321</v>
      </c>
      <c r="C1111" s="1" t="str">
        <f>T("1941094471110231232")</f>
        <v>1941094471110231232</v>
      </c>
      <c r="AC1111" s="1" t="s">
        <v>344</v>
      </c>
      <c r="AD1111" s="1" t="s">
        <v>524</v>
      </c>
      <c r="AE1111" s="1" t="s">
        <v>528</v>
      </c>
      <c r="AF1111" s="1" t="s">
        <v>144</v>
      </c>
      <c r="AG1111" s="1" t="s">
        <v>529</v>
      </c>
      <c r="AO1111" s="2">
        <v>46275</v>
      </c>
      <c r="AP1111" s="1" t="s">
        <v>226</v>
      </c>
      <c r="AS1111" s="1" t="s">
        <v>71</v>
      </c>
      <c r="AU1111" s="1" t="s">
        <v>72</v>
      </c>
      <c r="AV1111" s="1" t="s">
        <v>437</v>
      </c>
      <c r="AX1111" s="1">
        <v>0</v>
      </c>
      <c r="BA1111" s="1">
        <v>9</v>
      </c>
      <c r="BB1111" s="1">
        <v>0</v>
      </c>
      <c r="BC1111" s="1">
        <v>0</v>
      </c>
      <c r="BE1111" s="1">
        <v>27188519</v>
      </c>
    </row>
    <row r="1112" spans="1:57" x14ac:dyDescent="0.25">
      <c r="A1112" s="1" t="str">
        <f>T("1944830001023753596")</f>
        <v>1944830001023753596</v>
      </c>
      <c r="B1112" s="1" t="str">
        <f>T("249907046222")</f>
        <v>249907046222</v>
      </c>
      <c r="C1112" s="1" t="str">
        <f>T("1941094471110232532")</f>
        <v>1941094471110232532</v>
      </c>
      <c r="AC1112" s="1" t="s">
        <v>344</v>
      </c>
      <c r="AD1112" s="1" t="s">
        <v>524</v>
      </c>
      <c r="AE1112" s="1" t="s">
        <v>528</v>
      </c>
      <c r="AF1112" s="1" t="s">
        <v>144</v>
      </c>
      <c r="AG1112" s="1" t="s">
        <v>529</v>
      </c>
      <c r="AO1112" s="2">
        <v>46275</v>
      </c>
      <c r="AP1112" s="1" t="s">
        <v>226</v>
      </c>
      <c r="AS1112" s="1" t="s">
        <v>71</v>
      </c>
      <c r="AU1112" s="1" t="s">
        <v>72</v>
      </c>
      <c r="AV1112" s="1" t="s">
        <v>73</v>
      </c>
      <c r="AX1112" s="1">
        <v>0</v>
      </c>
      <c r="BA1112" s="1">
        <v>9</v>
      </c>
      <c r="BB1112" s="1">
        <v>0</v>
      </c>
      <c r="BC1112" s="1">
        <v>0</v>
      </c>
      <c r="BE1112" s="1">
        <v>27188519</v>
      </c>
    </row>
    <row r="1113" spans="1:57" x14ac:dyDescent="0.25">
      <c r="A1113" s="1" t="str">
        <f>T("1944830001044724536")</f>
        <v>1944830001044724536</v>
      </c>
      <c r="B1113" s="1" t="str">
        <f>T("249961944564")</f>
        <v>249961944564</v>
      </c>
      <c r="C1113" s="1" t="str">
        <f>T("1941094471110232932")</f>
        <v>1941094471110232932</v>
      </c>
      <c r="AC1113" s="1" t="s">
        <v>344</v>
      </c>
      <c r="AD1113" s="1" t="s">
        <v>524</v>
      </c>
      <c r="AE1113" s="1" t="s">
        <v>535</v>
      </c>
      <c r="AF1113" s="1" t="s">
        <v>144</v>
      </c>
      <c r="AG1113" s="1">
        <v>0</v>
      </c>
      <c r="AO1113" s="2">
        <v>46275</v>
      </c>
      <c r="AP1113" s="1" t="s">
        <v>226</v>
      </c>
      <c r="AS1113" s="1" t="s">
        <v>71</v>
      </c>
      <c r="AU1113" s="1" t="s">
        <v>72</v>
      </c>
      <c r="AV1113" s="1" t="s">
        <v>73</v>
      </c>
      <c r="AX1113" s="1">
        <v>0</v>
      </c>
      <c r="BA1113" s="1">
        <v>9</v>
      </c>
      <c r="BB1113" s="1">
        <v>0</v>
      </c>
      <c r="BC1113" s="1">
        <v>0</v>
      </c>
      <c r="BE1113" s="1">
        <v>27188519</v>
      </c>
    </row>
    <row r="1114" spans="1:57" x14ac:dyDescent="0.25">
      <c r="A1114" s="1" t="str">
        <f>T("1944830001053113952")</f>
        <v>1944830001053113952</v>
      </c>
      <c r="B1114" s="1" t="str">
        <f>T("249965196006")</f>
        <v>249965196006</v>
      </c>
      <c r="C1114" s="1" t="str">
        <f>T("1941094471114425740")</f>
        <v>1941094471114425740</v>
      </c>
      <c r="AC1114" s="1" t="s">
        <v>276</v>
      </c>
      <c r="AD1114" s="1" t="s">
        <v>298</v>
      </c>
      <c r="AE1114" s="1" t="s">
        <v>538</v>
      </c>
      <c r="AF1114" s="1" t="s">
        <v>144</v>
      </c>
      <c r="AG1114" s="1">
        <v>27</v>
      </c>
      <c r="AO1114" s="2">
        <v>46275</v>
      </c>
      <c r="AP1114" s="1" t="s">
        <v>226</v>
      </c>
      <c r="AS1114" s="1" t="s">
        <v>71</v>
      </c>
      <c r="AU1114" s="1" t="s">
        <v>72</v>
      </c>
      <c r="AV1114" s="1" t="s">
        <v>126</v>
      </c>
      <c r="AX1114" s="1">
        <v>0</v>
      </c>
      <c r="BA1114" s="1">
        <v>9</v>
      </c>
      <c r="BB1114" s="1">
        <v>0</v>
      </c>
      <c r="BC1114" s="1">
        <v>0</v>
      </c>
      <c r="BE1114" s="1">
        <v>27188519</v>
      </c>
    </row>
    <row r="1115" spans="1:57" x14ac:dyDescent="0.25">
      <c r="A1115" s="1" t="str">
        <f>T("1944830001321546964")</f>
        <v>1944830001321546964</v>
      </c>
      <c r="B1115" s="1" t="str">
        <f>T("249919926082")</f>
        <v>249919926082</v>
      </c>
      <c r="C1115" s="1" t="str">
        <f>T("1941094471114426240")</f>
        <v>1941094471114426240</v>
      </c>
      <c r="AC1115" s="1" t="s">
        <v>366</v>
      </c>
      <c r="AD1115" s="1" t="s">
        <v>367</v>
      </c>
      <c r="AE1115" s="1" t="s">
        <v>368</v>
      </c>
      <c r="AF1115" s="1" t="s">
        <v>144</v>
      </c>
      <c r="AG1115" s="1">
        <v>40</v>
      </c>
      <c r="AO1115" s="2">
        <v>46275</v>
      </c>
      <c r="AP1115" s="1" t="s">
        <v>226</v>
      </c>
      <c r="AS1115" s="1" t="s">
        <v>71</v>
      </c>
      <c r="AU1115" s="1" t="s">
        <v>72</v>
      </c>
      <c r="AV1115" s="1" t="s">
        <v>73</v>
      </c>
      <c r="AX1115" s="1">
        <v>0</v>
      </c>
      <c r="BA1115" s="1">
        <v>9</v>
      </c>
      <c r="BB1115" s="1">
        <v>0</v>
      </c>
      <c r="BC1115" s="1">
        <v>0</v>
      </c>
      <c r="BE1115" s="1">
        <v>27188519</v>
      </c>
    </row>
    <row r="1116" spans="1:57" x14ac:dyDescent="0.25">
      <c r="A1116" s="1" t="str">
        <f>T("1944830001334131288")</f>
        <v>1944830001334131288</v>
      </c>
      <c r="B1116" s="1" t="str">
        <f>T("249907164120")</f>
        <v>249907164120</v>
      </c>
      <c r="C1116" s="1" t="str">
        <f>T("1941094471114426640")</f>
        <v>1941094471114426640</v>
      </c>
      <c r="AC1116" s="1" t="s">
        <v>276</v>
      </c>
      <c r="AD1116" s="1" t="s">
        <v>517</v>
      </c>
      <c r="AE1116" s="1" t="s">
        <v>540</v>
      </c>
      <c r="AF1116" s="1" t="s">
        <v>144</v>
      </c>
      <c r="AG1116" s="1">
        <v>33</v>
      </c>
      <c r="AO1116" s="2">
        <v>46275</v>
      </c>
      <c r="AP1116" s="1" t="s">
        <v>226</v>
      </c>
      <c r="AS1116" s="1" t="s">
        <v>71</v>
      </c>
      <c r="AU1116" s="1" t="s">
        <v>72</v>
      </c>
      <c r="AV1116" s="1" t="s">
        <v>126</v>
      </c>
      <c r="AX1116" s="1">
        <v>0</v>
      </c>
      <c r="BA1116" s="1">
        <v>9</v>
      </c>
      <c r="BB1116" s="1">
        <v>0</v>
      </c>
      <c r="BC1116" s="1">
        <v>0</v>
      </c>
      <c r="BE1116" s="1">
        <v>27188519</v>
      </c>
    </row>
    <row r="1117" spans="1:57" x14ac:dyDescent="0.25">
      <c r="A1117" s="1" t="str">
        <f>T("1944830001346713212")</f>
        <v>1944830001346713212</v>
      </c>
      <c r="B1117" s="1" t="str">
        <f>T("249919643152")</f>
        <v>249919643152</v>
      </c>
      <c r="C1117" s="1" t="str">
        <f>T("1941094471114427140")</f>
        <v>1941094471114427140</v>
      </c>
      <c r="AC1117" s="1" t="s">
        <v>366</v>
      </c>
      <c r="AD1117" s="1" t="s">
        <v>367</v>
      </c>
      <c r="AE1117" s="1" t="s">
        <v>368</v>
      </c>
      <c r="AF1117" s="1" t="s">
        <v>144</v>
      </c>
      <c r="AG1117" s="1">
        <v>33</v>
      </c>
      <c r="AO1117" s="2">
        <v>46275</v>
      </c>
      <c r="AP1117" s="1" t="s">
        <v>226</v>
      </c>
      <c r="AS1117" s="1" t="s">
        <v>71</v>
      </c>
      <c r="AU1117" s="1" t="s">
        <v>72</v>
      </c>
      <c r="AV1117" s="1" t="s">
        <v>126</v>
      </c>
      <c r="AX1117" s="1">
        <v>0</v>
      </c>
      <c r="BA1117" s="1">
        <v>9</v>
      </c>
      <c r="BB1117" s="1">
        <v>0</v>
      </c>
      <c r="BC1117" s="1">
        <v>0</v>
      </c>
      <c r="BE1117" s="1">
        <v>27188519</v>
      </c>
    </row>
    <row r="1118" spans="1:57" x14ac:dyDescent="0.25">
      <c r="A1118" s="1" t="str">
        <f>T("1944830001497710300")</f>
        <v>1944830001497710300</v>
      </c>
      <c r="B1118" s="1" t="str">
        <f>T("249906974513")</f>
        <v>249906974513</v>
      </c>
      <c r="C1118" s="1" t="str">
        <f>T("1941094471118620348")</f>
        <v>1941094471118620348</v>
      </c>
      <c r="AC1118" s="1" t="s">
        <v>276</v>
      </c>
      <c r="AD1118" s="1" t="s">
        <v>298</v>
      </c>
      <c r="AE1118" s="1" t="s">
        <v>526</v>
      </c>
      <c r="AF1118" s="1" t="s">
        <v>144</v>
      </c>
      <c r="AG1118" s="1">
        <v>30</v>
      </c>
      <c r="AO1118" s="2">
        <v>46275</v>
      </c>
      <c r="AP1118" s="1" t="s">
        <v>226</v>
      </c>
      <c r="AS1118" s="1" t="s">
        <v>71</v>
      </c>
      <c r="AU1118" s="1" t="s">
        <v>72</v>
      </c>
      <c r="AV1118" s="1" t="s">
        <v>437</v>
      </c>
      <c r="AX1118" s="1">
        <v>0</v>
      </c>
      <c r="BA1118" s="1">
        <v>9</v>
      </c>
      <c r="BB1118" s="1">
        <v>0</v>
      </c>
      <c r="BC1118" s="1">
        <v>0</v>
      </c>
      <c r="BE1118" s="1">
        <v>27188519</v>
      </c>
    </row>
    <row r="1119" spans="1:57" x14ac:dyDescent="0.25">
      <c r="A1119" s="1" t="str">
        <f>T("1944830001497710301")</f>
        <v>1944830001497710301</v>
      </c>
      <c r="B1119" s="1" t="str">
        <f>T("249911200701")</f>
        <v>249911200701</v>
      </c>
      <c r="C1119" s="1" t="str">
        <f>T("1941094471114427640")</f>
        <v>1941094471114427640</v>
      </c>
      <c r="AC1119" s="1" t="s">
        <v>344</v>
      </c>
      <c r="AD1119" s="1" t="s">
        <v>524</v>
      </c>
      <c r="AE1119" s="1" t="s">
        <v>504</v>
      </c>
      <c r="AF1119" s="1" t="s">
        <v>144</v>
      </c>
      <c r="AG1119" s="1">
        <v>0</v>
      </c>
      <c r="AO1119" s="2">
        <v>46275</v>
      </c>
      <c r="AP1119" s="1" t="s">
        <v>226</v>
      </c>
      <c r="AS1119" s="1" t="s">
        <v>71</v>
      </c>
      <c r="AU1119" s="1" t="s">
        <v>72</v>
      </c>
      <c r="AV1119" s="1" t="s">
        <v>73</v>
      </c>
      <c r="AX1119" s="1">
        <v>0</v>
      </c>
      <c r="BA1119" s="1">
        <v>9</v>
      </c>
      <c r="BB1119" s="1">
        <v>0</v>
      </c>
      <c r="BC1119" s="1">
        <v>0</v>
      </c>
      <c r="BE1119" s="1">
        <v>27188519</v>
      </c>
    </row>
    <row r="1120" spans="1:57" x14ac:dyDescent="0.25">
      <c r="A1120" s="1" t="str">
        <f>T("1944830001506097716")</f>
        <v>1944830001506097716</v>
      </c>
      <c r="B1120" s="1" t="str">
        <f>T("249928254188")</f>
        <v>249928254188</v>
      </c>
      <c r="C1120" s="1" t="str">
        <f>T("1941094471118620848")</f>
        <v>1941094471118620848</v>
      </c>
      <c r="AA1120" s="1">
        <v>1</v>
      </c>
      <c r="AC1120" s="1" t="s">
        <v>344</v>
      </c>
      <c r="AD1120" s="1" t="s">
        <v>524</v>
      </c>
      <c r="AE1120" s="1" t="s">
        <v>528</v>
      </c>
      <c r="AF1120" s="1" t="s">
        <v>144</v>
      </c>
      <c r="AG1120" s="1" t="s">
        <v>529</v>
      </c>
      <c r="AO1120" s="2">
        <v>46275</v>
      </c>
      <c r="AP1120" s="1" t="s">
        <v>226</v>
      </c>
      <c r="AQ1120" s="2">
        <v>46275</v>
      </c>
      <c r="AR1120" s="1" t="s">
        <v>396</v>
      </c>
      <c r="AS1120" s="1" t="s">
        <v>71</v>
      </c>
      <c r="AU1120" s="1" t="s">
        <v>79</v>
      </c>
      <c r="AV1120" s="1" t="s">
        <v>80</v>
      </c>
      <c r="AW1120" s="1">
        <v>110.64</v>
      </c>
      <c r="AX1120" s="1">
        <v>0</v>
      </c>
      <c r="AZ1120" s="1" t="s">
        <v>81</v>
      </c>
      <c r="BA1120" s="1">
        <v>1</v>
      </c>
      <c r="BB1120" s="1">
        <v>0</v>
      </c>
      <c r="BC1120" s="1">
        <v>0</v>
      </c>
      <c r="BE1120" s="1">
        <v>27188519</v>
      </c>
    </row>
    <row r="1121" spans="1:57" x14ac:dyDescent="0.25">
      <c r="A1121" s="1" t="str">
        <f>T("1944830001598370392")</f>
        <v>1944830001598370392</v>
      </c>
      <c r="B1121" s="1" t="str">
        <f>T("249968384340")</f>
        <v>249968384340</v>
      </c>
      <c r="C1121" s="1" t="str">
        <f>T("1941094471118621248")</f>
        <v>1941094471118621248</v>
      </c>
      <c r="AC1121" s="1" t="s">
        <v>344</v>
      </c>
      <c r="AD1121" s="1" t="s">
        <v>345</v>
      </c>
      <c r="AE1121" s="1" t="s">
        <v>522</v>
      </c>
      <c r="AF1121" s="1" t="s">
        <v>144</v>
      </c>
      <c r="AG1121" s="1">
        <v>45</v>
      </c>
      <c r="AO1121" s="2">
        <v>46275</v>
      </c>
      <c r="AP1121" s="1" t="s">
        <v>226</v>
      </c>
      <c r="AS1121" s="1" t="s">
        <v>71</v>
      </c>
      <c r="AU1121" s="1" t="s">
        <v>72</v>
      </c>
      <c r="AV1121" s="1" t="s">
        <v>437</v>
      </c>
      <c r="AX1121" s="1">
        <v>0</v>
      </c>
      <c r="BA1121" s="1">
        <v>9</v>
      </c>
      <c r="BB1121" s="1">
        <v>0</v>
      </c>
      <c r="BC1121" s="1">
        <v>0</v>
      </c>
      <c r="BE1121" s="1">
        <v>27188519</v>
      </c>
    </row>
    <row r="1122" spans="1:57" x14ac:dyDescent="0.25">
      <c r="A1122" s="1" t="str">
        <f>T("1944830001610953216")</f>
        <v>1944830001610953216</v>
      </c>
      <c r="B1122" s="1" t="str">
        <f>T("249969453406")</f>
        <v>249969453406</v>
      </c>
      <c r="C1122" s="1" t="str">
        <f>T("1941094471118622248")</f>
        <v>1941094471118622248</v>
      </c>
      <c r="AC1122" s="1" t="s">
        <v>344</v>
      </c>
      <c r="AD1122" s="1" t="s">
        <v>524</v>
      </c>
      <c r="AE1122" s="1" t="s">
        <v>527</v>
      </c>
      <c r="AF1122" s="1" t="s">
        <v>144</v>
      </c>
      <c r="AG1122" s="1">
        <v>0</v>
      </c>
      <c r="AO1122" s="2">
        <v>46275</v>
      </c>
      <c r="AP1122" s="1" t="s">
        <v>226</v>
      </c>
      <c r="AS1122" s="1" t="s">
        <v>71</v>
      </c>
      <c r="AU1122" s="1" t="s">
        <v>72</v>
      </c>
      <c r="AV1122" s="1" t="s">
        <v>126</v>
      </c>
      <c r="AX1122" s="1">
        <v>0</v>
      </c>
      <c r="BA1122" s="1">
        <v>9</v>
      </c>
      <c r="BB1122" s="1">
        <v>0</v>
      </c>
      <c r="BC1122" s="1">
        <v>0</v>
      </c>
      <c r="BE1122" s="1">
        <v>27188519</v>
      </c>
    </row>
    <row r="1123" spans="1:57" x14ac:dyDescent="0.25">
      <c r="A1123" s="1" t="str">
        <f>T("1944830001610953616")</f>
        <v>1944830001610953616</v>
      </c>
      <c r="B1123" s="1" t="str">
        <f>T("249903965628")</f>
        <v>249903965628</v>
      </c>
      <c r="C1123" s="1" t="str">
        <f>T("1941094471118621648")</f>
        <v>1941094471118621648</v>
      </c>
      <c r="AC1123" s="1" t="s">
        <v>344</v>
      </c>
      <c r="AD1123" s="1" t="s">
        <v>524</v>
      </c>
      <c r="AE1123" s="1" t="s">
        <v>534</v>
      </c>
      <c r="AF1123" s="1" t="s">
        <v>144</v>
      </c>
      <c r="AG1123" s="1" t="s">
        <v>529</v>
      </c>
      <c r="AO1123" s="2">
        <v>46275</v>
      </c>
      <c r="AP1123" s="1" t="s">
        <v>226</v>
      </c>
      <c r="AS1123" s="1" t="s">
        <v>71</v>
      </c>
      <c r="AU1123" s="1" t="s">
        <v>72</v>
      </c>
      <c r="AV1123" s="1" t="s">
        <v>73</v>
      </c>
      <c r="AX1123" s="1">
        <v>0</v>
      </c>
      <c r="BA1123" s="1">
        <v>9</v>
      </c>
      <c r="BB1123" s="1">
        <v>0</v>
      </c>
      <c r="BC1123" s="1">
        <v>0</v>
      </c>
      <c r="BE1123" s="1">
        <v>27188519</v>
      </c>
    </row>
    <row r="1124" spans="1:57" x14ac:dyDescent="0.25">
      <c r="A1124" s="1" t="str">
        <f>T("1944830001657093404")</f>
        <v>1944830001657093404</v>
      </c>
      <c r="B1124" s="1" t="str">
        <f>T("249911434989")</f>
        <v>249911434989</v>
      </c>
      <c r="C1124" s="1" t="str">
        <f>T("1941094471122813056")</f>
        <v>1941094471122813056</v>
      </c>
      <c r="AC1124" s="1" t="s">
        <v>276</v>
      </c>
      <c r="AD1124" s="1" t="s">
        <v>277</v>
      </c>
      <c r="AE1124" s="1" t="s">
        <v>530</v>
      </c>
      <c r="AF1124" s="1" t="s">
        <v>144</v>
      </c>
      <c r="AG1124" s="1">
        <v>34</v>
      </c>
      <c r="AO1124" s="2">
        <v>46275</v>
      </c>
      <c r="AP1124" s="1" t="s">
        <v>226</v>
      </c>
      <c r="AS1124" s="1" t="s">
        <v>71</v>
      </c>
      <c r="AU1124" s="1" t="s">
        <v>72</v>
      </c>
      <c r="AV1124" s="1" t="s">
        <v>437</v>
      </c>
      <c r="AX1124" s="1">
        <v>0</v>
      </c>
      <c r="BA1124" s="1">
        <v>9</v>
      </c>
      <c r="BB1124" s="1">
        <v>0</v>
      </c>
      <c r="BC1124" s="1">
        <v>0</v>
      </c>
      <c r="BE1124" s="1">
        <v>27188519</v>
      </c>
    </row>
    <row r="1125" spans="1:57" x14ac:dyDescent="0.25">
      <c r="A1125" s="1" t="str">
        <f>T("1944830001715811516")</f>
        <v>1944830001715811516</v>
      </c>
      <c r="B1125" s="1" t="str">
        <f>T("249902776523")</f>
        <v>249902776523</v>
      </c>
      <c r="C1125" s="1" t="str">
        <f>T("1941094471122813556")</f>
        <v>1941094471122813556</v>
      </c>
      <c r="AC1125" s="1" t="s">
        <v>276</v>
      </c>
      <c r="AD1125" s="1" t="s">
        <v>277</v>
      </c>
      <c r="AE1125" s="1" t="s">
        <v>530</v>
      </c>
      <c r="AF1125" s="1" t="s">
        <v>144</v>
      </c>
      <c r="AG1125" s="1">
        <v>37</v>
      </c>
      <c r="AO1125" s="2">
        <v>46275</v>
      </c>
      <c r="AP1125" s="1" t="s">
        <v>226</v>
      </c>
      <c r="AS1125" s="1" t="s">
        <v>71</v>
      </c>
      <c r="AU1125" s="1" t="s">
        <v>72</v>
      </c>
      <c r="AV1125" s="1" t="s">
        <v>73</v>
      </c>
      <c r="AX1125" s="1">
        <v>0</v>
      </c>
      <c r="BA1125" s="1">
        <v>9</v>
      </c>
      <c r="BB1125" s="1">
        <v>0</v>
      </c>
      <c r="BC1125" s="1">
        <v>0</v>
      </c>
      <c r="BE1125" s="1">
        <v>27188519</v>
      </c>
    </row>
    <row r="1126" spans="1:57" x14ac:dyDescent="0.25">
      <c r="A1126" s="1" t="str">
        <f>T("1944830001728393340")</f>
        <v>1944830001728393340</v>
      </c>
      <c r="B1126" s="1" t="str">
        <f>T("249910050709")</f>
        <v>249910050709</v>
      </c>
      <c r="C1126" s="1" t="str">
        <f>T("1941094471122816156")</f>
        <v>1941094471122816156</v>
      </c>
      <c r="AC1126" s="1" t="s">
        <v>276</v>
      </c>
      <c r="AD1126" s="1" t="s">
        <v>517</v>
      </c>
      <c r="AE1126" s="1" t="s">
        <v>540</v>
      </c>
      <c r="AF1126" s="1" t="s">
        <v>144</v>
      </c>
      <c r="AG1126" s="1">
        <v>28</v>
      </c>
      <c r="AO1126" s="2">
        <v>46275</v>
      </c>
      <c r="AP1126" s="1" t="s">
        <v>226</v>
      </c>
      <c r="AS1126" s="1" t="s">
        <v>71</v>
      </c>
      <c r="AU1126" s="1" t="s">
        <v>72</v>
      </c>
      <c r="AV1126" s="1" t="s">
        <v>437</v>
      </c>
      <c r="AX1126" s="1">
        <v>0</v>
      </c>
      <c r="BA1126" s="1">
        <v>9</v>
      </c>
      <c r="BB1126" s="1">
        <v>0</v>
      </c>
      <c r="BC1126" s="1">
        <v>0</v>
      </c>
      <c r="BE1126" s="1">
        <v>27188519</v>
      </c>
    </row>
    <row r="1127" spans="1:57" x14ac:dyDescent="0.25">
      <c r="A1127" s="1" t="str">
        <f>T("1944830001757755696")</f>
        <v>1944830001757755696</v>
      </c>
      <c r="B1127" s="1" t="str">
        <f>T("249115992592")</f>
        <v>249115992592</v>
      </c>
      <c r="C1127" s="1" t="str">
        <f>T("1941094471122816756")</f>
        <v>1941094471122816756</v>
      </c>
      <c r="AC1127" s="1" t="s">
        <v>344</v>
      </c>
      <c r="AD1127" s="1" t="s">
        <v>345</v>
      </c>
      <c r="AE1127" s="1" t="s">
        <v>522</v>
      </c>
      <c r="AF1127" s="1" t="s">
        <v>144</v>
      </c>
      <c r="AG1127" s="1">
        <v>30</v>
      </c>
      <c r="AO1127" s="2">
        <v>46275</v>
      </c>
      <c r="AP1127" s="1" t="s">
        <v>226</v>
      </c>
      <c r="AQ1127" s="2">
        <v>46275</v>
      </c>
      <c r="AR1127" s="1" t="s">
        <v>394</v>
      </c>
      <c r="AS1127" s="1" t="s">
        <v>71</v>
      </c>
      <c r="AU1127" s="1" t="s">
        <v>79</v>
      </c>
      <c r="AV1127" s="1" t="s">
        <v>80</v>
      </c>
      <c r="AW1127" s="1">
        <v>36.74</v>
      </c>
      <c r="AX1127" s="1">
        <v>0</v>
      </c>
      <c r="AZ1127" s="1" t="s">
        <v>81</v>
      </c>
      <c r="BA1127" s="1">
        <v>1</v>
      </c>
      <c r="BB1127" s="1">
        <v>0</v>
      </c>
      <c r="BC1127" s="1">
        <v>0</v>
      </c>
      <c r="BE1127" s="1">
        <v>27188519</v>
      </c>
    </row>
    <row r="1128" spans="1:57" x14ac:dyDescent="0.25">
      <c r="A1128" s="1" t="str">
        <f>T("1944830001799698376")</f>
        <v>1944830001799698376</v>
      </c>
      <c r="B1128" s="1" t="str">
        <f>T("249910067270")</f>
        <v>249910067270</v>
      </c>
      <c r="C1128" s="1" t="str">
        <f>T("1941094471127010164")</f>
        <v>1941094471127010164</v>
      </c>
      <c r="AC1128" s="1" t="s">
        <v>276</v>
      </c>
      <c r="AD1128" s="1" t="s">
        <v>277</v>
      </c>
      <c r="AE1128" s="1" t="s">
        <v>530</v>
      </c>
      <c r="AF1128" s="1" t="s">
        <v>144</v>
      </c>
      <c r="AG1128" s="1">
        <v>34</v>
      </c>
      <c r="AO1128" s="2">
        <v>46275</v>
      </c>
      <c r="AP1128" s="1" t="s">
        <v>226</v>
      </c>
      <c r="AS1128" s="1" t="s">
        <v>71</v>
      </c>
      <c r="AU1128" s="1" t="s">
        <v>72</v>
      </c>
      <c r="AV1128" s="1" t="s">
        <v>126</v>
      </c>
      <c r="AX1128" s="1">
        <v>0</v>
      </c>
      <c r="BA1128" s="1">
        <v>9</v>
      </c>
      <c r="BB1128" s="1">
        <v>0</v>
      </c>
      <c r="BC1128" s="1">
        <v>0</v>
      </c>
      <c r="BE1128" s="1">
        <v>27188519</v>
      </c>
    </row>
    <row r="1129" spans="1:57" x14ac:dyDescent="0.25">
      <c r="A1129" s="1" t="str">
        <f>T("1944830001824864024")</f>
        <v>1944830001824864024</v>
      </c>
      <c r="B1129" s="1" t="str">
        <f>T("249126266678")</f>
        <v>249126266678</v>
      </c>
      <c r="C1129" s="1" t="str">
        <f>T("1941094471135398780")</f>
        <v>1941094471135398780</v>
      </c>
      <c r="M1129" s="1" t="s">
        <v>59</v>
      </c>
      <c r="AA1129" s="1">
        <v>1</v>
      </c>
      <c r="AC1129" s="1" t="s">
        <v>276</v>
      </c>
      <c r="AD1129" s="1" t="s">
        <v>298</v>
      </c>
      <c r="AE1129" s="1" t="s">
        <v>526</v>
      </c>
      <c r="AF1129" s="1" t="s">
        <v>144</v>
      </c>
      <c r="AG1129" s="1">
        <v>50</v>
      </c>
      <c r="AO1129" s="2">
        <v>46275</v>
      </c>
      <c r="AP1129" s="1" t="s">
        <v>226</v>
      </c>
      <c r="AQ1129" s="2">
        <v>46275</v>
      </c>
      <c r="AR1129" s="1" t="s">
        <v>550</v>
      </c>
      <c r="AS1129" s="1" t="s">
        <v>71</v>
      </c>
      <c r="AU1129" s="1" t="s">
        <v>78</v>
      </c>
      <c r="AV1129" s="1" t="s">
        <v>80</v>
      </c>
      <c r="AW1129" s="1">
        <v>183.28</v>
      </c>
      <c r="AX1129" s="1">
        <v>0</v>
      </c>
      <c r="AZ1129" s="1" t="s">
        <v>81</v>
      </c>
      <c r="BA1129" s="1">
        <v>1</v>
      </c>
      <c r="BB1129" s="1">
        <v>0</v>
      </c>
      <c r="BC1129" s="1">
        <v>0</v>
      </c>
      <c r="BE1129" s="1">
        <v>27188519</v>
      </c>
    </row>
    <row r="1130" spans="1:57" x14ac:dyDescent="0.25">
      <c r="A1130" s="1" t="str">
        <f>T("1944830001829057132")</f>
        <v>1944830001829057132</v>
      </c>
      <c r="B1130" s="1" t="str">
        <f>T("249126213173")</f>
        <v>249126213173</v>
      </c>
      <c r="C1130" s="1" t="str">
        <f>T("1941094471131205372")</f>
        <v>1941094471131205372</v>
      </c>
      <c r="AC1130" s="1" t="s">
        <v>344</v>
      </c>
      <c r="AD1130" s="1" t="s">
        <v>524</v>
      </c>
      <c r="AE1130" s="1" t="s">
        <v>527</v>
      </c>
      <c r="AF1130" s="1" t="s">
        <v>144</v>
      </c>
      <c r="AG1130" s="1">
        <v>0</v>
      </c>
      <c r="AO1130" s="2">
        <v>46275</v>
      </c>
      <c r="AP1130" s="1" t="s">
        <v>226</v>
      </c>
      <c r="AS1130" s="1" t="s">
        <v>71</v>
      </c>
      <c r="AU1130" s="1" t="s">
        <v>72</v>
      </c>
      <c r="AV1130" s="1" t="s">
        <v>73</v>
      </c>
      <c r="AX1130" s="1">
        <v>0</v>
      </c>
      <c r="BA1130" s="1">
        <v>9</v>
      </c>
      <c r="BB1130" s="1">
        <v>0</v>
      </c>
      <c r="BC1130" s="1">
        <v>0</v>
      </c>
      <c r="BE1130" s="1">
        <v>27188519</v>
      </c>
    </row>
    <row r="1131" spans="1:57" x14ac:dyDescent="0.25">
      <c r="A1131" s="1" t="str">
        <f>T("1944830001854225380")</f>
        <v>1944830001854225380</v>
      </c>
      <c r="B1131" s="1" t="str">
        <f>T("249967215097")</f>
        <v>249967215097</v>
      </c>
      <c r="C1131" s="1" t="str">
        <f>T("1941094471135399380")</f>
        <v>1941094471135399380</v>
      </c>
      <c r="AC1131" s="1" t="s">
        <v>344</v>
      </c>
      <c r="AD1131" s="1" t="s">
        <v>345</v>
      </c>
      <c r="AE1131" s="1" t="s">
        <v>522</v>
      </c>
      <c r="AF1131" s="1" t="s">
        <v>144</v>
      </c>
      <c r="AG1131" s="1">
        <v>43</v>
      </c>
      <c r="AO1131" s="2">
        <v>46275</v>
      </c>
      <c r="AP1131" s="1" t="s">
        <v>226</v>
      </c>
      <c r="AS1131" s="1" t="s">
        <v>71</v>
      </c>
      <c r="AU1131" s="1" t="s">
        <v>72</v>
      </c>
      <c r="AV1131" s="1" t="s">
        <v>126</v>
      </c>
      <c r="AX1131" s="1">
        <v>0</v>
      </c>
      <c r="BA1131" s="1">
        <v>9</v>
      </c>
      <c r="BB1131" s="1">
        <v>0</v>
      </c>
      <c r="BC1131" s="1">
        <v>0</v>
      </c>
      <c r="BE1131" s="1">
        <v>27188519</v>
      </c>
    </row>
    <row r="1132" spans="1:57" x14ac:dyDescent="0.25">
      <c r="A1132" s="1" t="str">
        <f>T("1944830002001025160")</f>
        <v>1944830002001025160</v>
      </c>
      <c r="B1132" s="1" t="str">
        <f>T("249915609969")</f>
        <v>249915609969</v>
      </c>
      <c r="C1132" s="1" t="str">
        <f>T("1941094471135399780")</f>
        <v>1941094471135399780</v>
      </c>
      <c r="AC1132" s="1" t="s">
        <v>344</v>
      </c>
      <c r="AD1132" s="1" t="s">
        <v>524</v>
      </c>
      <c r="AE1132" s="1" t="s">
        <v>504</v>
      </c>
      <c r="AF1132" s="1" t="s">
        <v>144</v>
      </c>
      <c r="AG1132" s="1">
        <v>0</v>
      </c>
      <c r="AO1132" s="2">
        <v>46275</v>
      </c>
      <c r="AP1132" s="1" t="s">
        <v>226</v>
      </c>
      <c r="AS1132" s="1" t="s">
        <v>71</v>
      </c>
      <c r="AU1132" s="1" t="s">
        <v>72</v>
      </c>
      <c r="AV1132" s="1" t="s">
        <v>437</v>
      </c>
      <c r="AX1132" s="1">
        <v>0</v>
      </c>
      <c r="BA1132" s="1">
        <v>9</v>
      </c>
      <c r="BB1132" s="1">
        <v>0</v>
      </c>
      <c r="BC1132" s="1">
        <v>0</v>
      </c>
      <c r="BE1132" s="1">
        <v>27188519</v>
      </c>
    </row>
    <row r="1133" spans="1:57" x14ac:dyDescent="0.25">
      <c r="A1133" s="1" t="str">
        <f>T("1944830002005218868")</f>
        <v>1944830002005218868</v>
      </c>
      <c r="B1133" s="1" t="str">
        <f>T("249966361723")</f>
        <v>249966361723</v>
      </c>
      <c r="C1133" s="1" t="str">
        <f>T("1941094471139590488")</f>
        <v>1941094471139590488</v>
      </c>
      <c r="AC1133" s="1" t="s">
        <v>344</v>
      </c>
      <c r="AD1133" s="1" t="s">
        <v>524</v>
      </c>
      <c r="AE1133" s="1" t="s">
        <v>527</v>
      </c>
      <c r="AF1133" s="1" t="s">
        <v>144</v>
      </c>
      <c r="AG1133" s="1">
        <v>0</v>
      </c>
      <c r="AO1133" s="2">
        <v>46275</v>
      </c>
      <c r="AP1133" s="1" t="s">
        <v>226</v>
      </c>
      <c r="AS1133" s="1" t="s">
        <v>71</v>
      </c>
      <c r="AU1133" s="1" t="s">
        <v>72</v>
      </c>
      <c r="AV1133" s="1" t="s">
        <v>126</v>
      </c>
      <c r="AX1133" s="1">
        <v>0</v>
      </c>
      <c r="BA1133" s="1">
        <v>9</v>
      </c>
      <c r="BB1133" s="1">
        <v>0</v>
      </c>
      <c r="BC1133" s="1">
        <v>0</v>
      </c>
      <c r="BE1133" s="1">
        <v>27188519</v>
      </c>
    </row>
    <row r="1134" spans="1:57" x14ac:dyDescent="0.25">
      <c r="A1134" s="1" t="str">
        <f>T("1944830002042968440")</f>
        <v>1944830002042968440</v>
      </c>
      <c r="B1134" s="1" t="str">
        <f>T("249911420343")</f>
        <v>249911420343</v>
      </c>
      <c r="C1134" s="1" t="str">
        <f>T("1941094471139592588")</f>
        <v>1941094471139592588</v>
      </c>
      <c r="AC1134" s="1" t="s">
        <v>344</v>
      </c>
      <c r="AD1134" s="1" t="s">
        <v>430</v>
      </c>
      <c r="AE1134" s="1" t="s">
        <v>532</v>
      </c>
      <c r="AF1134" s="1" t="s">
        <v>144</v>
      </c>
      <c r="AG1134" s="1">
        <v>0</v>
      </c>
      <c r="AO1134" s="2">
        <v>46275</v>
      </c>
      <c r="AP1134" s="1" t="s">
        <v>226</v>
      </c>
      <c r="AS1134" s="1" t="s">
        <v>71</v>
      </c>
      <c r="AU1134" s="1" t="s">
        <v>72</v>
      </c>
      <c r="AV1134" s="1" t="s">
        <v>73</v>
      </c>
      <c r="AX1134" s="1">
        <v>0</v>
      </c>
      <c r="BA1134" s="1">
        <v>9</v>
      </c>
      <c r="BB1134" s="1">
        <v>0</v>
      </c>
      <c r="BC1134" s="1">
        <v>0</v>
      </c>
      <c r="BE1134" s="1">
        <v>27188519</v>
      </c>
    </row>
    <row r="1135" spans="1:57" x14ac:dyDescent="0.25">
      <c r="A1135" s="1" t="str">
        <f>T("1944830002076522104")</f>
        <v>1944830002076522104</v>
      </c>
      <c r="B1135" s="1" t="str">
        <f>T("249914009557")</f>
        <v>249914009557</v>
      </c>
      <c r="C1135" s="1" t="str">
        <f>T("1941094471139593188")</f>
        <v>1941094471139593188</v>
      </c>
      <c r="AC1135" s="1" t="s">
        <v>276</v>
      </c>
      <c r="AD1135" s="1" t="s">
        <v>517</v>
      </c>
      <c r="AE1135" s="1" t="s">
        <v>530</v>
      </c>
      <c r="AF1135" s="1" t="s">
        <v>144</v>
      </c>
      <c r="AG1135" s="1">
        <v>25</v>
      </c>
      <c r="AO1135" s="2">
        <v>46275</v>
      </c>
      <c r="AP1135" s="1" t="s">
        <v>226</v>
      </c>
      <c r="AS1135" s="1" t="s">
        <v>71</v>
      </c>
      <c r="AU1135" s="1" t="s">
        <v>72</v>
      </c>
      <c r="AV1135" s="1" t="s">
        <v>126</v>
      </c>
      <c r="AX1135" s="1">
        <v>0</v>
      </c>
      <c r="BA1135" s="1">
        <v>9</v>
      </c>
      <c r="BB1135" s="1">
        <v>0</v>
      </c>
      <c r="BC1135" s="1">
        <v>0</v>
      </c>
      <c r="BE1135" s="1">
        <v>27188519</v>
      </c>
    </row>
    <row r="1136" spans="1:57" x14ac:dyDescent="0.25">
      <c r="A1136" s="1" t="str">
        <f>T("1944830002114271076")</f>
        <v>1944830002114271076</v>
      </c>
      <c r="B1136" s="1" t="str">
        <f>T("249910667469")</f>
        <v>249910667469</v>
      </c>
      <c r="C1136" s="1" t="str">
        <f>T("1941094471139593788")</f>
        <v>1941094471139593788</v>
      </c>
      <c r="AC1136" s="1" t="s">
        <v>276</v>
      </c>
      <c r="AD1136" s="1" t="s">
        <v>277</v>
      </c>
      <c r="AE1136" s="1" t="s">
        <v>530</v>
      </c>
      <c r="AF1136" s="1" t="s">
        <v>107</v>
      </c>
      <c r="AG1136" s="1">
        <v>36</v>
      </c>
      <c r="AO1136" s="2">
        <v>46275</v>
      </c>
      <c r="AP1136" s="1" t="s">
        <v>226</v>
      </c>
      <c r="AS1136" s="1" t="s">
        <v>71</v>
      </c>
      <c r="AU1136" s="1" t="s">
        <v>72</v>
      </c>
      <c r="AV1136" s="1" t="s">
        <v>437</v>
      </c>
      <c r="AX1136" s="1">
        <v>0</v>
      </c>
      <c r="BA1136" s="1">
        <v>9</v>
      </c>
      <c r="BB1136" s="1">
        <v>0</v>
      </c>
      <c r="BC1136" s="1">
        <v>0</v>
      </c>
      <c r="BE1136" s="1">
        <v>27188519</v>
      </c>
    </row>
    <row r="1137" spans="1:57" x14ac:dyDescent="0.25">
      <c r="A1137" s="1" t="str">
        <f>T("1944830002143632632")</f>
        <v>1944830002143632632</v>
      </c>
      <c r="B1137" s="1" t="str">
        <f>T("249917918678")</f>
        <v>249917918678</v>
      </c>
      <c r="C1137" s="1" t="str">
        <f>T("1941094471143784496")</f>
        <v>1941094471143784496</v>
      </c>
      <c r="AC1137" s="1" t="s">
        <v>344</v>
      </c>
      <c r="AD1137" s="1" t="s">
        <v>524</v>
      </c>
      <c r="AE1137" s="1" t="s">
        <v>504</v>
      </c>
      <c r="AF1137" s="1" t="s">
        <v>144</v>
      </c>
      <c r="AG1137" s="1">
        <v>0</v>
      </c>
      <c r="AO1137" s="2">
        <v>46275</v>
      </c>
      <c r="AP1137" s="1" t="s">
        <v>226</v>
      </c>
      <c r="AS1137" s="1" t="s">
        <v>71</v>
      </c>
      <c r="AU1137" s="1" t="s">
        <v>72</v>
      </c>
      <c r="AV1137" s="1" t="s">
        <v>437</v>
      </c>
      <c r="AX1137" s="1">
        <v>0</v>
      </c>
      <c r="BA1137" s="1">
        <v>9</v>
      </c>
      <c r="BB1137" s="1">
        <v>0</v>
      </c>
      <c r="BC1137" s="1">
        <v>0</v>
      </c>
      <c r="BE1137" s="1">
        <v>27188519</v>
      </c>
    </row>
    <row r="1138" spans="1:57" x14ac:dyDescent="0.25">
      <c r="A1138" s="1" t="str">
        <f>T("1944830002185572712")</f>
        <v>1944830002185572712</v>
      </c>
      <c r="B1138" s="1" t="str">
        <f>T("249914675041")</f>
        <v>249914675041</v>
      </c>
      <c r="C1138" s="1" t="str">
        <f>T("1941094471143785096")</f>
        <v>1941094471143785096</v>
      </c>
      <c r="AC1138" s="1" t="s">
        <v>366</v>
      </c>
      <c r="AD1138" s="1" t="s">
        <v>367</v>
      </c>
      <c r="AE1138" s="1" t="s">
        <v>368</v>
      </c>
      <c r="AF1138" s="1" t="s">
        <v>144</v>
      </c>
      <c r="AG1138" s="1">
        <v>748</v>
      </c>
      <c r="AO1138" s="2">
        <v>46275</v>
      </c>
      <c r="AP1138" s="1" t="s">
        <v>226</v>
      </c>
      <c r="AS1138" s="1" t="s">
        <v>71</v>
      </c>
      <c r="AU1138" s="1" t="s">
        <v>72</v>
      </c>
      <c r="AV1138" s="1" t="s">
        <v>126</v>
      </c>
      <c r="AX1138" s="1">
        <v>0</v>
      </c>
      <c r="BA1138" s="1">
        <v>9</v>
      </c>
      <c r="BB1138" s="1">
        <v>0</v>
      </c>
      <c r="BC1138" s="1">
        <v>0</v>
      </c>
      <c r="BE1138" s="1">
        <v>27188519</v>
      </c>
    </row>
    <row r="1139" spans="1:57" x14ac:dyDescent="0.25">
      <c r="A1139" s="1" t="str">
        <f>T("1944830002202353044")</f>
        <v>1944830002202353044</v>
      </c>
      <c r="B1139" s="1" t="str">
        <f>T("249968621126")</f>
        <v>249968621126</v>
      </c>
      <c r="C1139" s="1" t="str">
        <f>T("1941094471143785496")</f>
        <v>1941094471143785496</v>
      </c>
      <c r="AC1139" s="1" t="s">
        <v>344</v>
      </c>
      <c r="AD1139" s="1" t="s">
        <v>430</v>
      </c>
      <c r="AE1139" s="1" t="s">
        <v>536</v>
      </c>
      <c r="AF1139" s="1" t="s">
        <v>144</v>
      </c>
      <c r="AG1139" s="1">
        <v>0</v>
      </c>
      <c r="AO1139" s="2">
        <v>46275</v>
      </c>
      <c r="AP1139" s="1" t="s">
        <v>226</v>
      </c>
      <c r="AS1139" s="1" t="s">
        <v>71</v>
      </c>
      <c r="AU1139" s="1" t="s">
        <v>72</v>
      </c>
      <c r="AV1139" s="1" t="s">
        <v>437</v>
      </c>
      <c r="AX1139" s="1">
        <v>0</v>
      </c>
      <c r="BA1139" s="1">
        <v>9</v>
      </c>
      <c r="BB1139" s="1">
        <v>0</v>
      </c>
      <c r="BC1139" s="1">
        <v>0</v>
      </c>
      <c r="BE1139" s="1">
        <v>27188519</v>
      </c>
    </row>
    <row r="1140" spans="1:57" x14ac:dyDescent="0.25">
      <c r="A1140" s="1" t="str">
        <f>T("1944830002231709700")</f>
        <v>1944830002231709700</v>
      </c>
      <c r="B1140" s="1" t="str">
        <f>T("249900636193")</f>
        <v>249900636193</v>
      </c>
      <c r="C1140" s="1" t="str">
        <f>T("1941094471143785896")</f>
        <v>1941094471143785896</v>
      </c>
      <c r="AC1140" s="1" t="s">
        <v>344</v>
      </c>
      <c r="AD1140" s="1" t="s">
        <v>524</v>
      </c>
      <c r="AE1140" s="1" t="s">
        <v>527</v>
      </c>
      <c r="AF1140" s="1" t="s">
        <v>144</v>
      </c>
      <c r="AG1140" s="1">
        <v>0</v>
      </c>
      <c r="AO1140" s="2">
        <v>46275</v>
      </c>
      <c r="AP1140" s="1" t="s">
        <v>226</v>
      </c>
      <c r="AS1140" s="1" t="s">
        <v>71</v>
      </c>
      <c r="AU1140" s="1" t="s">
        <v>72</v>
      </c>
      <c r="AV1140" s="1" t="s">
        <v>126</v>
      </c>
      <c r="AX1140" s="1">
        <v>0</v>
      </c>
      <c r="BA1140" s="1">
        <v>9</v>
      </c>
      <c r="BB1140" s="1">
        <v>0</v>
      </c>
      <c r="BC1140" s="1">
        <v>0</v>
      </c>
      <c r="BE1140" s="1">
        <v>27188519</v>
      </c>
    </row>
    <row r="1141" spans="1:57" x14ac:dyDescent="0.25">
      <c r="A1141" s="1" t="str">
        <f>T("1944830002277849788")</f>
        <v>1944830002277849788</v>
      </c>
      <c r="B1141" s="1" t="str">
        <f>T("249903570175")</f>
        <v>249903570175</v>
      </c>
      <c r="C1141" s="1" t="str">
        <f>T("1941094471143786396")</f>
        <v>1941094471143786396</v>
      </c>
      <c r="AC1141" s="1" t="s">
        <v>344</v>
      </c>
      <c r="AD1141" s="1" t="s">
        <v>345</v>
      </c>
      <c r="AE1141" s="1" t="s">
        <v>522</v>
      </c>
      <c r="AF1141" s="1" t="s">
        <v>144</v>
      </c>
      <c r="AG1141" s="1">
        <v>43</v>
      </c>
      <c r="AO1141" s="2">
        <v>46275</v>
      </c>
      <c r="AP1141" s="1" t="s">
        <v>226</v>
      </c>
      <c r="AS1141" s="1" t="s">
        <v>71</v>
      </c>
      <c r="AU1141" s="1" t="s">
        <v>72</v>
      </c>
      <c r="AV1141" s="1" t="s">
        <v>437</v>
      </c>
      <c r="AX1141" s="1">
        <v>0</v>
      </c>
      <c r="BA1141" s="1">
        <v>9</v>
      </c>
      <c r="BB1141" s="1">
        <v>0</v>
      </c>
      <c r="BC1141" s="1">
        <v>0</v>
      </c>
      <c r="BE1141" s="1">
        <v>27188519</v>
      </c>
    </row>
    <row r="1142" spans="1:57" x14ac:dyDescent="0.25">
      <c r="A1142" s="1" t="str">
        <f>T("1944830002294626320")</f>
        <v>1944830002294626320</v>
      </c>
      <c r="B1142" s="1" t="str">
        <f>T("249913280835")</f>
        <v>249913280835</v>
      </c>
      <c r="C1142" s="1" t="str">
        <f>T("1941094471143786796")</f>
        <v>1941094471143786796</v>
      </c>
      <c r="AC1142" s="1" t="s">
        <v>366</v>
      </c>
      <c r="AD1142" s="1" t="s">
        <v>367</v>
      </c>
      <c r="AE1142" s="1" t="s">
        <v>368</v>
      </c>
      <c r="AF1142" s="1" t="s">
        <v>144</v>
      </c>
      <c r="AG1142" s="1">
        <v>46</v>
      </c>
      <c r="AO1142" s="2">
        <v>46275</v>
      </c>
      <c r="AP1142" s="1" t="s">
        <v>226</v>
      </c>
      <c r="AS1142" s="1" t="s">
        <v>71</v>
      </c>
      <c r="AU1142" s="1" t="s">
        <v>72</v>
      </c>
      <c r="AV1142" s="1" t="s">
        <v>73</v>
      </c>
      <c r="AX1142" s="1">
        <v>0</v>
      </c>
      <c r="BA1142" s="1">
        <v>9</v>
      </c>
      <c r="BB1142" s="1">
        <v>0</v>
      </c>
      <c r="BC1142" s="1">
        <v>0</v>
      </c>
      <c r="BE1142" s="1">
        <v>27188519</v>
      </c>
    </row>
    <row r="1143" spans="1:57" x14ac:dyDescent="0.25">
      <c r="A1143" s="1" t="str">
        <f>T("1944830002315599160")</f>
        <v>1944830002315599160</v>
      </c>
      <c r="B1143" s="1" t="str">
        <f>T("249967020996")</f>
        <v>249967020996</v>
      </c>
      <c r="C1143" s="1" t="str">
        <f>T("1941094471156368220")</f>
        <v>1941094471156368220</v>
      </c>
      <c r="AC1143" s="1" t="s">
        <v>344</v>
      </c>
      <c r="AD1143" s="1" t="s">
        <v>430</v>
      </c>
      <c r="AE1143" s="1" t="s">
        <v>531</v>
      </c>
      <c r="AF1143" s="1" t="s">
        <v>144</v>
      </c>
      <c r="AG1143" s="1">
        <v>0</v>
      </c>
      <c r="AO1143" s="2">
        <v>46275</v>
      </c>
      <c r="AP1143" s="1" t="s">
        <v>226</v>
      </c>
      <c r="AS1143" s="1" t="s">
        <v>71</v>
      </c>
      <c r="AU1143" s="1" t="s">
        <v>72</v>
      </c>
      <c r="AV1143" s="1" t="s">
        <v>73</v>
      </c>
      <c r="AX1143" s="1">
        <v>0</v>
      </c>
      <c r="BA1143" s="1">
        <v>9</v>
      </c>
      <c r="BB1143" s="1">
        <v>0</v>
      </c>
      <c r="BC1143" s="1">
        <v>0</v>
      </c>
      <c r="BE1143" s="1">
        <v>27188519</v>
      </c>
    </row>
    <row r="1144" spans="1:57" x14ac:dyDescent="0.25">
      <c r="A1144" s="1" t="str">
        <f>T("1944830002319791368")</f>
        <v>1944830002319791368</v>
      </c>
      <c r="B1144" s="1" t="str">
        <f>T("249900856500")</f>
        <v>249900856500</v>
      </c>
      <c r="C1144" s="1" t="str">
        <f>T("1941094471143787396")</f>
        <v>1941094471143787396</v>
      </c>
      <c r="AC1144" s="1" t="s">
        <v>276</v>
      </c>
      <c r="AD1144" s="1" t="s">
        <v>517</v>
      </c>
      <c r="AE1144" s="1" t="s">
        <v>540</v>
      </c>
      <c r="AF1144" s="1" t="s">
        <v>107</v>
      </c>
      <c r="AG1144" s="1">
        <v>28</v>
      </c>
      <c r="AO1144" s="2">
        <v>46275</v>
      </c>
      <c r="AP1144" s="1" t="s">
        <v>226</v>
      </c>
      <c r="AS1144" s="1" t="s">
        <v>71</v>
      </c>
      <c r="AU1144" s="1" t="s">
        <v>72</v>
      </c>
      <c r="AV1144" s="1" t="s">
        <v>437</v>
      </c>
      <c r="AX1144" s="1">
        <v>0</v>
      </c>
      <c r="BA1144" s="1">
        <v>9</v>
      </c>
      <c r="BB1144" s="1">
        <v>0</v>
      </c>
      <c r="BC1144" s="1">
        <v>0</v>
      </c>
      <c r="BE1144" s="1">
        <v>27188519</v>
      </c>
    </row>
    <row r="1145" spans="1:57" x14ac:dyDescent="0.25">
      <c r="A1145" s="1" t="str">
        <f>T("1944837537147851312")</f>
        <v>1944837537147851312</v>
      </c>
      <c r="B1145" s="1" t="str">
        <f>T("249917472395")</f>
        <v>249917472395</v>
      </c>
      <c r="C1145" s="1" t="str">
        <f>T("1941094502622037236")</f>
        <v>1941094502622037236</v>
      </c>
      <c r="AC1145" s="1" t="s">
        <v>276</v>
      </c>
      <c r="AD1145" s="1" t="s">
        <v>517</v>
      </c>
      <c r="AE1145" s="1" t="s">
        <v>546</v>
      </c>
      <c r="AF1145" s="1" t="s">
        <v>144</v>
      </c>
      <c r="AG1145" s="1">
        <v>26</v>
      </c>
      <c r="AO1145" s="2">
        <v>46275</v>
      </c>
      <c r="AP1145" s="1" t="s">
        <v>551</v>
      </c>
      <c r="AS1145" s="1" t="s">
        <v>71</v>
      </c>
      <c r="AU1145" s="1" t="s">
        <v>72</v>
      </c>
      <c r="AV1145" s="1" t="s">
        <v>437</v>
      </c>
      <c r="AX1145" s="1">
        <v>0</v>
      </c>
      <c r="BA1145" s="1">
        <v>9</v>
      </c>
      <c r="BB1145" s="1">
        <v>0</v>
      </c>
      <c r="BC1145" s="1">
        <v>0</v>
      </c>
      <c r="BE1145" s="1">
        <v>27188523</v>
      </c>
    </row>
    <row r="1146" spans="1:57" x14ac:dyDescent="0.25">
      <c r="A1146" s="1" t="str">
        <f>T("1944837537147853712")</f>
        <v>1944837537147853712</v>
      </c>
      <c r="B1146" s="1" t="str">
        <f>T("249901306237")</f>
        <v>249901306237</v>
      </c>
      <c r="C1146" s="1" t="str">
        <f>T("1941094471168951844")</f>
        <v>1941094471168951844</v>
      </c>
      <c r="AC1146" s="1" t="s">
        <v>366</v>
      </c>
      <c r="AD1146" s="1" t="s">
        <v>367</v>
      </c>
      <c r="AE1146" s="1" t="s">
        <v>368</v>
      </c>
      <c r="AF1146" s="1" t="s">
        <v>144</v>
      </c>
      <c r="AG1146" s="1">
        <v>36</v>
      </c>
      <c r="AO1146" s="2">
        <v>46275</v>
      </c>
      <c r="AP1146" s="1" t="s">
        <v>551</v>
      </c>
      <c r="AS1146" s="1" t="s">
        <v>71</v>
      </c>
      <c r="AU1146" s="1" t="s">
        <v>72</v>
      </c>
      <c r="AV1146" s="1" t="s">
        <v>126</v>
      </c>
      <c r="AX1146" s="1">
        <v>0</v>
      </c>
      <c r="BA1146" s="1">
        <v>9</v>
      </c>
      <c r="BB1146" s="1">
        <v>0</v>
      </c>
      <c r="BC1146" s="1">
        <v>0</v>
      </c>
      <c r="BE1146" s="1">
        <v>27188523</v>
      </c>
    </row>
    <row r="1147" spans="1:57" x14ac:dyDescent="0.25">
      <c r="A1147" s="1" t="str">
        <f>T("1944837537147854012")</f>
        <v>1944837537147854012</v>
      </c>
      <c r="B1147" s="1" t="str">
        <f>T("249909899126")</f>
        <v>249909899126</v>
      </c>
      <c r="C1147" s="1" t="str">
        <f>T("1941094471168950844")</f>
        <v>1941094471168950844</v>
      </c>
      <c r="AC1147" s="1" t="s">
        <v>276</v>
      </c>
      <c r="AD1147" s="1" t="s">
        <v>517</v>
      </c>
      <c r="AE1147" s="1" t="s">
        <v>530</v>
      </c>
      <c r="AF1147" s="1" t="s">
        <v>144</v>
      </c>
      <c r="AG1147" s="1">
        <v>32</v>
      </c>
      <c r="AO1147" s="2">
        <v>46275</v>
      </c>
      <c r="AP1147" s="1" t="s">
        <v>551</v>
      </c>
      <c r="AS1147" s="1" t="s">
        <v>71</v>
      </c>
      <c r="AU1147" s="1" t="s">
        <v>72</v>
      </c>
      <c r="AV1147" s="1" t="s">
        <v>73</v>
      </c>
      <c r="AX1147" s="1">
        <v>0</v>
      </c>
      <c r="BA1147" s="1">
        <v>9</v>
      </c>
      <c r="BB1147" s="1">
        <v>0</v>
      </c>
      <c r="BC1147" s="1">
        <v>0</v>
      </c>
      <c r="BE1147" s="1">
        <v>27188523</v>
      </c>
    </row>
    <row r="1148" spans="1:57" x14ac:dyDescent="0.25">
      <c r="A1148" s="1" t="str">
        <f>T("1944837537152046220")</f>
        <v>1944837537152046220</v>
      </c>
      <c r="B1148" s="1" t="str">
        <f>T("249969910720")</f>
        <v>249969910720</v>
      </c>
      <c r="C1148" s="1" t="str">
        <f>T("1941094502622036136")</f>
        <v>1941094502622036136</v>
      </c>
      <c r="AC1148" s="1" t="s">
        <v>276</v>
      </c>
      <c r="AD1148" s="1" t="s">
        <v>517</v>
      </c>
      <c r="AE1148" s="1" t="s">
        <v>546</v>
      </c>
      <c r="AF1148" s="1" t="s">
        <v>144</v>
      </c>
      <c r="AG1148" s="1">
        <v>21</v>
      </c>
      <c r="AO1148" s="2">
        <v>46275</v>
      </c>
      <c r="AP1148" s="1" t="s">
        <v>551</v>
      </c>
      <c r="AS1148" s="1" t="s">
        <v>71</v>
      </c>
      <c r="AU1148" s="1" t="s">
        <v>72</v>
      </c>
      <c r="AV1148" s="1" t="s">
        <v>437</v>
      </c>
      <c r="AX1148" s="1">
        <v>0</v>
      </c>
      <c r="BA1148" s="1">
        <v>9</v>
      </c>
      <c r="BB1148" s="1">
        <v>0</v>
      </c>
      <c r="BC1148" s="1">
        <v>0</v>
      </c>
      <c r="BE1148" s="1">
        <v>27188523</v>
      </c>
    </row>
    <row r="1149" spans="1:57" x14ac:dyDescent="0.25">
      <c r="A1149" s="1" t="str">
        <f>T("1944837537256903420")</f>
        <v>1944837537256903420</v>
      </c>
      <c r="B1149" s="1" t="str">
        <f>T("249910067256")</f>
        <v>249910067256</v>
      </c>
      <c r="C1149" s="1" t="str">
        <f>T("1941094502622037736")</f>
        <v>1941094502622037736</v>
      </c>
      <c r="AC1149" s="1" t="s">
        <v>276</v>
      </c>
      <c r="AD1149" s="1" t="s">
        <v>517</v>
      </c>
      <c r="AE1149" s="1" t="s">
        <v>546</v>
      </c>
      <c r="AF1149" s="1" t="s">
        <v>144</v>
      </c>
      <c r="AG1149" s="1">
        <v>35</v>
      </c>
      <c r="AO1149" s="2">
        <v>46275</v>
      </c>
      <c r="AP1149" s="1" t="s">
        <v>551</v>
      </c>
      <c r="AS1149" s="1" t="s">
        <v>71</v>
      </c>
      <c r="AU1149" s="1" t="s">
        <v>72</v>
      </c>
      <c r="AV1149" s="1" t="s">
        <v>126</v>
      </c>
      <c r="AX1149" s="1">
        <v>0</v>
      </c>
      <c r="BA1149" s="1">
        <v>9</v>
      </c>
      <c r="BB1149" s="1">
        <v>0</v>
      </c>
      <c r="BC1149" s="1">
        <v>0</v>
      </c>
      <c r="BE1149" s="1">
        <v>27188523</v>
      </c>
    </row>
    <row r="1150" spans="1:57" x14ac:dyDescent="0.25">
      <c r="A1150" s="1" t="str">
        <f>T("1944837537324013748")</f>
        <v>1944837537324013748</v>
      </c>
      <c r="B1150" s="1" t="str">
        <f>T("249966481985")</f>
        <v>249966481985</v>
      </c>
      <c r="C1150" s="1" t="str">
        <f>T("1941094502622038236")</f>
        <v>1941094502622038236</v>
      </c>
      <c r="AC1150" s="1" t="s">
        <v>276</v>
      </c>
      <c r="AD1150" s="1" t="s">
        <v>517</v>
      </c>
      <c r="AE1150" s="1" t="s">
        <v>546</v>
      </c>
      <c r="AF1150" s="1" t="s">
        <v>144</v>
      </c>
      <c r="AG1150" s="1">
        <v>25</v>
      </c>
      <c r="AO1150" s="2">
        <v>46275</v>
      </c>
      <c r="AP1150" s="1" t="s">
        <v>551</v>
      </c>
      <c r="AS1150" s="1" t="s">
        <v>71</v>
      </c>
      <c r="AU1150" s="1" t="s">
        <v>72</v>
      </c>
      <c r="AV1150" s="1" t="s">
        <v>73</v>
      </c>
      <c r="AX1150" s="1">
        <v>0</v>
      </c>
      <c r="BA1150" s="1">
        <v>9</v>
      </c>
      <c r="BB1150" s="1">
        <v>0</v>
      </c>
      <c r="BC1150" s="1">
        <v>0</v>
      </c>
      <c r="BE1150" s="1">
        <v>27188523</v>
      </c>
    </row>
    <row r="1151" spans="1:57" x14ac:dyDescent="0.25">
      <c r="A1151" s="1" t="str">
        <f>T("1944837537353373804")</f>
        <v>1944837537353373804</v>
      </c>
      <c r="B1151" s="1" t="str">
        <f>T("249919293276")</f>
        <v>249919293276</v>
      </c>
      <c r="C1151" s="1" t="str">
        <f>T("1941094502622038736")</f>
        <v>1941094502622038736</v>
      </c>
      <c r="AC1151" s="1" t="s">
        <v>276</v>
      </c>
      <c r="AD1151" s="1" t="s">
        <v>517</v>
      </c>
      <c r="AE1151" s="1" t="s">
        <v>546</v>
      </c>
      <c r="AF1151" s="1" t="s">
        <v>144</v>
      </c>
      <c r="AG1151" s="1">
        <v>35</v>
      </c>
      <c r="AO1151" s="2">
        <v>46275</v>
      </c>
      <c r="AP1151" s="1" t="s">
        <v>551</v>
      </c>
      <c r="AS1151" s="1" t="s">
        <v>71</v>
      </c>
      <c r="AU1151" s="1" t="s">
        <v>72</v>
      </c>
      <c r="AV1151" s="1" t="s">
        <v>73</v>
      </c>
      <c r="AX1151" s="1">
        <v>0</v>
      </c>
      <c r="BA1151" s="1">
        <v>9</v>
      </c>
      <c r="BB1151" s="1">
        <v>0</v>
      </c>
      <c r="BC1151" s="1">
        <v>0</v>
      </c>
      <c r="BE1151" s="1">
        <v>27188523</v>
      </c>
    </row>
    <row r="1152" spans="1:57" x14ac:dyDescent="0.25">
      <c r="A1152" s="1" t="str">
        <f>T("1944837537361763520")</f>
        <v>1944837537361763520</v>
      </c>
      <c r="B1152" s="1" t="str">
        <f>T("249911727496")</f>
        <v>249911727496</v>
      </c>
      <c r="C1152" s="1" t="str">
        <f>T("1941094502630424752")</f>
        <v>1941094502630424752</v>
      </c>
      <c r="AC1152" s="1" t="s">
        <v>276</v>
      </c>
      <c r="AD1152" s="1" t="s">
        <v>517</v>
      </c>
      <c r="AE1152" s="1" t="s">
        <v>546</v>
      </c>
      <c r="AF1152" s="1" t="s">
        <v>144</v>
      </c>
      <c r="AG1152" s="1">
        <v>35</v>
      </c>
      <c r="AO1152" s="2">
        <v>46275</v>
      </c>
      <c r="AP1152" s="1" t="s">
        <v>551</v>
      </c>
      <c r="AS1152" s="1" t="s">
        <v>71</v>
      </c>
      <c r="AU1152" s="1" t="s">
        <v>72</v>
      </c>
      <c r="AV1152" s="1" t="s">
        <v>437</v>
      </c>
      <c r="AX1152" s="1">
        <v>0</v>
      </c>
      <c r="BA1152" s="1">
        <v>9</v>
      </c>
      <c r="BB1152" s="1">
        <v>0</v>
      </c>
      <c r="BC1152" s="1">
        <v>0</v>
      </c>
      <c r="BE1152" s="1">
        <v>27188523</v>
      </c>
    </row>
    <row r="1153" spans="1:57" x14ac:dyDescent="0.25">
      <c r="A1153" s="1" t="str">
        <f>T("1944837537441454072")</f>
        <v>1944837537441454072</v>
      </c>
      <c r="B1153" s="1" t="str">
        <f>T("249916769626")</f>
        <v>249916769626</v>
      </c>
      <c r="C1153" s="1" t="str">
        <f>T("1941094502630425652")</f>
        <v>1941094502630425652</v>
      </c>
      <c r="AC1153" s="1" t="s">
        <v>276</v>
      </c>
      <c r="AD1153" s="1" t="s">
        <v>517</v>
      </c>
      <c r="AE1153" s="1" t="s">
        <v>546</v>
      </c>
      <c r="AF1153" s="1" t="s">
        <v>144</v>
      </c>
      <c r="AG1153" s="1">
        <v>28</v>
      </c>
      <c r="AO1153" s="2">
        <v>46275</v>
      </c>
      <c r="AP1153" s="1" t="s">
        <v>551</v>
      </c>
      <c r="AS1153" s="1" t="s">
        <v>71</v>
      </c>
      <c r="AU1153" s="1" t="s">
        <v>72</v>
      </c>
      <c r="AV1153" s="1" t="s">
        <v>437</v>
      </c>
      <c r="AX1153" s="1">
        <v>0</v>
      </c>
      <c r="BA1153" s="1">
        <v>9</v>
      </c>
      <c r="BB1153" s="1">
        <v>0</v>
      </c>
      <c r="BC1153" s="1">
        <v>0</v>
      </c>
      <c r="BE1153" s="1">
        <v>27188523</v>
      </c>
    </row>
    <row r="1154" spans="1:57" x14ac:dyDescent="0.25">
      <c r="A1154" s="1" t="str">
        <f>T("1944837537470814028")</f>
        <v>1944837537470814028</v>
      </c>
      <c r="B1154" s="1" t="str">
        <f>T("249963661239")</f>
        <v>249963661239</v>
      </c>
      <c r="C1154" s="1" t="str">
        <f>T("1941094502630427852")</f>
        <v>1941094502630427852</v>
      </c>
      <c r="AC1154" s="1" t="s">
        <v>276</v>
      </c>
      <c r="AD1154" s="1" t="s">
        <v>517</v>
      </c>
      <c r="AE1154" s="1" t="s">
        <v>546</v>
      </c>
      <c r="AF1154" s="1" t="s">
        <v>144</v>
      </c>
      <c r="AG1154" s="1">
        <v>29</v>
      </c>
      <c r="AO1154" s="2">
        <v>46275</v>
      </c>
      <c r="AP1154" s="1" t="s">
        <v>551</v>
      </c>
      <c r="AS1154" s="1" t="s">
        <v>71</v>
      </c>
      <c r="AU1154" s="1" t="s">
        <v>72</v>
      </c>
      <c r="AV1154" s="1" t="s">
        <v>437</v>
      </c>
      <c r="AX1154" s="1">
        <v>0</v>
      </c>
      <c r="BA1154" s="1">
        <v>9</v>
      </c>
      <c r="BB1154" s="1">
        <v>0</v>
      </c>
      <c r="BC1154" s="1">
        <v>0</v>
      </c>
      <c r="BE1154" s="1">
        <v>27188523</v>
      </c>
    </row>
    <row r="1155" spans="1:57" x14ac:dyDescent="0.25">
      <c r="A1155" s="1" t="str">
        <f>T("1944837537479203944")</f>
        <v>1944837537479203944</v>
      </c>
      <c r="B1155" s="1" t="str">
        <f>T("249969642064")</f>
        <v>249969642064</v>
      </c>
      <c r="C1155" s="1" t="str">
        <f>T("1941094502630428352")</f>
        <v>1941094502630428352</v>
      </c>
      <c r="AC1155" s="1" t="s">
        <v>276</v>
      </c>
      <c r="AD1155" s="1" t="s">
        <v>517</v>
      </c>
      <c r="AE1155" s="1" t="s">
        <v>546</v>
      </c>
      <c r="AF1155" s="1" t="s">
        <v>144</v>
      </c>
      <c r="AG1155" s="1">
        <v>23</v>
      </c>
      <c r="AO1155" s="2">
        <v>46275</v>
      </c>
      <c r="AP1155" s="1" t="s">
        <v>551</v>
      </c>
      <c r="AS1155" s="1" t="s">
        <v>71</v>
      </c>
      <c r="AU1155" s="1" t="s">
        <v>72</v>
      </c>
      <c r="AV1155" s="1" t="s">
        <v>73</v>
      </c>
      <c r="AX1155" s="1">
        <v>0</v>
      </c>
      <c r="BA1155" s="1">
        <v>9</v>
      </c>
      <c r="BB1155" s="1">
        <v>0</v>
      </c>
      <c r="BC1155" s="1">
        <v>0</v>
      </c>
      <c r="BE1155" s="1">
        <v>27188523</v>
      </c>
    </row>
    <row r="1156" spans="1:57" x14ac:dyDescent="0.25">
      <c r="A1156" s="1" t="str">
        <f>T("1944837537487592060")</f>
        <v>1944837537487592060</v>
      </c>
      <c r="B1156" s="1" t="str">
        <f>T("249918772997")</f>
        <v>249918772997</v>
      </c>
      <c r="C1156" s="1" t="str">
        <f>T("1941094502634619560")</f>
        <v>1941094502634619560</v>
      </c>
      <c r="AC1156" s="1" t="s">
        <v>276</v>
      </c>
      <c r="AD1156" s="1" t="s">
        <v>517</v>
      </c>
      <c r="AE1156" s="1" t="s">
        <v>546</v>
      </c>
      <c r="AF1156" s="1" t="s">
        <v>144</v>
      </c>
      <c r="AG1156" s="1">
        <v>24</v>
      </c>
      <c r="AO1156" s="2">
        <v>46275</v>
      </c>
      <c r="AP1156" s="1" t="s">
        <v>551</v>
      </c>
      <c r="AS1156" s="1" t="s">
        <v>71</v>
      </c>
      <c r="AU1156" s="1" t="s">
        <v>72</v>
      </c>
      <c r="AV1156" s="1" t="s">
        <v>73</v>
      </c>
      <c r="AX1156" s="1">
        <v>0</v>
      </c>
      <c r="BA1156" s="1">
        <v>9</v>
      </c>
      <c r="BB1156" s="1">
        <v>0</v>
      </c>
      <c r="BC1156" s="1">
        <v>0</v>
      </c>
      <c r="BE1156" s="1">
        <v>27188523</v>
      </c>
    </row>
    <row r="1157" spans="1:57" x14ac:dyDescent="0.25">
      <c r="A1157" s="1" t="str">
        <f>T("1944837537504370392")</f>
        <v>1944837537504370392</v>
      </c>
      <c r="B1157" s="1" t="str">
        <f>T("249916013614")</f>
        <v>249916013614</v>
      </c>
      <c r="C1157" s="1" t="str">
        <f>T("1941094502634620260")</f>
        <v>1941094502634620260</v>
      </c>
      <c r="AC1157" s="1" t="s">
        <v>276</v>
      </c>
      <c r="AD1157" s="1" t="s">
        <v>517</v>
      </c>
      <c r="AE1157" s="1" t="s">
        <v>546</v>
      </c>
      <c r="AF1157" s="1" t="s">
        <v>144</v>
      </c>
      <c r="AG1157" s="1">
        <v>25</v>
      </c>
      <c r="AO1157" s="2">
        <v>46275</v>
      </c>
      <c r="AP1157" s="1" t="s">
        <v>551</v>
      </c>
      <c r="AS1157" s="1" t="s">
        <v>71</v>
      </c>
      <c r="AU1157" s="1" t="s">
        <v>72</v>
      </c>
      <c r="AV1157" s="1" t="s">
        <v>126</v>
      </c>
      <c r="AX1157" s="1">
        <v>0</v>
      </c>
      <c r="BA1157" s="1">
        <v>9</v>
      </c>
      <c r="BB1157" s="1">
        <v>0</v>
      </c>
      <c r="BC1157" s="1">
        <v>0</v>
      </c>
      <c r="BE1157" s="1">
        <v>27188523</v>
      </c>
    </row>
    <row r="1158" spans="1:57" x14ac:dyDescent="0.25">
      <c r="A1158" s="1" t="str">
        <f>T("1944837537546311472")</f>
        <v>1944837537546311472</v>
      </c>
      <c r="B1158" s="1" t="str">
        <f>T("249915531824")</f>
        <v>249915531824</v>
      </c>
      <c r="C1158" s="1" t="str">
        <f>T("1941094502634620960")</f>
        <v>1941094502634620960</v>
      </c>
      <c r="AC1158" s="1" t="s">
        <v>276</v>
      </c>
      <c r="AD1158" s="1" t="s">
        <v>517</v>
      </c>
      <c r="AE1158" s="1" t="s">
        <v>546</v>
      </c>
      <c r="AF1158" s="1" t="s">
        <v>144</v>
      </c>
      <c r="AG1158" s="1">
        <v>24</v>
      </c>
      <c r="AO1158" s="2">
        <v>46275</v>
      </c>
      <c r="AP1158" s="1" t="s">
        <v>551</v>
      </c>
      <c r="AS1158" s="1" t="s">
        <v>71</v>
      </c>
      <c r="AU1158" s="1" t="s">
        <v>72</v>
      </c>
      <c r="AV1158" s="1" t="s">
        <v>437</v>
      </c>
      <c r="AX1158" s="1">
        <v>0</v>
      </c>
      <c r="BA1158" s="1">
        <v>9</v>
      </c>
      <c r="BB1158" s="1">
        <v>0</v>
      </c>
      <c r="BC1158" s="1">
        <v>0</v>
      </c>
      <c r="BE1158" s="1">
        <v>27188523</v>
      </c>
    </row>
    <row r="1159" spans="1:57" x14ac:dyDescent="0.25">
      <c r="A1159" s="1" t="str">
        <f>T("1944837537550506280")</f>
        <v>1944837537550506280</v>
      </c>
      <c r="B1159" s="1" t="str">
        <f>T("249961386807")</f>
        <v>249961386807</v>
      </c>
      <c r="C1159" s="1" t="str">
        <f>T("1941094502634621460")</f>
        <v>1941094502634621460</v>
      </c>
      <c r="AC1159" s="1" t="s">
        <v>276</v>
      </c>
      <c r="AD1159" s="1" t="s">
        <v>517</v>
      </c>
      <c r="AE1159" s="1" t="s">
        <v>546</v>
      </c>
      <c r="AF1159" s="1" t="s">
        <v>144</v>
      </c>
      <c r="AG1159" s="1">
        <v>21</v>
      </c>
      <c r="AO1159" s="2">
        <v>46275</v>
      </c>
      <c r="AP1159" s="1" t="s">
        <v>551</v>
      </c>
      <c r="AS1159" s="1" t="s">
        <v>71</v>
      </c>
      <c r="AU1159" s="1" t="s">
        <v>72</v>
      </c>
      <c r="AV1159" s="1" t="s">
        <v>437</v>
      </c>
      <c r="AX1159" s="1">
        <v>0</v>
      </c>
      <c r="BA1159" s="1">
        <v>9</v>
      </c>
      <c r="BB1159" s="1">
        <v>0</v>
      </c>
      <c r="BC1159" s="1">
        <v>0</v>
      </c>
      <c r="BE1159" s="1">
        <v>27188523</v>
      </c>
    </row>
    <row r="1160" spans="1:57" x14ac:dyDescent="0.25">
      <c r="A1160" s="1" t="str">
        <f>T("1944837537567282212")</f>
        <v>1944837537567282212</v>
      </c>
      <c r="B1160" s="1" t="str">
        <f>T("249966037464")</f>
        <v>249966037464</v>
      </c>
      <c r="C1160" s="1" t="str">
        <f>T("1941094502634622060")</f>
        <v>1941094502634622060</v>
      </c>
      <c r="AC1160" s="1" t="s">
        <v>366</v>
      </c>
      <c r="AD1160" s="1" t="s">
        <v>367</v>
      </c>
      <c r="AE1160" s="1" t="s">
        <v>368</v>
      </c>
      <c r="AF1160" s="1" t="s">
        <v>107</v>
      </c>
      <c r="AG1160" s="1">
        <v>35</v>
      </c>
      <c r="AO1160" s="2">
        <v>46275</v>
      </c>
      <c r="AP1160" s="1" t="s">
        <v>551</v>
      </c>
      <c r="AS1160" s="1" t="s">
        <v>71</v>
      </c>
      <c r="AU1160" s="1" t="s">
        <v>72</v>
      </c>
      <c r="AV1160" s="1" t="s">
        <v>437</v>
      </c>
      <c r="AX1160" s="1">
        <v>0</v>
      </c>
      <c r="BA1160" s="1">
        <v>9</v>
      </c>
      <c r="BB1160" s="1">
        <v>0</v>
      </c>
      <c r="BC1160" s="1">
        <v>0</v>
      </c>
      <c r="BE1160" s="1">
        <v>27188523</v>
      </c>
    </row>
    <row r="1161" spans="1:57" x14ac:dyDescent="0.25">
      <c r="A1161" s="1" t="str">
        <f>T("1944837537567284412")</f>
        <v>1944837537567284412</v>
      </c>
      <c r="B1161" s="1" t="str">
        <f>T("249917833958")</f>
        <v>249917833958</v>
      </c>
      <c r="C1161" s="1" t="str">
        <f>T("1941094502634622860")</f>
        <v>1941094502634622860</v>
      </c>
      <c r="AC1161" s="1" t="s">
        <v>366</v>
      </c>
      <c r="AD1161" s="1" t="s">
        <v>367</v>
      </c>
      <c r="AE1161" s="1" t="s">
        <v>368</v>
      </c>
      <c r="AF1161" s="1" t="s">
        <v>107</v>
      </c>
      <c r="AG1161" s="1">
        <v>40</v>
      </c>
      <c r="AO1161" s="2">
        <v>46275</v>
      </c>
      <c r="AP1161" s="1" t="s">
        <v>551</v>
      </c>
      <c r="AS1161" s="1" t="s">
        <v>71</v>
      </c>
      <c r="AU1161" s="1" t="s">
        <v>72</v>
      </c>
      <c r="AV1161" s="1" t="s">
        <v>73</v>
      </c>
      <c r="AX1161" s="1">
        <v>0</v>
      </c>
      <c r="BA1161" s="1">
        <v>9</v>
      </c>
      <c r="BB1161" s="1">
        <v>0</v>
      </c>
      <c r="BC1161" s="1">
        <v>0</v>
      </c>
      <c r="BE1161" s="1">
        <v>27188523</v>
      </c>
    </row>
    <row r="1162" spans="1:57" x14ac:dyDescent="0.25">
      <c r="A1162" s="1" t="str">
        <f>T("1944837537609227792")</f>
        <v>1944837537609227792</v>
      </c>
      <c r="B1162" s="1" t="str">
        <f>T("249908087463")</f>
        <v>249908087463</v>
      </c>
      <c r="C1162" s="1" t="str">
        <f>T("1941094502638814268")</f>
        <v>1941094502638814268</v>
      </c>
      <c r="AC1162" s="1" t="s">
        <v>366</v>
      </c>
      <c r="AD1162" s="1" t="s">
        <v>367</v>
      </c>
      <c r="AE1162" s="1" t="s">
        <v>368</v>
      </c>
      <c r="AF1162" s="1" t="s">
        <v>107</v>
      </c>
      <c r="AG1162" s="1">
        <v>50</v>
      </c>
      <c r="AO1162" s="2">
        <v>46275</v>
      </c>
      <c r="AP1162" s="1" t="s">
        <v>551</v>
      </c>
      <c r="AS1162" s="1" t="s">
        <v>71</v>
      </c>
      <c r="AU1162" s="1" t="s">
        <v>72</v>
      </c>
      <c r="AV1162" s="1" t="s">
        <v>73</v>
      </c>
      <c r="AX1162" s="1">
        <v>0</v>
      </c>
      <c r="BA1162" s="1">
        <v>9</v>
      </c>
      <c r="BB1162" s="1">
        <v>0</v>
      </c>
      <c r="BC1162" s="1">
        <v>0</v>
      </c>
      <c r="BE1162" s="1">
        <v>27188523</v>
      </c>
    </row>
    <row r="1163" spans="1:57" x14ac:dyDescent="0.25">
      <c r="A1163" s="1" t="str">
        <f>T("1944837537613420700")</f>
        <v>1944837537613420700</v>
      </c>
      <c r="B1163" s="1" t="str">
        <f>T("249969288132")</f>
        <v>249969288132</v>
      </c>
      <c r="C1163" s="1" t="str">
        <f>T("1941094502638813768")</f>
        <v>1941094502638813768</v>
      </c>
      <c r="AC1163" s="1" t="s">
        <v>366</v>
      </c>
      <c r="AD1163" s="1" t="s">
        <v>367</v>
      </c>
      <c r="AE1163" s="1" t="s">
        <v>368</v>
      </c>
      <c r="AF1163" s="1" t="s">
        <v>107</v>
      </c>
      <c r="AG1163" s="1">
        <v>23</v>
      </c>
      <c r="AO1163" s="2">
        <v>46275</v>
      </c>
      <c r="AP1163" s="1" t="s">
        <v>551</v>
      </c>
      <c r="AS1163" s="1" t="s">
        <v>71</v>
      </c>
      <c r="AU1163" s="1" t="s">
        <v>72</v>
      </c>
      <c r="AV1163" s="1" t="s">
        <v>73</v>
      </c>
      <c r="AX1163" s="1">
        <v>0</v>
      </c>
      <c r="BA1163" s="1">
        <v>9</v>
      </c>
      <c r="BB1163" s="1">
        <v>0</v>
      </c>
      <c r="BC1163" s="1">
        <v>0</v>
      </c>
      <c r="BE1163" s="1">
        <v>27188523</v>
      </c>
    </row>
    <row r="1164" spans="1:57" x14ac:dyDescent="0.25">
      <c r="A1164" s="1" t="str">
        <f>T("1944837537626004124")</f>
        <v>1944837537626004124</v>
      </c>
      <c r="B1164" s="1" t="str">
        <f>T("249905174272")</f>
        <v>249905174272</v>
      </c>
      <c r="C1164" s="1" t="str">
        <f>T("1941094502638814668")</f>
        <v>1941094502638814668</v>
      </c>
      <c r="AC1164" s="1" t="s">
        <v>366</v>
      </c>
      <c r="AD1164" s="1" t="s">
        <v>367</v>
      </c>
      <c r="AE1164" s="1" t="s">
        <v>368</v>
      </c>
      <c r="AF1164" s="1" t="s">
        <v>107</v>
      </c>
      <c r="AG1164" s="1">
        <v>45</v>
      </c>
      <c r="AO1164" s="2">
        <v>46275</v>
      </c>
      <c r="AP1164" s="1" t="s">
        <v>551</v>
      </c>
      <c r="AS1164" s="1" t="s">
        <v>71</v>
      </c>
      <c r="AU1164" s="1" t="s">
        <v>72</v>
      </c>
      <c r="AV1164" s="1" t="s">
        <v>437</v>
      </c>
      <c r="AX1164" s="1">
        <v>0</v>
      </c>
      <c r="BA1164" s="1">
        <v>9</v>
      </c>
      <c r="BB1164" s="1">
        <v>0</v>
      </c>
      <c r="BC1164" s="1">
        <v>0</v>
      </c>
      <c r="BE1164" s="1">
        <v>27188523</v>
      </c>
    </row>
    <row r="1165" spans="1:57" x14ac:dyDescent="0.25">
      <c r="A1165" s="1" t="str">
        <f>T("1944837537634392840")</f>
        <v>1944837537634392840</v>
      </c>
      <c r="B1165" s="1" t="str">
        <f>T("249918439301")</f>
        <v>249918439301</v>
      </c>
      <c r="C1165" s="1" t="str">
        <f>T("1941094502638815868")</f>
        <v>1941094502638815868</v>
      </c>
      <c r="AC1165" s="1" t="s">
        <v>366</v>
      </c>
      <c r="AD1165" s="1" t="s">
        <v>367</v>
      </c>
      <c r="AE1165" s="1" t="s">
        <v>368</v>
      </c>
      <c r="AF1165" s="1" t="s">
        <v>107</v>
      </c>
      <c r="AG1165" s="1">
        <v>47</v>
      </c>
      <c r="AO1165" s="2">
        <v>46275</v>
      </c>
      <c r="AP1165" s="1" t="s">
        <v>551</v>
      </c>
      <c r="AS1165" s="1" t="s">
        <v>71</v>
      </c>
      <c r="AU1165" s="1" t="s">
        <v>72</v>
      </c>
      <c r="AV1165" s="1" t="s">
        <v>437</v>
      </c>
      <c r="AX1165" s="1">
        <v>0</v>
      </c>
      <c r="BA1165" s="1">
        <v>9</v>
      </c>
      <c r="BB1165" s="1">
        <v>0</v>
      </c>
      <c r="BC1165" s="1">
        <v>0</v>
      </c>
      <c r="BE1165" s="1">
        <v>27188523</v>
      </c>
    </row>
    <row r="1166" spans="1:57" x14ac:dyDescent="0.25">
      <c r="A1166" s="1" t="str">
        <f>T("1944837537667945904")</f>
        <v>1944837537667945904</v>
      </c>
      <c r="B1166" s="1" t="str">
        <f>T("249917031142")</f>
        <v>249917031142</v>
      </c>
      <c r="C1166" s="1" t="str">
        <f>T("1941094502638816368")</f>
        <v>1941094502638816368</v>
      </c>
      <c r="AC1166" s="1" t="s">
        <v>366</v>
      </c>
      <c r="AD1166" s="1" t="s">
        <v>367</v>
      </c>
      <c r="AE1166" s="1" t="s">
        <v>368</v>
      </c>
      <c r="AF1166" s="1" t="s">
        <v>107</v>
      </c>
      <c r="AG1166" s="1">
        <v>33</v>
      </c>
      <c r="AO1166" s="2">
        <v>46275</v>
      </c>
      <c r="AP1166" s="1" t="s">
        <v>551</v>
      </c>
      <c r="AS1166" s="1" t="s">
        <v>71</v>
      </c>
      <c r="AU1166" s="1" t="s">
        <v>72</v>
      </c>
      <c r="AV1166" s="1" t="s">
        <v>73</v>
      </c>
      <c r="AX1166" s="1">
        <v>0</v>
      </c>
      <c r="BA1166" s="1">
        <v>9</v>
      </c>
      <c r="BB1166" s="1">
        <v>0</v>
      </c>
      <c r="BC1166" s="1">
        <v>0</v>
      </c>
      <c r="BE1166" s="1">
        <v>27188523</v>
      </c>
    </row>
    <row r="1167" spans="1:57" x14ac:dyDescent="0.25">
      <c r="A1167" s="1" t="str">
        <f>T("1944837537672141712")</f>
        <v>1944837537672141712</v>
      </c>
      <c r="B1167" s="1" t="str">
        <f>T("249914568622")</f>
        <v>249914568622</v>
      </c>
      <c r="C1167" s="1" t="str">
        <f>T("1941094502638816868")</f>
        <v>1941094502638816868</v>
      </c>
      <c r="AC1167" s="1" t="s">
        <v>366</v>
      </c>
      <c r="AD1167" s="1" t="s">
        <v>367</v>
      </c>
      <c r="AE1167" s="1" t="s">
        <v>368</v>
      </c>
      <c r="AF1167" s="1" t="s">
        <v>107</v>
      </c>
      <c r="AG1167" s="1">
        <v>44</v>
      </c>
      <c r="AO1167" s="2">
        <v>46275</v>
      </c>
      <c r="AP1167" s="1" t="s">
        <v>551</v>
      </c>
      <c r="AS1167" s="1" t="s">
        <v>71</v>
      </c>
      <c r="AU1167" s="1" t="s">
        <v>72</v>
      </c>
      <c r="AV1167" s="1" t="s">
        <v>73</v>
      </c>
      <c r="AX1167" s="1">
        <v>0</v>
      </c>
      <c r="BA1167" s="1">
        <v>9</v>
      </c>
      <c r="BB1167" s="1">
        <v>0</v>
      </c>
      <c r="BC1167" s="1">
        <v>0</v>
      </c>
      <c r="BE1167" s="1">
        <v>27188523</v>
      </c>
    </row>
    <row r="1168" spans="1:57" x14ac:dyDescent="0.25">
      <c r="A1168" s="1" t="str">
        <f>T("1944837537676334120")</f>
        <v>1944837537676334120</v>
      </c>
      <c r="B1168" s="1" t="str">
        <f>T("249963404278")</f>
        <v>249963404278</v>
      </c>
      <c r="C1168" s="1" t="str">
        <f>T("1941094502643007576")</f>
        <v>1941094502643007576</v>
      </c>
      <c r="AC1168" s="1" t="s">
        <v>366</v>
      </c>
      <c r="AD1168" s="1" t="s">
        <v>367</v>
      </c>
      <c r="AE1168" s="1" t="s">
        <v>368</v>
      </c>
      <c r="AF1168" s="1" t="s">
        <v>107</v>
      </c>
      <c r="AG1168" s="1">
        <v>23</v>
      </c>
      <c r="AO1168" s="2">
        <v>46275</v>
      </c>
      <c r="AP1168" s="1" t="s">
        <v>551</v>
      </c>
      <c r="AS1168" s="1" t="s">
        <v>71</v>
      </c>
      <c r="AU1168" s="1" t="s">
        <v>72</v>
      </c>
      <c r="AV1168" s="1" t="s">
        <v>437</v>
      </c>
      <c r="AX1168" s="1">
        <v>0</v>
      </c>
      <c r="BA1168" s="1">
        <v>9</v>
      </c>
      <c r="BB1168" s="1">
        <v>0</v>
      </c>
      <c r="BC1168" s="1">
        <v>0</v>
      </c>
      <c r="BE1168" s="1">
        <v>27188523</v>
      </c>
    </row>
    <row r="1169" spans="1:57" x14ac:dyDescent="0.25">
      <c r="A1169" s="1" t="str">
        <f>T("1944837537688919044")</f>
        <v>1944837537688919044</v>
      </c>
      <c r="B1169" s="1" t="str">
        <f>T("249901190406")</f>
        <v>249901190406</v>
      </c>
      <c r="C1169" s="1" t="str">
        <f>T("1941094502643007976")</f>
        <v>1941094502643007976</v>
      </c>
      <c r="AC1169" s="1" t="s">
        <v>366</v>
      </c>
      <c r="AD1169" s="1" t="s">
        <v>367</v>
      </c>
      <c r="AE1169" s="1" t="s">
        <v>368</v>
      </c>
      <c r="AF1169" s="1" t="s">
        <v>107</v>
      </c>
      <c r="AG1169" s="1">
        <v>25</v>
      </c>
      <c r="AO1169" s="2">
        <v>46275</v>
      </c>
      <c r="AP1169" s="1" t="s">
        <v>551</v>
      </c>
      <c r="AS1169" s="1" t="s">
        <v>71</v>
      </c>
      <c r="AU1169" s="1" t="s">
        <v>72</v>
      </c>
      <c r="AV1169" s="1" t="s">
        <v>437</v>
      </c>
      <c r="AX1169" s="1">
        <v>0</v>
      </c>
      <c r="BA1169" s="1">
        <v>9</v>
      </c>
      <c r="BB1169" s="1">
        <v>0</v>
      </c>
      <c r="BC1169" s="1">
        <v>0</v>
      </c>
      <c r="BE1169" s="1">
        <v>27188523</v>
      </c>
    </row>
    <row r="1170" spans="1:57" x14ac:dyDescent="0.25">
      <c r="A1170" s="1" t="str">
        <f>T("1944837537735056232")</f>
        <v>1944837537735056232</v>
      </c>
      <c r="B1170" s="1" t="str">
        <f>T("249116794108")</f>
        <v>249116794108</v>
      </c>
      <c r="C1170" s="1" t="str">
        <f>T("1941094502643008476")</f>
        <v>1941094502643008476</v>
      </c>
      <c r="AC1170" s="1" t="s">
        <v>104</v>
      </c>
      <c r="AD1170" s="1" t="s">
        <v>151</v>
      </c>
      <c r="AE1170" s="1" t="s">
        <v>392</v>
      </c>
      <c r="AF1170" s="1" t="s">
        <v>144</v>
      </c>
      <c r="AG1170" s="1">
        <v>24</v>
      </c>
      <c r="AO1170" s="2">
        <v>46275</v>
      </c>
      <c r="AP1170" s="1" t="s">
        <v>551</v>
      </c>
      <c r="AQ1170" s="2">
        <v>46275</v>
      </c>
      <c r="AR1170" s="1" t="s">
        <v>552</v>
      </c>
      <c r="AS1170" s="1" t="s">
        <v>71</v>
      </c>
      <c r="AU1170" s="1" t="s">
        <v>79</v>
      </c>
      <c r="AV1170" s="1" t="s">
        <v>80</v>
      </c>
      <c r="AW1170" s="1">
        <v>25.46</v>
      </c>
      <c r="AX1170" s="1">
        <v>0</v>
      </c>
      <c r="AZ1170" s="1" t="s">
        <v>81</v>
      </c>
      <c r="BA1170" s="1">
        <v>1</v>
      </c>
      <c r="BB1170" s="1">
        <v>0</v>
      </c>
      <c r="BC1170" s="1">
        <v>0</v>
      </c>
      <c r="BE1170" s="1">
        <v>27188523</v>
      </c>
    </row>
    <row r="1171" spans="1:57" x14ac:dyDescent="0.25">
      <c r="A1171" s="1" t="str">
        <f>T("1944837537747639656")</f>
        <v>1944837537747639656</v>
      </c>
      <c r="B1171" s="1" t="str">
        <f>T("249925750519")</f>
        <v>249925750519</v>
      </c>
      <c r="C1171" s="1" t="str">
        <f>T("1941094502643009476")</f>
        <v>1941094502643009476</v>
      </c>
      <c r="AC1171" s="1" t="s">
        <v>104</v>
      </c>
      <c r="AD1171" s="1" t="s">
        <v>151</v>
      </c>
      <c r="AE1171" s="1" t="s">
        <v>392</v>
      </c>
      <c r="AF1171" s="1" t="s">
        <v>144</v>
      </c>
      <c r="AG1171" s="1">
        <v>26</v>
      </c>
      <c r="AO1171" s="2">
        <v>46275</v>
      </c>
      <c r="AP1171" s="1" t="s">
        <v>551</v>
      </c>
      <c r="AQ1171" s="2">
        <v>46275</v>
      </c>
      <c r="AR1171" s="1" t="s">
        <v>553</v>
      </c>
      <c r="AS1171" s="1" t="s">
        <v>71</v>
      </c>
      <c r="AU1171" s="1" t="s">
        <v>79</v>
      </c>
      <c r="AV1171" s="1" t="s">
        <v>80</v>
      </c>
      <c r="AW1171" s="1">
        <v>6.96</v>
      </c>
      <c r="AX1171" s="1">
        <v>0</v>
      </c>
      <c r="AZ1171" s="1" t="s">
        <v>81</v>
      </c>
      <c r="BA1171" s="1">
        <v>1</v>
      </c>
      <c r="BB1171" s="1">
        <v>0</v>
      </c>
      <c r="BC1171" s="1">
        <v>0</v>
      </c>
      <c r="BE1171" s="1">
        <v>27188523</v>
      </c>
    </row>
    <row r="1172" spans="1:57" x14ac:dyDescent="0.25">
      <c r="A1172" s="1" t="str">
        <f>T("1944837537747640056")</f>
        <v>1944837537747640056</v>
      </c>
      <c r="B1172" s="1" t="str">
        <f>T("249920166084")</f>
        <v>249920166084</v>
      </c>
      <c r="C1172" s="1" t="str">
        <f>T("1941094502643008976")</f>
        <v>1941094502643008976</v>
      </c>
      <c r="M1172" s="1" t="s">
        <v>59</v>
      </c>
      <c r="O1172" s="1" t="s">
        <v>60</v>
      </c>
      <c r="P1172" s="1" t="s">
        <v>83</v>
      </c>
      <c r="Q1172" s="1" t="s">
        <v>112</v>
      </c>
      <c r="R1172" s="1" t="s">
        <v>84</v>
      </c>
      <c r="S1172" s="1" t="s">
        <v>61</v>
      </c>
      <c r="U1172" s="1" t="s">
        <v>60</v>
      </c>
      <c r="V1172" s="1" t="s">
        <v>68</v>
      </c>
      <c r="W1172" s="1" t="s">
        <v>60</v>
      </c>
      <c r="X1172" s="1" t="s">
        <v>66</v>
      </c>
      <c r="Y1172" s="1" t="s">
        <v>160</v>
      </c>
      <c r="AA1172" s="1">
        <v>1</v>
      </c>
      <c r="AB1172" s="1">
        <v>1</v>
      </c>
      <c r="AC1172" s="1" t="s">
        <v>104</v>
      </c>
      <c r="AD1172" s="1" t="s">
        <v>151</v>
      </c>
      <c r="AE1172" s="1" t="s">
        <v>392</v>
      </c>
      <c r="AF1172" s="1" t="s">
        <v>144</v>
      </c>
      <c r="AG1172" s="1">
        <v>18</v>
      </c>
      <c r="AO1172" s="2">
        <v>46275</v>
      </c>
      <c r="AP1172" s="1" t="s">
        <v>551</v>
      </c>
      <c r="AQ1172" s="2">
        <v>46275</v>
      </c>
      <c r="AR1172" s="1" t="s">
        <v>554</v>
      </c>
      <c r="AS1172" s="1" t="s">
        <v>71</v>
      </c>
      <c r="AU1172" s="1" t="s">
        <v>78</v>
      </c>
      <c r="AV1172" s="1" t="s">
        <v>80</v>
      </c>
      <c r="AW1172" s="1">
        <v>215.6</v>
      </c>
      <c r="AX1172" s="1">
        <v>0</v>
      </c>
      <c r="AZ1172" s="1" t="s">
        <v>81</v>
      </c>
      <c r="BA1172" s="1">
        <v>1</v>
      </c>
      <c r="BB1172" s="1">
        <v>0</v>
      </c>
      <c r="BC1172" s="1">
        <v>0</v>
      </c>
      <c r="BE1172" s="1">
        <v>27188523</v>
      </c>
    </row>
    <row r="1173" spans="1:57" x14ac:dyDescent="0.25">
      <c r="A1173" s="1" t="str">
        <f>T("1944837537760222480")</f>
        <v>1944837537760222480</v>
      </c>
      <c r="B1173" s="1" t="str">
        <f>T("249927208685")</f>
        <v>249927208685</v>
      </c>
      <c r="C1173" s="1" t="str">
        <f>T("1941094502643009876")</f>
        <v>1941094502643009876</v>
      </c>
      <c r="AA1173" s="1">
        <v>1</v>
      </c>
      <c r="AC1173" s="1" t="s">
        <v>104</v>
      </c>
      <c r="AD1173" s="1" t="s">
        <v>151</v>
      </c>
      <c r="AE1173" s="1" t="s">
        <v>392</v>
      </c>
      <c r="AF1173" s="1" t="s">
        <v>144</v>
      </c>
      <c r="AG1173" s="1">
        <v>19</v>
      </c>
      <c r="AO1173" s="2">
        <v>46275</v>
      </c>
      <c r="AP1173" s="1" t="s">
        <v>551</v>
      </c>
      <c r="AQ1173" s="2">
        <v>46275</v>
      </c>
      <c r="AR1173" s="1" t="s">
        <v>555</v>
      </c>
      <c r="AS1173" s="1" t="s">
        <v>71</v>
      </c>
      <c r="AU1173" s="1" t="s">
        <v>79</v>
      </c>
      <c r="AV1173" s="1" t="s">
        <v>80</v>
      </c>
      <c r="AW1173" s="1">
        <v>53.14</v>
      </c>
      <c r="AX1173" s="1">
        <v>0</v>
      </c>
      <c r="AZ1173" s="1" t="s">
        <v>81</v>
      </c>
      <c r="BA1173" s="1">
        <v>1</v>
      </c>
      <c r="BB1173" s="1">
        <v>0</v>
      </c>
      <c r="BC1173" s="1">
        <v>0</v>
      </c>
      <c r="BE1173" s="1">
        <v>27188523</v>
      </c>
    </row>
    <row r="1174" spans="1:57" x14ac:dyDescent="0.25">
      <c r="A1174" s="1" t="str">
        <f>T("1944837537785385728")</f>
        <v>1944837537785385728</v>
      </c>
      <c r="B1174" s="1" t="str">
        <f>T("249122862803")</f>
        <v>249122862803</v>
      </c>
      <c r="C1174" s="1" t="str">
        <f>T("1941094502643010376")</f>
        <v>1941094502643010376</v>
      </c>
      <c r="AC1174" s="1" t="s">
        <v>104</v>
      </c>
      <c r="AD1174" s="1" t="s">
        <v>151</v>
      </c>
      <c r="AE1174" s="1" t="s">
        <v>392</v>
      </c>
      <c r="AF1174" s="1" t="s">
        <v>144</v>
      </c>
      <c r="AG1174" s="1">
        <v>33</v>
      </c>
      <c r="AO1174" s="2">
        <v>46275</v>
      </c>
      <c r="AP1174" s="1" t="s">
        <v>551</v>
      </c>
      <c r="AS1174" s="1" t="s">
        <v>71</v>
      </c>
      <c r="AU1174" s="1" t="s">
        <v>72</v>
      </c>
      <c r="AV1174" s="1" t="s">
        <v>73</v>
      </c>
      <c r="AX1174" s="1">
        <v>0</v>
      </c>
      <c r="BA1174" s="1">
        <v>9</v>
      </c>
      <c r="BB1174" s="1">
        <v>0</v>
      </c>
      <c r="BC1174" s="1">
        <v>0</v>
      </c>
      <c r="BE1174" s="1">
        <v>27188523</v>
      </c>
    </row>
    <row r="1175" spans="1:57" x14ac:dyDescent="0.25">
      <c r="A1175" s="1" t="str">
        <f>T("1944837537797971852")</f>
        <v>1944837537797971852</v>
      </c>
      <c r="B1175" s="1" t="str">
        <f>T("249927844522")</f>
        <v>249927844522</v>
      </c>
      <c r="C1175" s="1" t="str">
        <f>T("1941094502647205184")</f>
        <v>1941094502647205184</v>
      </c>
      <c r="AA1175" s="1">
        <v>1</v>
      </c>
      <c r="AC1175" s="1" t="s">
        <v>104</v>
      </c>
      <c r="AD1175" s="1" t="s">
        <v>151</v>
      </c>
      <c r="AE1175" s="1" t="s">
        <v>392</v>
      </c>
      <c r="AF1175" s="1" t="s">
        <v>144</v>
      </c>
      <c r="AG1175" s="1">
        <v>30</v>
      </c>
      <c r="AO1175" s="2">
        <v>46275</v>
      </c>
      <c r="AP1175" s="1" t="s">
        <v>551</v>
      </c>
      <c r="AQ1175" s="2">
        <v>46275</v>
      </c>
      <c r="AR1175" s="1" t="s">
        <v>556</v>
      </c>
      <c r="AS1175" s="1" t="s">
        <v>71</v>
      </c>
      <c r="AU1175" s="1" t="s">
        <v>79</v>
      </c>
      <c r="AV1175" s="1" t="s">
        <v>80</v>
      </c>
      <c r="AW1175" s="1">
        <v>69.08</v>
      </c>
      <c r="AX1175" s="1">
        <v>0</v>
      </c>
      <c r="AZ1175" s="1" t="s">
        <v>81</v>
      </c>
      <c r="BA1175" s="1">
        <v>1</v>
      </c>
      <c r="BB1175" s="1">
        <v>0</v>
      </c>
      <c r="BC1175" s="1">
        <v>0</v>
      </c>
      <c r="BE1175" s="1">
        <v>27188523</v>
      </c>
    </row>
    <row r="1176" spans="1:57" x14ac:dyDescent="0.25">
      <c r="A1176" s="1" t="str">
        <f>T("1944837537814748284")</f>
        <v>1944837537814748284</v>
      </c>
      <c r="B1176" s="1" t="str">
        <f>T("249924580550")</f>
        <v>249924580550</v>
      </c>
      <c r="C1176" s="1" t="str">
        <f>T("1941094502647205784")</f>
        <v>1941094502647205784</v>
      </c>
      <c r="AC1176" s="1" t="s">
        <v>104</v>
      </c>
      <c r="AD1176" s="1" t="s">
        <v>151</v>
      </c>
      <c r="AE1176" s="1" t="s">
        <v>392</v>
      </c>
      <c r="AF1176" s="1" t="s">
        <v>144</v>
      </c>
      <c r="AG1176" s="1">
        <v>24</v>
      </c>
      <c r="AO1176" s="2">
        <v>46275</v>
      </c>
      <c r="AP1176" s="1" t="s">
        <v>551</v>
      </c>
      <c r="AS1176" s="1" t="s">
        <v>71</v>
      </c>
      <c r="AU1176" s="1" t="s">
        <v>72</v>
      </c>
      <c r="AV1176" s="1" t="s">
        <v>73</v>
      </c>
      <c r="AX1176" s="1">
        <v>0</v>
      </c>
      <c r="BA1176" s="1">
        <v>9</v>
      </c>
      <c r="BB1176" s="1">
        <v>0</v>
      </c>
      <c r="BC1176" s="1">
        <v>0</v>
      </c>
      <c r="BE1176" s="1">
        <v>27188523</v>
      </c>
    </row>
    <row r="1177" spans="1:57" x14ac:dyDescent="0.25">
      <c r="A1177" s="1" t="str">
        <f>T("1944837537818941192")</f>
        <v>1944837537818941192</v>
      </c>
      <c r="B1177" s="1" t="str">
        <f>T("249991512714")</f>
        <v>249991512714</v>
      </c>
      <c r="C1177" s="1" t="str">
        <f>T("1941094502651396592")</f>
        <v>1941094502651396592</v>
      </c>
      <c r="AC1177" s="1" t="s">
        <v>104</v>
      </c>
      <c r="AD1177" s="1" t="s">
        <v>151</v>
      </c>
      <c r="AE1177" s="1" t="s">
        <v>392</v>
      </c>
      <c r="AF1177" s="1" t="s">
        <v>144</v>
      </c>
      <c r="AG1177" s="1">
        <v>25</v>
      </c>
      <c r="AO1177" s="2">
        <v>46275</v>
      </c>
      <c r="AP1177" s="1" t="s">
        <v>551</v>
      </c>
      <c r="AQ1177" s="2">
        <v>46276</v>
      </c>
      <c r="AR1177" s="1" t="s">
        <v>557</v>
      </c>
      <c r="AS1177" s="1" t="s">
        <v>71</v>
      </c>
      <c r="AU1177" s="1" t="s">
        <v>79</v>
      </c>
      <c r="AV1177" s="1" t="s">
        <v>80</v>
      </c>
      <c r="AW1177" s="1">
        <v>10.06</v>
      </c>
      <c r="AX1177" s="1">
        <v>0</v>
      </c>
      <c r="AZ1177" s="1" t="s">
        <v>81</v>
      </c>
      <c r="BA1177" s="1">
        <v>4</v>
      </c>
      <c r="BB1177" s="1">
        <v>0</v>
      </c>
      <c r="BC1177" s="1">
        <v>0</v>
      </c>
      <c r="BE1177" s="1">
        <v>27188523</v>
      </c>
    </row>
    <row r="1178" spans="1:57" x14ac:dyDescent="0.25">
      <c r="A1178" s="1" t="str">
        <f>T("1944837537852495256")</f>
        <v>1944837537852495256</v>
      </c>
      <c r="B1178" s="1" t="str">
        <f>T("249124064536")</f>
        <v>249124064536</v>
      </c>
      <c r="C1178" s="1" t="str">
        <f>T("1941094502651397092")</f>
        <v>1941094502651397092</v>
      </c>
      <c r="AA1178" s="1">
        <v>1</v>
      </c>
      <c r="AC1178" s="1" t="s">
        <v>104</v>
      </c>
      <c r="AD1178" s="1" t="s">
        <v>151</v>
      </c>
      <c r="AE1178" s="1" t="s">
        <v>392</v>
      </c>
      <c r="AF1178" s="1" t="s">
        <v>144</v>
      </c>
      <c r="AG1178" s="1">
        <v>26</v>
      </c>
      <c r="AO1178" s="2">
        <v>46275</v>
      </c>
      <c r="AP1178" s="1" t="s">
        <v>551</v>
      </c>
      <c r="AQ1178" s="2">
        <v>46275</v>
      </c>
      <c r="AR1178" s="1" t="s">
        <v>558</v>
      </c>
      <c r="AS1178" s="1" t="s">
        <v>71</v>
      </c>
      <c r="AU1178" s="1" t="s">
        <v>79</v>
      </c>
      <c r="AV1178" s="1" t="s">
        <v>80</v>
      </c>
      <c r="AW1178" s="1">
        <v>59.26</v>
      </c>
      <c r="AX1178" s="1">
        <v>0</v>
      </c>
      <c r="AZ1178" s="1" t="s">
        <v>81</v>
      </c>
      <c r="BA1178" s="1">
        <v>2</v>
      </c>
      <c r="BB1178" s="1">
        <v>0</v>
      </c>
      <c r="BC1178" s="1">
        <v>0</v>
      </c>
      <c r="BE1178" s="1">
        <v>27188523</v>
      </c>
    </row>
    <row r="1179" spans="1:57" x14ac:dyDescent="0.25">
      <c r="A1179" s="1" t="str">
        <f>T("1944837537869271588")</f>
        <v>1944837537869271588</v>
      </c>
      <c r="B1179" s="1" t="str">
        <f>T("249112446883")</f>
        <v>249112446883</v>
      </c>
      <c r="C1179" s="1" t="str">
        <f>T("1941094502651397492")</f>
        <v>1941094502651397492</v>
      </c>
      <c r="AC1179" s="1" t="s">
        <v>104</v>
      </c>
      <c r="AD1179" s="1" t="s">
        <v>151</v>
      </c>
      <c r="AE1179" s="1" t="s">
        <v>392</v>
      </c>
      <c r="AF1179" s="1" t="s">
        <v>144</v>
      </c>
      <c r="AG1179" s="1">
        <v>28</v>
      </c>
      <c r="AO1179" s="2">
        <v>46275</v>
      </c>
      <c r="AP1179" s="1" t="s">
        <v>551</v>
      </c>
      <c r="AQ1179" s="2">
        <v>46276</v>
      </c>
      <c r="AR1179" s="1" t="s">
        <v>559</v>
      </c>
      <c r="AS1179" s="1" t="s">
        <v>71</v>
      </c>
      <c r="AU1179" s="1" t="s">
        <v>79</v>
      </c>
      <c r="AV1179" s="1" t="s">
        <v>80</v>
      </c>
      <c r="AW1179" s="1">
        <v>23.4</v>
      </c>
      <c r="AX1179" s="1">
        <v>0</v>
      </c>
      <c r="AZ1179" s="1" t="s">
        <v>81</v>
      </c>
      <c r="BA1179" s="1">
        <v>4</v>
      </c>
      <c r="BB1179" s="1">
        <v>0</v>
      </c>
      <c r="BC1179" s="1">
        <v>0</v>
      </c>
      <c r="BE1179" s="1">
        <v>27188523</v>
      </c>
    </row>
    <row r="1180" spans="1:57" x14ac:dyDescent="0.25">
      <c r="A1180" s="1" t="str">
        <f>T("1944837537881855512")</f>
        <v>1944837537881855512</v>
      </c>
      <c r="B1180" s="1" t="str">
        <f>T("249995502100")</f>
        <v>249995502100</v>
      </c>
      <c r="C1180" s="1" t="str">
        <f>T("1941094502651397992")</f>
        <v>1941094502651397992</v>
      </c>
      <c r="AC1180" s="1" t="s">
        <v>104</v>
      </c>
      <c r="AD1180" s="1" t="s">
        <v>151</v>
      </c>
      <c r="AE1180" s="1" t="s">
        <v>392</v>
      </c>
      <c r="AF1180" s="1" t="s">
        <v>144</v>
      </c>
      <c r="AG1180" s="1">
        <v>30</v>
      </c>
      <c r="AO1180" s="2">
        <v>46275</v>
      </c>
      <c r="AP1180" s="1" t="s">
        <v>551</v>
      </c>
      <c r="AS1180" s="1" t="s">
        <v>71</v>
      </c>
      <c r="AU1180" s="1" t="s">
        <v>72</v>
      </c>
      <c r="AV1180" s="1" t="s">
        <v>73</v>
      </c>
      <c r="AX1180" s="1">
        <v>0</v>
      </c>
      <c r="BA1180" s="1">
        <v>9</v>
      </c>
      <c r="BB1180" s="1">
        <v>0</v>
      </c>
      <c r="BC1180" s="1">
        <v>0</v>
      </c>
      <c r="BE1180" s="1">
        <v>27188523</v>
      </c>
    </row>
    <row r="1181" spans="1:57" x14ac:dyDescent="0.25">
      <c r="A1181" s="1" t="str">
        <f>T("1944837537890245928")</f>
        <v>1944837537890245928</v>
      </c>
      <c r="B1181" s="1" t="str">
        <f>T("249127488421")</f>
        <v>249127488421</v>
      </c>
      <c r="C1181" s="1" t="str">
        <f>T("1941094502651398392")</f>
        <v>1941094502651398392</v>
      </c>
      <c r="AC1181" s="1" t="s">
        <v>104</v>
      </c>
      <c r="AD1181" s="1" t="s">
        <v>151</v>
      </c>
      <c r="AE1181" s="1" t="s">
        <v>392</v>
      </c>
      <c r="AF1181" s="1" t="s">
        <v>144</v>
      </c>
      <c r="AG1181" s="1">
        <v>26</v>
      </c>
      <c r="AO1181" s="2">
        <v>46275</v>
      </c>
      <c r="AP1181" s="1" t="s">
        <v>551</v>
      </c>
      <c r="AQ1181" s="2">
        <v>46275</v>
      </c>
      <c r="AR1181" s="1" t="s">
        <v>560</v>
      </c>
      <c r="AS1181" s="1" t="s">
        <v>71</v>
      </c>
      <c r="AU1181" s="1" t="s">
        <v>79</v>
      </c>
      <c r="AV1181" s="1" t="s">
        <v>80</v>
      </c>
      <c r="AW1181" s="1">
        <v>19.899999999999999</v>
      </c>
      <c r="AX1181" s="1">
        <v>0</v>
      </c>
      <c r="AZ1181" s="1" t="s">
        <v>81</v>
      </c>
      <c r="BA1181" s="1">
        <v>1</v>
      </c>
      <c r="BB1181" s="1">
        <v>0</v>
      </c>
      <c r="BC1181" s="1">
        <v>0</v>
      </c>
      <c r="BE1181" s="1">
        <v>27188523</v>
      </c>
    </row>
    <row r="1182" spans="1:57" x14ac:dyDescent="0.25">
      <c r="A1182" s="1" t="str">
        <f>T("1944837537907022560")</f>
        <v>1944837537907022560</v>
      </c>
      <c r="B1182" s="1" t="str">
        <f>T("249907129210")</f>
        <v>249907129210</v>
      </c>
      <c r="C1182" s="1" t="str">
        <f>T("1941094502651398892")</f>
        <v>1941094502651398892</v>
      </c>
      <c r="AC1182" s="1" t="s">
        <v>104</v>
      </c>
      <c r="AD1182" s="1" t="s">
        <v>151</v>
      </c>
      <c r="AE1182" s="1" t="s">
        <v>392</v>
      </c>
      <c r="AF1182" s="1" t="s">
        <v>144</v>
      </c>
      <c r="AG1182" s="1">
        <v>34</v>
      </c>
      <c r="AO1182" s="2">
        <v>46275</v>
      </c>
      <c r="AP1182" s="1" t="s">
        <v>551</v>
      </c>
      <c r="AS1182" s="1" t="s">
        <v>71</v>
      </c>
      <c r="AU1182" s="1" t="s">
        <v>72</v>
      </c>
      <c r="AV1182" s="1" t="s">
        <v>437</v>
      </c>
      <c r="AX1182" s="1">
        <v>0</v>
      </c>
      <c r="BA1182" s="1">
        <v>9</v>
      </c>
      <c r="BB1182" s="1">
        <v>0</v>
      </c>
      <c r="BC1182" s="1">
        <v>0</v>
      </c>
      <c r="BE1182" s="1">
        <v>27188523</v>
      </c>
    </row>
    <row r="1183" spans="1:57" x14ac:dyDescent="0.25">
      <c r="A1183" s="1" t="str">
        <f>T("1944837537923800392")</f>
        <v>1944837537923800392</v>
      </c>
      <c r="B1183" s="1" t="str">
        <f>T("249117689720")</f>
        <v>249117689720</v>
      </c>
      <c r="C1183" s="1" t="str">
        <f>T("1941094502651399492")</f>
        <v>1941094502651399492</v>
      </c>
      <c r="AA1183" s="1">
        <v>1</v>
      </c>
      <c r="AC1183" s="1" t="s">
        <v>104</v>
      </c>
      <c r="AD1183" s="1" t="s">
        <v>151</v>
      </c>
      <c r="AE1183" s="1" t="s">
        <v>392</v>
      </c>
      <c r="AF1183" s="1" t="s">
        <v>144</v>
      </c>
      <c r="AG1183" s="1">
        <v>18</v>
      </c>
      <c r="AO1183" s="2">
        <v>46275</v>
      </c>
      <c r="AP1183" s="1" t="s">
        <v>551</v>
      </c>
      <c r="AQ1183" s="2">
        <v>46275</v>
      </c>
      <c r="AR1183" s="1" t="s">
        <v>561</v>
      </c>
      <c r="AS1183" s="1" t="s">
        <v>71</v>
      </c>
      <c r="AU1183" s="1" t="s">
        <v>79</v>
      </c>
      <c r="AV1183" s="1" t="s">
        <v>80</v>
      </c>
      <c r="AW1183" s="1">
        <v>65.459999999999994</v>
      </c>
      <c r="AX1183" s="1">
        <v>0</v>
      </c>
      <c r="AZ1183" s="1" t="s">
        <v>81</v>
      </c>
      <c r="BA1183" s="1">
        <v>1</v>
      </c>
      <c r="BB1183" s="1">
        <v>0</v>
      </c>
      <c r="BC1183" s="1">
        <v>0</v>
      </c>
      <c r="BE1183" s="1">
        <v>27188523</v>
      </c>
    </row>
    <row r="1184" spans="1:57" x14ac:dyDescent="0.25">
      <c r="A1184" s="1" t="str">
        <f>T("1944837537961548964")</f>
        <v>1944837537961548964</v>
      </c>
      <c r="B1184" s="1" t="str">
        <f>T("249924518755")</f>
        <v>249924518755</v>
      </c>
      <c r="C1184" s="1" t="str">
        <f>T("1941094502651399992")</f>
        <v>1941094502651399992</v>
      </c>
      <c r="AC1184" s="1" t="s">
        <v>104</v>
      </c>
      <c r="AD1184" s="1" t="s">
        <v>151</v>
      </c>
      <c r="AE1184" s="1" t="s">
        <v>392</v>
      </c>
      <c r="AF1184" s="1" t="s">
        <v>144</v>
      </c>
      <c r="AG1184" s="1">
        <v>28</v>
      </c>
      <c r="AO1184" s="2">
        <v>46275</v>
      </c>
      <c r="AP1184" s="1" t="s">
        <v>551</v>
      </c>
      <c r="AS1184" s="1" t="s">
        <v>71</v>
      </c>
      <c r="AU1184" s="1" t="s">
        <v>72</v>
      </c>
      <c r="AV1184" s="1" t="s">
        <v>73</v>
      </c>
      <c r="AX1184" s="1">
        <v>0</v>
      </c>
      <c r="BA1184" s="1">
        <v>9</v>
      </c>
      <c r="BB1184" s="1">
        <v>0</v>
      </c>
      <c r="BC1184" s="1">
        <v>0</v>
      </c>
      <c r="BE1184" s="1">
        <v>27188523</v>
      </c>
    </row>
    <row r="1185" spans="1:57" x14ac:dyDescent="0.25">
      <c r="A1185" s="1" t="str">
        <f>T("1944837538011878560")</f>
        <v>1944837538011878560</v>
      </c>
      <c r="B1185" s="1" t="str">
        <f>T("249127149862")</f>
        <v>249127149862</v>
      </c>
      <c r="C1185" s="1" t="str">
        <f>T("1941094502655590800")</f>
        <v>1941094502655590800</v>
      </c>
      <c r="AA1185" s="1">
        <v>1</v>
      </c>
      <c r="AC1185" s="1" t="s">
        <v>104</v>
      </c>
      <c r="AD1185" s="1" t="s">
        <v>151</v>
      </c>
      <c r="AE1185" s="1" t="s">
        <v>392</v>
      </c>
      <c r="AF1185" s="1" t="s">
        <v>144</v>
      </c>
      <c r="AG1185" s="1">
        <v>22</v>
      </c>
      <c r="AO1185" s="2">
        <v>46275</v>
      </c>
      <c r="AP1185" s="1" t="s">
        <v>551</v>
      </c>
      <c r="AQ1185" s="2">
        <v>46276</v>
      </c>
      <c r="AR1185" s="1" t="s">
        <v>562</v>
      </c>
      <c r="AS1185" s="1" t="s">
        <v>71</v>
      </c>
      <c r="AU1185" s="1" t="s">
        <v>79</v>
      </c>
      <c r="AV1185" s="1" t="s">
        <v>80</v>
      </c>
      <c r="AW1185" s="1">
        <v>63.2</v>
      </c>
      <c r="AX1185" s="1">
        <v>0</v>
      </c>
      <c r="AZ1185" s="1" t="s">
        <v>81</v>
      </c>
      <c r="BA1185" s="1">
        <v>4</v>
      </c>
      <c r="BB1185" s="1">
        <v>0</v>
      </c>
      <c r="BC1185" s="1">
        <v>0</v>
      </c>
      <c r="BE1185" s="1">
        <v>27188523</v>
      </c>
    </row>
    <row r="1186" spans="1:57" x14ac:dyDescent="0.25">
      <c r="A1186" s="1" t="str">
        <f>T("1944837538104155036")</f>
        <v>1944837538104155036</v>
      </c>
      <c r="B1186" s="1" t="str">
        <f>T("249122604391")</f>
        <v>249122604391</v>
      </c>
      <c r="C1186" s="1" t="str">
        <f>T("1941094502655592300")</f>
        <v>1941094502655592300</v>
      </c>
      <c r="AC1186" s="1" t="s">
        <v>104</v>
      </c>
      <c r="AD1186" s="1" t="s">
        <v>151</v>
      </c>
      <c r="AE1186" s="1" t="s">
        <v>392</v>
      </c>
      <c r="AF1186" s="1" t="s">
        <v>144</v>
      </c>
      <c r="AG1186" s="1">
        <v>23</v>
      </c>
      <c r="AO1186" s="2">
        <v>46275</v>
      </c>
      <c r="AP1186" s="1" t="s">
        <v>551</v>
      </c>
      <c r="AS1186" s="1" t="s">
        <v>71</v>
      </c>
      <c r="AU1186" s="1" t="s">
        <v>72</v>
      </c>
      <c r="AV1186" s="1" t="s">
        <v>73</v>
      </c>
      <c r="AX1186" s="1">
        <v>0</v>
      </c>
      <c r="BA1186" s="1">
        <v>9</v>
      </c>
      <c r="BB1186" s="1">
        <v>0</v>
      </c>
      <c r="BC1186" s="1">
        <v>0</v>
      </c>
      <c r="BE1186" s="1">
        <v>27188523</v>
      </c>
    </row>
    <row r="1187" spans="1:57" x14ac:dyDescent="0.25">
      <c r="A1187" s="1" t="str">
        <f>T("1944837538116737060")</f>
        <v>1944837538116737060</v>
      </c>
      <c r="B1187" s="1" t="str">
        <f>T("249122504391")</f>
        <v>249122504391</v>
      </c>
      <c r="C1187" s="1" t="str">
        <f>T("1941094502655591300")</f>
        <v>1941094502655591300</v>
      </c>
      <c r="M1187" s="1" t="s">
        <v>59</v>
      </c>
      <c r="O1187" s="1" t="s">
        <v>60</v>
      </c>
      <c r="P1187" s="1" t="s">
        <v>83</v>
      </c>
      <c r="Q1187" s="1" t="s">
        <v>112</v>
      </c>
      <c r="R1187" s="1" t="s">
        <v>93</v>
      </c>
      <c r="T1187" s="1" t="s">
        <v>119</v>
      </c>
      <c r="U1187" s="1" t="s">
        <v>65</v>
      </c>
      <c r="V1187" s="1" t="s">
        <v>66</v>
      </c>
      <c r="W1187" s="1" t="s">
        <v>60</v>
      </c>
      <c r="X1187" s="1" t="s">
        <v>66</v>
      </c>
      <c r="Y1187" s="1" t="s">
        <v>160</v>
      </c>
      <c r="AA1187" s="1">
        <v>1</v>
      </c>
      <c r="AB1187" s="1">
        <v>1</v>
      </c>
      <c r="AC1187" s="1" t="s">
        <v>104</v>
      </c>
      <c r="AD1187" s="1" t="s">
        <v>151</v>
      </c>
      <c r="AE1187" s="1" t="s">
        <v>392</v>
      </c>
      <c r="AF1187" s="1" t="s">
        <v>144</v>
      </c>
      <c r="AG1187" s="1">
        <v>25</v>
      </c>
      <c r="AO1187" s="2">
        <v>46275</v>
      </c>
      <c r="AP1187" s="1" t="s">
        <v>551</v>
      </c>
      <c r="AQ1187" s="2">
        <v>46275</v>
      </c>
      <c r="AR1187" s="1" t="s">
        <v>563</v>
      </c>
      <c r="AS1187" s="1" t="s">
        <v>71</v>
      </c>
      <c r="AU1187" s="1" t="s">
        <v>78</v>
      </c>
      <c r="AV1187" s="1" t="s">
        <v>80</v>
      </c>
      <c r="AW1187" s="1">
        <v>241.64</v>
      </c>
      <c r="AX1187" s="1">
        <v>0</v>
      </c>
      <c r="AZ1187" s="1" t="s">
        <v>81</v>
      </c>
      <c r="BA1187" s="1">
        <v>3</v>
      </c>
      <c r="BB1187" s="1">
        <v>0</v>
      </c>
      <c r="BC1187" s="1">
        <v>0</v>
      </c>
      <c r="BE1187" s="1">
        <v>27188523</v>
      </c>
    </row>
    <row r="1188" spans="1:57" x14ac:dyDescent="0.25">
      <c r="A1188" s="1" t="str">
        <f>T("1944837538167068456")</f>
        <v>1944837538167068456</v>
      </c>
      <c r="B1188" s="1" t="str">
        <f>T("249921416525")</f>
        <v>249921416525</v>
      </c>
      <c r="C1188" s="1" t="str">
        <f>T("1941094502659786208")</f>
        <v>1941094502659786208</v>
      </c>
      <c r="M1188" s="1" t="s">
        <v>59</v>
      </c>
      <c r="O1188" s="1" t="s">
        <v>65</v>
      </c>
      <c r="P1188" s="1" t="s">
        <v>83</v>
      </c>
      <c r="Q1188" s="1" t="s">
        <v>101</v>
      </c>
      <c r="R1188" s="1" t="s">
        <v>63</v>
      </c>
      <c r="S1188" s="1" t="s">
        <v>94</v>
      </c>
      <c r="U1188" s="1" t="s">
        <v>60</v>
      </c>
      <c r="V1188" s="1" t="s">
        <v>103</v>
      </c>
      <c r="W1188" s="1" t="s">
        <v>60</v>
      </c>
      <c r="X1188" s="1" t="s">
        <v>103</v>
      </c>
      <c r="Y1188" s="1" t="s">
        <v>69</v>
      </c>
      <c r="AA1188" s="1">
        <v>1</v>
      </c>
      <c r="AB1188" s="1">
        <v>1</v>
      </c>
      <c r="AC1188" s="1" t="s">
        <v>104</v>
      </c>
      <c r="AD1188" s="1" t="s">
        <v>151</v>
      </c>
      <c r="AE1188" s="1" t="s">
        <v>392</v>
      </c>
      <c r="AF1188" s="1" t="s">
        <v>144</v>
      </c>
      <c r="AG1188" s="1">
        <v>20</v>
      </c>
      <c r="AO1188" s="2">
        <v>46275</v>
      </c>
      <c r="AP1188" s="1" t="s">
        <v>551</v>
      </c>
      <c r="AQ1188" s="2">
        <v>46275</v>
      </c>
      <c r="AR1188" s="1" t="s">
        <v>564</v>
      </c>
      <c r="AS1188" s="1" t="s">
        <v>71</v>
      </c>
      <c r="AU1188" s="1" t="s">
        <v>78</v>
      </c>
      <c r="AV1188" s="1" t="s">
        <v>80</v>
      </c>
      <c r="AW1188" s="1">
        <v>224.06</v>
      </c>
      <c r="AX1188" s="1">
        <v>0</v>
      </c>
      <c r="AZ1188" s="1" t="s">
        <v>81</v>
      </c>
      <c r="BA1188" s="1">
        <v>2</v>
      </c>
      <c r="BB1188" s="1">
        <v>0</v>
      </c>
      <c r="BC1188" s="1">
        <v>0</v>
      </c>
      <c r="BE1188" s="1">
        <v>27188523</v>
      </c>
    </row>
    <row r="1189" spans="1:57" x14ac:dyDescent="0.25">
      <c r="A1189" s="1" t="str">
        <f>T("1944837538213206344")</f>
        <v>1944837538213206344</v>
      </c>
      <c r="B1189" s="1" t="str">
        <f>T("249990687324")</f>
        <v>249990687324</v>
      </c>
      <c r="C1189" s="1" t="str">
        <f>T("1941094502663981416")</f>
        <v>1941094502663981416</v>
      </c>
      <c r="AC1189" s="1" t="s">
        <v>104</v>
      </c>
      <c r="AD1189" s="1" t="s">
        <v>151</v>
      </c>
      <c r="AE1189" s="1" t="s">
        <v>392</v>
      </c>
      <c r="AF1189" s="1" t="s">
        <v>144</v>
      </c>
      <c r="AG1189" s="1">
        <v>31</v>
      </c>
      <c r="AO1189" s="2">
        <v>46275</v>
      </c>
      <c r="AP1189" s="1" t="s">
        <v>551</v>
      </c>
      <c r="AQ1189" s="2">
        <v>46275</v>
      </c>
      <c r="AR1189" s="1" t="s">
        <v>565</v>
      </c>
      <c r="AS1189" s="1" t="s">
        <v>71</v>
      </c>
      <c r="AU1189" s="1" t="s">
        <v>79</v>
      </c>
      <c r="AV1189" s="1" t="s">
        <v>80</v>
      </c>
      <c r="AW1189" s="1">
        <v>25.84</v>
      </c>
      <c r="AX1189" s="1">
        <v>0</v>
      </c>
      <c r="AZ1189" s="1" t="s">
        <v>81</v>
      </c>
      <c r="BA1189" s="1">
        <v>1</v>
      </c>
      <c r="BB1189" s="1">
        <v>0</v>
      </c>
      <c r="BC1189" s="1">
        <v>0</v>
      </c>
      <c r="BE1189" s="1">
        <v>27188523</v>
      </c>
    </row>
    <row r="1190" spans="1:57" x14ac:dyDescent="0.25">
      <c r="A1190" s="1" t="str">
        <f>T("1944837538322255952")</f>
        <v>1944837538322255952</v>
      </c>
      <c r="B1190" s="1" t="str">
        <f>T("249122602498")</f>
        <v>249122602498</v>
      </c>
      <c r="C1190" s="1" t="str">
        <f>T("1941094502668174024")</f>
        <v>1941094502668174024</v>
      </c>
      <c r="AA1190" s="1">
        <v>1</v>
      </c>
      <c r="AC1190" s="1" t="s">
        <v>104</v>
      </c>
      <c r="AD1190" s="1" t="s">
        <v>151</v>
      </c>
      <c r="AE1190" s="1" t="s">
        <v>392</v>
      </c>
      <c r="AF1190" s="1" t="s">
        <v>144</v>
      </c>
      <c r="AG1190" s="1">
        <v>22</v>
      </c>
      <c r="AO1190" s="2">
        <v>46275</v>
      </c>
      <c r="AP1190" s="1" t="s">
        <v>551</v>
      </c>
      <c r="AQ1190" s="2">
        <v>46275</v>
      </c>
      <c r="AR1190" s="1" t="s">
        <v>554</v>
      </c>
      <c r="AS1190" s="1" t="s">
        <v>71</v>
      </c>
      <c r="AU1190" s="1" t="s">
        <v>79</v>
      </c>
      <c r="AV1190" s="1" t="s">
        <v>80</v>
      </c>
      <c r="AW1190" s="1">
        <v>40.200000000000003</v>
      </c>
      <c r="AX1190" s="1">
        <v>0</v>
      </c>
      <c r="AZ1190" s="1" t="s">
        <v>81</v>
      </c>
      <c r="BA1190" s="1">
        <v>1</v>
      </c>
      <c r="BB1190" s="1">
        <v>0</v>
      </c>
      <c r="BC1190" s="1">
        <v>0</v>
      </c>
      <c r="BE1190" s="1">
        <v>27188523</v>
      </c>
    </row>
    <row r="1191" spans="1:57" x14ac:dyDescent="0.25">
      <c r="A1191" s="1" t="str">
        <f>T("1944837538330646368")</f>
        <v>1944837538330646368</v>
      </c>
      <c r="B1191" s="1" t="str">
        <f>T("249115555163")</f>
        <v>249115555163</v>
      </c>
      <c r="C1191" s="1" t="str">
        <f>T("1941094502668174424")</f>
        <v>1941094502668174424</v>
      </c>
      <c r="AC1191" s="1" t="s">
        <v>104</v>
      </c>
      <c r="AD1191" s="1" t="s">
        <v>151</v>
      </c>
      <c r="AE1191" s="1" t="s">
        <v>392</v>
      </c>
      <c r="AF1191" s="1" t="s">
        <v>144</v>
      </c>
      <c r="AG1191" s="1">
        <v>30</v>
      </c>
      <c r="AO1191" s="2">
        <v>46275</v>
      </c>
      <c r="AP1191" s="1" t="s">
        <v>551</v>
      </c>
      <c r="AS1191" s="1" t="s">
        <v>71</v>
      </c>
      <c r="AU1191" s="1" t="s">
        <v>72</v>
      </c>
      <c r="AV1191" s="1" t="s">
        <v>73</v>
      </c>
      <c r="AX1191" s="1">
        <v>0</v>
      </c>
      <c r="BA1191" s="1">
        <v>9</v>
      </c>
      <c r="BB1191" s="1">
        <v>0</v>
      </c>
      <c r="BC1191" s="1">
        <v>0</v>
      </c>
      <c r="BE1191" s="1">
        <v>27188523</v>
      </c>
    </row>
    <row r="1192" spans="1:57" x14ac:dyDescent="0.25">
      <c r="A1192" s="1" t="str">
        <f>T("1944837538372589448")</f>
        <v>1944837538372589448</v>
      </c>
      <c r="B1192" s="1" t="str">
        <f>T("249111955517")</f>
        <v>249111955517</v>
      </c>
      <c r="C1192" s="1" t="str">
        <f>T("1941094502668174924")</f>
        <v>1941094502668174924</v>
      </c>
      <c r="AA1192" s="1">
        <v>1</v>
      </c>
      <c r="AC1192" s="1" t="s">
        <v>104</v>
      </c>
      <c r="AD1192" s="1" t="s">
        <v>151</v>
      </c>
      <c r="AE1192" s="1" t="s">
        <v>392</v>
      </c>
      <c r="AF1192" s="1" t="s">
        <v>144</v>
      </c>
      <c r="AG1192" s="1">
        <v>33</v>
      </c>
      <c r="AO1192" s="2">
        <v>46275</v>
      </c>
      <c r="AP1192" s="1" t="s">
        <v>551</v>
      </c>
      <c r="AQ1192" s="2">
        <v>46276</v>
      </c>
      <c r="AR1192" s="1" t="s">
        <v>566</v>
      </c>
      <c r="AS1192" s="1" t="s">
        <v>71</v>
      </c>
      <c r="AU1192" s="1" t="s">
        <v>79</v>
      </c>
      <c r="AV1192" s="1" t="s">
        <v>80</v>
      </c>
      <c r="AW1192" s="1">
        <v>64.22</v>
      </c>
      <c r="AX1192" s="1">
        <v>0</v>
      </c>
      <c r="AZ1192" s="1" t="s">
        <v>81</v>
      </c>
      <c r="BA1192" s="1">
        <v>4</v>
      </c>
      <c r="BB1192" s="1">
        <v>0</v>
      </c>
      <c r="BC1192" s="1">
        <v>0</v>
      </c>
      <c r="BE1192" s="1">
        <v>27188523</v>
      </c>
    </row>
    <row r="1193" spans="1:57" x14ac:dyDescent="0.25">
      <c r="A1193" s="1" t="str">
        <f>T("1944837538380977364")</f>
        <v>1944837538380977364</v>
      </c>
      <c r="B1193" s="1" t="str">
        <f>T("249121093363")</f>
        <v>249121093363</v>
      </c>
      <c r="C1193" s="1" t="str">
        <f>T("1941094502672367732")</f>
        <v>1941094502672367732</v>
      </c>
      <c r="AC1193" s="1" t="s">
        <v>104</v>
      </c>
      <c r="AD1193" s="1" t="s">
        <v>151</v>
      </c>
      <c r="AE1193" s="1" t="s">
        <v>392</v>
      </c>
      <c r="AF1193" s="1" t="s">
        <v>144</v>
      </c>
      <c r="AG1193" s="1">
        <v>34</v>
      </c>
      <c r="AO1193" s="2">
        <v>46275</v>
      </c>
      <c r="AP1193" s="1" t="s">
        <v>551</v>
      </c>
      <c r="AS1193" s="1" t="s">
        <v>71</v>
      </c>
      <c r="AU1193" s="1" t="s">
        <v>72</v>
      </c>
      <c r="AV1193" s="1" t="s">
        <v>73</v>
      </c>
      <c r="AX1193" s="1">
        <v>0</v>
      </c>
      <c r="BA1193" s="1">
        <v>9</v>
      </c>
      <c r="BB1193" s="1">
        <v>0</v>
      </c>
      <c r="BC1193" s="1">
        <v>0</v>
      </c>
      <c r="BE1193" s="1">
        <v>27188523</v>
      </c>
    </row>
    <row r="1194" spans="1:57" x14ac:dyDescent="0.25">
      <c r="A1194" s="1" t="str">
        <f>T("1944837538401947804")</f>
        <v>1944837538401947804</v>
      </c>
      <c r="B1194" s="1" t="str">
        <f>T("249118582821")</f>
        <v>249118582821</v>
      </c>
      <c r="C1194" s="1" t="str">
        <f>T("1941094502676563440")</f>
        <v>1941094502676563440</v>
      </c>
      <c r="AC1194" s="1" t="s">
        <v>104</v>
      </c>
      <c r="AD1194" s="1" t="s">
        <v>151</v>
      </c>
      <c r="AE1194" s="1" t="s">
        <v>392</v>
      </c>
      <c r="AF1194" s="1" t="s">
        <v>144</v>
      </c>
      <c r="AG1194" s="1">
        <v>38</v>
      </c>
      <c r="AO1194" s="2">
        <v>46275</v>
      </c>
      <c r="AP1194" s="1" t="s">
        <v>551</v>
      </c>
      <c r="AQ1194" s="2">
        <v>46275</v>
      </c>
      <c r="AR1194" s="1" t="s">
        <v>554</v>
      </c>
      <c r="AS1194" s="1" t="s">
        <v>71</v>
      </c>
      <c r="AU1194" s="1" t="s">
        <v>79</v>
      </c>
      <c r="AV1194" s="1" t="s">
        <v>80</v>
      </c>
      <c r="AW1194" s="1">
        <v>36.92</v>
      </c>
      <c r="AX1194" s="1">
        <v>0</v>
      </c>
      <c r="AZ1194" s="1" t="s">
        <v>81</v>
      </c>
      <c r="BA1194" s="1">
        <v>1</v>
      </c>
      <c r="BB1194" s="1">
        <v>0</v>
      </c>
      <c r="BC1194" s="1">
        <v>0</v>
      </c>
      <c r="BE1194" s="1">
        <v>27188523</v>
      </c>
    </row>
    <row r="1195" spans="1:57" x14ac:dyDescent="0.25">
      <c r="A1195" s="1" t="str">
        <f>T("1944837538401947805")</f>
        <v>1944837538401947805</v>
      </c>
      <c r="B1195" s="1" t="str">
        <f>T("249125210199")</f>
        <v>249125210199</v>
      </c>
      <c r="C1195" s="1" t="str">
        <f>T("1941094502672369932")</f>
        <v>1941094502672369932</v>
      </c>
      <c r="AC1195" s="1" t="s">
        <v>104</v>
      </c>
      <c r="AD1195" s="1" t="s">
        <v>151</v>
      </c>
      <c r="AE1195" s="1" t="s">
        <v>392</v>
      </c>
      <c r="AF1195" s="1" t="s">
        <v>144</v>
      </c>
      <c r="AG1195" s="1">
        <v>35</v>
      </c>
      <c r="AO1195" s="2">
        <v>46275</v>
      </c>
      <c r="AP1195" s="1" t="s">
        <v>551</v>
      </c>
      <c r="AQ1195" s="2">
        <v>46275</v>
      </c>
      <c r="AR1195" s="1" t="s">
        <v>567</v>
      </c>
      <c r="AS1195" s="1" t="s">
        <v>71</v>
      </c>
      <c r="AU1195" s="1" t="s">
        <v>79</v>
      </c>
      <c r="AV1195" s="1" t="s">
        <v>80</v>
      </c>
      <c r="AW1195" s="1">
        <v>7.36</v>
      </c>
      <c r="AX1195" s="1">
        <v>0</v>
      </c>
      <c r="AZ1195" s="1" t="s">
        <v>81</v>
      </c>
      <c r="BA1195" s="1">
        <v>1</v>
      </c>
      <c r="BB1195" s="1">
        <v>0</v>
      </c>
      <c r="BC1195" s="1">
        <v>0</v>
      </c>
      <c r="BE1195" s="1">
        <v>27188523</v>
      </c>
    </row>
    <row r="1196" spans="1:57" x14ac:dyDescent="0.25">
      <c r="A1196" s="1" t="str">
        <f>T("1944837538435504368")</f>
        <v>1944837538435504368</v>
      </c>
      <c r="B1196" s="1" t="str">
        <f>T("249129457459")</f>
        <v>249129457459</v>
      </c>
      <c r="C1196" s="1" t="str">
        <f>T("1941094502676564040")</f>
        <v>1941094502676564040</v>
      </c>
      <c r="M1196" s="1" t="s">
        <v>133</v>
      </c>
      <c r="N1196" s="1" t="s">
        <v>60</v>
      </c>
      <c r="O1196" s="1" t="s">
        <v>60</v>
      </c>
      <c r="P1196" s="1" t="s">
        <v>91</v>
      </c>
      <c r="Q1196" s="1" t="s">
        <v>112</v>
      </c>
      <c r="R1196" s="1" t="s">
        <v>93</v>
      </c>
      <c r="T1196" s="1" t="s">
        <v>95</v>
      </c>
      <c r="U1196" s="1" t="s">
        <v>65</v>
      </c>
      <c r="V1196" s="1" t="s">
        <v>68</v>
      </c>
      <c r="W1196" s="1" t="s">
        <v>60</v>
      </c>
      <c r="X1196" s="1" t="s">
        <v>68</v>
      </c>
      <c r="Y1196" s="1" t="s">
        <v>160</v>
      </c>
      <c r="AA1196" s="1">
        <v>1</v>
      </c>
      <c r="AB1196" s="1">
        <v>1</v>
      </c>
      <c r="AC1196" s="1" t="s">
        <v>104</v>
      </c>
      <c r="AD1196" s="1" t="s">
        <v>151</v>
      </c>
      <c r="AE1196" s="1" t="s">
        <v>392</v>
      </c>
      <c r="AF1196" s="1" t="s">
        <v>144</v>
      </c>
      <c r="AG1196" s="1">
        <v>35</v>
      </c>
      <c r="AO1196" s="2">
        <v>46275</v>
      </c>
      <c r="AP1196" s="1" t="s">
        <v>551</v>
      </c>
      <c r="AQ1196" s="2">
        <v>46275</v>
      </c>
      <c r="AR1196" s="1" t="s">
        <v>568</v>
      </c>
      <c r="AS1196" s="1" t="s">
        <v>71</v>
      </c>
      <c r="AU1196" s="1" t="s">
        <v>78</v>
      </c>
      <c r="AV1196" s="1" t="s">
        <v>80</v>
      </c>
      <c r="AW1196" s="1">
        <v>232.6</v>
      </c>
      <c r="AX1196" s="1">
        <v>0</v>
      </c>
      <c r="AZ1196" s="1" t="s">
        <v>81</v>
      </c>
      <c r="BA1196" s="1">
        <v>1</v>
      </c>
      <c r="BB1196" s="1">
        <v>0</v>
      </c>
      <c r="BC1196" s="1">
        <v>0</v>
      </c>
      <c r="BE1196" s="1">
        <v>27188523</v>
      </c>
    </row>
    <row r="1197" spans="1:57" x14ac:dyDescent="0.25">
      <c r="A1197" s="1" t="str">
        <f>T("1944837538448085392")</f>
        <v>1944837538448085392</v>
      </c>
      <c r="B1197" s="1" t="str">
        <f>T("249116928331")</f>
        <v>249116928331</v>
      </c>
      <c r="C1197" s="1" t="str">
        <f>T("1941094502676564440")</f>
        <v>1941094502676564440</v>
      </c>
      <c r="AC1197" s="1" t="s">
        <v>104</v>
      </c>
      <c r="AD1197" s="1" t="s">
        <v>151</v>
      </c>
      <c r="AE1197" s="1" t="s">
        <v>392</v>
      </c>
      <c r="AF1197" s="1" t="s">
        <v>144</v>
      </c>
      <c r="AG1197" s="1">
        <v>33</v>
      </c>
      <c r="AO1197" s="2">
        <v>46275</v>
      </c>
      <c r="AP1197" s="1" t="s">
        <v>551</v>
      </c>
      <c r="AS1197" s="1" t="s">
        <v>71</v>
      </c>
      <c r="AU1197" s="1" t="s">
        <v>72</v>
      </c>
      <c r="AV1197" s="1" t="s">
        <v>73</v>
      </c>
      <c r="AX1197" s="1">
        <v>0</v>
      </c>
      <c r="BA1197" s="1">
        <v>9</v>
      </c>
      <c r="BB1197" s="1">
        <v>0</v>
      </c>
      <c r="BC1197" s="1">
        <v>0</v>
      </c>
      <c r="BE1197" s="1">
        <v>27188523</v>
      </c>
    </row>
    <row r="1198" spans="1:57" x14ac:dyDescent="0.25">
      <c r="A1198" s="1" t="str">
        <f>T("1944837538473252840")</f>
        <v>1944837538473252840</v>
      </c>
      <c r="B1198" s="1" t="str">
        <f>T("249121653285")</f>
        <v>249121653285</v>
      </c>
      <c r="C1198" s="1" t="str">
        <f>T("1941094502676565240")</f>
        <v>1941094502676565240</v>
      </c>
      <c r="AA1198" s="1">
        <v>1</v>
      </c>
      <c r="AC1198" s="1" t="s">
        <v>104</v>
      </c>
      <c r="AD1198" s="1" t="s">
        <v>151</v>
      </c>
      <c r="AE1198" s="1" t="s">
        <v>392</v>
      </c>
      <c r="AF1198" s="1" t="s">
        <v>144</v>
      </c>
      <c r="AG1198" s="1">
        <v>30</v>
      </c>
      <c r="AO1198" s="2">
        <v>46275</v>
      </c>
      <c r="AP1198" s="1" t="s">
        <v>551</v>
      </c>
      <c r="AQ1198" s="2">
        <v>46275</v>
      </c>
      <c r="AR1198" s="1" t="s">
        <v>569</v>
      </c>
      <c r="AS1198" s="1" t="s">
        <v>71</v>
      </c>
      <c r="AU1198" s="1" t="s">
        <v>78</v>
      </c>
      <c r="AV1198" s="1" t="s">
        <v>80</v>
      </c>
      <c r="AW1198" s="1">
        <v>134.54</v>
      </c>
      <c r="AX1198" s="1">
        <v>0</v>
      </c>
      <c r="AZ1198" s="1" t="s">
        <v>81</v>
      </c>
      <c r="BA1198" s="1">
        <v>1</v>
      </c>
      <c r="BB1198" s="1">
        <v>0</v>
      </c>
      <c r="BC1198" s="1">
        <v>0</v>
      </c>
      <c r="BE1198" s="1">
        <v>27188523</v>
      </c>
    </row>
    <row r="1199" spans="1:57" x14ac:dyDescent="0.25">
      <c r="A1199" s="1" t="str">
        <f>T("1944837538473252841")</f>
        <v>1944837538473252841</v>
      </c>
      <c r="B1199" s="1" t="str">
        <f>T("249918063583")</f>
        <v>249918063583</v>
      </c>
      <c r="C1199" s="1" t="str">
        <f>T("1941094502680759148")</f>
        <v>1941094502680759148</v>
      </c>
      <c r="AC1199" s="1" t="s">
        <v>104</v>
      </c>
      <c r="AD1199" s="1" t="s">
        <v>151</v>
      </c>
      <c r="AE1199" s="1" t="s">
        <v>392</v>
      </c>
      <c r="AF1199" s="1" t="s">
        <v>144</v>
      </c>
      <c r="AG1199" s="1">
        <v>20</v>
      </c>
      <c r="AO1199" s="2">
        <v>46275</v>
      </c>
      <c r="AP1199" s="1" t="s">
        <v>551</v>
      </c>
      <c r="AS1199" s="1" t="s">
        <v>71</v>
      </c>
      <c r="AU1199" s="1" t="s">
        <v>72</v>
      </c>
      <c r="AV1199" s="1" t="s">
        <v>437</v>
      </c>
      <c r="AX1199" s="1">
        <v>0</v>
      </c>
      <c r="BA1199" s="1">
        <v>9</v>
      </c>
      <c r="BB1199" s="1">
        <v>0</v>
      </c>
      <c r="BC1199" s="1">
        <v>0</v>
      </c>
      <c r="BE1199" s="1">
        <v>27188523</v>
      </c>
    </row>
    <row r="1200" spans="1:57" x14ac:dyDescent="0.25">
      <c r="A1200" s="1" t="str">
        <f>T("1944837538527780444")</f>
        <v>1944837538527780444</v>
      </c>
      <c r="B1200" s="1" t="str">
        <f>T("249111777920")</f>
        <v>249111777920</v>
      </c>
      <c r="C1200" s="1" t="str">
        <f>T("1941094502680759948")</f>
        <v>1941094502680759948</v>
      </c>
      <c r="AC1200" s="1" t="s">
        <v>104</v>
      </c>
      <c r="AD1200" s="1" t="s">
        <v>151</v>
      </c>
      <c r="AE1200" s="1" t="s">
        <v>392</v>
      </c>
      <c r="AF1200" s="1" t="s">
        <v>144</v>
      </c>
      <c r="AG1200" s="1">
        <v>21</v>
      </c>
      <c r="AO1200" s="2">
        <v>46275</v>
      </c>
      <c r="AP1200" s="1" t="s">
        <v>551</v>
      </c>
      <c r="AS1200" s="1" t="s">
        <v>71</v>
      </c>
      <c r="AU1200" s="1" t="s">
        <v>72</v>
      </c>
      <c r="AV1200" s="1" t="s">
        <v>115</v>
      </c>
      <c r="AX1200" s="1">
        <v>0</v>
      </c>
      <c r="BA1200" s="1">
        <v>9</v>
      </c>
      <c r="BB1200" s="1">
        <v>0</v>
      </c>
      <c r="BC1200" s="1">
        <v>0</v>
      </c>
      <c r="BE1200" s="1">
        <v>27188523</v>
      </c>
    </row>
    <row r="1201" spans="1:57" x14ac:dyDescent="0.25">
      <c r="A1201" s="1" t="str">
        <f>T("1944837538540360668")</f>
        <v>1944837538540360668</v>
      </c>
      <c r="B1201" s="1" t="str">
        <f>T("249116201094")</f>
        <v>249116201094</v>
      </c>
      <c r="C1201" s="1" t="str">
        <f>T("1941094502684950756")</f>
        <v>1941094502684950756</v>
      </c>
      <c r="AC1201" s="1" t="s">
        <v>104</v>
      </c>
      <c r="AD1201" s="1" t="s">
        <v>151</v>
      </c>
      <c r="AE1201" s="1" t="s">
        <v>392</v>
      </c>
      <c r="AF1201" s="1" t="s">
        <v>144</v>
      </c>
      <c r="AG1201" s="1">
        <v>28</v>
      </c>
      <c r="AO1201" s="2">
        <v>46275</v>
      </c>
      <c r="AP1201" s="1" t="s">
        <v>551</v>
      </c>
      <c r="AS1201" s="1" t="s">
        <v>71</v>
      </c>
      <c r="AU1201" s="1" t="s">
        <v>72</v>
      </c>
      <c r="AV1201" s="1" t="s">
        <v>412</v>
      </c>
      <c r="AX1201" s="1">
        <v>0</v>
      </c>
      <c r="BA1201" s="1">
        <v>9</v>
      </c>
      <c r="BB1201" s="1">
        <v>0</v>
      </c>
      <c r="BC1201" s="1">
        <v>0</v>
      </c>
      <c r="BE1201" s="1">
        <v>27188523</v>
      </c>
    </row>
    <row r="1202" spans="1:57" x14ac:dyDescent="0.25">
      <c r="A1202" s="1" t="str">
        <f>T("1944837538552944892")</f>
        <v>1944837538552944892</v>
      </c>
      <c r="B1202" s="1" t="str">
        <f>T("249122965649")</f>
        <v>249122965649</v>
      </c>
      <c r="C1202" s="1" t="str">
        <f>T("1941094502684951256")</f>
        <v>1941094502684951256</v>
      </c>
      <c r="M1202" s="1" t="s">
        <v>59</v>
      </c>
      <c r="O1202" s="1" t="s">
        <v>65</v>
      </c>
      <c r="P1202" s="1" t="s">
        <v>83</v>
      </c>
      <c r="Q1202" s="1" t="s">
        <v>92</v>
      </c>
      <c r="R1202" s="1" t="s">
        <v>93</v>
      </c>
      <c r="T1202" s="1" t="s">
        <v>95</v>
      </c>
      <c r="U1202" s="1" t="s">
        <v>65</v>
      </c>
      <c r="V1202" s="1" t="s">
        <v>66</v>
      </c>
      <c r="W1202" s="1" t="s">
        <v>67</v>
      </c>
      <c r="X1202" s="1" t="s">
        <v>66</v>
      </c>
      <c r="Y1202" s="1" t="s">
        <v>160</v>
      </c>
      <c r="AA1202" s="1">
        <v>1</v>
      </c>
      <c r="AB1202" s="1">
        <v>1</v>
      </c>
      <c r="AC1202" s="1" t="s">
        <v>104</v>
      </c>
      <c r="AD1202" s="1" t="s">
        <v>151</v>
      </c>
      <c r="AE1202" s="1" t="s">
        <v>392</v>
      </c>
      <c r="AF1202" s="1" t="s">
        <v>144</v>
      </c>
      <c r="AG1202" s="1">
        <v>32</v>
      </c>
      <c r="AO1202" s="2">
        <v>46275</v>
      </c>
      <c r="AP1202" s="1" t="s">
        <v>551</v>
      </c>
      <c r="AQ1202" s="2">
        <v>46276</v>
      </c>
      <c r="AR1202" s="1" t="s">
        <v>570</v>
      </c>
      <c r="AS1202" s="1" t="s">
        <v>71</v>
      </c>
      <c r="AU1202" s="1" t="s">
        <v>78</v>
      </c>
      <c r="AV1202" s="1" t="s">
        <v>80</v>
      </c>
      <c r="AW1202" s="1">
        <v>224.6</v>
      </c>
      <c r="AX1202" s="1">
        <v>0</v>
      </c>
      <c r="AZ1202" s="1" t="s">
        <v>81</v>
      </c>
      <c r="BA1202" s="1">
        <v>6</v>
      </c>
      <c r="BB1202" s="1">
        <v>0</v>
      </c>
      <c r="BC1202" s="1">
        <v>0</v>
      </c>
      <c r="BE1202" s="1">
        <v>27188523</v>
      </c>
    </row>
    <row r="1203" spans="1:57" x14ac:dyDescent="0.25">
      <c r="A1203" s="1" t="str">
        <f>T("1944837538557138400")</f>
        <v>1944837538557138400</v>
      </c>
      <c r="B1203" s="1" t="str">
        <f>T("249919255130")</f>
        <v>249919255130</v>
      </c>
      <c r="C1203" s="1" t="str">
        <f>T("1941094502684951856")</f>
        <v>1941094502684951856</v>
      </c>
      <c r="AC1203" s="1" t="s">
        <v>104</v>
      </c>
      <c r="AD1203" s="1" t="s">
        <v>151</v>
      </c>
      <c r="AE1203" s="1" t="s">
        <v>392</v>
      </c>
      <c r="AF1203" s="1" t="s">
        <v>144</v>
      </c>
      <c r="AG1203" s="1">
        <v>29</v>
      </c>
      <c r="AO1203" s="2">
        <v>46275</v>
      </c>
      <c r="AP1203" s="1" t="s">
        <v>551</v>
      </c>
      <c r="AS1203" s="1" t="s">
        <v>71</v>
      </c>
      <c r="AU1203" s="1" t="s">
        <v>72</v>
      </c>
      <c r="AV1203" s="1" t="s">
        <v>73</v>
      </c>
      <c r="AX1203" s="1">
        <v>0</v>
      </c>
      <c r="BA1203" s="1">
        <v>9</v>
      </c>
      <c r="BB1203" s="1">
        <v>0</v>
      </c>
      <c r="BC1203" s="1">
        <v>0</v>
      </c>
      <c r="BE1203" s="1">
        <v>27188523</v>
      </c>
    </row>
    <row r="1204" spans="1:57" x14ac:dyDescent="0.25">
      <c r="A1204" s="1" t="str">
        <f>T("1944837538557140700")</f>
        <v>1944837538557140700</v>
      </c>
      <c r="B1204" s="1" t="str">
        <f>T("249122191121")</f>
        <v>249122191121</v>
      </c>
      <c r="C1204" s="1" t="str">
        <f>T("1941094502684952256")</f>
        <v>1941094502684952256</v>
      </c>
      <c r="AA1204" s="1">
        <v>1</v>
      </c>
      <c r="AC1204" s="1" t="s">
        <v>104</v>
      </c>
      <c r="AD1204" s="1" t="s">
        <v>151</v>
      </c>
      <c r="AE1204" s="1" t="s">
        <v>392</v>
      </c>
      <c r="AF1204" s="1" t="s">
        <v>144</v>
      </c>
      <c r="AG1204" s="1">
        <v>24</v>
      </c>
      <c r="AO1204" s="2">
        <v>46275</v>
      </c>
      <c r="AP1204" s="1" t="s">
        <v>551</v>
      </c>
      <c r="AQ1204" s="2">
        <v>46275</v>
      </c>
      <c r="AR1204" s="1" t="s">
        <v>571</v>
      </c>
      <c r="AS1204" s="1" t="s">
        <v>71</v>
      </c>
      <c r="AU1204" s="1" t="s">
        <v>79</v>
      </c>
      <c r="AV1204" s="1" t="s">
        <v>80</v>
      </c>
      <c r="AW1204" s="1">
        <v>65.540000000000006</v>
      </c>
      <c r="AX1204" s="1">
        <v>0</v>
      </c>
      <c r="AZ1204" s="1" t="s">
        <v>81</v>
      </c>
      <c r="BA1204" s="1">
        <v>1</v>
      </c>
      <c r="BB1204" s="1">
        <v>0</v>
      </c>
      <c r="BC1204" s="1">
        <v>0</v>
      </c>
      <c r="BE1204" s="1">
        <v>27188523</v>
      </c>
    </row>
    <row r="1205" spans="1:57" x14ac:dyDescent="0.25">
      <c r="A1205" s="1" t="str">
        <f>T("1944837538611664104")</f>
        <v>1944837538611664104</v>
      </c>
      <c r="B1205" s="1" t="str">
        <f>T("249910056201")</f>
        <v>249910056201</v>
      </c>
      <c r="C1205" s="1" t="str">
        <f>T("1941094502684953156")</f>
        <v>1941094502684953156</v>
      </c>
      <c r="AC1205" s="1" t="s">
        <v>104</v>
      </c>
      <c r="AD1205" s="1" t="s">
        <v>151</v>
      </c>
      <c r="AE1205" s="1" t="s">
        <v>392</v>
      </c>
      <c r="AF1205" s="1" t="s">
        <v>144</v>
      </c>
      <c r="AG1205" s="1">
        <v>18</v>
      </c>
      <c r="AO1205" s="2">
        <v>46275</v>
      </c>
      <c r="AP1205" s="1" t="s">
        <v>551</v>
      </c>
      <c r="AS1205" s="1" t="s">
        <v>71</v>
      </c>
      <c r="AU1205" s="1" t="s">
        <v>72</v>
      </c>
      <c r="AV1205" s="1" t="s">
        <v>73</v>
      </c>
      <c r="AX1205" s="1">
        <v>0</v>
      </c>
      <c r="BA1205" s="1">
        <v>9</v>
      </c>
      <c r="BB1205" s="1">
        <v>0</v>
      </c>
      <c r="BC1205" s="1">
        <v>0</v>
      </c>
      <c r="BE1205" s="1">
        <v>27188523</v>
      </c>
    </row>
    <row r="1206" spans="1:57" x14ac:dyDescent="0.25">
      <c r="A1206" s="1" t="str">
        <f>T("1944837538611664404")</f>
        <v>1944837538611664404</v>
      </c>
      <c r="B1206" s="1" t="str">
        <f>T("249913715766")</f>
        <v>249913715766</v>
      </c>
      <c r="C1206" s="1" t="str">
        <f>T("1941094502684954356")</f>
        <v>1941094502684954356</v>
      </c>
      <c r="AC1206" s="1" t="s">
        <v>104</v>
      </c>
      <c r="AD1206" s="1" t="s">
        <v>151</v>
      </c>
      <c r="AE1206" s="1" t="s">
        <v>392</v>
      </c>
      <c r="AF1206" s="1" t="s">
        <v>144</v>
      </c>
      <c r="AG1206" s="1">
        <v>26</v>
      </c>
      <c r="AO1206" s="2">
        <v>46275</v>
      </c>
      <c r="AP1206" s="1" t="s">
        <v>551</v>
      </c>
      <c r="AS1206" s="1" t="s">
        <v>71</v>
      </c>
      <c r="AU1206" s="1" t="s">
        <v>72</v>
      </c>
      <c r="AV1206" s="1" t="s">
        <v>73</v>
      </c>
      <c r="AX1206" s="1">
        <v>0</v>
      </c>
      <c r="BA1206" s="1">
        <v>9</v>
      </c>
      <c r="BB1206" s="1">
        <v>0</v>
      </c>
      <c r="BC1206" s="1">
        <v>0</v>
      </c>
      <c r="BE1206" s="1">
        <v>27188523</v>
      </c>
    </row>
    <row r="1207" spans="1:57" x14ac:dyDescent="0.25">
      <c r="A1207" s="1" t="str">
        <f>T("1944837538611666504")</f>
        <v>1944837538611666504</v>
      </c>
      <c r="B1207" s="1" t="str">
        <f>T("249128583682")</f>
        <v>249128583682</v>
      </c>
      <c r="C1207" s="1" t="str">
        <f>T("1941094502684953756")</f>
        <v>1941094502684953756</v>
      </c>
      <c r="AC1207" s="1" t="s">
        <v>104</v>
      </c>
      <c r="AD1207" s="1" t="s">
        <v>151</v>
      </c>
      <c r="AE1207" s="1" t="s">
        <v>392</v>
      </c>
      <c r="AF1207" s="1" t="s">
        <v>144</v>
      </c>
      <c r="AG1207" s="1">
        <v>36</v>
      </c>
      <c r="AO1207" s="2">
        <v>46275</v>
      </c>
      <c r="AP1207" s="1" t="s">
        <v>551</v>
      </c>
      <c r="AS1207" s="1" t="s">
        <v>71</v>
      </c>
      <c r="AU1207" s="1" t="s">
        <v>72</v>
      </c>
      <c r="AV1207" s="1" t="s">
        <v>73</v>
      </c>
      <c r="AX1207" s="1">
        <v>0</v>
      </c>
      <c r="BA1207" s="1">
        <v>9</v>
      </c>
      <c r="BB1207" s="1">
        <v>0</v>
      </c>
      <c r="BC1207" s="1">
        <v>0</v>
      </c>
      <c r="BE1207" s="1">
        <v>27188523</v>
      </c>
    </row>
    <row r="1208" spans="1:57" x14ac:dyDescent="0.25">
      <c r="A1208" s="1" t="str">
        <f>T("1944837538615857412")</f>
        <v>1944837538615857412</v>
      </c>
      <c r="B1208" s="1" t="str">
        <f>T("249128790990")</f>
        <v>249128790990</v>
      </c>
      <c r="C1208" s="1" t="str">
        <f>T("1941094502684952756")</f>
        <v>1941094502684952756</v>
      </c>
      <c r="AC1208" s="1" t="s">
        <v>104</v>
      </c>
      <c r="AD1208" s="1" t="s">
        <v>151</v>
      </c>
      <c r="AE1208" s="1" t="s">
        <v>392</v>
      </c>
      <c r="AF1208" s="1" t="s">
        <v>144</v>
      </c>
      <c r="AG1208" s="1">
        <v>18</v>
      </c>
      <c r="AO1208" s="2">
        <v>46275</v>
      </c>
      <c r="AP1208" s="1" t="s">
        <v>551</v>
      </c>
      <c r="AS1208" s="1" t="s">
        <v>71</v>
      </c>
      <c r="AU1208" s="1" t="s">
        <v>72</v>
      </c>
      <c r="AV1208" s="1" t="s">
        <v>73</v>
      </c>
      <c r="AX1208" s="1">
        <v>0</v>
      </c>
      <c r="BA1208" s="1">
        <v>9</v>
      </c>
      <c r="BB1208" s="1">
        <v>0</v>
      </c>
      <c r="BC1208" s="1">
        <v>0</v>
      </c>
      <c r="BE1208" s="1">
        <v>27188523</v>
      </c>
    </row>
    <row r="1209" spans="1:57" x14ac:dyDescent="0.25">
      <c r="A1209" s="1" t="str">
        <f>T("1944837538624249228")</f>
        <v>1944837538624249228</v>
      </c>
      <c r="B1209" s="1" t="str">
        <f>T("249912976793")</f>
        <v>249912976793</v>
      </c>
      <c r="C1209" s="1" t="str">
        <f>T("1941094502689145464")</f>
        <v>1941094502689145464</v>
      </c>
      <c r="AC1209" s="1" t="s">
        <v>104</v>
      </c>
      <c r="AD1209" s="1" t="s">
        <v>151</v>
      </c>
      <c r="AE1209" s="1" t="s">
        <v>392</v>
      </c>
      <c r="AF1209" s="1" t="s">
        <v>144</v>
      </c>
      <c r="AG1209" s="1">
        <v>27</v>
      </c>
      <c r="AO1209" s="2">
        <v>46275</v>
      </c>
      <c r="AP1209" s="1" t="s">
        <v>551</v>
      </c>
      <c r="AS1209" s="1" t="s">
        <v>71</v>
      </c>
      <c r="AU1209" s="1" t="s">
        <v>72</v>
      </c>
      <c r="AV1209" s="1" t="s">
        <v>437</v>
      </c>
      <c r="AX1209" s="1">
        <v>0</v>
      </c>
      <c r="BA1209" s="1">
        <v>9</v>
      </c>
      <c r="BB1209" s="1">
        <v>0</v>
      </c>
      <c r="BC1209" s="1">
        <v>0</v>
      </c>
      <c r="BE1209" s="1">
        <v>27188523</v>
      </c>
    </row>
    <row r="1210" spans="1:57" x14ac:dyDescent="0.25">
      <c r="A1210" s="1" t="str">
        <f>T("1944837538674580624")</f>
        <v>1944837538674580624</v>
      </c>
      <c r="B1210" s="1" t="str">
        <f>T("249113927488")</f>
        <v>249113927488</v>
      </c>
      <c r="C1210" s="1" t="str">
        <f>T("1941094502693339372")</f>
        <v>1941094502693339372</v>
      </c>
      <c r="AC1210" s="1" t="s">
        <v>104</v>
      </c>
      <c r="AD1210" s="1" t="s">
        <v>151</v>
      </c>
      <c r="AE1210" s="1" t="s">
        <v>392</v>
      </c>
      <c r="AF1210" s="1" t="s">
        <v>144</v>
      </c>
      <c r="AG1210" s="1">
        <v>21</v>
      </c>
      <c r="AO1210" s="2">
        <v>46275</v>
      </c>
      <c r="AP1210" s="1" t="s">
        <v>551</v>
      </c>
      <c r="AS1210" s="1" t="s">
        <v>71</v>
      </c>
      <c r="AU1210" s="1" t="s">
        <v>72</v>
      </c>
      <c r="AV1210" s="1" t="s">
        <v>73</v>
      </c>
      <c r="AX1210" s="1">
        <v>0</v>
      </c>
      <c r="BA1210" s="1">
        <v>9</v>
      </c>
      <c r="BB1210" s="1">
        <v>0</v>
      </c>
      <c r="BC1210" s="1">
        <v>0</v>
      </c>
      <c r="BE1210" s="1">
        <v>27188523</v>
      </c>
    </row>
    <row r="1211" spans="1:57" x14ac:dyDescent="0.25">
      <c r="A1211" s="1" t="str">
        <f>T("1944837538678773232")</f>
        <v>1944837538678773232</v>
      </c>
      <c r="B1211" s="1" t="str">
        <f>T("249123030827")</f>
        <v>249123030827</v>
      </c>
      <c r="C1211" s="1" t="str">
        <f>T("1941094502693339872")</f>
        <v>1941094502693339872</v>
      </c>
      <c r="AA1211" s="1">
        <v>1</v>
      </c>
      <c r="AC1211" s="1" t="s">
        <v>104</v>
      </c>
      <c r="AD1211" s="1" t="s">
        <v>151</v>
      </c>
      <c r="AE1211" s="1" t="s">
        <v>392</v>
      </c>
      <c r="AF1211" s="1" t="s">
        <v>144</v>
      </c>
      <c r="AG1211" s="1">
        <v>26</v>
      </c>
      <c r="AO1211" s="2">
        <v>46275</v>
      </c>
      <c r="AP1211" s="1" t="s">
        <v>551</v>
      </c>
      <c r="AQ1211" s="2">
        <v>46275</v>
      </c>
      <c r="AR1211" s="1" t="s">
        <v>572</v>
      </c>
      <c r="AS1211" s="1" t="s">
        <v>71</v>
      </c>
      <c r="AU1211" s="1" t="s">
        <v>79</v>
      </c>
      <c r="AV1211" s="1" t="s">
        <v>80</v>
      </c>
      <c r="AW1211" s="1">
        <v>58.9</v>
      </c>
      <c r="AX1211" s="1">
        <v>0</v>
      </c>
      <c r="AZ1211" s="1" t="s">
        <v>81</v>
      </c>
      <c r="BA1211" s="1">
        <v>1</v>
      </c>
      <c r="BB1211" s="1">
        <v>0</v>
      </c>
      <c r="BC1211" s="1">
        <v>0</v>
      </c>
      <c r="BE1211" s="1">
        <v>27188523</v>
      </c>
    </row>
    <row r="1212" spans="1:57" x14ac:dyDescent="0.25">
      <c r="A1212" s="1" t="str">
        <f>T("1944837538678774632")</f>
        <v>1944837538678774632</v>
      </c>
      <c r="B1212" s="1" t="str">
        <f>T("249121270966")</f>
        <v>249121270966</v>
      </c>
      <c r="C1212" s="1" t="str">
        <f>T("1941094502689148464")</f>
        <v>1941094502689148464</v>
      </c>
      <c r="AC1212" s="1" t="s">
        <v>104</v>
      </c>
      <c r="AD1212" s="1" t="s">
        <v>151</v>
      </c>
      <c r="AE1212" s="1" t="s">
        <v>392</v>
      </c>
      <c r="AF1212" s="1" t="s">
        <v>144</v>
      </c>
      <c r="AG1212" s="1">
        <v>21</v>
      </c>
      <c r="AO1212" s="2">
        <v>46275</v>
      </c>
      <c r="AP1212" s="1" t="s">
        <v>551</v>
      </c>
      <c r="AQ1212" s="2">
        <v>46275</v>
      </c>
      <c r="AR1212" s="1" t="s">
        <v>573</v>
      </c>
      <c r="AS1212" s="1" t="s">
        <v>71</v>
      </c>
      <c r="AU1212" s="1" t="s">
        <v>79</v>
      </c>
      <c r="AV1212" s="1" t="s">
        <v>80</v>
      </c>
      <c r="AW1212" s="1">
        <v>14.24</v>
      </c>
      <c r="AX1212" s="1">
        <v>0</v>
      </c>
      <c r="AZ1212" s="1" t="s">
        <v>81</v>
      </c>
      <c r="BA1212" s="1">
        <v>1</v>
      </c>
      <c r="BB1212" s="1">
        <v>0</v>
      </c>
      <c r="BC1212" s="1">
        <v>0</v>
      </c>
      <c r="BE1212" s="1">
        <v>27188523</v>
      </c>
    </row>
    <row r="1213" spans="1:57" x14ac:dyDescent="0.25">
      <c r="A1213" s="1" t="str">
        <f>T("1944837538687161448")</f>
        <v>1944837538687161448</v>
      </c>
      <c r="B1213" s="1" t="str">
        <f>T("249920146193")</f>
        <v>249920146193</v>
      </c>
      <c r="C1213" s="1" t="str">
        <f>T("1941094502693340372")</f>
        <v>1941094502693340372</v>
      </c>
      <c r="AC1213" s="1" t="s">
        <v>104</v>
      </c>
      <c r="AD1213" s="1" t="s">
        <v>151</v>
      </c>
      <c r="AE1213" s="1" t="s">
        <v>392</v>
      </c>
      <c r="AF1213" s="1" t="s">
        <v>144</v>
      </c>
      <c r="AG1213" s="1">
        <v>36</v>
      </c>
      <c r="AO1213" s="2">
        <v>46275</v>
      </c>
      <c r="AP1213" s="1" t="s">
        <v>551</v>
      </c>
      <c r="AS1213" s="1" t="s">
        <v>71</v>
      </c>
      <c r="AU1213" s="1" t="s">
        <v>72</v>
      </c>
      <c r="AV1213" s="1" t="s">
        <v>73</v>
      </c>
      <c r="AX1213" s="1">
        <v>0</v>
      </c>
      <c r="BA1213" s="1">
        <v>9</v>
      </c>
      <c r="BB1213" s="1">
        <v>0</v>
      </c>
      <c r="BC1213" s="1">
        <v>0</v>
      </c>
      <c r="BE1213" s="1">
        <v>27188523</v>
      </c>
    </row>
    <row r="1214" spans="1:57" x14ac:dyDescent="0.25">
      <c r="A1214" s="1" t="str">
        <f>T("1944837538695552864")</f>
        <v>1944837538695552864</v>
      </c>
      <c r="B1214" s="1" t="str">
        <f>T("249925106290")</f>
        <v>249925106290</v>
      </c>
      <c r="C1214" s="1" t="str">
        <f>T("1941094502693340772")</f>
        <v>1941094502693340772</v>
      </c>
      <c r="AC1214" s="1" t="s">
        <v>104</v>
      </c>
      <c r="AD1214" s="1" t="s">
        <v>151</v>
      </c>
      <c r="AE1214" s="1" t="s">
        <v>392</v>
      </c>
      <c r="AF1214" s="1" t="s">
        <v>144</v>
      </c>
      <c r="AG1214" s="1">
        <v>23</v>
      </c>
      <c r="AO1214" s="2">
        <v>46275</v>
      </c>
      <c r="AP1214" s="1" t="s">
        <v>551</v>
      </c>
      <c r="AQ1214" s="2">
        <v>46276</v>
      </c>
      <c r="AR1214" s="1" t="s">
        <v>574</v>
      </c>
      <c r="AS1214" s="1" t="s">
        <v>71</v>
      </c>
      <c r="AU1214" s="1" t="s">
        <v>79</v>
      </c>
      <c r="AV1214" s="1" t="s">
        <v>80</v>
      </c>
      <c r="AW1214" s="1">
        <v>20.84</v>
      </c>
      <c r="AX1214" s="1">
        <v>0</v>
      </c>
      <c r="AZ1214" s="1" t="s">
        <v>81</v>
      </c>
      <c r="BA1214" s="1">
        <v>7</v>
      </c>
      <c r="BB1214" s="1">
        <v>0</v>
      </c>
      <c r="BC1214" s="1">
        <v>0</v>
      </c>
      <c r="BE1214" s="1">
        <v>27188523</v>
      </c>
    </row>
    <row r="1215" spans="1:57" x14ac:dyDescent="0.25">
      <c r="A1215" s="1" t="str">
        <f>T("1944837538720717912")</f>
        <v>1944837538720717912</v>
      </c>
      <c r="B1215" s="1" t="str">
        <f>T("249900706992")</f>
        <v>249900706992</v>
      </c>
      <c r="C1215" s="1" t="str">
        <f>T("1941094502693341672")</f>
        <v>1941094502693341672</v>
      </c>
      <c r="AC1215" s="1" t="s">
        <v>104</v>
      </c>
      <c r="AD1215" s="1" t="s">
        <v>151</v>
      </c>
      <c r="AE1215" s="1" t="s">
        <v>392</v>
      </c>
      <c r="AF1215" s="1" t="s">
        <v>144</v>
      </c>
      <c r="AG1215" s="1">
        <v>38</v>
      </c>
      <c r="AO1215" s="2">
        <v>46275</v>
      </c>
      <c r="AP1215" s="1" t="s">
        <v>551</v>
      </c>
      <c r="AS1215" s="1" t="s">
        <v>71</v>
      </c>
      <c r="AU1215" s="1" t="s">
        <v>72</v>
      </c>
      <c r="AV1215" s="1" t="s">
        <v>73</v>
      </c>
      <c r="AX1215" s="1">
        <v>0</v>
      </c>
      <c r="BA1215" s="1">
        <v>9</v>
      </c>
      <c r="BB1215" s="1">
        <v>0</v>
      </c>
      <c r="BC1215" s="1">
        <v>0</v>
      </c>
      <c r="BE1215" s="1">
        <v>27188523</v>
      </c>
    </row>
    <row r="1216" spans="1:57" x14ac:dyDescent="0.25">
      <c r="A1216" s="1" t="str">
        <f>T("1944837538733301036")</f>
        <v>1944837538733301036</v>
      </c>
      <c r="B1216" s="1" t="str">
        <f>T("249905112052")</f>
        <v>249905112052</v>
      </c>
      <c r="C1216" s="1" t="str">
        <f>T("1941094502693342072")</f>
        <v>1941094502693342072</v>
      </c>
      <c r="AC1216" s="1" t="s">
        <v>104</v>
      </c>
      <c r="AD1216" s="1" t="s">
        <v>151</v>
      </c>
      <c r="AE1216" s="1" t="s">
        <v>392</v>
      </c>
      <c r="AF1216" s="1" t="s">
        <v>144</v>
      </c>
      <c r="AG1216" s="1">
        <v>38</v>
      </c>
      <c r="AO1216" s="2">
        <v>46275</v>
      </c>
      <c r="AP1216" s="1" t="s">
        <v>551</v>
      </c>
      <c r="AS1216" s="1" t="s">
        <v>71</v>
      </c>
      <c r="AU1216" s="1" t="s">
        <v>72</v>
      </c>
      <c r="AV1216" s="1" t="s">
        <v>437</v>
      </c>
      <c r="AX1216" s="1">
        <v>0</v>
      </c>
      <c r="BA1216" s="1">
        <v>9</v>
      </c>
      <c r="BB1216" s="1">
        <v>0</v>
      </c>
      <c r="BC1216" s="1">
        <v>0</v>
      </c>
      <c r="BE1216" s="1">
        <v>27188523</v>
      </c>
    </row>
    <row r="1217" spans="1:57" x14ac:dyDescent="0.25">
      <c r="A1217" s="1" t="str">
        <f>T("1944837538741687452")</f>
        <v>1944837538741687452</v>
      </c>
      <c r="B1217" s="1" t="str">
        <f>T("249922955649")</f>
        <v>249922955649</v>
      </c>
      <c r="C1217" s="1" t="str">
        <f>T("1941094502697533580")</f>
        <v>1941094502697533580</v>
      </c>
      <c r="AA1217" s="1">
        <v>1</v>
      </c>
      <c r="AC1217" s="1" t="s">
        <v>104</v>
      </c>
      <c r="AD1217" s="1" t="s">
        <v>151</v>
      </c>
      <c r="AE1217" s="1" t="s">
        <v>392</v>
      </c>
      <c r="AF1217" s="1" t="s">
        <v>144</v>
      </c>
      <c r="AG1217" s="1">
        <v>45</v>
      </c>
      <c r="AO1217" s="2">
        <v>46275</v>
      </c>
      <c r="AP1217" s="1" t="s">
        <v>551</v>
      </c>
      <c r="AQ1217" s="2">
        <v>46275</v>
      </c>
      <c r="AR1217" s="1" t="s">
        <v>575</v>
      </c>
      <c r="AS1217" s="1" t="s">
        <v>71</v>
      </c>
      <c r="AU1217" s="1" t="s">
        <v>79</v>
      </c>
      <c r="AV1217" s="1" t="s">
        <v>80</v>
      </c>
      <c r="AW1217" s="1">
        <v>41.5</v>
      </c>
      <c r="AX1217" s="1">
        <v>0</v>
      </c>
      <c r="AZ1217" s="1" t="s">
        <v>81</v>
      </c>
      <c r="BA1217" s="1">
        <v>1</v>
      </c>
      <c r="BB1217" s="1">
        <v>0</v>
      </c>
      <c r="BC1217" s="1">
        <v>0</v>
      </c>
      <c r="BE1217" s="1">
        <v>27188523</v>
      </c>
    </row>
    <row r="1218" spans="1:57" x14ac:dyDescent="0.25">
      <c r="A1218" s="1" t="str">
        <f>T("1944837538745881160")</f>
        <v>1944837538745881160</v>
      </c>
      <c r="B1218" s="1" t="str">
        <f>T("249990915106")</f>
        <v>249990915106</v>
      </c>
      <c r="C1218" s="1" t="str">
        <f>T("1941094502693342672")</f>
        <v>1941094502693342672</v>
      </c>
      <c r="AC1218" s="1" t="s">
        <v>104</v>
      </c>
      <c r="AD1218" s="1" t="s">
        <v>151</v>
      </c>
      <c r="AE1218" s="1" t="s">
        <v>392</v>
      </c>
      <c r="AF1218" s="1" t="s">
        <v>144</v>
      </c>
      <c r="AG1218" s="1">
        <v>19</v>
      </c>
      <c r="AO1218" s="2">
        <v>46275</v>
      </c>
      <c r="AP1218" s="1" t="s">
        <v>551</v>
      </c>
      <c r="AS1218" s="1" t="s">
        <v>71</v>
      </c>
      <c r="AU1218" s="1" t="s">
        <v>72</v>
      </c>
      <c r="AV1218" s="1" t="s">
        <v>73</v>
      </c>
      <c r="AX1218" s="1">
        <v>0</v>
      </c>
      <c r="BA1218" s="1">
        <v>9</v>
      </c>
      <c r="BB1218" s="1">
        <v>0</v>
      </c>
      <c r="BC1218" s="1">
        <v>0</v>
      </c>
      <c r="BE1218" s="1">
        <v>27188523</v>
      </c>
    </row>
    <row r="1219" spans="1:57" x14ac:dyDescent="0.25">
      <c r="A1219" s="1" t="str">
        <f>T("1944837538758466884")</f>
        <v>1944837538758466884</v>
      </c>
      <c r="B1219" s="1" t="str">
        <f>T("249924997745")</f>
        <v>249924997745</v>
      </c>
      <c r="C1219" s="1" t="str">
        <f>T("1941094502697533980")</f>
        <v>1941094502697533980</v>
      </c>
      <c r="AC1219" s="1" t="s">
        <v>104</v>
      </c>
      <c r="AD1219" s="1" t="s">
        <v>151</v>
      </c>
      <c r="AE1219" s="1" t="s">
        <v>392</v>
      </c>
      <c r="AF1219" s="1" t="s">
        <v>144</v>
      </c>
      <c r="AG1219" s="1">
        <v>28</v>
      </c>
      <c r="AO1219" s="2">
        <v>46275</v>
      </c>
      <c r="AP1219" s="1" t="s">
        <v>551</v>
      </c>
      <c r="AQ1219" s="2">
        <v>46276</v>
      </c>
      <c r="AR1219" s="1" t="s">
        <v>576</v>
      </c>
      <c r="AS1219" s="1" t="s">
        <v>71</v>
      </c>
      <c r="AU1219" s="1" t="s">
        <v>79</v>
      </c>
      <c r="AV1219" s="1" t="s">
        <v>80</v>
      </c>
      <c r="AW1219" s="1">
        <v>4.4400000000000004</v>
      </c>
      <c r="AX1219" s="1">
        <v>0</v>
      </c>
      <c r="AZ1219" s="1" t="s">
        <v>81</v>
      </c>
      <c r="BA1219" s="1">
        <v>4</v>
      </c>
      <c r="BB1219" s="1">
        <v>0</v>
      </c>
      <c r="BC1219" s="1">
        <v>0</v>
      </c>
      <c r="BE1219" s="1">
        <v>27188523</v>
      </c>
    </row>
    <row r="1220" spans="1:57" x14ac:dyDescent="0.25">
      <c r="A1220" s="1" t="str">
        <f>T("1944837538787826040")</f>
        <v>1944837538787826040</v>
      </c>
      <c r="B1220" s="1" t="str">
        <f>T("249128362890")</f>
        <v>249128362890</v>
      </c>
      <c r="C1220" s="1" t="str">
        <f>T("1941094502697534480")</f>
        <v>1941094502697534480</v>
      </c>
      <c r="AC1220" s="1" t="s">
        <v>104</v>
      </c>
      <c r="AD1220" s="1" t="s">
        <v>151</v>
      </c>
      <c r="AE1220" s="1" t="s">
        <v>392</v>
      </c>
      <c r="AF1220" s="1" t="s">
        <v>144</v>
      </c>
      <c r="AG1220" s="1">
        <v>31</v>
      </c>
      <c r="AO1220" s="2">
        <v>46275</v>
      </c>
      <c r="AP1220" s="1" t="s">
        <v>551</v>
      </c>
      <c r="AQ1220" s="2">
        <v>46275</v>
      </c>
      <c r="AR1220" s="1" t="s">
        <v>577</v>
      </c>
      <c r="AS1220" s="1" t="s">
        <v>71</v>
      </c>
      <c r="AU1220" s="1" t="s">
        <v>79</v>
      </c>
      <c r="AV1220" s="1" t="s">
        <v>80</v>
      </c>
      <c r="AW1220" s="1">
        <v>33.36</v>
      </c>
      <c r="AX1220" s="1">
        <v>0</v>
      </c>
      <c r="AZ1220" s="1" t="s">
        <v>81</v>
      </c>
      <c r="BA1220" s="1">
        <v>2</v>
      </c>
      <c r="BB1220" s="1">
        <v>0</v>
      </c>
      <c r="BC1220" s="1">
        <v>0</v>
      </c>
      <c r="BE1220" s="1">
        <v>27188523</v>
      </c>
    </row>
    <row r="1221" spans="1:57" x14ac:dyDescent="0.25">
      <c r="A1221" s="1" t="str">
        <f>T("1944837538821380004")</f>
        <v>1944837538821380004</v>
      </c>
      <c r="B1221" s="1" t="str">
        <f>T("249908067724")</f>
        <v>249908067724</v>
      </c>
      <c r="C1221" s="1" t="str">
        <f>T("1941094502697534880")</f>
        <v>1941094502697534880</v>
      </c>
      <c r="AC1221" s="1" t="s">
        <v>104</v>
      </c>
      <c r="AD1221" s="1" t="s">
        <v>151</v>
      </c>
      <c r="AE1221" s="1" t="s">
        <v>392</v>
      </c>
      <c r="AF1221" s="1" t="s">
        <v>144</v>
      </c>
      <c r="AG1221" s="1">
        <v>26</v>
      </c>
      <c r="AO1221" s="2">
        <v>46275</v>
      </c>
      <c r="AP1221" s="1" t="s">
        <v>551</v>
      </c>
      <c r="AS1221" s="1" t="s">
        <v>71</v>
      </c>
      <c r="AU1221" s="1" t="s">
        <v>72</v>
      </c>
      <c r="AV1221" s="1" t="s">
        <v>73</v>
      </c>
      <c r="AX1221" s="1">
        <v>0</v>
      </c>
      <c r="BA1221" s="1">
        <v>9</v>
      </c>
      <c r="BB1221" s="1">
        <v>0</v>
      </c>
      <c r="BC1221" s="1">
        <v>0</v>
      </c>
      <c r="BE1221" s="1">
        <v>27188523</v>
      </c>
    </row>
    <row r="1222" spans="1:57" x14ac:dyDescent="0.25">
      <c r="A1222" s="1" t="str">
        <f>T("1944837538821380704")</f>
        <v>1944837538821380704</v>
      </c>
      <c r="B1222" s="1" t="str">
        <f>T("249923686453")</f>
        <v>249923686453</v>
      </c>
      <c r="C1222" s="1" t="str">
        <f>T("1941094502697535980")</f>
        <v>1941094502697535980</v>
      </c>
      <c r="M1222" s="1" t="s">
        <v>133</v>
      </c>
      <c r="N1222" s="1" t="s">
        <v>65</v>
      </c>
      <c r="O1222" s="1" t="s">
        <v>65</v>
      </c>
      <c r="P1222" s="1" t="s">
        <v>61</v>
      </c>
      <c r="Q1222" s="1" t="s">
        <v>112</v>
      </c>
      <c r="R1222" s="1" t="s">
        <v>93</v>
      </c>
      <c r="T1222" s="1" t="s">
        <v>95</v>
      </c>
      <c r="U1222" s="1" t="s">
        <v>65</v>
      </c>
      <c r="V1222" s="1" t="s">
        <v>66</v>
      </c>
      <c r="W1222" s="1" t="s">
        <v>60</v>
      </c>
      <c r="X1222" s="1" t="s">
        <v>103</v>
      </c>
      <c r="Y1222" s="1" t="s">
        <v>85</v>
      </c>
      <c r="AA1222" s="1">
        <v>1</v>
      </c>
      <c r="AB1222" s="1">
        <v>1</v>
      </c>
      <c r="AC1222" s="1" t="s">
        <v>104</v>
      </c>
      <c r="AD1222" s="1" t="s">
        <v>151</v>
      </c>
      <c r="AE1222" s="1" t="s">
        <v>392</v>
      </c>
      <c r="AF1222" s="1" t="s">
        <v>144</v>
      </c>
      <c r="AG1222" s="1">
        <v>20</v>
      </c>
      <c r="AO1222" s="2">
        <v>46275</v>
      </c>
      <c r="AP1222" s="1" t="s">
        <v>551</v>
      </c>
      <c r="AQ1222" s="2">
        <v>46275</v>
      </c>
      <c r="AR1222" s="1" t="s">
        <v>578</v>
      </c>
      <c r="AS1222" s="1" t="s">
        <v>71</v>
      </c>
      <c r="AU1222" s="1" t="s">
        <v>78</v>
      </c>
      <c r="AV1222" s="1" t="s">
        <v>80</v>
      </c>
      <c r="AW1222" s="1">
        <v>234.4</v>
      </c>
      <c r="AX1222" s="1">
        <v>0</v>
      </c>
      <c r="AZ1222" s="1" t="s">
        <v>81</v>
      </c>
      <c r="BA1222" s="1">
        <v>1</v>
      </c>
      <c r="BB1222" s="1">
        <v>0</v>
      </c>
      <c r="BC1222" s="1">
        <v>0</v>
      </c>
      <c r="BE1222" s="1">
        <v>27188523</v>
      </c>
    </row>
    <row r="1223" spans="1:57" x14ac:dyDescent="0.25">
      <c r="A1223" s="1" t="str">
        <f>T("1944837538825574212")</f>
        <v>1944837538825574212</v>
      </c>
      <c r="B1223" s="1" t="str">
        <f>T("249928685281")</f>
        <v>249928685281</v>
      </c>
      <c r="C1223" s="1" t="str">
        <f>T("1941094502697535580")</f>
        <v>1941094502697535580</v>
      </c>
      <c r="AC1223" s="1" t="s">
        <v>104</v>
      </c>
      <c r="AD1223" s="1" t="s">
        <v>151</v>
      </c>
      <c r="AE1223" s="1" t="s">
        <v>392</v>
      </c>
      <c r="AF1223" s="1" t="s">
        <v>144</v>
      </c>
      <c r="AG1223" s="1">
        <v>34</v>
      </c>
      <c r="AO1223" s="2">
        <v>46275</v>
      </c>
      <c r="AP1223" s="1" t="s">
        <v>551</v>
      </c>
      <c r="AS1223" s="1" t="s">
        <v>71</v>
      </c>
      <c r="AU1223" s="1" t="s">
        <v>72</v>
      </c>
      <c r="AV1223" s="1" t="s">
        <v>73</v>
      </c>
      <c r="AX1223" s="1">
        <v>0</v>
      </c>
      <c r="BA1223" s="1">
        <v>9</v>
      </c>
      <c r="BB1223" s="1">
        <v>0</v>
      </c>
      <c r="BC1223" s="1">
        <v>0</v>
      </c>
      <c r="BE1223" s="1">
        <v>27188523</v>
      </c>
    </row>
    <row r="1224" spans="1:57" x14ac:dyDescent="0.25">
      <c r="A1224" s="1" t="str">
        <f>T("1944837538884296424")</f>
        <v>1944837538884296424</v>
      </c>
      <c r="B1224" s="1" t="str">
        <f>T("249927137013")</f>
        <v>249927137013</v>
      </c>
      <c r="C1224" s="1" t="str">
        <f>T("1941094502697536380")</f>
        <v>1941094502697536380</v>
      </c>
      <c r="AC1224" s="1" t="s">
        <v>104</v>
      </c>
      <c r="AD1224" s="1" t="s">
        <v>151</v>
      </c>
      <c r="AE1224" s="1" t="s">
        <v>392</v>
      </c>
      <c r="AF1224" s="1" t="s">
        <v>144</v>
      </c>
      <c r="AG1224" s="1">
        <v>32</v>
      </c>
      <c r="AO1224" s="2">
        <v>46275</v>
      </c>
      <c r="AP1224" s="1" t="s">
        <v>551</v>
      </c>
      <c r="AQ1224" s="2">
        <v>46276</v>
      </c>
      <c r="AR1224" s="1" t="s">
        <v>579</v>
      </c>
      <c r="AS1224" s="1" t="s">
        <v>71</v>
      </c>
      <c r="AU1224" s="1" t="s">
        <v>79</v>
      </c>
      <c r="AV1224" s="1" t="s">
        <v>80</v>
      </c>
      <c r="AW1224" s="1">
        <v>8.4600000000000009</v>
      </c>
      <c r="AX1224" s="1">
        <v>0</v>
      </c>
      <c r="AZ1224" s="1" t="s">
        <v>81</v>
      </c>
      <c r="BA1224" s="1">
        <v>6</v>
      </c>
      <c r="BB1224" s="1">
        <v>0</v>
      </c>
      <c r="BC1224" s="1">
        <v>0</v>
      </c>
      <c r="BE1224" s="1">
        <v>27188523</v>
      </c>
    </row>
    <row r="1225" spans="1:57" x14ac:dyDescent="0.25">
      <c r="A1225" s="1" t="str">
        <f>T("1944837538901070656")</f>
        <v>1944837538901070656</v>
      </c>
      <c r="B1225" s="1" t="str">
        <f>T("249901647163")</f>
        <v>249901647163</v>
      </c>
      <c r="C1225" s="1" t="str">
        <f>T("1941094502697536880")</f>
        <v>1941094502697536880</v>
      </c>
      <c r="AC1225" s="1" t="s">
        <v>104</v>
      </c>
      <c r="AD1225" s="1" t="s">
        <v>151</v>
      </c>
      <c r="AE1225" s="1" t="s">
        <v>392</v>
      </c>
      <c r="AF1225" s="1" t="s">
        <v>144</v>
      </c>
      <c r="AG1225" s="1">
        <v>34</v>
      </c>
      <c r="AO1225" s="2">
        <v>46275</v>
      </c>
      <c r="AP1225" s="1" t="s">
        <v>551</v>
      </c>
      <c r="AS1225" s="1" t="s">
        <v>71</v>
      </c>
      <c r="AU1225" s="1" t="s">
        <v>72</v>
      </c>
      <c r="AV1225" s="1" t="s">
        <v>73</v>
      </c>
      <c r="AX1225" s="1">
        <v>0</v>
      </c>
      <c r="BA1225" s="1">
        <v>9</v>
      </c>
      <c r="BB1225" s="1">
        <v>0</v>
      </c>
      <c r="BC1225" s="1">
        <v>0</v>
      </c>
      <c r="BE1225" s="1">
        <v>27188523</v>
      </c>
    </row>
    <row r="1226" spans="1:57" x14ac:dyDescent="0.25">
      <c r="A1226" s="1" t="str">
        <f>T("1944837538913654580")</f>
        <v>1944837538913654580</v>
      </c>
      <c r="B1226" s="1" t="str">
        <f>T("249122847211")</f>
        <v>249122847211</v>
      </c>
      <c r="C1226" s="1" t="str">
        <f>T("1941094502697537280")</f>
        <v>1941094502697537280</v>
      </c>
      <c r="M1226" s="1" t="s">
        <v>59</v>
      </c>
      <c r="O1226" s="1" t="s">
        <v>60</v>
      </c>
      <c r="P1226" s="1" t="s">
        <v>91</v>
      </c>
      <c r="AA1226" s="1">
        <v>1</v>
      </c>
      <c r="AC1226" s="1" t="s">
        <v>104</v>
      </c>
      <c r="AD1226" s="1" t="s">
        <v>151</v>
      </c>
      <c r="AE1226" s="1" t="s">
        <v>392</v>
      </c>
      <c r="AF1226" s="1" t="s">
        <v>144</v>
      </c>
      <c r="AG1226" s="1">
        <v>31</v>
      </c>
      <c r="AO1226" s="2">
        <v>46275</v>
      </c>
      <c r="AP1226" s="1" t="s">
        <v>551</v>
      </c>
      <c r="AQ1226" s="2">
        <v>46275</v>
      </c>
      <c r="AR1226" s="1" t="s">
        <v>573</v>
      </c>
      <c r="AS1226" s="1" t="s">
        <v>71</v>
      </c>
      <c r="AU1226" s="1" t="s">
        <v>78</v>
      </c>
      <c r="AV1226" s="1" t="s">
        <v>80</v>
      </c>
      <c r="AW1226" s="1">
        <v>197.3</v>
      </c>
      <c r="AX1226" s="1">
        <v>0</v>
      </c>
      <c r="AZ1226" s="1" t="s">
        <v>81</v>
      </c>
      <c r="BA1226" s="1">
        <v>1</v>
      </c>
      <c r="BB1226" s="1">
        <v>0</v>
      </c>
      <c r="BC1226" s="1">
        <v>0</v>
      </c>
      <c r="BE1226" s="1">
        <v>27188523</v>
      </c>
    </row>
    <row r="1227" spans="1:57" x14ac:dyDescent="0.25">
      <c r="A1227" s="1" t="str">
        <f>T("1944837538926239204")</f>
        <v>1944837538926239204</v>
      </c>
      <c r="B1227" s="1" t="str">
        <f>T("249114369540")</f>
        <v>249114369540</v>
      </c>
      <c r="C1227" s="1" t="str">
        <f>T("1941094502701727988")</f>
        <v>1941094502701727988</v>
      </c>
      <c r="AC1227" s="1" t="s">
        <v>104</v>
      </c>
      <c r="AD1227" s="1" t="s">
        <v>151</v>
      </c>
      <c r="AE1227" s="1" t="s">
        <v>392</v>
      </c>
      <c r="AF1227" s="1" t="s">
        <v>144</v>
      </c>
      <c r="AG1227" s="1">
        <v>25</v>
      </c>
      <c r="AO1227" s="2">
        <v>46275</v>
      </c>
      <c r="AP1227" s="1" t="s">
        <v>551</v>
      </c>
      <c r="AS1227" s="1" t="s">
        <v>71</v>
      </c>
      <c r="AU1227" s="1" t="s">
        <v>72</v>
      </c>
      <c r="AV1227" s="1" t="s">
        <v>73</v>
      </c>
      <c r="AX1227" s="1">
        <v>0</v>
      </c>
      <c r="BA1227" s="1">
        <v>9</v>
      </c>
      <c r="BB1227" s="1">
        <v>0</v>
      </c>
      <c r="BC1227" s="1">
        <v>0</v>
      </c>
      <c r="BE1227" s="1">
        <v>27188523</v>
      </c>
    </row>
    <row r="1228" spans="1:57" x14ac:dyDescent="0.25">
      <c r="A1228" s="1" t="str">
        <f>T("1944837538943013336")</f>
        <v>1944837538943013336</v>
      </c>
      <c r="B1228" s="1" t="str">
        <f>T("249119806864")</f>
        <v>249119806864</v>
      </c>
      <c r="C1228" s="1" t="str">
        <f>T("1941094502701728488")</f>
        <v>1941094502701728488</v>
      </c>
      <c r="AC1228" s="1" t="s">
        <v>104</v>
      </c>
      <c r="AD1228" s="1" t="s">
        <v>151</v>
      </c>
      <c r="AE1228" s="1" t="s">
        <v>392</v>
      </c>
      <c r="AF1228" s="1" t="s">
        <v>144</v>
      </c>
      <c r="AG1228" s="1">
        <v>38</v>
      </c>
      <c r="AO1228" s="2">
        <v>46275</v>
      </c>
      <c r="AP1228" s="1" t="s">
        <v>551</v>
      </c>
      <c r="AQ1228" s="2">
        <v>46275</v>
      </c>
      <c r="AR1228" s="1" t="s">
        <v>575</v>
      </c>
      <c r="AS1228" s="1" t="s">
        <v>71</v>
      </c>
      <c r="AU1228" s="1" t="s">
        <v>79</v>
      </c>
      <c r="AV1228" s="1" t="s">
        <v>80</v>
      </c>
      <c r="AW1228" s="1">
        <v>17.68</v>
      </c>
      <c r="AX1228" s="1">
        <v>0</v>
      </c>
      <c r="AZ1228" s="1" t="s">
        <v>81</v>
      </c>
      <c r="BA1228" s="1">
        <v>1</v>
      </c>
      <c r="BB1228" s="1">
        <v>0</v>
      </c>
      <c r="BC1228" s="1">
        <v>0</v>
      </c>
      <c r="BE1228" s="1">
        <v>27188523</v>
      </c>
    </row>
    <row r="1229" spans="1:57" x14ac:dyDescent="0.25">
      <c r="A1229" s="1" t="str">
        <f>T("1944837538963988276")</f>
        <v>1944837538963988276</v>
      </c>
      <c r="B1229" s="1" t="str">
        <f>T("249922964448")</f>
        <v>249922964448</v>
      </c>
      <c r="C1229" s="1" t="str">
        <f>T("1941094502701728888")</f>
        <v>1941094502701728888</v>
      </c>
      <c r="AC1229" s="1" t="s">
        <v>104</v>
      </c>
      <c r="AD1229" s="1" t="s">
        <v>151</v>
      </c>
      <c r="AE1229" s="1" t="s">
        <v>392</v>
      </c>
      <c r="AF1229" s="1" t="s">
        <v>144</v>
      </c>
      <c r="AG1229" s="1">
        <v>32</v>
      </c>
      <c r="AO1229" s="2">
        <v>46275</v>
      </c>
      <c r="AP1229" s="1" t="s">
        <v>551</v>
      </c>
      <c r="AS1229" s="1" t="s">
        <v>71</v>
      </c>
      <c r="AU1229" s="1" t="s">
        <v>72</v>
      </c>
      <c r="AV1229" s="1" t="s">
        <v>73</v>
      </c>
      <c r="AX1229" s="1">
        <v>0</v>
      </c>
      <c r="BA1229" s="1">
        <v>9</v>
      </c>
      <c r="BB1229" s="1">
        <v>0</v>
      </c>
      <c r="BC1229" s="1">
        <v>0</v>
      </c>
      <c r="BE1229" s="1">
        <v>27188523</v>
      </c>
    </row>
    <row r="1230" spans="1:57" x14ac:dyDescent="0.25">
      <c r="A1230" s="1" t="str">
        <f>T("1944837538972373092")</f>
        <v>1944837538972373092</v>
      </c>
      <c r="B1230" s="1" t="str">
        <f>T("249913050180")</f>
        <v>249913050180</v>
      </c>
      <c r="C1230" s="1" t="str">
        <f>T("1941094502701729288")</f>
        <v>1941094502701729288</v>
      </c>
      <c r="AC1230" s="1" t="s">
        <v>104</v>
      </c>
      <c r="AD1230" s="1" t="s">
        <v>151</v>
      </c>
      <c r="AE1230" s="1" t="s">
        <v>392</v>
      </c>
      <c r="AF1230" s="1" t="s">
        <v>144</v>
      </c>
      <c r="AG1230" s="1">
        <v>38</v>
      </c>
      <c r="AO1230" s="2">
        <v>46275</v>
      </c>
      <c r="AP1230" s="1" t="s">
        <v>551</v>
      </c>
      <c r="AS1230" s="1" t="s">
        <v>71</v>
      </c>
      <c r="AU1230" s="1" t="s">
        <v>72</v>
      </c>
      <c r="AV1230" s="1" t="s">
        <v>73</v>
      </c>
      <c r="AX1230" s="1">
        <v>0</v>
      </c>
      <c r="BA1230" s="1">
        <v>9</v>
      </c>
      <c r="BB1230" s="1">
        <v>0</v>
      </c>
      <c r="BC1230" s="1">
        <v>0</v>
      </c>
      <c r="BE1230" s="1">
        <v>27188523</v>
      </c>
    </row>
    <row r="1231" spans="1:57" x14ac:dyDescent="0.25">
      <c r="A1231" s="1" t="str">
        <f>T("1944837539001734648")</f>
        <v>1944837539001734648</v>
      </c>
      <c r="B1231" s="1" t="str">
        <f>T("249993417278")</f>
        <v>249993417278</v>
      </c>
      <c r="C1231" s="1" t="str">
        <f>T("1941094502701729688")</f>
        <v>1941094502701729688</v>
      </c>
      <c r="AC1231" s="1" t="s">
        <v>104</v>
      </c>
      <c r="AD1231" s="1" t="s">
        <v>151</v>
      </c>
      <c r="AE1231" s="1" t="s">
        <v>392</v>
      </c>
      <c r="AF1231" s="1" t="s">
        <v>144</v>
      </c>
      <c r="AG1231" s="1">
        <v>22</v>
      </c>
      <c r="AO1231" s="2">
        <v>46275</v>
      </c>
      <c r="AP1231" s="1" t="s">
        <v>551</v>
      </c>
      <c r="AS1231" s="1" t="s">
        <v>71</v>
      </c>
      <c r="AU1231" s="1" t="s">
        <v>72</v>
      </c>
      <c r="AV1231" s="1" t="s">
        <v>73</v>
      </c>
      <c r="AX1231" s="1">
        <v>0</v>
      </c>
      <c r="BA1231" s="1">
        <v>9</v>
      </c>
      <c r="BB1231" s="1">
        <v>0</v>
      </c>
      <c r="BC1231" s="1">
        <v>0</v>
      </c>
      <c r="BE1231" s="1">
        <v>27188523</v>
      </c>
    </row>
    <row r="1232" spans="1:57" x14ac:dyDescent="0.25">
      <c r="A1232" s="1" t="str">
        <f>T("1944837539022704788")</f>
        <v>1944837539022704788</v>
      </c>
      <c r="B1232" s="1" t="str">
        <f>T("249961035788")</f>
        <v>249961035788</v>
      </c>
      <c r="C1232" s="1" t="str">
        <f>T("1941094502701730088")</f>
        <v>1941094502701730088</v>
      </c>
      <c r="AC1232" s="1" t="s">
        <v>104</v>
      </c>
      <c r="AD1232" s="1" t="s">
        <v>151</v>
      </c>
      <c r="AE1232" s="1" t="s">
        <v>392</v>
      </c>
      <c r="AF1232" s="1" t="s">
        <v>144</v>
      </c>
      <c r="AG1232" s="1">
        <v>36</v>
      </c>
      <c r="AO1232" s="2">
        <v>46275</v>
      </c>
      <c r="AP1232" s="1" t="s">
        <v>551</v>
      </c>
      <c r="AS1232" s="1" t="s">
        <v>71</v>
      </c>
      <c r="AU1232" s="1" t="s">
        <v>72</v>
      </c>
      <c r="AV1232" s="1" t="s">
        <v>437</v>
      </c>
      <c r="AX1232" s="1">
        <v>0</v>
      </c>
      <c r="BA1232" s="1">
        <v>9</v>
      </c>
      <c r="BB1232" s="1">
        <v>0</v>
      </c>
      <c r="BC1232" s="1">
        <v>0</v>
      </c>
      <c r="BE1232" s="1">
        <v>27188523</v>
      </c>
    </row>
    <row r="1233" spans="1:57" x14ac:dyDescent="0.25">
      <c r="A1233" s="1" t="str">
        <f>T("1944837539060454960")</f>
        <v>1944837539060454960</v>
      </c>
      <c r="B1233" s="1" t="str">
        <f>T("249926138308")</f>
        <v>249926138308</v>
      </c>
      <c r="C1233" s="1" t="str">
        <f>T("1941094502701730888")</f>
        <v>1941094502701730888</v>
      </c>
      <c r="M1233" s="1" t="s">
        <v>59</v>
      </c>
      <c r="O1233" s="1" t="s">
        <v>65</v>
      </c>
      <c r="P1233" s="1" t="s">
        <v>61</v>
      </c>
      <c r="AA1233" s="1">
        <v>1</v>
      </c>
      <c r="AC1233" s="1" t="s">
        <v>104</v>
      </c>
      <c r="AD1233" s="1" t="s">
        <v>151</v>
      </c>
      <c r="AE1233" s="1" t="s">
        <v>392</v>
      </c>
      <c r="AF1233" s="1" t="s">
        <v>144</v>
      </c>
      <c r="AG1233" s="1">
        <v>31</v>
      </c>
      <c r="AO1233" s="2">
        <v>46275</v>
      </c>
      <c r="AP1233" s="1" t="s">
        <v>551</v>
      </c>
      <c r="AQ1233" s="2">
        <v>46276</v>
      </c>
      <c r="AR1233" s="1" t="s">
        <v>580</v>
      </c>
      <c r="AS1233" s="1" t="s">
        <v>71</v>
      </c>
      <c r="AU1233" s="1" t="s">
        <v>79</v>
      </c>
      <c r="AV1233" s="1" t="s">
        <v>80</v>
      </c>
      <c r="AW1233" s="1">
        <v>155.72</v>
      </c>
      <c r="AX1233" s="1">
        <v>0</v>
      </c>
      <c r="AZ1233" s="1" t="s">
        <v>81</v>
      </c>
      <c r="BA1233" s="1">
        <v>4</v>
      </c>
      <c r="BB1233" s="1">
        <v>0</v>
      </c>
      <c r="BC1233" s="1">
        <v>0</v>
      </c>
      <c r="BE1233" s="1">
        <v>27188523</v>
      </c>
    </row>
    <row r="1234" spans="1:57" x14ac:dyDescent="0.25">
      <c r="A1234" s="1" t="str">
        <f>T("1944837539060456860")</f>
        <v>1944837539060456860</v>
      </c>
      <c r="B1234" s="1" t="str">
        <f>T("249925461719")</f>
        <v>249925461719</v>
      </c>
      <c r="C1234" s="1" t="str">
        <f>T("1941094502701731388")</f>
        <v>1941094502701731388</v>
      </c>
      <c r="AC1234" s="1" t="s">
        <v>104</v>
      </c>
      <c r="AD1234" s="1" t="s">
        <v>151</v>
      </c>
      <c r="AE1234" s="1" t="s">
        <v>392</v>
      </c>
      <c r="AF1234" s="1" t="s">
        <v>144</v>
      </c>
      <c r="AG1234" s="1">
        <v>35</v>
      </c>
      <c r="AO1234" s="2">
        <v>46275</v>
      </c>
      <c r="AP1234" s="1" t="s">
        <v>551</v>
      </c>
      <c r="AS1234" s="1" t="s">
        <v>71</v>
      </c>
      <c r="AU1234" s="1" t="s">
        <v>72</v>
      </c>
      <c r="AV1234" s="1" t="s">
        <v>73</v>
      </c>
      <c r="AX1234" s="1">
        <v>0</v>
      </c>
      <c r="BA1234" s="1">
        <v>9</v>
      </c>
      <c r="BB1234" s="1">
        <v>0</v>
      </c>
      <c r="BC1234" s="1">
        <v>0</v>
      </c>
      <c r="BE1234" s="1">
        <v>27188523</v>
      </c>
    </row>
    <row r="1235" spans="1:57" x14ac:dyDescent="0.25">
      <c r="A1235" s="1" t="str">
        <f>T("1944837539073038584")</f>
        <v>1944837539073038584</v>
      </c>
      <c r="B1235" s="1" t="str">
        <f>T("249924041924")</f>
        <v>249924041924</v>
      </c>
      <c r="C1235" s="1" t="str">
        <f>T("1941094502701731788")</f>
        <v>1941094502701731788</v>
      </c>
      <c r="M1235" s="1" t="s">
        <v>59</v>
      </c>
      <c r="AA1235" s="1">
        <v>1</v>
      </c>
      <c r="AC1235" s="1" t="s">
        <v>104</v>
      </c>
      <c r="AD1235" s="1" t="s">
        <v>151</v>
      </c>
      <c r="AE1235" s="1" t="s">
        <v>392</v>
      </c>
      <c r="AF1235" s="1" t="s">
        <v>144</v>
      </c>
      <c r="AG1235" s="1">
        <v>33</v>
      </c>
      <c r="AO1235" s="2">
        <v>46275</v>
      </c>
      <c r="AP1235" s="1" t="s">
        <v>551</v>
      </c>
      <c r="AQ1235" s="2">
        <v>46275</v>
      </c>
      <c r="AR1235" s="1" t="s">
        <v>581</v>
      </c>
      <c r="AS1235" s="1" t="s">
        <v>71</v>
      </c>
      <c r="AU1235" s="1" t="s">
        <v>79</v>
      </c>
      <c r="AV1235" s="1" t="s">
        <v>80</v>
      </c>
      <c r="AW1235" s="1">
        <v>114.2</v>
      </c>
      <c r="AX1235" s="1">
        <v>0</v>
      </c>
      <c r="AZ1235" s="1" t="s">
        <v>81</v>
      </c>
      <c r="BA1235" s="1">
        <v>2</v>
      </c>
      <c r="BB1235" s="1">
        <v>0</v>
      </c>
      <c r="BC1235" s="1">
        <v>0</v>
      </c>
      <c r="BE1235" s="1">
        <v>27188523</v>
      </c>
    </row>
    <row r="1236" spans="1:57" x14ac:dyDescent="0.25">
      <c r="A1236" s="1" t="str">
        <f>T("1944837539123368980")</f>
        <v>1944837539123368980</v>
      </c>
      <c r="B1236" s="1" t="str">
        <f>T("249926369779")</f>
        <v>249926369779</v>
      </c>
      <c r="C1236" s="1" t="str">
        <f>T("1941094502705922496")</f>
        <v>1941094502705922496</v>
      </c>
      <c r="AA1236" s="1">
        <v>1</v>
      </c>
      <c r="AC1236" s="1" t="s">
        <v>104</v>
      </c>
      <c r="AD1236" s="1" t="s">
        <v>151</v>
      </c>
      <c r="AE1236" s="1" t="s">
        <v>392</v>
      </c>
      <c r="AF1236" s="1" t="s">
        <v>144</v>
      </c>
      <c r="AG1236" s="1">
        <v>20</v>
      </c>
      <c r="AO1236" s="2">
        <v>46275</v>
      </c>
      <c r="AP1236" s="1" t="s">
        <v>551</v>
      </c>
      <c r="AQ1236" s="2">
        <v>46275</v>
      </c>
      <c r="AR1236" s="1" t="s">
        <v>582</v>
      </c>
      <c r="AS1236" s="1" t="s">
        <v>71</v>
      </c>
      <c r="AU1236" s="1" t="s">
        <v>79</v>
      </c>
      <c r="AV1236" s="1" t="s">
        <v>80</v>
      </c>
      <c r="AW1236" s="1">
        <v>67.16</v>
      </c>
      <c r="AX1236" s="1">
        <v>0</v>
      </c>
      <c r="AZ1236" s="1" t="s">
        <v>81</v>
      </c>
      <c r="BA1236" s="1">
        <v>1</v>
      </c>
      <c r="BB1236" s="1">
        <v>0</v>
      </c>
      <c r="BC1236" s="1">
        <v>0</v>
      </c>
      <c r="BE1236" s="1">
        <v>27188523</v>
      </c>
    </row>
    <row r="1237" spans="1:57" x14ac:dyDescent="0.25">
      <c r="A1237" s="1" t="str">
        <f>T("1944837539148537728")</f>
        <v>1944837539148537728</v>
      </c>
      <c r="B1237" s="1" t="str">
        <f>T("249927011128")</f>
        <v>249927011128</v>
      </c>
      <c r="C1237" s="1" t="str">
        <f>T("1941094502705922896")</f>
        <v>1941094502705922896</v>
      </c>
      <c r="AA1237" s="1">
        <v>1</v>
      </c>
      <c r="AC1237" s="1" t="s">
        <v>104</v>
      </c>
      <c r="AD1237" s="1" t="s">
        <v>151</v>
      </c>
      <c r="AE1237" s="1" t="s">
        <v>392</v>
      </c>
      <c r="AF1237" s="1" t="s">
        <v>144</v>
      </c>
      <c r="AG1237" s="1">
        <v>42</v>
      </c>
      <c r="AO1237" s="2">
        <v>46275</v>
      </c>
      <c r="AP1237" s="1" t="s">
        <v>551</v>
      </c>
      <c r="AQ1237" s="2">
        <v>46275</v>
      </c>
      <c r="AR1237" s="1" t="s">
        <v>583</v>
      </c>
      <c r="AS1237" s="1" t="s">
        <v>71</v>
      </c>
      <c r="AU1237" s="1" t="s">
        <v>79</v>
      </c>
      <c r="AV1237" s="1" t="s">
        <v>80</v>
      </c>
      <c r="AW1237" s="1">
        <v>37.78</v>
      </c>
      <c r="AX1237" s="1">
        <v>0</v>
      </c>
      <c r="AZ1237" s="1" t="s">
        <v>81</v>
      </c>
      <c r="BA1237" s="1">
        <v>2</v>
      </c>
      <c r="BB1237" s="1">
        <v>0</v>
      </c>
      <c r="BC1237" s="1">
        <v>0</v>
      </c>
      <c r="BE1237" s="1">
        <v>27188523</v>
      </c>
    </row>
    <row r="1238" spans="1:57" x14ac:dyDescent="0.25">
      <c r="A1238" s="1" t="str">
        <f>T("1944837539156922944")</f>
        <v>1944837539156922944</v>
      </c>
      <c r="B1238" s="1" t="str">
        <f>T("249924264646")</f>
        <v>249924264646</v>
      </c>
      <c r="C1238" s="1" t="str">
        <f>T("1941094502705923496")</f>
        <v>1941094502705923496</v>
      </c>
      <c r="AC1238" s="1" t="s">
        <v>104</v>
      </c>
      <c r="AD1238" s="1" t="s">
        <v>151</v>
      </c>
      <c r="AE1238" s="1" t="s">
        <v>392</v>
      </c>
      <c r="AF1238" s="1" t="s">
        <v>144</v>
      </c>
      <c r="AG1238" s="1">
        <v>36</v>
      </c>
      <c r="AO1238" s="2">
        <v>46275</v>
      </c>
      <c r="AP1238" s="1" t="s">
        <v>551</v>
      </c>
      <c r="AS1238" s="1" t="s">
        <v>71</v>
      </c>
      <c r="AU1238" s="1" t="s">
        <v>72</v>
      </c>
      <c r="AV1238" s="1" t="s">
        <v>73</v>
      </c>
      <c r="AX1238" s="1">
        <v>0</v>
      </c>
      <c r="BA1238" s="1">
        <v>9</v>
      </c>
      <c r="BB1238" s="1">
        <v>0</v>
      </c>
      <c r="BC1238" s="1">
        <v>0</v>
      </c>
      <c r="BE1238" s="1">
        <v>27188523</v>
      </c>
    </row>
    <row r="1239" spans="1:57" x14ac:dyDescent="0.25">
      <c r="A1239" s="1" t="str">
        <f>T("1944837539165313160")</f>
        <v>1944837539165313160</v>
      </c>
      <c r="B1239" s="1" t="str">
        <f>T("249924411371")</f>
        <v>249924411371</v>
      </c>
      <c r="C1239" s="1" t="str">
        <f>T("1941094502705923996")</f>
        <v>1941094502705923996</v>
      </c>
      <c r="M1239" s="1" t="s">
        <v>59</v>
      </c>
      <c r="O1239" s="1" t="s">
        <v>60</v>
      </c>
      <c r="P1239" s="1" t="s">
        <v>61</v>
      </c>
      <c r="Q1239" s="1" t="s">
        <v>112</v>
      </c>
      <c r="R1239" s="1" t="s">
        <v>63</v>
      </c>
      <c r="S1239" s="1" t="s">
        <v>94</v>
      </c>
      <c r="U1239" s="1" t="s">
        <v>65</v>
      </c>
      <c r="V1239" s="1" t="s">
        <v>102</v>
      </c>
      <c r="W1239" s="1" t="s">
        <v>67</v>
      </c>
      <c r="X1239" s="1" t="s">
        <v>66</v>
      </c>
      <c r="Y1239" s="1" t="s">
        <v>85</v>
      </c>
      <c r="AA1239" s="1">
        <v>1</v>
      </c>
      <c r="AB1239" s="1">
        <v>1</v>
      </c>
      <c r="AC1239" s="1" t="s">
        <v>104</v>
      </c>
      <c r="AD1239" s="1" t="s">
        <v>151</v>
      </c>
      <c r="AE1239" s="1" t="s">
        <v>392</v>
      </c>
      <c r="AF1239" s="1" t="s">
        <v>144</v>
      </c>
      <c r="AG1239" s="1">
        <v>33</v>
      </c>
      <c r="AO1239" s="2">
        <v>46275</v>
      </c>
      <c r="AP1239" s="1" t="s">
        <v>551</v>
      </c>
      <c r="AQ1239" s="2">
        <v>46275</v>
      </c>
      <c r="AR1239" s="1" t="s">
        <v>584</v>
      </c>
      <c r="AS1239" s="1" t="s">
        <v>71</v>
      </c>
      <c r="AU1239" s="1" t="s">
        <v>78</v>
      </c>
      <c r="AV1239" s="1" t="s">
        <v>80</v>
      </c>
      <c r="AW1239" s="1">
        <v>227.1</v>
      </c>
      <c r="AX1239" s="1">
        <v>0</v>
      </c>
      <c r="AZ1239" s="1" t="s">
        <v>81</v>
      </c>
      <c r="BA1239" s="1">
        <v>1</v>
      </c>
      <c r="BB1239" s="1">
        <v>0</v>
      </c>
      <c r="BC1239" s="1">
        <v>0</v>
      </c>
      <c r="BE1239" s="1">
        <v>27188523</v>
      </c>
    </row>
    <row r="1240" spans="1:57" x14ac:dyDescent="0.25">
      <c r="A1240" s="1" t="str">
        <f>T("1944837539169507468")</f>
        <v>1944837539169507468</v>
      </c>
      <c r="B1240" s="1" t="str">
        <f>T("249997581366")</f>
        <v>249997581366</v>
      </c>
      <c r="C1240" s="1" t="str">
        <f>T("1941094502705924296")</f>
        <v>1941094502705924296</v>
      </c>
      <c r="AC1240" s="1" t="s">
        <v>104</v>
      </c>
      <c r="AD1240" s="1" t="s">
        <v>151</v>
      </c>
      <c r="AE1240" s="1" t="s">
        <v>392</v>
      </c>
      <c r="AF1240" s="1" t="s">
        <v>144</v>
      </c>
      <c r="AG1240" s="1">
        <v>31</v>
      </c>
      <c r="AO1240" s="2">
        <v>46275</v>
      </c>
      <c r="AP1240" s="1" t="s">
        <v>551</v>
      </c>
      <c r="AS1240" s="1" t="s">
        <v>71</v>
      </c>
      <c r="AU1240" s="1" t="s">
        <v>72</v>
      </c>
      <c r="AV1240" s="1" t="s">
        <v>73</v>
      </c>
      <c r="AX1240" s="1">
        <v>0</v>
      </c>
      <c r="BA1240" s="1">
        <v>9</v>
      </c>
      <c r="BB1240" s="1">
        <v>0</v>
      </c>
      <c r="BC1240" s="1">
        <v>0</v>
      </c>
      <c r="BE1240" s="1">
        <v>27188523</v>
      </c>
    </row>
    <row r="1241" spans="1:57" x14ac:dyDescent="0.25">
      <c r="A1241" s="1" t="str">
        <f>T("1944837539190477408")</f>
        <v>1944837539190477408</v>
      </c>
      <c r="B1241" s="1" t="str">
        <f>T("249111539125")</f>
        <v>249111539125</v>
      </c>
      <c r="C1241" s="1" t="str">
        <f>T("1941094502705924696")</f>
        <v>1941094502705924696</v>
      </c>
      <c r="AA1241" s="1">
        <v>1</v>
      </c>
      <c r="AC1241" s="1" t="s">
        <v>104</v>
      </c>
      <c r="AD1241" s="1" t="s">
        <v>151</v>
      </c>
      <c r="AE1241" s="1" t="s">
        <v>392</v>
      </c>
      <c r="AF1241" s="1" t="s">
        <v>144</v>
      </c>
      <c r="AG1241" s="1">
        <v>29</v>
      </c>
      <c r="AO1241" s="2">
        <v>46275</v>
      </c>
      <c r="AP1241" s="1" t="s">
        <v>551</v>
      </c>
      <c r="AQ1241" s="2">
        <v>46275</v>
      </c>
      <c r="AR1241" s="1" t="s">
        <v>585</v>
      </c>
      <c r="AS1241" s="1" t="s">
        <v>71</v>
      </c>
      <c r="AU1241" s="1" t="s">
        <v>79</v>
      </c>
      <c r="AV1241" s="1" t="s">
        <v>80</v>
      </c>
      <c r="AW1241" s="1">
        <v>83.04</v>
      </c>
      <c r="AX1241" s="1">
        <v>0</v>
      </c>
      <c r="AZ1241" s="1" t="s">
        <v>81</v>
      </c>
      <c r="BA1241" s="1">
        <v>1</v>
      </c>
      <c r="BB1241" s="1">
        <v>0</v>
      </c>
      <c r="BC1241" s="1">
        <v>0</v>
      </c>
      <c r="BE1241" s="1">
        <v>27188523</v>
      </c>
    </row>
    <row r="1242" spans="1:57" x14ac:dyDescent="0.25">
      <c r="A1242" s="1" t="str">
        <f>T("1944837539395998200")</f>
        <v>1944837539395998200</v>
      </c>
      <c r="B1242" s="1" t="str">
        <f>T("249998154645")</f>
        <v>249998154645</v>
      </c>
      <c r="C1242" s="1" t="str">
        <f>T("1941094502705925096")</f>
        <v>1941094502705925096</v>
      </c>
      <c r="AA1242" s="1">
        <v>1</v>
      </c>
      <c r="AC1242" s="1" t="s">
        <v>104</v>
      </c>
      <c r="AD1242" s="1" t="s">
        <v>151</v>
      </c>
      <c r="AE1242" s="1" t="s">
        <v>392</v>
      </c>
      <c r="AF1242" s="1" t="s">
        <v>144</v>
      </c>
      <c r="AG1242" s="1">
        <v>22</v>
      </c>
      <c r="AO1242" s="2">
        <v>46275</v>
      </c>
      <c r="AP1242" s="1" t="s">
        <v>551</v>
      </c>
      <c r="AQ1242" s="2">
        <v>46275</v>
      </c>
      <c r="AR1242" s="1" t="s">
        <v>586</v>
      </c>
      <c r="AS1242" s="1" t="s">
        <v>71</v>
      </c>
      <c r="AU1242" s="1" t="s">
        <v>79</v>
      </c>
      <c r="AV1242" s="1" t="s">
        <v>80</v>
      </c>
      <c r="AW1242" s="1">
        <v>101.38</v>
      </c>
      <c r="AX1242" s="1">
        <v>0</v>
      </c>
      <c r="AZ1242" s="1" t="s">
        <v>81</v>
      </c>
      <c r="BA1242" s="1">
        <v>1</v>
      </c>
      <c r="BB1242" s="1">
        <v>0</v>
      </c>
      <c r="BC1242" s="1">
        <v>0</v>
      </c>
      <c r="BE1242" s="1">
        <v>27188523</v>
      </c>
    </row>
    <row r="1243" spans="1:57" x14ac:dyDescent="0.25">
      <c r="A1243" s="1" t="str">
        <f>T("1944837539408580924")</f>
        <v>1944837539408580924</v>
      </c>
      <c r="B1243" s="1" t="str">
        <f>T("249999920787")</f>
        <v>249999920787</v>
      </c>
      <c r="C1243" s="1" t="str">
        <f>T("1941094502710117104")</f>
        <v>1941094502710117104</v>
      </c>
      <c r="AC1243" s="1" t="s">
        <v>104</v>
      </c>
      <c r="AD1243" s="1" t="s">
        <v>151</v>
      </c>
      <c r="AE1243" s="1" t="s">
        <v>392</v>
      </c>
      <c r="AF1243" s="1" t="s">
        <v>144</v>
      </c>
      <c r="AG1243" s="1">
        <v>24</v>
      </c>
      <c r="AO1243" s="2">
        <v>46275</v>
      </c>
      <c r="AP1243" s="1" t="s">
        <v>551</v>
      </c>
      <c r="AQ1243" s="2">
        <v>46275</v>
      </c>
      <c r="AR1243" s="1" t="s">
        <v>587</v>
      </c>
      <c r="AS1243" s="1" t="s">
        <v>71</v>
      </c>
      <c r="AU1243" s="1" t="s">
        <v>79</v>
      </c>
      <c r="AV1243" s="1" t="s">
        <v>80</v>
      </c>
      <c r="AW1243" s="1">
        <v>16.02</v>
      </c>
      <c r="AX1243" s="1">
        <v>0</v>
      </c>
      <c r="AZ1243" s="1" t="s">
        <v>81</v>
      </c>
      <c r="BA1243" s="1">
        <v>1</v>
      </c>
      <c r="BB1243" s="1">
        <v>0</v>
      </c>
      <c r="BC1243" s="1">
        <v>0</v>
      </c>
      <c r="BE1243" s="1">
        <v>27188523</v>
      </c>
    </row>
    <row r="1244" spans="1:57" x14ac:dyDescent="0.25">
      <c r="A1244" s="1" t="str">
        <f>T("1944837539408583724")</f>
        <v>1944837539408583724</v>
      </c>
      <c r="B1244" s="1" t="str">
        <f>T("249922116041")</f>
        <v>249922116041</v>
      </c>
      <c r="C1244" s="1" t="str">
        <f>T("1941094502710116604")</f>
        <v>1941094502710116604</v>
      </c>
      <c r="AC1244" s="1" t="s">
        <v>104</v>
      </c>
      <c r="AD1244" s="1" t="s">
        <v>151</v>
      </c>
      <c r="AE1244" s="1" t="s">
        <v>392</v>
      </c>
      <c r="AF1244" s="1" t="s">
        <v>144</v>
      </c>
      <c r="AG1244" s="1">
        <v>40</v>
      </c>
      <c r="AO1244" s="2">
        <v>46275</v>
      </c>
      <c r="AP1244" s="1" t="s">
        <v>551</v>
      </c>
      <c r="AS1244" s="1" t="s">
        <v>71</v>
      </c>
      <c r="AU1244" s="1" t="s">
        <v>72</v>
      </c>
      <c r="AV1244" s="1" t="s">
        <v>131</v>
      </c>
      <c r="AX1244" s="1">
        <v>0</v>
      </c>
      <c r="BA1244" s="1">
        <v>9</v>
      </c>
      <c r="BB1244" s="1">
        <v>0</v>
      </c>
      <c r="BC1244" s="1">
        <v>0</v>
      </c>
      <c r="BE1244" s="1">
        <v>27188523</v>
      </c>
    </row>
    <row r="1245" spans="1:57" x14ac:dyDescent="0.25">
      <c r="A1245" s="1" t="str">
        <f>T("1945116902721002756")</f>
        <v>1945116902721002756</v>
      </c>
      <c r="B1245" s="1" t="str">
        <f>T("249918123250")</f>
        <v>249918123250</v>
      </c>
      <c r="C1245" s="1" t="str">
        <f>T("1941094470653054460")</f>
        <v>1941094470653054460</v>
      </c>
      <c r="AC1245" s="1" t="s">
        <v>344</v>
      </c>
      <c r="AD1245" s="1" t="s">
        <v>430</v>
      </c>
      <c r="AE1245" s="1" t="s">
        <v>435</v>
      </c>
      <c r="AF1245" s="1" t="s">
        <v>144</v>
      </c>
      <c r="AO1245" s="2">
        <v>46276</v>
      </c>
      <c r="AP1245" s="1" t="s">
        <v>588</v>
      </c>
      <c r="AS1245" s="1" t="s">
        <v>71</v>
      </c>
      <c r="AU1245" s="1" t="s">
        <v>72</v>
      </c>
      <c r="AV1245" s="1" t="s">
        <v>437</v>
      </c>
      <c r="AX1245" s="1">
        <v>0</v>
      </c>
      <c r="BA1245" s="1">
        <v>9</v>
      </c>
      <c r="BB1245" s="1">
        <v>0</v>
      </c>
      <c r="BC1245" s="1">
        <v>0</v>
      </c>
      <c r="BE1245" s="1">
        <v>27245253</v>
      </c>
    </row>
    <row r="1246" spans="1:57" x14ac:dyDescent="0.25">
      <c r="A1246" s="1" t="str">
        <f>T("1945116902901355900")</f>
        <v>1945116902901355900</v>
      </c>
      <c r="B1246" s="1" t="str">
        <f>T("249928154081")</f>
        <v>249928154081</v>
      </c>
      <c r="C1246" s="1" t="str">
        <f>T("1941094470653054960")</f>
        <v>1941094470653054960</v>
      </c>
      <c r="AC1246" s="1" t="s">
        <v>344</v>
      </c>
      <c r="AD1246" s="1" t="s">
        <v>430</v>
      </c>
      <c r="AE1246" s="1" t="s">
        <v>435</v>
      </c>
      <c r="AF1246" s="1" t="s">
        <v>107</v>
      </c>
      <c r="AO1246" s="2">
        <v>46276</v>
      </c>
      <c r="AP1246" s="1" t="s">
        <v>588</v>
      </c>
      <c r="AS1246" s="1" t="s">
        <v>71</v>
      </c>
      <c r="AU1246" s="1" t="s">
        <v>72</v>
      </c>
      <c r="AV1246" s="1" t="s">
        <v>334</v>
      </c>
      <c r="AX1246" s="1">
        <v>0</v>
      </c>
      <c r="BA1246" s="1">
        <v>9</v>
      </c>
      <c r="BB1246" s="1">
        <v>0</v>
      </c>
      <c r="BC1246" s="1">
        <v>0</v>
      </c>
      <c r="BE1246" s="1">
        <v>27245253</v>
      </c>
    </row>
    <row r="1247" spans="1:57" x14ac:dyDescent="0.25">
      <c r="A1247" s="1" t="str">
        <f>T("1945116902989438068")</f>
        <v>1945116902989438068</v>
      </c>
      <c r="B1247" s="1" t="str">
        <f>T("249919258735")</f>
        <v>249919258735</v>
      </c>
      <c r="C1247" s="1" t="str">
        <f>T("1941094470657246368")</f>
        <v>1941094470657246368</v>
      </c>
      <c r="AC1247" s="1" t="s">
        <v>344</v>
      </c>
      <c r="AD1247" s="1" t="s">
        <v>430</v>
      </c>
      <c r="AE1247" s="1" t="s">
        <v>435</v>
      </c>
      <c r="AF1247" s="1" t="s">
        <v>107</v>
      </c>
      <c r="AO1247" s="2">
        <v>46276</v>
      </c>
      <c r="AP1247" s="1" t="s">
        <v>588</v>
      </c>
      <c r="AS1247" s="1" t="s">
        <v>71</v>
      </c>
      <c r="AU1247" s="1" t="s">
        <v>72</v>
      </c>
      <c r="AV1247" s="1" t="s">
        <v>437</v>
      </c>
      <c r="AX1247" s="1">
        <v>0</v>
      </c>
      <c r="BA1247" s="1">
        <v>9</v>
      </c>
      <c r="BB1247" s="1">
        <v>0</v>
      </c>
      <c r="BC1247" s="1">
        <v>0</v>
      </c>
      <c r="BE1247" s="1">
        <v>27245253</v>
      </c>
    </row>
    <row r="1248" spans="1:57" x14ac:dyDescent="0.25">
      <c r="A1248" s="1" t="str">
        <f>T("1945116903064934612")</f>
        <v>1945116903064934612</v>
      </c>
      <c r="B1248" s="1" t="str">
        <f>T("249912485072")</f>
        <v>249912485072</v>
      </c>
      <c r="C1248" s="1" t="str">
        <f>T("1941094470657246968")</f>
        <v>1941094470657246968</v>
      </c>
      <c r="AC1248" s="1" t="s">
        <v>344</v>
      </c>
      <c r="AD1248" s="1" t="s">
        <v>430</v>
      </c>
      <c r="AE1248" s="1" t="s">
        <v>438</v>
      </c>
      <c r="AF1248" s="1" t="s">
        <v>107</v>
      </c>
      <c r="AO1248" s="2">
        <v>46276</v>
      </c>
      <c r="AP1248" s="1" t="s">
        <v>588</v>
      </c>
      <c r="AS1248" s="1" t="s">
        <v>71</v>
      </c>
      <c r="AU1248" s="1" t="s">
        <v>72</v>
      </c>
      <c r="AV1248" s="1" t="s">
        <v>73</v>
      </c>
      <c r="AX1248" s="1">
        <v>0</v>
      </c>
      <c r="BA1248" s="1">
        <v>9</v>
      </c>
      <c r="BB1248" s="1">
        <v>0</v>
      </c>
      <c r="BC1248" s="1">
        <v>0</v>
      </c>
      <c r="BE1248" s="1">
        <v>27245253</v>
      </c>
    </row>
    <row r="1249" spans="1:57" x14ac:dyDescent="0.25">
      <c r="A1249" s="1" t="str">
        <f>T("1945116903127847432")</f>
        <v>1945116903127847432</v>
      </c>
      <c r="B1249" s="1" t="str">
        <f>T("249902680116")</f>
        <v>249902680116</v>
      </c>
      <c r="C1249" s="1" t="str">
        <f>T("1941094470657247368")</f>
        <v>1941094470657247368</v>
      </c>
      <c r="AC1249" s="1" t="s">
        <v>344</v>
      </c>
      <c r="AD1249" s="1" t="s">
        <v>430</v>
      </c>
      <c r="AE1249" s="1" t="s">
        <v>438</v>
      </c>
      <c r="AF1249" s="1" t="s">
        <v>107</v>
      </c>
      <c r="AO1249" s="2">
        <v>46276</v>
      </c>
      <c r="AP1249" s="1" t="s">
        <v>588</v>
      </c>
      <c r="AS1249" s="1" t="s">
        <v>71</v>
      </c>
      <c r="AU1249" s="1" t="s">
        <v>72</v>
      </c>
      <c r="AV1249" s="1" t="s">
        <v>73</v>
      </c>
      <c r="AX1249" s="1">
        <v>0</v>
      </c>
      <c r="BA1249" s="1">
        <v>9</v>
      </c>
      <c r="BB1249" s="1">
        <v>0</v>
      </c>
      <c r="BC1249" s="1">
        <v>0</v>
      </c>
      <c r="BE1249" s="1">
        <v>27245253</v>
      </c>
    </row>
    <row r="1250" spans="1:57" x14ac:dyDescent="0.25">
      <c r="A1250" s="1" t="str">
        <f>T("1945116903190761652")</f>
        <v>1945116903190761652</v>
      </c>
      <c r="B1250" s="1" t="str">
        <f>T("249916039723")</f>
        <v>249916039723</v>
      </c>
      <c r="C1250" s="1" t="str">
        <f>T("1941094470661439976")</f>
        <v>1941094470661439976</v>
      </c>
      <c r="AC1250" s="1" t="s">
        <v>344</v>
      </c>
      <c r="AD1250" s="1" t="s">
        <v>430</v>
      </c>
      <c r="AE1250" s="1" t="s">
        <v>438</v>
      </c>
      <c r="AF1250" s="1" t="s">
        <v>144</v>
      </c>
      <c r="AO1250" s="2">
        <v>46276</v>
      </c>
      <c r="AP1250" s="1" t="s">
        <v>588</v>
      </c>
      <c r="AS1250" s="1" t="s">
        <v>71</v>
      </c>
      <c r="AU1250" s="1" t="s">
        <v>72</v>
      </c>
      <c r="AV1250" s="1" t="s">
        <v>437</v>
      </c>
      <c r="AX1250" s="1">
        <v>0</v>
      </c>
      <c r="BA1250" s="1">
        <v>9</v>
      </c>
      <c r="BB1250" s="1">
        <v>0</v>
      </c>
      <c r="BC1250" s="1">
        <v>0</v>
      </c>
      <c r="BE1250" s="1">
        <v>27245253</v>
      </c>
    </row>
    <row r="1251" spans="1:57" x14ac:dyDescent="0.25">
      <c r="A1251" s="1" t="str">
        <f>T("1945116903245289056")</f>
        <v>1945116903245289056</v>
      </c>
      <c r="B1251" s="1" t="str">
        <f>T("249961287135")</f>
        <v>249961287135</v>
      </c>
      <c r="C1251" s="1" t="str">
        <f>T("1941094470661440476")</f>
        <v>1941094470661440476</v>
      </c>
      <c r="AC1251" s="1" t="s">
        <v>344</v>
      </c>
      <c r="AD1251" s="1" t="s">
        <v>430</v>
      </c>
      <c r="AE1251" s="1" t="s">
        <v>438</v>
      </c>
      <c r="AF1251" s="1" t="s">
        <v>144</v>
      </c>
      <c r="AO1251" s="2">
        <v>46276</v>
      </c>
      <c r="AP1251" s="1" t="s">
        <v>588</v>
      </c>
      <c r="AS1251" s="1" t="s">
        <v>71</v>
      </c>
      <c r="AU1251" s="1" t="s">
        <v>72</v>
      </c>
      <c r="AV1251" s="1" t="s">
        <v>73</v>
      </c>
      <c r="AX1251" s="1">
        <v>0</v>
      </c>
      <c r="BA1251" s="1">
        <v>9</v>
      </c>
      <c r="BB1251" s="1">
        <v>0</v>
      </c>
      <c r="BC1251" s="1">
        <v>0</v>
      </c>
      <c r="BE1251" s="1">
        <v>27245253</v>
      </c>
    </row>
    <row r="1252" spans="1:57" x14ac:dyDescent="0.25">
      <c r="A1252" s="1" t="str">
        <f>T("1945116903299814760")</f>
        <v>1945116903299814760</v>
      </c>
      <c r="B1252" s="1" t="str">
        <f>T("249962978868")</f>
        <v>249962978868</v>
      </c>
      <c r="C1252" s="1" t="str">
        <f>T("1941094470661441476")</f>
        <v>1941094470661441476</v>
      </c>
      <c r="AC1252" s="1" t="s">
        <v>344</v>
      </c>
      <c r="AD1252" s="1" t="s">
        <v>430</v>
      </c>
      <c r="AE1252" s="1" t="s">
        <v>438</v>
      </c>
      <c r="AF1252" s="1" t="s">
        <v>144</v>
      </c>
      <c r="AO1252" s="2">
        <v>46276</v>
      </c>
      <c r="AP1252" s="1" t="s">
        <v>588</v>
      </c>
      <c r="AS1252" s="1" t="s">
        <v>71</v>
      </c>
      <c r="AU1252" s="1" t="s">
        <v>72</v>
      </c>
      <c r="AV1252" s="1" t="s">
        <v>437</v>
      </c>
      <c r="AX1252" s="1">
        <v>0</v>
      </c>
      <c r="BA1252" s="1">
        <v>9</v>
      </c>
      <c r="BB1252" s="1">
        <v>0</v>
      </c>
      <c r="BC1252" s="1">
        <v>0</v>
      </c>
      <c r="BE1252" s="1">
        <v>27245253</v>
      </c>
    </row>
    <row r="1253" spans="1:57" x14ac:dyDescent="0.25">
      <c r="A1253" s="1" t="str">
        <f>T("1945116903354339664")</f>
        <v>1945116903354339664</v>
      </c>
      <c r="B1253" s="1" t="str">
        <f>T("249962565357")</f>
        <v>249962565357</v>
      </c>
      <c r="C1253" s="1" t="str">
        <f>T("1941094470665634184")</f>
        <v>1941094470665634184</v>
      </c>
      <c r="AC1253" s="1" t="s">
        <v>344</v>
      </c>
      <c r="AD1253" s="1" t="s">
        <v>430</v>
      </c>
      <c r="AE1253" s="1" t="s">
        <v>438</v>
      </c>
      <c r="AF1253" s="1" t="s">
        <v>107</v>
      </c>
      <c r="AO1253" s="2">
        <v>46276</v>
      </c>
      <c r="AP1253" s="1" t="s">
        <v>588</v>
      </c>
      <c r="AS1253" s="1" t="s">
        <v>71</v>
      </c>
      <c r="AU1253" s="1" t="s">
        <v>72</v>
      </c>
      <c r="AV1253" s="1" t="s">
        <v>437</v>
      </c>
      <c r="AX1253" s="1">
        <v>0</v>
      </c>
      <c r="BA1253" s="1">
        <v>9</v>
      </c>
      <c r="BB1253" s="1">
        <v>0</v>
      </c>
      <c r="BC1253" s="1">
        <v>0</v>
      </c>
      <c r="BE1253" s="1">
        <v>27245253</v>
      </c>
    </row>
    <row r="1254" spans="1:57" x14ac:dyDescent="0.25">
      <c r="A1254" s="1" t="str">
        <f>T("1945116903413060076")</f>
        <v>1945116903413060076</v>
      </c>
      <c r="B1254" s="1" t="str">
        <f>T("249112673091")</f>
        <v>249112673091</v>
      </c>
      <c r="C1254" s="1" t="str">
        <f>T("1941094470665634584")</f>
        <v>1941094470665634584</v>
      </c>
      <c r="AC1254" s="1" t="s">
        <v>344</v>
      </c>
      <c r="AD1254" s="1" t="s">
        <v>430</v>
      </c>
      <c r="AE1254" s="1" t="s">
        <v>438</v>
      </c>
      <c r="AF1254" s="1" t="s">
        <v>144</v>
      </c>
      <c r="AO1254" s="2">
        <v>46276</v>
      </c>
      <c r="AP1254" s="1" t="s">
        <v>588</v>
      </c>
      <c r="AQ1254" s="2">
        <v>46276</v>
      </c>
      <c r="AR1254" s="1" t="s">
        <v>589</v>
      </c>
      <c r="AS1254" s="1" t="s">
        <v>71</v>
      </c>
      <c r="AU1254" s="1" t="s">
        <v>79</v>
      </c>
      <c r="AV1254" s="1" t="s">
        <v>80</v>
      </c>
      <c r="AW1254" s="1">
        <v>18.760000000000002</v>
      </c>
      <c r="AX1254" s="1">
        <v>0</v>
      </c>
      <c r="AZ1254" s="1" t="s">
        <v>81</v>
      </c>
      <c r="BA1254" s="1">
        <v>1</v>
      </c>
      <c r="BB1254" s="1">
        <v>0</v>
      </c>
      <c r="BC1254" s="1">
        <v>0</v>
      </c>
      <c r="BE1254" s="1">
        <v>27245253</v>
      </c>
    </row>
    <row r="1255" spans="1:57" x14ac:dyDescent="0.25">
      <c r="A1255" s="1" t="str">
        <f>T("1945116903492755128")</f>
        <v>1945116903492755128</v>
      </c>
      <c r="B1255" s="1" t="str">
        <f>T("249917562583")</f>
        <v>249917562583</v>
      </c>
      <c r="C1255" s="1" t="str">
        <f>T("1941094470665635084")</f>
        <v>1941094470665635084</v>
      </c>
      <c r="AC1255" s="1" t="s">
        <v>344</v>
      </c>
      <c r="AD1255" s="1" t="s">
        <v>430</v>
      </c>
      <c r="AE1255" s="1" t="s">
        <v>438</v>
      </c>
      <c r="AF1255" s="1" t="s">
        <v>144</v>
      </c>
      <c r="AO1255" s="2">
        <v>46276</v>
      </c>
      <c r="AP1255" s="1" t="s">
        <v>588</v>
      </c>
      <c r="AS1255" s="1" t="s">
        <v>71</v>
      </c>
      <c r="AU1255" s="1" t="s">
        <v>72</v>
      </c>
      <c r="AV1255" s="1" t="s">
        <v>73</v>
      </c>
      <c r="AX1255" s="1">
        <v>0</v>
      </c>
      <c r="BA1255" s="1">
        <v>9</v>
      </c>
      <c r="BB1255" s="1">
        <v>0</v>
      </c>
      <c r="BC1255" s="1">
        <v>0</v>
      </c>
      <c r="BE1255" s="1">
        <v>27245253</v>
      </c>
    </row>
    <row r="1256" spans="1:57" x14ac:dyDescent="0.25">
      <c r="A1256" s="1" t="str">
        <f>T("1945116903547280432")</f>
        <v>1945116903547280432</v>
      </c>
      <c r="B1256" s="1" t="str">
        <f>T("249904687760")</f>
        <v>249904687760</v>
      </c>
      <c r="C1256" s="1" t="str">
        <f>T("1941094470665635484")</f>
        <v>1941094470665635484</v>
      </c>
      <c r="AC1256" s="1" t="s">
        <v>344</v>
      </c>
      <c r="AD1256" s="1" t="s">
        <v>430</v>
      </c>
      <c r="AE1256" s="1" t="s">
        <v>438</v>
      </c>
      <c r="AF1256" s="1" t="s">
        <v>107</v>
      </c>
      <c r="AO1256" s="2">
        <v>46276</v>
      </c>
      <c r="AP1256" s="1" t="s">
        <v>588</v>
      </c>
      <c r="AS1256" s="1" t="s">
        <v>71</v>
      </c>
      <c r="AU1256" s="1" t="s">
        <v>72</v>
      </c>
      <c r="AV1256" s="1" t="s">
        <v>73</v>
      </c>
      <c r="AX1256" s="1">
        <v>0</v>
      </c>
      <c r="BA1256" s="1">
        <v>9</v>
      </c>
      <c r="BB1256" s="1">
        <v>0</v>
      </c>
      <c r="BC1256" s="1">
        <v>0</v>
      </c>
      <c r="BE1256" s="1">
        <v>27245253</v>
      </c>
    </row>
    <row r="1257" spans="1:57" x14ac:dyDescent="0.25">
      <c r="A1257" s="1" t="str">
        <f>T("1945116903601807236")</f>
        <v>1945116903601807236</v>
      </c>
      <c r="B1257" s="1" t="str">
        <f>T("249915120166")</f>
        <v>249915120166</v>
      </c>
      <c r="C1257" s="1" t="str">
        <f>T("1941094470665635984")</f>
        <v>1941094470665635984</v>
      </c>
      <c r="AC1257" s="1" t="s">
        <v>344</v>
      </c>
      <c r="AD1257" s="1" t="s">
        <v>430</v>
      </c>
      <c r="AE1257" s="1" t="s">
        <v>439</v>
      </c>
      <c r="AF1257" s="1" t="s">
        <v>144</v>
      </c>
      <c r="AO1257" s="2">
        <v>46276</v>
      </c>
      <c r="AP1257" s="1" t="s">
        <v>588</v>
      </c>
      <c r="AS1257" s="1" t="s">
        <v>71</v>
      </c>
      <c r="AU1257" s="1" t="s">
        <v>72</v>
      </c>
      <c r="AV1257" s="1" t="s">
        <v>73</v>
      </c>
      <c r="AX1257" s="1">
        <v>0</v>
      </c>
      <c r="BA1257" s="1">
        <v>9</v>
      </c>
      <c r="BB1257" s="1">
        <v>0</v>
      </c>
      <c r="BC1257" s="1">
        <v>0</v>
      </c>
      <c r="BE1257" s="1">
        <v>27245253</v>
      </c>
    </row>
    <row r="1258" spans="1:57" x14ac:dyDescent="0.25">
      <c r="A1258" s="1" t="str">
        <f>T("1945116903656332940")</f>
        <v>1945116903656332940</v>
      </c>
      <c r="B1258" s="1" t="str">
        <f>T("249940619637")</f>
        <v>249940619637</v>
      </c>
      <c r="C1258" s="1" t="str">
        <f>T("1941094470665636284")</f>
        <v>1941094470665636284</v>
      </c>
      <c r="AC1258" s="1" t="s">
        <v>344</v>
      </c>
      <c r="AD1258" s="1" t="s">
        <v>430</v>
      </c>
      <c r="AE1258" s="1" t="s">
        <v>439</v>
      </c>
      <c r="AF1258" s="1" t="s">
        <v>144</v>
      </c>
      <c r="AO1258" s="2">
        <v>46276</v>
      </c>
      <c r="AP1258" s="1" t="s">
        <v>588</v>
      </c>
      <c r="AS1258" s="1" t="s">
        <v>71</v>
      </c>
      <c r="AU1258" s="1" t="s">
        <v>72</v>
      </c>
      <c r="AV1258" s="1" t="s">
        <v>73</v>
      </c>
      <c r="AX1258" s="1">
        <v>0</v>
      </c>
      <c r="BA1258" s="1">
        <v>9</v>
      </c>
      <c r="BB1258" s="1">
        <v>0</v>
      </c>
      <c r="BC1258" s="1">
        <v>0</v>
      </c>
      <c r="BE1258" s="1">
        <v>27245253</v>
      </c>
    </row>
    <row r="1259" spans="1:57" x14ac:dyDescent="0.25">
      <c r="A1259" s="1" t="str">
        <f>T("1945116903715050252")</f>
        <v>1945116903715050252</v>
      </c>
      <c r="B1259" s="1" t="str">
        <f>T("249917346290")</f>
        <v>249917346290</v>
      </c>
      <c r="C1259" s="1" t="str">
        <f>T("1941094470665636684")</f>
        <v>1941094470665636684</v>
      </c>
      <c r="AC1259" s="1" t="s">
        <v>344</v>
      </c>
      <c r="AD1259" s="1" t="s">
        <v>430</v>
      </c>
      <c r="AE1259" s="1" t="s">
        <v>439</v>
      </c>
      <c r="AF1259" s="1" t="s">
        <v>144</v>
      </c>
      <c r="AO1259" s="2">
        <v>46276</v>
      </c>
      <c r="AP1259" s="1" t="s">
        <v>588</v>
      </c>
      <c r="AS1259" s="1" t="s">
        <v>71</v>
      </c>
      <c r="AU1259" s="1" t="s">
        <v>72</v>
      </c>
      <c r="AV1259" s="1" t="s">
        <v>437</v>
      </c>
      <c r="AX1259" s="1">
        <v>0</v>
      </c>
      <c r="BA1259" s="1">
        <v>9</v>
      </c>
      <c r="BB1259" s="1">
        <v>0</v>
      </c>
      <c r="BC1259" s="1">
        <v>0</v>
      </c>
      <c r="BE1259" s="1">
        <v>27245253</v>
      </c>
    </row>
    <row r="1260" spans="1:57" x14ac:dyDescent="0.25">
      <c r="A1260" s="1" t="str">
        <f>T("1945116903773771764")</f>
        <v>1945116903773771764</v>
      </c>
      <c r="B1260" s="1" t="str">
        <f>T("249917261827")</f>
        <v>249917261827</v>
      </c>
      <c r="C1260" s="1" t="str">
        <f>T("1941094470665637284")</f>
        <v>1941094470665637284</v>
      </c>
      <c r="AC1260" s="1" t="s">
        <v>344</v>
      </c>
      <c r="AD1260" s="1" t="s">
        <v>430</v>
      </c>
      <c r="AE1260" s="1" t="s">
        <v>439</v>
      </c>
      <c r="AF1260" s="1" t="s">
        <v>144</v>
      </c>
      <c r="AO1260" s="2">
        <v>46276</v>
      </c>
      <c r="AP1260" s="1" t="s">
        <v>588</v>
      </c>
      <c r="AS1260" s="1" t="s">
        <v>71</v>
      </c>
      <c r="AU1260" s="1" t="s">
        <v>72</v>
      </c>
      <c r="AV1260" s="1" t="s">
        <v>437</v>
      </c>
      <c r="AX1260" s="1">
        <v>0</v>
      </c>
      <c r="BA1260" s="1">
        <v>9</v>
      </c>
      <c r="BB1260" s="1">
        <v>0</v>
      </c>
      <c r="BC1260" s="1">
        <v>0</v>
      </c>
      <c r="BE1260" s="1">
        <v>27245253</v>
      </c>
    </row>
    <row r="1261" spans="1:57" x14ac:dyDescent="0.25">
      <c r="A1261" s="1" t="str">
        <f>T("1945116903857657524")</f>
        <v>1945116903857657524</v>
      </c>
      <c r="B1261" s="1" t="str">
        <f>T("249967911967")</f>
        <v>249967911967</v>
      </c>
      <c r="C1261" s="1" t="str">
        <f>T("1941094470669829292")</f>
        <v>1941094470669829292</v>
      </c>
      <c r="AC1261" s="1" t="s">
        <v>344</v>
      </c>
      <c r="AD1261" s="1" t="s">
        <v>430</v>
      </c>
      <c r="AE1261" s="1" t="s">
        <v>439</v>
      </c>
      <c r="AF1261" s="1" t="s">
        <v>144</v>
      </c>
      <c r="AO1261" s="2">
        <v>46276</v>
      </c>
      <c r="AP1261" s="1" t="s">
        <v>588</v>
      </c>
      <c r="AS1261" s="1" t="s">
        <v>71</v>
      </c>
      <c r="AU1261" s="1" t="s">
        <v>72</v>
      </c>
      <c r="AV1261" s="1" t="s">
        <v>437</v>
      </c>
      <c r="AX1261" s="1">
        <v>0</v>
      </c>
      <c r="BA1261" s="1">
        <v>9</v>
      </c>
      <c r="BB1261" s="1">
        <v>0</v>
      </c>
      <c r="BC1261" s="1">
        <v>0</v>
      </c>
      <c r="BE1261" s="1">
        <v>27245253</v>
      </c>
    </row>
    <row r="1262" spans="1:57" x14ac:dyDescent="0.25">
      <c r="A1262" s="1" t="str">
        <f>T("1945116903933154868")</f>
        <v>1945116903933154868</v>
      </c>
      <c r="B1262" s="1" t="str">
        <f>T("249919368964")</f>
        <v>249919368964</v>
      </c>
      <c r="C1262" s="1" t="str">
        <f>T("1941094470674025800")</f>
        <v>1941094470674025800</v>
      </c>
      <c r="AC1262" s="1" t="s">
        <v>344</v>
      </c>
      <c r="AD1262" s="1" t="s">
        <v>430</v>
      </c>
      <c r="AE1262" s="1" t="s">
        <v>439</v>
      </c>
      <c r="AF1262" s="1" t="s">
        <v>144</v>
      </c>
      <c r="AO1262" s="2">
        <v>46276</v>
      </c>
      <c r="AP1262" s="1" t="s">
        <v>588</v>
      </c>
      <c r="AS1262" s="1" t="s">
        <v>71</v>
      </c>
      <c r="AU1262" s="1" t="s">
        <v>72</v>
      </c>
      <c r="AV1262" s="1" t="s">
        <v>73</v>
      </c>
      <c r="AX1262" s="1">
        <v>0</v>
      </c>
      <c r="BA1262" s="1">
        <v>9</v>
      </c>
      <c r="BB1262" s="1">
        <v>0</v>
      </c>
      <c r="BC1262" s="1">
        <v>0</v>
      </c>
      <c r="BE1262" s="1">
        <v>27245253</v>
      </c>
    </row>
    <row r="1263" spans="1:57" x14ac:dyDescent="0.25">
      <c r="A1263" s="1" t="str">
        <f>T("1945116904008653012")</f>
        <v>1945116904008653012</v>
      </c>
      <c r="B1263" s="1" t="str">
        <f>T("249917686030")</f>
        <v>249917686030</v>
      </c>
      <c r="C1263" s="1" t="str">
        <f>T("1941094470678216708")</f>
        <v>1941094470678216708</v>
      </c>
      <c r="AC1263" s="1" t="s">
        <v>344</v>
      </c>
      <c r="AD1263" s="1" t="s">
        <v>430</v>
      </c>
      <c r="AE1263" s="1" t="s">
        <v>440</v>
      </c>
      <c r="AF1263" s="1" t="s">
        <v>144</v>
      </c>
      <c r="AO1263" s="2">
        <v>46276</v>
      </c>
      <c r="AP1263" s="1" t="s">
        <v>588</v>
      </c>
      <c r="AS1263" s="1" t="s">
        <v>71</v>
      </c>
      <c r="AU1263" s="1" t="s">
        <v>72</v>
      </c>
      <c r="AV1263" s="1" t="s">
        <v>437</v>
      </c>
      <c r="AX1263" s="1">
        <v>0</v>
      </c>
      <c r="BA1263" s="1">
        <v>9</v>
      </c>
      <c r="BB1263" s="1">
        <v>0</v>
      </c>
      <c r="BC1263" s="1">
        <v>0</v>
      </c>
      <c r="BE1263" s="1">
        <v>27245253</v>
      </c>
    </row>
    <row r="1264" spans="1:57" x14ac:dyDescent="0.25">
      <c r="A1264" s="1" t="str">
        <f>T("1945116904063180016")</f>
        <v>1945116904063180016</v>
      </c>
      <c r="B1264" s="1" t="str">
        <f>T("249961693044")</f>
        <v>249961693044</v>
      </c>
      <c r="C1264" s="1" t="str">
        <f>T("1941094470678217208")</f>
        <v>1941094470678217208</v>
      </c>
      <c r="AC1264" s="1" t="s">
        <v>344</v>
      </c>
      <c r="AD1264" s="1" t="s">
        <v>430</v>
      </c>
      <c r="AE1264" s="1" t="s">
        <v>440</v>
      </c>
      <c r="AF1264" s="1" t="s">
        <v>144</v>
      </c>
      <c r="AO1264" s="2">
        <v>46276</v>
      </c>
      <c r="AP1264" s="1" t="s">
        <v>588</v>
      </c>
      <c r="AS1264" s="1" t="s">
        <v>71</v>
      </c>
      <c r="AU1264" s="1" t="s">
        <v>72</v>
      </c>
      <c r="AV1264" s="1" t="s">
        <v>73</v>
      </c>
      <c r="AX1264" s="1">
        <v>0</v>
      </c>
      <c r="BA1264" s="1">
        <v>9</v>
      </c>
      <c r="BB1264" s="1">
        <v>0</v>
      </c>
      <c r="BC1264" s="1">
        <v>0</v>
      </c>
      <c r="BE1264" s="1">
        <v>27245253</v>
      </c>
    </row>
    <row r="1265" spans="1:57" x14ac:dyDescent="0.25">
      <c r="A1265" s="1" t="str">
        <f>T("1945116904121899228")</f>
        <v>1945116904121899228</v>
      </c>
      <c r="B1265" s="1" t="str">
        <f>T("249910611577")</f>
        <v>249910611577</v>
      </c>
      <c r="C1265" s="1" t="str">
        <f>T("1941094470678218808")</f>
        <v>1941094470678218808</v>
      </c>
      <c r="AC1265" s="1" t="s">
        <v>344</v>
      </c>
      <c r="AD1265" s="1" t="s">
        <v>430</v>
      </c>
      <c r="AE1265" s="1" t="s">
        <v>440</v>
      </c>
      <c r="AF1265" s="1" t="s">
        <v>144</v>
      </c>
      <c r="AO1265" s="2">
        <v>46276</v>
      </c>
      <c r="AP1265" s="1" t="s">
        <v>588</v>
      </c>
      <c r="AS1265" s="1" t="s">
        <v>71</v>
      </c>
      <c r="AU1265" s="1" t="s">
        <v>72</v>
      </c>
      <c r="AV1265" s="1" t="s">
        <v>437</v>
      </c>
      <c r="AX1265" s="1">
        <v>0</v>
      </c>
      <c r="BA1265" s="1">
        <v>9</v>
      </c>
      <c r="BB1265" s="1">
        <v>0</v>
      </c>
      <c r="BC1265" s="1">
        <v>0</v>
      </c>
      <c r="BE1265" s="1">
        <v>27245253</v>
      </c>
    </row>
    <row r="1266" spans="1:57" x14ac:dyDescent="0.25">
      <c r="A1266" s="1" t="str">
        <f>T("1945116904130289344")</f>
        <v>1945116904130289344</v>
      </c>
      <c r="B1266" s="1" t="str">
        <f>T("249902577016")</f>
        <v>249902577016</v>
      </c>
      <c r="C1266" s="1" t="str">
        <f>T("1941094470678218408")</f>
        <v>1941094470678218408</v>
      </c>
      <c r="AC1266" s="1" t="s">
        <v>344</v>
      </c>
      <c r="AD1266" s="1" t="s">
        <v>430</v>
      </c>
      <c r="AE1266" s="1" t="s">
        <v>440</v>
      </c>
      <c r="AF1266" s="1" t="s">
        <v>144</v>
      </c>
      <c r="AO1266" s="2">
        <v>46276</v>
      </c>
      <c r="AP1266" s="1" t="s">
        <v>588</v>
      </c>
      <c r="AS1266" s="1" t="s">
        <v>71</v>
      </c>
      <c r="AU1266" s="1" t="s">
        <v>72</v>
      </c>
      <c r="AV1266" s="1" t="s">
        <v>437</v>
      </c>
      <c r="AX1266" s="1">
        <v>0</v>
      </c>
      <c r="BA1266" s="1">
        <v>9</v>
      </c>
      <c r="BB1266" s="1">
        <v>0</v>
      </c>
      <c r="BC1266" s="1">
        <v>0</v>
      </c>
      <c r="BE1266" s="1">
        <v>27245253</v>
      </c>
    </row>
    <row r="1267" spans="1:57" x14ac:dyDescent="0.25">
      <c r="A1267" s="1" t="str">
        <f>T("1945116904189006656")</f>
        <v>1945116904189006656</v>
      </c>
      <c r="B1267" s="1" t="str">
        <f>T("249913440741")</f>
        <v>249913440741</v>
      </c>
      <c r="C1267" s="1" t="str">
        <f>T("1941094470678219108")</f>
        <v>1941094470678219108</v>
      </c>
      <c r="AC1267" s="1" t="s">
        <v>344</v>
      </c>
      <c r="AD1267" s="1" t="s">
        <v>430</v>
      </c>
      <c r="AE1267" s="1" t="s">
        <v>440</v>
      </c>
      <c r="AF1267" s="1" t="s">
        <v>144</v>
      </c>
      <c r="AO1267" s="2">
        <v>46276</v>
      </c>
      <c r="AP1267" s="1" t="s">
        <v>588</v>
      </c>
      <c r="AS1267" s="1" t="s">
        <v>71</v>
      </c>
      <c r="AU1267" s="1" t="s">
        <v>72</v>
      </c>
      <c r="AV1267" s="1" t="s">
        <v>73</v>
      </c>
      <c r="AX1267" s="1">
        <v>0</v>
      </c>
      <c r="BA1267" s="1">
        <v>9</v>
      </c>
      <c r="BB1267" s="1">
        <v>0</v>
      </c>
      <c r="BC1267" s="1">
        <v>0</v>
      </c>
      <c r="BE1267" s="1">
        <v>27245253</v>
      </c>
    </row>
    <row r="1268" spans="1:57" x14ac:dyDescent="0.25">
      <c r="A1268" s="1" t="str">
        <f>T("1945116904214174104")</f>
        <v>1945116904214174104</v>
      </c>
      <c r="B1268" s="1" t="str">
        <f>T("249908707019")</f>
        <v>249908707019</v>
      </c>
      <c r="C1268" s="1" t="str">
        <f>T("1941094470678219608")</f>
        <v>1941094470678219608</v>
      </c>
      <c r="AC1268" s="1" t="s">
        <v>344</v>
      </c>
      <c r="AD1268" s="1" t="s">
        <v>430</v>
      </c>
      <c r="AE1268" s="1" t="s">
        <v>440</v>
      </c>
      <c r="AF1268" s="1" t="s">
        <v>144</v>
      </c>
      <c r="AO1268" s="2">
        <v>46276</v>
      </c>
      <c r="AP1268" s="1" t="s">
        <v>588</v>
      </c>
      <c r="AS1268" s="1" t="s">
        <v>71</v>
      </c>
      <c r="AU1268" s="1" t="s">
        <v>72</v>
      </c>
      <c r="AV1268" s="1" t="s">
        <v>73</v>
      </c>
      <c r="AX1268" s="1">
        <v>0</v>
      </c>
      <c r="BA1268" s="1">
        <v>9</v>
      </c>
      <c r="BB1268" s="1">
        <v>0</v>
      </c>
      <c r="BC1268" s="1">
        <v>0</v>
      </c>
      <c r="BE1268" s="1">
        <v>27245253</v>
      </c>
    </row>
    <row r="1269" spans="1:57" x14ac:dyDescent="0.25">
      <c r="A1269" s="1" t="str">
        <f>T("1945116904243534160")</f>
        <v>1945116904243534160</v>
      </c>
      <c r="B1269" s="1" t="str">
        <f>T("249963567305")</f>
        <v>249963567305</v>
      </c>
      <c r="C1269" s="1" t="str">
        <f>T("1941094470678220108")</f>
        <v>1941094470678220108</v>
      </c>
      <c r="AC1269" s="1" t="s">
        <v>344</v>
      </c>
      <c r="AD1269" s="1" t="s">
        <v>441</v>
      </c>
      <c r="AE1269" s="1" t="s">
        <v>442</v>
      </c>
      <c r="AF1269" s="1" t="s">
        <v>107</v>
      </c>
      <c r="AO1269" s="2">
        <v>46276</v>
      </c>
      <c r="AP1269" s="1" t="s">
        <v>588</v>
      </c>
      <c r="AS1269" s="1" t="s">
        <v>71</v>
      </c>
      <c r="AU1269" s="1" t="s">
        <v>72</v>
      </c>
      <c r="AV1269" s="1" t="s">
        <v>73</v>
      </c>
      <c r="AX1269" s="1">
        <v>0</v>
      </c>
      <c r="BA1269" s="1">
        <v>9</v>
      </c>
      <c r="BB1269" s="1">
        <v>0</v>
      </c>
      <c r="BC1269" s="1">
        <v>0</v>
      </c>
      <c r="BE1269" s="1">
        <v>27245253</v>
      </c>
    </row>
    <row r="1270" spans="1:57" x14ac:dyDescent="0.25">
      <c r="A1270" s="1" t="str">
        <f>T("1945116904302252372")</f>
        <v>1945116904302252372</v>
      </c>
      <c r="B1270" s="1" t="str">
        <f>T("249904572749")</f>
        <v>249904572749</v>
      </c>
      <c r="C1270" s="1" t="str">
        <f>T("1941094470678220508")</f>
        <v>1941094470678220508</v>
      </c>
      <c r="AC1270" s="1" t="s">
        <v>344</v>
      </c>
      <c r="AD1270" s="1" t="s">
        <v>441</v>
      </c>
      <c r="AE1270" s="1" t="s">
        <v>442</v>
      </c>
      <c r="AF1270" s="1" t="s">
        <v>107</v>
      </c>
      <c r="AO1270" s="2">
        <v>46276</v>
      </c>
      <c r="AP1270" s="1" t="s">
        <v>588</v>
      </c>
      <c r="AS1270" s="1" t="s">
        <v>71</v>
      </c>
      <c r="AU1270" s="1" t="s">
        <v>72</v>
      </c>
      <c r="AV1270" s="1" t="s">
        <v>437</v>
      </c>
      <c r="AX1270" s="1">
        <v>0</v>
      </c>
      <c r="BA1270" s="1">
        <v>9</v>
      </c>
      <c r="BB1270" s="1">
        <v>0</v>
      </c>
      <c r="BC1270" s="1">
        <v>0</v>
      </c>
      <c r="BE1270" s="1">
        <v>27245253</v>
      </c>
    </row>
    <row r="1271" spans="1:57" x14ac:dyDescent="0.25">
      <c r="A1271" s="1" t="str">
        <f>T("1945116904365169692")</f>
        <v>1945116904365169692</v>
      </c>
      <c r="B1271" s="1" t="str">
        <f>T("249901799006")</f>
        <v>249901799006</v>
      </c>
      <c r="C1271" s="1" t="str">
        <f>T("1941094470682411116")</f>
        <v>1941094470682411116</v>
      </c>
      <c r="AC1271" s="1" t="s">
        <v>344</v>
      </c>
      <c r="AD1271" s="1" t="s">
        <v>441</v>
      </c>
      <c r="AE1271" s="1" t="s">
        <v>442</v>
      </c>
      <c r="AF1271" s="1" t="s">
        <v>144</v>
      </c>
      <c r="AO1271" s="2">
        <v>46276</v>
      </c>
      <c r="AP1271" s="1" t="s">
        <v>588</v>
      </c>
      <c r="AS1271" s="1" t="s">
        <v>71</v>
      </c>
      <c r="AU1271" s="1" t="s">
        <v>72</v>
      </c>
      <c r="AV1271" s="1" t="s">
        <v>73</v>
      </c>
      <c r="AX1271" s="1">
        <v>0</v>
      </c>
      <c r="BA1271" s="1">
        <v>9</v>
      </c>
      <c r="BB1271" s="1">
        <v>0</v>
      </c>
      <c r="BC1271" s="1">
        <v>0</v>
      </c>
      <c r="BE1271" s="1">
        <v>27245253</v>
      </c>
    </row>
    <row r="1272" spans="1:57" x14ac:dyDescent="0.25">
      <c r="A1272" s="1" t="str">
        <f>T("1945116904369362700")</f>
        <v>1945116904369362700</v>
      </c>
      <c r="B1272" s="1" t="str">
        <f>T("249903177645")</f>
        <v>249903177645</v>
      </c>
      <c r="C1272" s="1" t="str">
        <f>T("1941094470682412916")</f>
        <v>1941094470682412916</v>
      </c>
      <c r="AC1272" s="1" t="s">
        <v>344</v>
      </c>
      <c r="AD1272" s="1" t="s">
        <v>441</v>
      </c>
      <c r="AE1272" s="1" t="s">
        <v>443</v>
      </c>
      <c r="AF1272" s="1" t="s">
        <v>107</v>
      </c>
      <c r="AO1272" s="2">
        <v>46276</v>
      </c>
      <c r="AP1272" s="1" t="s">
        <v>588</v>
      </c>
      <c r="AS1272" s="1" t="s">
        <v>71</v>
      </c>
      <c r="AU1272" s="1" t="s">
        <v>72</v>
      </c>
      <c r="AV1272" s="1" t="s">
        <v>437</v>
      </c>
      <c r="AX1272" s="1">
        <v>0</v>
      </c>
      <c r="BA1272" s="1">
        <v>9</v>
      </c>
      <c r="BB1272" s="1">
        <v>0</v>
      </c>
      <c r="BC1272" s="1">
        <v>0</v>
      </c>
      <c r="BE1272" s="1">
        <v>27245253</v>
      </c>
    </row>
    <row r="1273" spans="1:57" x14ac:dyDescent="0.25">
      <c r="A1273" s="1" t="str">
        <f>T("1945116904377750016")</f>
        <v>1945116904377750016</v>
      </c>
      <c r="B1273" s="1" t="str">
        <f>T("249968580874")</f>
        <v>249968580874</v>
      </c>
      <c r="C1273" s="1" t="str">
        <f>T("1941094470682411916")</f>
        <v>1941094470682411916</v>
      </c>
      <c r="AC1273" s="1" t="s">
        <v>344</v>
      </c>
      <c r="AD1273" s="1" t="s">
        <v>441</v>
      </c>
      <c r="AE1273" s="1" t="s">
        <v>443</v>
      </c>
      <c r="AF1273" s="1" t="s">
        <v>107</v>
      </c>
      <c r="AO1273" s="2">
        <v>46276</v>
      </c>
      <c r="AP1273" s="1" t="s">
        <v>588</v>
      </c>
      <c r="AS1273" s="1" t="s">
        <v>71</v>
      </c>
      <c r="AU1273" s="1" t="s">
        <v>72</v>
      </c>
      <c r="AV1273" s="1" t="s">
        <v>73</v>
      </c>
      <c r="AX1273" s="1">
        <v>0</v>
      </c>
      <c r="BA1273" s="1">
        <v>9</v>
      </c>
      <c r="BB1273" s="1">
        <v>0</v>
      </c>
      <c r="BC1273" s="1">
        <v>0</v>
      </c>
      <c r="BE1273" s="1">
        <v>27245253</v>
      </c>
    </row>
    <row r="1274" spans="1:57" x14ac:dyDescent="0.25">
      <c r="A1274" s="1" t="str">
        <f>T("1945116904381945024")</f>
        <v>1945116904381945024</v>
      </c>
      <c r="B1274" s="1" t="str">
        <f>T("249968166017")</f>
        <v>249968166017</v>
      </c>
      <c r="C1274" s="1" t="str">
        <f>T("1941094470682414616")</f>
        <v>1941094470682414616</v>
      </c>
      <c r="AC1274" s="1" t="s">
        <v>344</v>
      </c>
      <c r="AD1274" s="1" t="s">
        <v>441</v>
      </c>
      <c r="AE1274" s="1" t="s">
        <v>446</v>
      </c>
      <c r="AF1274" s="1" t="s">
        <v>107</v>
      </c>
      <c r="AO1274" s="2">
        <v>46276</v>
      </c>
      <c r="AP1274" s="1" t="s">
        <v>588</v>
      </c>
      <c r="AS1274" s="1" t="s">
        <v>71</v>
      </c>
      <c r="AU1274" s="1" t="s">
        <v>72</v>
      </c>
      <c r="AV1274" s="1" t="s">
        <v>73</v>
      </c>
      <c r="AX1274" s="1">
        <v>0</v>
      </c>
      <c r="BA1274" s="1">
        <v>9</v>
      </c>
      <c r="BB1274" s="1">
        <v>0</v>
      </c>
      <c r="BC1274" s="1">
        <v>0</v>
      </c>
      <c r="BE1274" s="1">
        <v>27245253</v>
      </c>
    </row>
    <row r="1275" spans="1:57" x14ac:dyDescent="0.25">
      <c r="A1275" s="1" t="str">
        <f>T("1945116904381945124")</f>
        <v>1945116904381945124</v>
      </c>
      <c r="B1275" s="1" t="str">
        <f>T("249968934277")</f>
        <v>249968934277</v>
      </c>
      <c r="C1275" s="1" t="str">
        <f>T("1941094470682411516")</f>
        <v>1941094470682411516</v>
      </c>
      <c r="AC1275" s="1" t="s">
        <v>344</v>
      </c>
      <c r="AD1275" s="1" t="s">
        <v>441</v>
      </c>
      <c r="AE1275" s="1" t="s">
        <v>442</v>
      </c>
      <c r="AF1275" s="1" t="s">
        <v>107</v>
      </c>
      <c r="AO1275" s="2">
        <v>46276</v>
      </c>
      <c r="AP1275" s="1" t="s">
        <v>588</v>
      </c>
      <c r="AS1275" s="1" t="s">
        <v>71</v>
      </c>
      <c r="AU1275" s="1" t="s">
        <v>72</v>
      </c>
      <c r="AV1275" s="1" t="s">
        <v>437</v>
      </c>
      <c r="AX1275" s="1">
        <v>0</v>
      </c>
      <c r="BA1275" s="1">
        <v>9</v>
      </c>
      <c r="BB1275" s="1">
        <v>0</v>
      </c>
      <c r="BC1275" s="1">
        <v>0</v>
      </c>
      <c r="BE1275" s="1">
        <v>27245253</v>
      </c>
    </row>
    <row r="1276" spans="1:57" x14ac:dyDescent="0.25">
      <c r="A1276" s="1" t="str">
        <f>T("1945116904386140832")</f>
        <v>1945116904386140832</v>
      </c>
      <c r="B1276" s="1" t="str">
        <f>T("249962973112")</f>
        <v>249962973112</v>
      </c>
      <c r="C1276" s="1" t="str">
        <f>T("1941094470682413616")</f>
        <v>1941094470682413616</v>
      </c>
      <c r="AC1276" s="1" t="s">
        <v>344</v>
      </c>
      <c r="AD1276" s="1" t="s">
        <v>441</v>
      </c>
      <c r="AE1276" s="1" t="s">
        <v>443</v>
      </c>
      <c r="AF1276" s="1" t="s">
        <v>107</v>
      </c>
      <c r="AO1276" s="2">
        <v>46276</v>
      </c>
      <c r="AP1276" s="1" t="s">
        <v>588</v>
      </c>
      <c r="AS1276" s="1" t="s">
        <v>71</v>
      </c>
      <c r="AU1276" s="1" t="s">
        <v>72</v>
      </c>
      <c r="AV1276" s="1" t="s">
        <v>73</v>
      </c>
      <c r="AX1276" s="1">
        <v>0</v>
      </c>
      <c r="BA1276" s="1">
        <v>9</v>
      </c>
      <c r="BB1276" s="1">
        <v>0</v>
      </c>
      <c r="BC1276" s="1">
        <v>0</v>
      </c>
      <c r="BE1276" s="1">
        <v>27245253</v>
      </c>
    </row>
    <row r="1277" spans="1:57" x14ac:dyDescent="0.25">
      <c r="A1277" s="1" t="str">
        <f>T("1945116904398721256")</f>
        <v>1945116904398721256</v>
      </c>
      <c r="B1277" s="1" t="str">
        <f>T("249116125997")</f>
        <v>249116125997</v>
      </c>
      <c r="C1277" s="1" t="str">
        <f>T("1941094470682414016")</f>
        <v>1941094470682414016</v>
      </c>
      <c r="AC1277" s="1" t="s">
        <v>344</v>
      </c>
      <c r="AD1277" s="1" t="s">
        <v>441</v>
      </c>
      <c r="AE1277" s="1" t="s">
        <v>443</v>
      </c>
      <c r="AF1277" s="1" t="s">
        <v>107</v>
      </c>
      <c r="AO1277" s="2">
        <v>46276</v>
      </c>
      <c r="AP1277" s="1" t="s">
        <v>588</v>
      </c>
      <c r="AS1277" s="1" t="s">
        <v>71</v>
      </c>
      <c r="AU1277" s="1" t="s">
        <v>72</v>
      </c>
      <c r="AV1277" s="1" t="s">
        <v>73</v>
      </c>
      <c r="AX1277" s="1">
        <v>0</v>
      </c>
      <c r="BA1277" s="1">
        <v>9</v>
      </c>
      <c r="BB1277" s="1">
        <v>0</v>
      </c>
      <c r="BC1277" s="1">
        <v>0</v>
      </c>
      <c r="BE1277" s="1">
        <v>27245253</v>
      </c>
    </row>
    <row r="1278" spans="1:57" x14ac:dyDescent="0.25">
      <c r="A1278" s="1" t="str">
        <f>T("1945116904436470328")</f>
        <v>1945116904436470328</v>
      </c>
      <c r="B1278" s="1" t="str">
        <f>T("249251492017")</f>
        <v>249251492017</v>
      </c>
      <c r="C1278" s="1" t="str">
        <f>T("1941094470686605624")</f>
        <v>1941094470686605624</v>
      </c>
      <c r="AC1278" s="1" t="s">
        <v>344</v>
      </c>
      <c r="AD1278" s="1" t="s">
        <v>441</v>
      </c>
      <c r="AE1278" s="1" t="s">
        <v>446</v>
      </c>
      <c r="AF1278" s="1" t="s">
        <v>144</v>
      </c>
      <c r="AO1278" s="2">
        <v>46276</v>
      </c>
      <c r="AP1278" s="1" t="s">
        <v>588</v>
      </c>
      <c r="AS1278" s="1" t="s">
        <v>71</v>
      </c>
      <c r="AU1278" s="1" t="s">
        <v>72</v>
      </c>
      <c r="AV1278" s="1" t="s">
        <v>336</v>
      </c>
      <c r="AX1278" s="1">
        <v>0</v>
      </c>
      <c r="BA1278" s="1">
        <v>1</v>
      </c>
      <c r="BB1278" s="1">
        <v>0</v>
      </c>
      <c r="BC1278" s="1">
        <v>0</v>
      </c>
      <c r="BE1278" s="1">
        <v>27245253</v>
      </c>
    </row>
    <row r="1279" spans="1:57" x14ac:dyDescent="0.25">
      <c r="A1279" s="1" t="str">
        <f>T("1945116904440666536")</f>
        <v>1945116904440666536</v>
      </c>
      <c r="B1279" s="1" t="str">
        <f>T("249909602364")</f>
        <v>249909602364</v>
      </c>
      <c r="C1279" s="1" t="str">
        <f>T("1941094470682415016")</f>
        <v>1941094470682415016</v>
      </c>
      <c r="AC1279" s="1" t="s">
        <v>344</v>
      </c>
      <c r="AD1279" s="1" t="s">
        <v>441</v>
      </c>
      <c r="AE1279" s="1" t="s">
        <v>446</v>
      </c>
      <c r="AF1279" s="1" t="s">
        <v>107</v>
      </c>
      <c r="AO1279" s="2">
        <v>46276</v>
      </c>
      <c r="AP1279" s="1" t="s">
        <v>588</v>
      </c>
      <c r="AS1279" s="1" t="s">
        <v>71</v>
      </c>
      <c r="AU1279" s="1" t="s">
        <v>72</v>
      </c>
      <c r="AV1279" s="1" t="s">
        <v>73</v>
      </c>
      <c r="AX1279" s="1">
        <v>0</v>
      </c>
      <c r="BA1279" s="1">
        <v>9</v>
      </c>
      <c r="BB1279" s="1">
        <v>0</v>
      </c>
      <c r="BC1279" s="1">
        <v>0</v>
      </c>
      <c r="BE1279" s="1">
        <v>27245253</v>
      </c>
    </row>
    <row r="1280" spans="1:57" x14ac:dyDescent="0.25">
      <c r="A1280" s="1" t="str">
        <f>T("1945116904453247660")</f>
        <v>1945116904453247660</v>
      </c>
      <c r="B1280" s="1" t="str">
        <f>T("249960188006")</f>
        <v>249960188006</v>
      </c>
      <c r="C1280" s="1" t="str">
        <f>T("1941094470686605924")</f>
        <v>1941094470686605924</v>
      </c>
      <c r="AC1280" s="1" t="s">
        <v>344</v>
      </c>
      <c r="AD1280" s="1" t="s">
        <v>441</v>
      </c>
      <c r="AE1280" s="1" t="s">
        <v>446</v>
      </c>
      <c r="AF1280" s="1" t="s">
        <v>107</v>
      </c>
      <c r="AO1280" s="2">
        <v>46276</v>
      </c>
      <c r="AP1280" s="1" t="s">
        <v>588</v>
      </c>
      <c r="AS1280" s="1" t="s">
        <v>71</v>
      </c>
      <c r="AU1280" s="1" t="s">
        <v>72</v>
      </c>
      <c r="AV1280" s="1" t="s">
        <v>437</v>
      </c>
      <c r="AX1280" s="1">
        <v>0</v>
      </c>
      <c r="BA1280" s="1">
        <v>9</v>
      </c>
      <c r="BB1280" s="1">
        <v>0</v>
      </c>
      <c r="BC1280" s="1">
        <v>0</v>
      </c>
      <c r="BE1280" s="1">
        <v>27245253</v>
      </c>
    </row>
    <row r="1281" spans="1:57" x14ac:dyDescent="0.25">
      <c r="A1281" s="1" t="str">
        <f>T("1945116904453248260")</f>
        <v>1945116904453248260</v>
      </c>
      <c r="B1281" s="1" t="str">
        <f>T("249913256807")</f>
        <v>249913256807</v>
      </c>
      <c r="C1281" s="1" t="str">
        <f>T("1941094470686606324")</f>
        <v>1941094470686606324</v>
      </c>
      <c r="AC1281" s="1" t="s">
        <v>344</v>
      </c>
      <c r="AD1281" s="1" t="s">
        <v>441</v>
      </c>
      <c r="AE1281" s="1" t="s">
        <v>447</v>
      </c>
      <c r="AF1281" s="1" t="s">
        <v>107</v>
      </c>
      <c r="AG1281" s="1">
        <v>60</v>
      </c>
      <c r="AO1281" s="2">
        <v>46276</v>
      </c>
      <c r="AP1281" s="1" t="s">
        <v>588</v>
      </c>
      <c r="AS1281" s="1" t="s">
        <v>71</v>
      </c>
      <c r="AU1281" s="1" t="s">
        <v>72</v>
      </c>
      <c r="AV1281" s="1" t="s">
        <v>437</v>
      </c>
      <c r="AX1281" s="1">
        <v>0</v>
      </c>
      <c r="BA1281" s="1">
        <v>9</v>
      </c>
      <c r="BB1281" s="1">
        <v>0</v>
      </c>
      <c r="BC1281" s="1">
        <v>0</v>
      </c>
      <c r="BE1281" s="1">
        <v>27245253</v>
      </c>
    </row>
    <row r="1282" spans="1:57" x14ac:dyDescent="0.25">
      <c r="A1282" s="1" t="str">
        <f>T("1945116904470026292")</f>
        <v>1945116904470026292</v>
      </c>
      <c r="B1282" s="1" t="str">
        <f>T("249906223839")</f>
        <v>249906223839</v>
      </c>
      <c r="C1282" s="1" t="str">
        <f>T("1941094470686606824")</f>
        <v>1941094470686606824</v>
      </c>
      <c r="AC1282" s="1" t="s">
        <v>344</v>
      </c>
      <c r="AD1282" s="1" t="s">
        <v>441</v>
      </c>
      <c r="AE1282" s="1" t="s">
        <v>447</v>
      </c>
      <c r="AF1282" s="1" t="s">
        <v>107</v>
      </c>
      <c r="AG1282" s="1">
        <v>35</v>
      </c>
      <c r="AO1282" s="2">
        <v>46276</v>
      </c>
      <c r="AP1282" s="1" t="s">
        <v>588</v>
      </c>
      <c r="AS1282" s="1" t="s">
        <v>71</v>
      </c>
      <c r="AU1282" s="1" t="s">
        <v>72</v>
      </c>
      <c r="AV1282" s="1" t="s">
        <v>73</v>
      </c>
      <c r="AX1282" s="1">
        <v>0</v>
      </c>
      <c r="BA1282" s="1">
        <v>9</v>
      </c>
      <c r="BB1282" s="1">
        <v>0</v>
      </c>
      <c r="BC1282" s="1">
        <v>0</v>
      </c>
      <c r="BE1282" s="1">
        <v>27245253</v>
      </c>
    </row>
    <row r="1283" spans="1:57" x14ac:dyDescent="0.25">
      <c r="A1283" s="1" t="str">
        <f>T("1945116904474220100")</f>
        <v>1945116904474220100</v>
      </c>
      <c r="B1283" s="1" t="str">
        <f>T("249962224307")</f>
        <v>249962224307</v>
      </c>
      <c r="C1283" s="1" t="str">
        <f>T("1941094470686607124")</f>
        <v>1941094470686607124</v>
      </c>
      <c r="AC1283" s="1" t="s">
        <v>344</v>
      </c>
      <c r="AD1283" s="1" t="s">
        <v>441</v>
      </c>
      <c r="AE1283" s="1" t="s">
        <v>447</v>
      </c>
      <c r="AF1283" s="1" t="s">
        <v>107</v>
      </c>
      <c r="AG1283" s="1">
        <v>60</v>
      </c>
      <c r="AO1283" s="2">
        <v>46276</v>
      </c>
      <c r="AP1283" s="1" t="s">
        <v>588</v>
      </c>
      <c r="AS1283" s="1" t="s">
        <v>71</v>
      </c>
      <c r="AU1283" s="1" t="s">
        <v>72</v>
      </c>
      <c r="AV1283" s="1" t="s">
        <v>73</v>
      </c>
      <c r="AX1283" s="1">
        <v>0</v>
      </c>
      <c r="BA1283" s="1">
        <v>9</v>
      </c>
      <c r="BB1283" s="1">
        <v>0</v>
      </c>
      <c r="BC1283" s="1">
        <v>0</v>
      </c>
      <c r="BE1283" s="1">
        <v>27245253</v>
      </c>
    </row>
    <row r="1284" spans="1:57" x14ac:dyDescent="0.25">
      <c r="A1284" s="1" t="str">
        <f>T("1945116904486803824")</f>
        <v>1945116904486803824</v>
      </c>
      <c r="B1284" s="1" t="str">
        <f>T("249965605702")</f>
        <v>249965605702</v>
      </c>
      <c r="C1284" s="1" t="str">
        <f>T("1941094470686607924")</f>
        <v>1941094470686607924</v>
      </c>
      <c r="AC1284" s="1" t="s">
        <v>344</v>
      </c>
      <c r="AD1284" s="1" t="s">
        <v>441</v>
      </c>
      <c r="AE1284" s="1" t="s">
        <v>448</v>
      </c>
      <c r="AF1284" s="1" t="s">
        <v>107</v>
      </c>
      <c r="AG1284" s="1">
        <v>51</v>
      </c>
      <c r="AO1284" s="2">
        <v>46276</v>
      </c>
      <c r="AP1284" s="1" t="s">
        <v>588</v>
      </c>
      <c r="AS1284" s="1" t="s">
        <v>71</v>
      </c>
      <c r="AU1284" s="1" t="s">
        <v>72</v>
      </c>
      <c r="AV1284" s="1" t="s">
        <v>437</v>
      </c>
      <c r="AX1284" s="1">
        <v>0</v>
      </c>
      <c r="BA1284" s="1">
        <v>9</v>
      </c>
      <c r="BB1284" s="1">
        <v>0</v>
      </c>
      <c r="BC1284" s="1">
        <v>0</v>
      </c>
      <c r="BE1284" s="1">
        <v>27245253</v>
      </c>
    </row>
    <row r="1285" spans="1:57" x14ac:dyDescent="0.25">
      <c r="A1285" s="1" t="str">
        <f>T("1945116904490999432")</f>
        <v>1945116904490999432</v>
      </c>
      <c r="B1285" s="1" t="str">
        <f>T("249903233417")</f>
        <v>249903233417</v>
      </c>
      <c r="C1285" s="1" t="str">
        <f>T("1941094470686607524")</f>
        <v>1941094470686607524</v>
      </c>
      <c r="AC1285" s="1" t="s">
        <v>344</v>
      </c>
      <c r="AD1285" s="1" t="s">
        <v>441</v>
      </c>
      <c r="AE1285" s="1" t="s">
        <v>448</v>
      </c>
      <c r="AF1285" s="1" t="s">
        <v>107</v>
      </c>
      <c r="AG1285" s="1">
        <v>39</v>
      </c>
      <c r="AO1285" s="2">
        <v>46276</v>
      </c>
      <c r="AP1285" s="1" t="s">
        <v>588</v>
      </c>
      <c r="AS1285" s="1" t="s">
        <v>71</v>
      </c>
      <c r="AU1285" s="1" t="s">
        <v>72</v>
      </c>
      <c r="AV1285" s="1" t="s">
        <v>437</v>
      </c>
      <c r="AX1285" s="1">
        <v>0</v>
      </c>
      <c r="BA1285" s="1">
        <v>9</v>
      </c>
      <c r="BB1285" s="1">
        <v>0</v>
      </c>
      <c r="BC1285" s="1">
        <v>0</v>
      </c>
      <c r="BE1285" s="1">
        <v>27245253</v>
      </c>
    </row>
    <row r="1286" spans="1:57" x14ac:dyDescent="0.25">
      <c r="A1286" s="1" t="str">
        <f>T("1945116904490999532")</f>
        <v>1945116904490999532</v>
      </c>
      <c r="B1286" s="1" t="str">
        <f>T("249963345654")</f>
        <v>249963345654</v>
      </c>
      <c r="C1286" s="1" t="str">
        <f>T("1941094470686608224")</f>
        <v>1941094470686608224</v>
      </c>
      <c r="AC1286" s="1" t="s">
        <v>344</v>
      </c>
      <c r="AD1286" s="1" t="s">
        <v>441</v>
      </c>
      <c r="AE1286" s="1" t="s">
        <v>448</v>
      </c>
      <c r="AF1286" s="1" t="s">
        <v>107</v>
      </c>
      <c r="AG1286" s="1">
        <v>60</v>
      </c>
      <c r="AO1286" s="2">
        <v>46276</v>
      </c>
      <c r="AP1286" s="1" t="s">
        <v>588</v>
      </c>
      <c r="AS1286" s="1" t="s">
        <v>71</v>
      </c>
      <c r="AU1286" s="1" t="s">
        <v>75</v>
      </c>
      <c r="AV1286" s="1" t="s">
        <v>590</v>
      </c>
      <c r="AX1286" s="1">
        <v>0</v>
      </c>
      <c r="BA1286" s="1">
        <v>9</v>
      </c>
      <c r="BB1286" s="1">
        <v>0</v>
      </c>
      <c r="BC1286" s="1">
        <v>0</v>
      </c>
      <c r="BE1286" s="1">
        <v>27245253</v>
      </c>
    </row>
    <row r="1287" spans="1:57" x14ac:dyDescent="0.25">
      <c r="A1287" s="1" t="str">
        <f>T("1945116904503582156")</f>
        <v>1945116904503582156</v>
      </c>
      <c r="B1287" s="1" t="str">
        <f>T("249906423979")</f>
        <v>249906423979</v>
      </c>
      <c r="C1287" s="1" t="str">
        <f>T("1941094470686608824")</f>
        <v>1941094470686608824</v>
      </c>
      <c r="AC1287" s="1" t="s">
        <v>344</v>
      </c>
      <c r="AD1287" s="1" t="s">
        <v>441</v>
      </c>
      <c r="AE1287" s="1" t="s">
        <v>448</v>
      </c>
      <c r="AF1287" s="1" t="s">
        <v>107</v>
      </c>
      <c r="AG1287" s="1">
        <v>37</v>
      </c>
      <c r="AO1287" s="2">
        <v>46276</v>
      </c>
      <c r="AP1287" s="1" t="s">
        <v>588</v>
      </c>
      <c r="AS1287" s="1" t="s">
        <v>71</v>
      </c>
      <c r="AU1287" s="1" t="s">
        <v>72</v>
      </c>
      <c r="AV1287" s="1" t="s">
        <v>437</v>
      </c>
      <c r="AX1287" s="1">
        <v>0</v>
      </c>
      <c r="BA1287" s="1">
        <v>9</v>
      </c>
      <c r="BB1287" s="1">
        <v>0</v>
      </c>
      <c r="BC1287" s="1">
        <v>0</v>
      </c>
      <c r="BE1287" s="1">
        <v>27245253</v>
      </c>
    </row>
    <row r="1288" spans="1:57" x14ac:dyDescent="0.25">
      <c r="A1288" s="1" t="str">
        <f>T("1945116904520358288")</f>
        <v>1945116904520358288</v>
      </c>
      <c r="B1288" s="1" t="str">
        <f>T("249919355572")</f>
        <v>249919355572</v>
      </c>
      <c r="C1288" s="1" t="str">
        <f>T("1941094470686609124")</f>
        <v>1941094470686609124</v>
      </c>
      <c r="AC1288" s="1" t="s">
        <v>344</v>
      </c>
      <c r="AD1288" s="1" t="s">
        <v>441</v>
      </c>
      <c r="AE1288" s="1" t="s">
        <v>448</v>
      </c>
      <c r="AF1288" s="1" t="s">
        <v>144</v>
      </c>
      <c r="AG1288" s="1">
        <v>51</v>
      </c>
      <c r="AO1288" s="2">
        <v>46276</v>
      </c>
      <c r="AP1288" s="1" t="s">
        <v>588</v>
      </c>
      <c r="AS1288" s="1" t="s">
        <v>71</v>
      </c>
      <c r="AU1288" s="1" t="s">
        <v>72</v>
      </c>
      <c r="AV1288" s="1" t="s">
        <v>73</v>
      </c>
      <c r="AX1288" s="1">
        <v>0</v>
      </c>
      <c r="BA1288" s="1">
        <v>9</v>
      </c>
      <c r="BB1288" s="1">
        <v>0</v>
      </c>
      <c r="BC1288" s="1">
        <v>0</v>
      </c>
      <c r="BE1288" s="1">
        <v>27245253</v>
      </c>
    </row>
    <row r="1289" spans="1:57" x14ac:dyDescent="0.25">
      <c r="A1289" s="1" t="str">
        <f>T("1945116904520358788")</f>
        <v>1945116904520358788</v>
      </c>
      <c r="B1289" s="1" t="str">
        <f>T("249906773900")</f>
        <v>249906773900</v>
      </c>
      <c r="C1289" s="1" t="str">
        <f>T("1941094470690799832")</f>
        <v>1941094470690799832</v>
      </c>
      <c r="AC1289" s="1" t="s">
        <v>344</v>
      </c>
      <c r="AD1289" s="1" t="s">
        <v>441</v>
      </c>
      <c r="AE1289" s="1" t="s">
        <v>448</v>
      </c>
      <c r="AF1289" s="1" t="s">
        <v>107</v>
      </c>
      <c r="AG1289" s="1">
        <v>32</v>
      </c>
      <c r="AO1289" s="2">
        <v>46276</v>
      </c>
      <c r="AP1289" s="1" t="s">
        <v>588</v>
      </c>
      <c r="AS1289" s="1" t="s">
        <v>71</v>
      </c>
      <c r="AU1289" s="1" t="s">
        <v>72</v>
      </c>
      <c r="AV1289" s="1" t="s">
        <v>437</v>
      </c>
      <c r="AX1289" s="1">
        <v>0</v>
      </c>
      <c r="BA1289" s="1">
        <v>9</v>
      </c>
      <c r="BB1289" s="1">
        <v>0</v>
      </c>
      <c r="BC1289" s="1">
        <v>0</v>
      </c>
      <c r="BE1289" s="1">
        <v>27245253</v>
      </c>
    </row>
    <row r="1290" spans="1:57" x14ac:dyDescent="0.25">
      <c r="A1290" s="1" t="str">
        <f>T("1945116904528746204")</f>
        <v>1945116904528746204</v>
      </c>
      <c r="B1290" s="1" t="str">
        <f>T("249915037268")</f>
        <v>249915037268</v>
      </c>
      <c r="C1290" s="1" t="str">
        <f>T("1941094470690800232")</f>
        <v>1941094470690800232</v>
      </c>
      <c r="AC1290" s="1" t="s">
        <v>344</v>
      </c>
      <c r="AD1290" s="1" t="s">
        <v>441</v>
      </c>
      <c r="AE1290" s="1" t="s">
        <v>448</v>
      </c>
      <c r="AF1290" s="1" t="s">
        <v>107</v>
      </c>
      <c r="AG1290" s="1">
        <v>44</v>
      </c>
      <c r="AO1290" s="2">
        <v>46276</v>
      </c>
      <c r="AP1290" s="1" t="s">
        <v>588</v>
      </c>
      <c r="AS1290" s="1" t="s">
        <v>71</v>
      </c>
      <c r="AU1290" s="1" t="s">
        <v>72</v>
      </c>
      <c r="AV1290" s="1" t="s">
        <v>437</v>
      </c>
      <c r="AX1290" s="1">
        <v>0</v>
      </c>
      <c r="BA1290" s="1">
        <v>9</v>
      </c>
      <c r="BB1290" s="1">
        <v>0</v>
      </c>
      <c r="BC1290" s="1">
        <v>0</v>
      </c>
      <c r="BE1290" s="1">
        <v>27245253</v>
      </c>
    </row>
    <row r="1291" spans="1:57" x14ac:dyDescent="0.25">
      <c r="A1291" s="1" t="str">
        <f>T("1945116904537135420")</f>
        <v>1945116904537135420</v>
      </c>
      <c r="B1291" s="1" t="str">
        <f>T("249900488230")</f>
        <v>249900488230</v>
      </c>
      <c r="C1291" s="1" t="str">
        <f>T("1941094470690800632")</f>
        <v>1941094470690800632</v>
      </c>
      <c r="AC1291" s="1" t="s">
        <v>449</v>
      </c>
      <c r="AD1291" s="1" t="s">
        <v>450</v>
      </c>
      <c r="AE1291" s="1" t="s">
        <v>451</v>
      </c>
      <c r="AF1291" s="1" t="s">
        <v>107</v>
      </c>
      <c r="AG1291" s="1">
        <v>42</v>
      </c>
      <c r="AO1291" s="2">
        <v>46276</v>
      </c>
      <c r="AP1291" s="1" t="s">
        <v>588</v>
      </c>
      <c r="AS1291" s="1" t="s">
        <v>71</v>
      </c>
      <c r="AU1291" s="1" t="s">
        <v>72</v>
      </c>
      <c r="AV1291" s="1" t="s">
        <v>73</v>
      </c>
      <c r="AX1291" s="1">
        <v>0</v>
      </c>
      <c r="BA1291" s="1">
        <v>9</v>
      </c>
      <c r="BB1291" s="1">
        <v>0</v>
      </c>
      <c r="BC1291" s="1">
        <v>0</v>
      </c>
      <c r="BE1291" s="1">
        <v>27245253</v>
      </c>
    </row>
    <row r="1292" spans="1:57" x14ac:dyDescent="0.25">
      <c r="A1292" s="1" t="str">
        <f>T("1945116904549719244")</f>
        <v>1945116904549719244</v>
      </c>
      <c r="B1292" s="1" t="str">
        <f>T("249962445584")</f>
        <v>249962445584</v>
      </c>
      <c r="C1292" s="1" t="str">
        <f>T("1941094470690800932")</f>
        <v>1941094470690800932</v>
      </c>
      <c r="AC1292" s="1" t="s">
        <v>449</v>
      </c>
      <c r="AD1292" s="1" t="s">
        <v>450</v>
      </c>
      <c r="AE1292" s="1" t="s">
        <v>451</v>
      </c>
      <c r="AF1292" s="1" t="s">
        <v>144</v>
      </c>
      <c r="AG1292" s="1">
        <v>40</v>
      </c>
      <c r="AO1292" s="2">
        <v>46276</v>
      </c>
      <c r="AP1292" s="1" t="s">
        <v>588</v>
      </c>
      <c r="AS1292" s="1" t="s">
        <v>71</v>
      </c>
      <c r="AU1292" s="1" t="s">
        <v>75</v>
      </c>
      <c r="AV1292" s="1" t="s">
        <v>590</v>
      </c>
      <c r="AX1292" s="1">
        <v>0</v>
      </c>
      <c r="BA1292" s="1">
        <v>9</v>
      </c>
      <c r="BB1292" s="1">
        <v>0</v>
      </c>
      <c r="BC1292" s="1">
        <v>0</v>
      </c>
      <c r="BE1292" s="1">
        <v>27245253</v>
      </c>
    </row>
    <row r="1293" spans="1:57" x14ac:dyDescent="0.25">
      <c r="A1293" s="1" t="str">
        <f>T("1945116904558106360")</f>
        <v>1945116904558106360</v>
      </c>
      <c r="B1293" s="1" t="str">
        <f>T("249962472887")</f>
        <v>249962472887</v>
      </c>
      <c r="C1293" s="1" t="str">
        <f>T("1941094470690801632")</f>
        <v>1941094470690801632</v>
      </c>
      <c r="AC1293" s="1" t="s">
        <v>449</v>
      </c>
      <c r="AD1293" s="1" t="s">
        <v>450</v>
      </c>
      <c r="AE1293" s="1" t="s">
        <v>452</v>
      </c>
      <c r="AF1293" s="1" t="s">
        <v>107</v>
      </c>
      <c r="AG1293" s="1">
        <v>38</v>
      </c>
      <c r="AO1293" s="2">
        <v>46276</v>
      </c>
      <c r="AP1293" s="1" t="s">
        <v>588</v>
      </c>
      <c r="AS1293" s="1" t="s">
        <v>71</v>
      </c>
      <c r="AU1293" s="1" t="s">
        <v>72</v>
      </c>
      <c r="AV1293" s="1" t="s">
        <v>73</v>
      </c>
      <c r="AX1293" s="1">
        <v>0</v>
      </c>
      <c r="BA1293" s="1">
        <v>9</v>
      </c>
      <c r="BB1293" s="1">
        <v>0</v>
      </c>
      <c r="BC1293" s="1">
        <v>0</v>
      </c>
      <c r="BE1293" s="1">
        <v>27245253</v>
      </c>
    </row>
    <row r="1294" spans="1:57" x14ac:dyDescent="0.25">
      <c r="A1294" s="1" t="str">
        <f>T("1945116904558108260")</f>
        <v>1945116904558108260</v>
      </c>
      <c r="B1294" s="1" t="str">
        <f>T("249961947092")</f>
        <v>249961947092</v>
      </c>
      <c r="C1294" s="1" t="str">
        <f>T("1941094470690801232")</f>
        <v>1941094470690801232</v>
      </c>
      <c r="AC1294" s="1" t="s">
        <v>449</v>
      </c>
      <c r="AD1294" s="1" t="s">
        <v>450</v>
      </c>
      <c r="AE1294" s="1" t="s">
        <v>451</v>
      </c>
      <c r="AF1294" s="1" t="s">
        <v>144</v>
      </c>
      <c r="AG1294" s="1">
        <v>37</v>
      </c>
      <c r="AO1294" s="2">
        <v>46276</v>
      </c>
      <c r="AP1294" s="1" t="s">
        <v>588</v>
      </c>
      <c r="AS1294" s="1" t="s">
        <v>71</v>
      </c>
      <c r="AU1294" s="1" t="s">
        <v>75</v>
      </c>
      <c r="AV1294" s="1" t="s">
        <v>590</v>
      </c>
      <c r="AX1294" s="1">
        <v>0</v>
      </c>
      <c r="BA1294" s="1">
        <v>8</v>
      </c>
      <c r="BB1294" s="1">
        <v>0</v>
      </c>
      <c r="BC1294" s="1">
        <v>0</v>
      </c>
      <c r="BE1294" s="1">
        <v>27245253</v>
      </c>
    </row>
    <row r="1295" spans="1:57" x14ac:dyDescent="0.25">
      <c r="A1295" s="1" t="str">
        <f>T("1945116904579079000")</f>
        <v>1945116904579079000</v>
      </c>
      <c r="B1295" s="1" t="str">
        <f>T("249118276388")</f>
        <v>249118276388</v>
      </c>
      <c r="C1295" s="1" t="str">
        <f>T("1941094470690802332")</f>
        <v>1941094470690802332</v>
      </c>
      <c r="AC1295" s="1" t="s">
        <v>449</v>
      </c>
      <c r="AD1295" s="1" t="s">
        <v>450</v>
      </c>
      <c r="AE1295" s="1" t="s">
        <v>452</v>
      </c>
      <c r="AF1295" s="1" t="s">
        <v>144</v>
      </c>
      <c r="AG1295" s="1">
        <v>36</v>
      </c>
      <c r="AO1295" s="2">
        <v>46276</v>
      </c>
      <c r="AP1295" s="1" t="s">
        <v>588</v>
      </c>
      <c r="AS1295" s="1" t="s">
        <v>71</v>
      </c>
      <c r="AU1295" s="1" t="s">
        <v>72</v>
      </c>
      <c r="AV1295" s="1" t="s">
        <v>73</v>
      </c>
      <c r="AX1295" s="1">
        <v>0</v>
      </c>
      <c r="BA1295" s="1">
        <v>9</v>
      </c>
      <c r="BB1295" s="1">
        <v>0</v>
      </c>
      <c r="BC1295" s="1">
        <v>0</v>
      </c>
      <c r="BE1295" s="1">
        <v>27245253</v>
      </c>
    </row>
    <row r="1296" spans="1:57" x14ac:dyDescent="0.25">
      <c r="A1296" s="1" t="str">
        <f>T("1945116904583272708")</f>
        <v>1945116904583272708</v>
      </c>
      <c r="B1296" s="1" t="str">
        <f>T("249907687757")</f>
        <v>249907687757</v>
      </c>
      <c r="C1296" s="1" t="str">
        <f>T("1941094470690801932")</f>
        <v>1941094470690801932</v>
      </c>
      <c r="AC1296" s="1" t="s">
        <v>449</v>
      </c>
      <c r="AD1296" s="1" t="s">
        <v>450</v>
      </c>
      <c r="AE1296" s="1" t="s">
        <v>452</v>
      </c>
      <c r="AF1296" s="1" t="s">
        <v>144</v>
      </c>
      <c r="AG1296" s="1">
        <v>41</v>
      </c>
      <c r="AO1296" s="2">
        <v>46276</v>
      </c>
      <c r="AP1296" s="1" t="s">
        <v>588</v>
      </c>
      <c r="AS1296" s="1" t="s">
        <v>71</v>
      </c>
      <c r="AU1296" s="1" t="s">
        <v>72</v>
      </c>
      <c r="AV1296" s="1" t="s">
        <v>437</v>
      </c>
      <c r="AX1296" s="1">
        <v>0</v>
      </c>
      <c r="BA1296" s="1">
        <v>9</v>
      </c>
      <c r="BB1296" s="1">
        <v>0</v>
      </c>
      <c r="BC1296" s="1">
        <v>0</v>
      </c>
      <c r="BE1296" s="1">
        <v>27245253</v>
      </c>
    </row>
    <row r="1297" spans="1:57" x14ac:dyDescent="0.25">
      <c r="A1297" s="1" t="str">
        <f>T("1945116904583273908")</f>
        <v>1945116904583273908</v>
      </c>
      <c r="B1297" s="1" t="str">
        <f>T("249922247119")</f>
        <v>249922247119</v>
      </c>
      <c r="C1297" s="1" t="str">
        <f>T("1941094470690802832")</f>
        <v>1941094470690802832</v>
      </c>
      <c r="AC1297" s="1" t="s">
        <v>449</v>
      </c>
      <c r="AD1297" s="1" t="s">
        <v>450</v>
      </c>
      <c r="AE1297" s="1" t="s">
        <v>453</v>
      </c>
      <c r="AF1297" s="1" t="s">
        <v>107</v>
      </c>
      <c r="AG1297" s="1">
        <v>42</v>
      </c>
      <c r="AO1297" s="2">
        <v>46276</v>
      </c>
      <c r="AP1297" s="1" t="s">
        <v>588</v>
      </c>
      <c r="AQ1297" s="2">
        <v>46276</v>
      </c>
      <c r="AR1297" s="1" t="s">
        <v>591</v>
      </c>
      <c r="AS1297" s="1" t="s">
        <v>71</v>
      </c>
      <c r="AU1297" s="1" t="s">
        <v>79</v>
      </c>
      <c r="AV1297" s="1" t="s">
        <v>80</v>
      </c>
      <c r="AW1297" s="1">
        <v>15.14</v>
      </c>
      <c r="AX1297" s="1">
        <v>0</v>
      </c>
      <c r="AZ1297" s="1" t="s">
        <v>81</v>
      </c>
      <c r="BA1297" s="1">
        <v>7</v>
      </c>
      <c r="BB1297" s="1">
        <v>0</v>
      </c>
      <c r="BC1297" s="1">
        <v>0</v>
      </c>
      <c r="BE1297" s="1">
        <v>27245253</v>
      </c>
    </row>
    <row r="1298" spans="1:57" x14ac:dyDescent="0.25">
      <c r="A1298" s="1" t="str">
        <f>T("1945116904595855432")</f>
        <v>1945116904595855432</v>
      </c>
      <c r="B1298" s="1" t="str">
        <f>T("249905349440")</f>
        <v>249905349440</v>
      </c>
      <c r="C1298" s="1" t="str">
        <f>T("1941094470690803232")</f>
        <v>1941094470690803232</v>
      </c>
      <c r="AC1298" s="1" t="s">
        <v>449</v>
      </c>
      <c r="AD1298" s="1" t="s">
        <v>450</v>
      </c>
      <c r="AE1298" s="1" t="s">
        <v>454</v>
      </c>
      <c r="AF1298" s="1" t="s">
        <v>107</v>
      </c>
      <c r="AG1298" s="1">
        <v>35</v>
      </c>
      <c r="AO1298" s="2">
        <v>46276</v>
      </c>
      <c r="AP1298" s="1" t="s">
        <v>588</v>
      </c>
      <c r="AS1298" s="1" t="s">
        <v>71</v>
      </c>
      <c r="AU1298" s="1" t="s">
        <v>72</v>
      </c>
      <c r="AV1298" s="1" t="s">
        <v>73</v>
      </c>
      <c r="AX1298" s="1">
        <v>0</v>
      </c>
      <c r="BA1298" s="1">
        <v>9</v>
      </c>
      <c r="BB1298" s="1">
        <v>0</v>
      </c>
      <c r="BC1298" s="1">
        <v>0</v>
      </c>
      <c r="BE1298" s="1">
        <v>27245253</v>
      </c>
    </row>
    <row r="1299" spans="1:57" x14ac:dyDescent="0.25">
      <c r="A1299" s="1" t="str">
        <f>T("1945116904604242048")</f>
        <v>1945116904604242048</v>
      </c>
      <c r="B1299" s="1" t="str">
        <f>T("249911293400")</f>
        <v>249911293400</v>
      </c>
      <c r="C1299" s="1" t="str">
        <f>T("1941094470694994340")</f>
        <v>1941094470694994340</v>
      </c>
      <c r="AC1299" s="1" t="s">
        <v>449</v>
      </c>
      <c r="AD1299" s="1" t="s">
        <v>450</v>
      </c>
      <c r="AE1299" s="1" t="s">
        <v>454</v>
      </c>
      <c r="AF1299" s="1" t="s">
        <v>144</v>
      </c>
      <c r="AG1299" s="1">
        <v>32</v>
      </c>
      <c r="AO1299" s="2">
        <v>46276</v>
      </c>
      <c r="AP1299" s="1" t="s">
        <v>588</v>
      </c>
      <c r="AS1299" s="1" t="s">
        <v>71</v>
      </c>
      <c r="AU1299" s="1" t="s">
        <v>72</v>
      </c>
      <c r="AV1299" s="1" t="s">
        <v>73</v>
      </c>
      <c r="AX1299" s="1">
        <v>0</v>
      </c>
      <c r="BA1299" s="1">
        <v>9</v>
      </c>
      <c r="BB1299" s="1">
        <v>0</v>
      </c>
      <c r="BC1299" s="1">
        <v>0</v>
      </c>
      <c r="BE1299" s="1">
        <v>27245253</v>
      </c>
    </row>
    <row r="1300" spans="1:57" x14ac:dyDescent="0.25">
      <c r="A1300" s="1" t="str">
        <f>T("1945116904608437256")</f>
        <v>1945116904608437256</v>
      </c>
      <c r="B1300" s="1" t="str">
        <f>T("249916515515")</f>
        <v>249916515515</v>
      </c>
      <c r="C1300" s="1" t="str">
        <f>T("1941094470694996740")</f>
        <v>1941094470694996740</v>
      </c>
      <c r="AC1300" s="1" t="s">
        <v>449</v>
      </c>
      <c r="AD1300" s="1" t="s">
        <v>450</v>
      </c>
      <c r="AE1300" s="1" t="s">
        <v>455</v>
      </c>
      <c r="AF1300" s="1" t="s">
        <v>107</v>
      </c>
      <c r="AG1300" s="1">
        <v>36</v>
      </c>
      <c r="AO1300" s="2">
        <v>46276</v>
      </c>
      <c r="AP1300" s="1" t="s">
        <v>588</v>
      </c>
      <c r="AS1300" s="1" t="s">
        <v>71</v>
      </c>
      <c r="AU1300" s="1" t="s">
        <v>72</v>
      </c>
      <c r="AV1300" s="1" t="s">
        <v>73</v>
      </c>
      <c r="AX1300" s="1">
        <v>0</v>
      </c>
      <c r="BA1300" s="1">
        <v>9</v>
      </c>
      <c r="BB1300" s="1">
        <v>0</v>
      </c>
      <c r="BC1300" s="1">
        <v>0</v>
      </c>
      <c r="BE1300" s="1">
        <v>27245253</v>
      </c>
    </row>
    <row r="1301" spans="1:57" x14ac:dyDescent="0.25">
      <c r="A1301" s="1" t="str">
        <f>T("1945116904616825972")</f>
        <v>1945116904616825972</v>
      </c>
      <c r="B1301" s="1" t="str">
        <f>T("249964523722")</f>
        <v>249964523722</v>
      </c>
      <c r="C1301" s="1" t="str">
        <f>T("1941094470694997340")</f>
        <v>1941094470694997340</v>
      </c>
      <c r="AC1301" s="1" t="s">
        <v>449</v>
      </c>
      <c r="AD1301" s="1" t="s">
        <v>450</v>
      </c>
      <c r="AE1301" s="1" t="s">
        <v>455</v>
      </c>
      <c r="AF1301" s="1" t="s">
        <v>144</v>
      </c>
      <c r="AG1301" s="1">
        <v>33</v>
      </c>
      <c r="AO1301" s="2">
        <v>46276</v>
      </c>
      <c r="AP1301" s="1" t="s">
        <v>588</v>
      </c>
      <c r="AS1301" s="1" t="s">
        <v>71</v>
      </c>
      <c r="AU1301" s="1" t="s">
        <v>72</v>
      </c>
      <c r="AV1301" s="1" t="s">
        <v>437</v>
      </c>
      <c r="AX1301" s="1">
        <v>0</v>
      </c>
      <c r="BA1301" s="1">
        <v>9</v>
      </c>
      <c r="BB1301" s="1">
        <v>0</v>
      </c>
      <c r="BC1301" s="1">
        <v>0</v>
      </c>
      <c r="BE1301" s="1">
        <v>27245253</v>
      </c>
    </row>
    <row r="1302" spans="1:57" x14ac:dyDescent="0.25">
      <c r="A1302" s="1" t="str">
        <f>T("1945116904629408496")</f>
        <v>1945116904629408496</v>
      </c>
      <c r="B1302" s="1" t="str">
        <f>T("249900348809")</f>
        <v>249900348809</v>
      </c>
      <c r="C1302" s="1" t="str">
        <f>T("1941094470699188748")</f>
        <v>1941094470699188748</v>
      </c>
      <c r="AC1302" s="1" t="s">
        <v>449</v>
      </c>
      <c r="AD1302" s="1" t="s">
        <v>450</v>
      </c>
      <c r="AE1302" s="1" t="s">
        <v>457</v>
      </c>
      <c r="AF1302" s="1" t="s">
        <v>107</v>
      </c>
      <c r="AG1302" s="1">
        <v>47</v>
      </c>
      <c r="AO1302" s="2">
        <v>46276</v>
      </c>
      <c r="AP1302" s="1" t="s">
        <v>588</v>
      </c>
      <c r="AS1302" s="1" t="s">
        <v>71</v>
      </c>
      <c r="AU1302" s="1" t="s">
        <v>72</v>
      </c>
      <c r="AV1302" s="1" t="s">
        <v>437</v>
      </c>
      <c r="AX1302" s="1">
        <v>0</v>
      </c>
      <c r="BA1302" s="1">
        <v>9</v>
      </c>
      <c r="BB1302" s="1">
        <v>0</v>
      </c>
      <c r="BC1302" s="1">
        <v>0</v>
      </c>
      <c r="BE1302" s="1">
        <v>27245253</v>
      </c>
    </row>
    <row r="1303" spans="1:57" x14ac:dyDescent="0.25">
      <c r="A1303" s="1" t="str">
        <f>T("1945116904646186028")</f>
        <v>1945116904646186028</v>
      </c>
      <c r="B1303" s="1" t="str">
        <f>T("249908010202")</f>
        <v>249908010202</v>
      </c>
      <c r="C1303" s="1" t="str">
        <f>T("1941094470715965580")</f>
        <v>1941094470715965580</v>
      </c>
      <c r="AC1303" s="1" t="s">
        <v>449</v>
      </c>
      <c r="AD1303" s="1" t="s">
        <v>450</v>
      </c>
      <c r="AE1303" s="1" t="s">
        <v>457</v>
      </c>
      <c r="AF1303" s="1" t="s">
        <v>144</v>
      </c>
      <c r="AG1303" s="1">
        <v>37</v>
      </c>
      <c r="AO1303" s="2">
        <v>46276</v>
      </c>
      <c r="AP1303" s="1" t="s">
        <v>588</v>
      </c>
      <c r="AS1303" s="1" t="s">
        <v>71</v>
      </c>
      <c r="AU1303" s="1" t="s">
        <v>72</v>
      </c>
      <c r="AV1303" s="1" t="s">
        <v>73</v>
      </c>
      <c r="AX1303" s="1">
        <v>0</v>
      </c>
      <c r="BA1303" s="1">
        <v>9</v>
      </c>
      <c r="BB1303" s="1">
        <v>0</v>
      </c>
      <c r="BC1303" s="1">
        <v>0</v>
      </c>
      <c r="BE1303" s="1">
        <v>27245253</v>
      </c>
    </row>
    <row r="1304" spans="1:57" x14ac:dyDescent="0.25">
      <c r="A1304" s="1" t="str">
        <f>T("1945116904650382236")</f>
        <v>1945116904650382236</v>
      </c>
      <c r="B1304" s="1" t="str">
        <f>T("249913720364")</f>
        <v>249913720364</v>
      </c>
      <c r="C1304" s="1" t="str">
        <f>T("1941094470711774472")</f>
        <v>1941094470711774472</v>
      </c>
      <c r="AC1304" s="1" t="s">
        <v>449</v>
      </c>
      <c r="AD1304" s="1" t="s">
        <v>450</v>
      </c>
      <c r="AE1304" s="1" t="s">
        <v>457</v>
      </c>
      <c r="AF1304" s="1" t="s">
        <v>107</v>
      </c>
      <c r="AG1304" s="1">
        <v>34</v>
      </c>
      <c r="AO1304" s="2">
        <v>46276</v>
      </c>
      <c r="AP1304" s="1" t="s">
        <v>588</v>
      </c>
      <c r="AS1304" s="1" t="s">
        <v>71</v>
      </c>
      <c r="AU1304" s="1" t="s">
        <v>72</v>
      </c>
      <c r="AV1304" s="1" t="s">
        <v>73</v>
      </c>
      <c r="AX1304" s="1">
        <v>0</v>
      </c>
      <c r="BA1304" s="1">
        <v>9</v>
      </c>
      <c r="BB1304" s="1">
        <v>0</v>
      </c>
      <c r="BC1304" s="1">
        <v>0</v>
      </c>
      <c r="BE1304" s="1">
        <v>27245253</v>
      </c>
    </row>
    <row r="1305" spans="1:57" x14ac:dyDescent="0.25">
      <c r="A1305" s="1" t="str">
        <f>T("1945116904654573844")</f>
        <v>1945116904654573844</v>
      </c>
      <c r="B1305" s="1" t="str">
        <f>T("249916515555")</f>
        <v>249916515555</v>
      </c>
      <c r="C1305" s="1" t="str">
        <f>T("1941094470715966080")</f>
        <v>1941094470715966080</v>
      </c>
      <c r="AC1305" s="1" t="s">
        <v>449</v>
      </c>
      <c r="AD1305" s="1" t="s">
        <v>450</v>
      </c>
      <c r="AE1305" s="1" t="s">
        <v>458</v>
      </c>
      <c r="AF1305" s="1" t="s">
        <v>107</v>
      </c>
      <c r="AG1305" s="1">
        <v>38</v>
      </c>
      <c r="AO1305" s="2">
        <v>46276</v>
      </c>
      <c r="AP1305" s="1" t="s">
        <v>588</v>
      </c>
      <c r="AS1305" s="1" t="s">
        <v>71</v>
      </c>
      <c r="AU1305" s="1" t="s">
        <v>72</v>
      </c>
      <c r="AV1305" s="1" t="s">
        <v>437</v>
      </c>
      <c r="AX1305" s="1">
        <v>0</v>
      </c>
      <c r="BA1305" s="1">
        <v>9</v>
      </c>
      <c r="BB1305" s="1">
        <v>0</v>
      </c>
      <c r="BC1305" s="1">
        <v>0</v>
      </c>
      <c r="BE1305" s="1">
        <v>27245253</v>
      </c>
    </row>
    <row r="1306" spans="1:57" x14ac:dyDescent="0.25">
      <c r="A1306" s="1" t="str">
        <f>T("1945116904662963460")</f>
        <v>1945116904662963460</v>
      </c>
      <c r="B1306" s="1" t="str">
        <f>T("249902307360")</f>
        <v>249902307360</v>
      </c>
      <c r="C1306" s="1" t="str">
        <f>T("1941094470720160888")</f>
        <v>1941094470720160888</v>
      </c>
      <c r="AC1306" s="1" t="s">
        <v>449</v>
      </c>
      <c r="AD1306" s="1" t="s">
        <v>450</v>
      </c>
      <c r="AE1306" s="1" t="s">
        <v>458</v>
      </c>
      <c r="AF1306" s="1" t="s">
        <v>107</v>
      </c>
      <c r="AG1306" s="1">
        <v>38</v>
      </c>
      <c r="AO1306" s="2">
        <v>46276</v>
      </c>
      <c r="AP1306" s="1" t="s">
        <v>588</v>
      </c>
      <c r="AS1306" s="1" t="s">
        <v>71</v>
      </c>
      <c r="AU1306" s="1" t="s">
        <v>72</v>
      </c>
      <c r="AV1306" s="1" t="s">
        <v>73</v>
      </c>
      <c r="AX1306" s="1">
        <v>0</v>
      </c>
      <c r="BA1306" s="1">
        <v>9</v>
      </c>
      <c r="BB1306" s="1">
        <v>0</v>
      </c>
      <c r="BC1306" s="1">
        <v>0</v>
      </c>
      <c r="BE1306" s="1">
        <v>27245253</v>
      </c>
    </row>
    <row r="1307" spans="1:57" x14ac:dyDescent="0.25">
      <c r="A1307" s="1" t="str">
        <f>T("1945116904671351676")</f>
        <v>1945116904671351676</v>
      </c>
      <c r="B1307" s="1" t="str">
        <f>T("249912524803")</f>
        <v>249912524803</v>
      </c>
      <c r="C1307" s="1" t="str">
        <f>T("1941094470720161488")</f>
        <v>1941094470720161488</v>
      </c>
      <c r="AC1307" s="1" t="s">
        <v>449</v>
      </c>
      <c r="AD1307" s="1" t="s">
        <v>450</v>
      </c>
      <c r="AE1307" s="1" t="s">
        <v>458</v>
      </c>
      <c r="AF1307" s="1" t="s">
        <v>107</v>
      </c>
      <c r="AG1307" s="1">
        <v>40</v>
      </c>
      <c r="AO1307" s="2">
        <v>46276</v>
      </c>
      <c r="AP1307" s="1" t="s">
        <v>588</v>
      </c>
      <c r="AS1307" s="1" t="s">
        <v>71</v>
      </c>
      <c r="AU1307" s="1" t="s">
        <v>72</v>
      </c>
      <c r="AV1307" s="1" t="s">
        <v>73</v>
      </c>
      <c r="AX1307" s="1">
        <v>0</v>
      </c>
      <c r="BA1307" s="1">
        <v>9</v>
      </c>
      <c r="BB1307" s="1">
        <v>0</v>
      </c>
      <c r="BC1307" s="1">
        <v>0</v>
      </c>
      <c r="BE1307" s="1">
        <v>27245253</v>
      </c>
    </row>
    <row r="1308" spans="1:57" x14ac:dyDescent="0.25">
      <c r="A1308" s="1" t="str">
        <f>T("1945116904675546384")</f>
        <v>1945116904675546384</v>
      </c>
      <c r="B1308" s="1" t="str">
        <f>T("249908292642")</f>
        <v>249908292642</v>
      </c>
      <c r="C1308" s="1" t="str">
        <f>T("1941094470728549204")</f>
        <v>1941094470728549204</v>
      </c>
      <c r="AC1308" s="1" t="s">
        <v>461</v>
      </c>
      <c r="AD1308" s="1" t="s">
        <v>462</v>
      </c>
      <c r="AE1308" s="1" t="s">
        <v>463</v>
      </c>
      <c r="AF1308" s="1" t="s">
        <v>107</v>
      </c>
      <c r="AG1308" s="1">
        <v>44</v>
      </c>
      <c r="AO1308" s="2">
        <v>46276</v>
      </c>
      <c r="AP1308" s="1" t="s">
        <v>588</v>
      </c>
      <c r="AS1308" s="1" t="s">
        <v>71</v>
      </c>
      <c r="AU1308" s="1" t="s">
        <v>72</v>
      </c>
      <c r="AV1308" s="1" t="s">
        <v>437</v>
      </c>
      <c r="AX1308" s="1">
        <v>0</v>
      </c>
      <c r="BA1308" s="1">
        <v>9</v>
      </c>
      <c r="BB1308" s="1">
        <v>0</v>
      </c>
      <c r="BC1308" s="1">
        <v>0</v>
      </c>
      <c r="BE1308" s="1">
        <v>27245253</v>
      </c>
    </row>
    <row r="1309" spans="1:57" x14ac:dyDescent="0.25">
      <c r="A1309" s="1" t="str">
        <f>T("1945116904683935000")</f>
        <v>1945116904683935000</v>
      </c>
      <c r="B1309" s="1" t="str">
        <f>T("249913081482")</f>
        <v>249913081482</v>
      </c>
      <c r="C1309" s="1" t="str">
        <f>T("1941094470728548804")</f>
        <v>1941094470728548804</v>
      </c>
      <c r="AC1309" s="1" t="s">
        <v>449</v>
      </c>
      <c r="AD1309" s="1" t="s">
        <v>450</v>
      </c>
      <c r="AE1309" s="1" t="s">
        <v>459</v>
      </c>
      <c r="AF1309" s="1" t="s">
        <v>107</v>
      </c>
      <c r="AG1309" s="1">
        <v>42</v>
      </c>
      <c r="AO1309" s="2">
        <v>46276</v>
      </c>
      <c r="AP1309" s="1" t="s">
        <v>588</v>
      </c>
      <c r="AS1309" s="1" t="s">
        <v>71</v>
      </c>
      <c r="AU1309" s="1" t="s">
        <v>72</v>
      </c>
      <c r="AV1309" s="1" t="s">
        <v>437</v>
      </c>
      <c r="AX1309" s="1">
        <v>0</v>
      </c>
      <c r="BA1309" s="1">
        <v>9</v>
      </c>
      <c r="BB1309" s="1">
        <v>0</v>
      </c>
      <c r="BC1309" s="1">
        <v>0</v>
      </c>
      <c r="BE1309" s="1">
        <v>27245253</v>
      </c>
    </row>
    <row r="1310" spans="1:57" x14ac:dyDescent="0.25">
      <c r="A1310" s="1" t="str">
        <f>T("1945116904696519024")</f>
        <v>1945116904696519024</v>
      </c>
      <c r="B1310" s="1" t="str">
        <f>T("249919588273")</f>
        <v>249919588273</v>
      </c>
      <c r="C1310" s="1" t="str">
        <f>T("1941094470728549704")</f>
        <v>1941094470728549704</v>
      </c>
      <c r="AC1310" s="1" t="s">
        <v>461</v>
      </c>
      <c r="AD1310" s="1" t="s">
        <v>462</v>
      </c>
      <c r="AE1310" s="1" t="s">
        <v>463</v>
      </c>
      <c r="AF1310" s="1" t="s">
        <v>107</v>
      </c>
      <c r="AG1310" s="1">
        <v>47</v>
      </c>
      <c r="AO1310" s="2">
        <v>46276</v>
      </c>
      <c r="AP1310" s="1" t="s">
        <v>588</v>
      </c>
      <c r="AS1310" s="1" t="s">
        <v>71</v>
      </c>
      <c r="AU1310" s="1" t="s">
        <v>72</v>
      </c>
      <c r="AV1310" s="1" t="s">
        <v>437</v>
      </c>
      <c r="AX1310" s="1">
        <v>0</v>
      </c>
      <c r="BA1310" s="1">
        <v>9</v>
      </c>
      <c r="BB1310" s="1">
        <v>0</v>
      </c>
      <c r="BC1310" s="1">
        <v>0</v>
      </c>
      <c r="BE1310" s="1">
        <v>27245253</v>
      </c>
    </row>
    <row r="1311" spans="1:57" x14ac:dyDescent="0.25">
      <c r="A1311" s="1" t="str">
        <f>T("1945116904700712532")</f>
        <v>1945116904700712532</v>
      </c>
      <c r="B1311" s="1" t="str">
        <f>T("249912766909")</f>
        <v>249912766909</v>
      </c>
      <c r="C1311" s="1" t="str">
        <f>T("1941094470728551604")</f>
        <v>1941094470728551604</v>
      </c>
      <c r="AC1311" s="1" t="s">
        <v>461</v>
      </c>
      <c r="AD1311" s="1" t="s">
        <v>462</v>
      </c>
      <c r="AE1311" s="1" t="s">
        <v>463</v>
      </c>
      <c r="AF1311" s="1" t="s">
        <v>107</v>
      </c>
      <c r="AG1311" s="1">
        <v>45</v>
      </c>
      <c r="AO1311" s="2">
        <v>46276</v>
      </c>
      <c r="AP1311" s="1" t="s">
        <v>588</v>
      </c>
      <c r="AS1311" s="1" t="s">
        <v>71</v>
      </c>
      <c r="AU1311" s="1" t="s">
        <v>72</v>
      </c>
      <c r="AV1311" s="1" t="s">
        <v>437</v>
      </c>
      <c r="AX1311" s="1">
        <v>0</v>
      </c>
      <c r="BA1311" s="1">
        <v>9</v>
      </c>
      <c r="BB1311" s="1">
        <v>0</v>
      </c>
      <c r="BC1311" s="1">
        <v>0</v>
      </c>
      <c r="BE1311" s="1">
        <v>27245253</v>
      </c>
    </row>
    <row r="1312" spans="1:57" x14ac:dyDescent="0.25">
      <c r="A1312" s="1" t="str">
        <f>T("1945116904713295556")</f>
        <v>1945116904713295556</v>
      </c>
      <c r="B1312" s="1" t="str">
        <f>T("249122828376")</f>
        <v>249122828376</v>
      </c>
      <c r="C1312" s="1" t="str">
        <f>T("1941094470732743512")</f>
        <v>1941094470732743512</v>
      </c>
      <c r="AC1312" s="1" t="s">
        <v>461</v>
      </c>
      <c r="AD1312" s="1" t="s">
        <v>466</v>
      </c>
      <c r="AE1312" s="1" t="s">
        <v>467</v>
      </c>
      <c r="AF1312" s="1" t="s">
        <v>107</v>
      </c>
      <c r="AG1312" s="1">
        <v>42</v>
      </c>
      <c r="AO1312" s="2">
        <v>46276</v>
      </c>
      <c r="AP1312" s="1" t="s">
        <v>588</v>
      </c>
      <c r="AS1312" s="1" t="s">
        <v>71</v>
      </c>
      <c r="AU1312" s="1" t="s">
        <v>72</v>
      </c>
      <c r="AV1312" s="1" t="s">
        <v>73</v>
      </c>
      <c r="AX1312" s="1">
        <v>0</v>
      </c>
      <c r="BA1312" s="1">
        <v>9</v>
      </c>
      <c r="BB1312" s="1">
        <v>0</v>
      </c>
      <c r="BC1312" s="1">
        <v>0</v>
      </c>
      <c r="BE1312" s="1">
        <v>27245253</v>
      </c>
    </row>
    <row r="1313" spans="1:57" x14ac:dyDescent="0.25">
      <c r="A1313" s="1" t="str">
        <f>T("1945116904717489764")</f>
        <v>1945116904717489764</v>
      </c>
      <c r="B1313" s="1" t="str">
        <f>T("249914210565")</f>
        <v>249914210565</v>
      </c>
      <c r="C1313" s="1" t="str">
        <f>T("1941094470732743912")</f>
        <v>1941094470732743912</v>
      </c>
      <c r="AC1313" s="1" t="s">
        <v>461</v>
      </c>
      <c r="AD1313" s="1" t="s">
        <v>466</v>
      </c>
      <c r="AE1313" s="1" t="s">
        <v>470</v>
      </c>
      <c r="AF1313" s="1" t="s">
        <v>107</v>
      </c>
      <c r="AG1313" s="1">
        <v>29</v>
      </c>
      <c r="AO1313" s="2">
        <v>46276</v>
      </c>
      <c r="AP1313" s="1" t="s">
        <v>588</v>
      </c>
      <c r="AS1313" s="1" t="s">
        <v>71</v>
      </c>
      <c r="AU1313" s="1" t="s">
        <v>72</v>
      </c>
      <c r="AV1313" s="1" t="s">
        <v>73</v>
      </c>
      <c r="AX1313" s="1">
        <v>0</v>
      </c>
      <c r="BA1313" s="1">
        <v>9</v>
      </c>
      <c r="BB1313" s="1">
        <v>0</v>
      </c>
      <c r="BC1313" s="1">
        <v>0</v>
      </c>
      <c r="BE1313" s="1">
        <v>27245253</v>
      </c>
    </row>
    <row r="1314" spans="1:57" x14ac:dyDescent="0.25">
      <c r="A1314" s="1" t="str">
        <f>T("1945116904721683272")</f>
        <v>1945116904721683272</v>
      </c>
      <c r="B1314" s="1" t="str">
        <f>T("249912966583")</f>
        <v>249912966583</v>
      </c>
      <c r="C1314" s="1" t="str">
        <f>T("1941094470732745012")</f>
        <v>1941094470732745012</v>
      </c>
      <c r="AC1314" s="1" t="s">
        <v>461</v>
      </c>
      <c r="AD1314" s="1" t="s">
        <v>466</v>
      </c>
      <c r="AE1314" s="1" t="s">
        <v>470</v>
      </c>
      <c r="AF1314" s="1" t="s">
        <v>107</v>
      </c>
      <c r="AG1314" s="1">
        <v>45</v>
      </c>
      <c r="AO1314" s="2">
        <v>46276</v>
      </c>
      <c r="AP1314" s="1" t="s">
        <v>588</v>
      </c>
      <c r="AS1314" s="1" t="s">
        <v>71</v>
      </c>
      <c r="AU1314" s="1" t="s">
        <v>75</v>
      </c>
      <c r="AV1314" s="1" t="s">
        <v>590</v>
      </c>
      <c r="AX1314" s="1">
        <v>0</v>
      </c>
      <c r="BA1314" s="1">
        <v>8</v>
      </c>
      <c r="BB1314" s="1">
        <v>0</v>
      </c>
      <c r="BC1314" s="1">
        <v>0</v>
      </c>
      <c r="BE1314" s="1">
        <v>27245253</v>
      </c>
    </row>
    <row r="1315" spans="1:57" x14ac:dyDescent="0.25">
      <c r="A1315" s="1" t="str">
        <f>T("1945116904721686372")</f>
        <v>1945116904721686372</v>
      </c>
      <c r="B1315" s="1" t="str">
        <f>T("249918090822")</f>
        <v>249918090822</v>
      </c>
      <c r="C1315" s="1" t="str">
        <f>T("1941094470732744312")</f>
        <v>1941094470732744312</v>
      </c>
      <c r="AC1315" s="1" t="s">
        <v>461</v>
      </c>
      <c r="AD1315" s="1" t="s">
        <v>466</v>
      </c>
      <c r="AE1315" s="1" t="s">
        <v>470</v>
      </c>
      <c r="AF1315" s="1" t="s">
        <v>107</v>
      </c>
      <c r="AG1315" s="1">
        <v>39</v>
      </c>
      <c r="AO1315" s="2">
        <v>46276</v>
      </c>
      <c r="AP1315" s="1" t="s">
        <v>588</v>
      </c>
      <c r="AS1315" s="1" t="s">
        <v>71</v>
      </c>
      <c r="AU1315" s="1" t="s">
        <v>72</v>
      </c>
      <c r="AV1315" s="1" t="s">
        <v>73</v>
      </c>
      <c r="AX1315" s="1">
        <v>0</v>
      </c>
      <c r="BA1315" s="1">
        <v>9</v>
      </c>
      <c r="BB1315" s="1">
        <v>0</v>
      </c>
      <c r="BC1315" s="1">
        <v>0</v>
      </c>
      <c r="BE1315" s="1">
        <v>27245253</v>
      </c>
    </row>
    <row r="1316" spans="1:57" x14ac:dyDescent="0.25">
      <c r="A1316" s="1" t="str">
        <f>T("1945116904751046428")</f>
        <v>1945116904751046428</v>
      </c>
      <c r="B1316" s="1" t="str">
        <f>T("249912758092")</f>
        <v>249912758092</v>
      </c>
      <c r="C1316" s="1" t="str">
        <f>T("1941094470732745412")</f>
        <v>1941094470732745412</v>
      </c>
      <c r="AC1316" s="1" t="s">
        <v>461</v>
      </c>
      <c r="AD1316" s="1" t="s">
        <v>466</v>
      </c>
      <c r="AE1316" s="1" t="s">
        <v>472</v>
      </c>
      <c r="AF1316" s="1" t="s">
        <v>107</v>
      </c>
      <c r="AG1316" s="1">
        <v>37</v>
      </c>
      <c r="AO1316" s="2">
        <v>46276</v>
      </c>
      <c r="AP1316" s="1" t="s">
        <v>588</v>
      </c>
      <c r="AS1316" s="1" t="s">
        <v>71</v>
      </c>
      <c r="AU1316" s="1" t="s">
        <v>72</v>
      </c>
      <c r="AV1316" s="1" t="s">
        <v>437</v>
      </c>
      <c r="AX1316" s="1">
        <v>0</v>
      </c>
      <c r="BA1316" s="1">
        <v>9</v>
      </c>
      <c r="BB1316" s="1">
        <v>0</v>
      </c>
      <c r="BC1316" s="1">
        <v>0</v>
      </c>
      <c r="BE1316" s="1">
        <v>27245253</v>
      </c>
    </row>
    <row r="1317" spans="1:57" x14ac:dyDescent="0.25">
      <c r="A1317" s="1" t="str">
        <f>T("1945116904784599592")</f>
        <v>1945116904784599592</v>
      </c>
      <c r="B1317" s="1" t="str">
        <f>T("249919039757")</f>
        <v>249919039757</v>
      </c>
      <c r="C1317" s="1" t="str">
        <f>T("1941094470736937220")</f>
        <v>1941094470736937220</v>
      </c>
      <c r="AC1317" s="1" t="s">
        <v>461</v>
      </c>
      <c r="AD1317" s="1" t="s">
        <v>462</v>
      </c>
      <c r="AE1317" s="1" t="s">
        <v>475</v>
      </c>
      <c r="AF1317" s="1" t="s">
        <v>107</v>
      </c>
      <c r="AG1317" s="1">
        <v>44</v>
      </c>
      <c r="AO1317" s="2">
        <v>46276</v>
      </c>
      <c r="AP1317" s="1" t="s">
        <v>588</v>
      </c>
      <c r="AS1317" s="1" t="s">
        <v>71</v>
      </c>
      <c r="AU1317" s="1" t="s">
        <v>72</v>
      </c>
      <c r="AV1317" s="1" t="s">
        <v>73</v>
      </c>
      <c r="AX1317" s="1">
        <v>0</v>
      </c>
      <c r="BA1317" s="1">
        <v>9</v>
      </c>
      <c r="BB1317" s="1">
        <v>0</v>
      </c>
      <c r="BC1317" s="1">
        <v>0</v>
      </c>
      <c r="BE1317" s="1">
        <v>27245253</v>
      </c>
    </row>
    <row r="1318" spans="1:57" x14ac:dyDescent="0.25">
      <c r="A1318" s="1" t="str">
        <f>T("1945116904797182116")</f>
        <v>1945116904797182116</v>
      </c>
      <c r="B1318" s="1" t="str">
        <f>T("249919613115")</f>
        <v>249919613115</v>
      </c>
      <c r="C1318" s="1" t="str">
        <f>T("1941094470736937820")</f>
        <v>1941094470736937820</v>
      </c>
      <c r="AC1318" s="1" t="s">
        <v>461</v>
      </c>
      <c r="AD1318" s="1" t="s">
        <v>462</v>
      </c>
      <c r="AE1318" s="1" t="s">
        <v>475</v>
      </c>
      <c r="AF1318" s="1" t="s">
        <v>107</v>
      </c>
      <c r="AG1318" s="1">
        <v>41</v>
      </c>
      <c r="AO1318" s="2">
        <v>46276</v>
      </c>
      <c r="AP1318" s="1" t="s">
        <v>588</v>
      </c>
      <c r="AS1318" s="1" t="s">
        <v>71</v>
      </c>
      <c r="AU1318" s="1" t="s">
        <v>72</v>
      </c>
      <c r="AV1318" s="1" t="s">
        <v>73</v>
      </c>
      <c r="AX1318" s="1">
        <v>0</v>
      </c>
      <c r="BA1318" s="1">
        <v>9</v>
      </c>
      <c r="BB1318" s="1">
        <v>0</v>
      </c>
      <c r="BC1318" s="1">
        <v>0</v>
      </c>
      <c r="BE1318" s="1">
        <v>27245253</v>
      </c>
    </row>
    <row r="1319" spans="1:57" x14ac:dyDescent="0.25">
      <c r="A1319" s="1" t="str">
        <f>T("1945116904813958348")</f>
        <v>1945116904813958348</v>
      </c>
      <c r="B1319" s="1" t="str">
        <f>T("249123103459")</f>
        <v>249123103459</v>
      </c>
      <c r="C1319" s="1" t="str">
        <f>T("1941094470736939920")</f>
        <v>1941094470736939920</v>
      </c>
      <c r="AC1319" s="1" t="s">
        <v>461</v>
      </c>
      <c r="AD1319" s="1" t="s">
        <v>462</v>
      </c>
      <c r="AE1319" s="1" t="s">
        <v>476</v>
      </c>
      <c r="AF1319" s="1" t="s">
        <v>107</v>
      </c>
      <c r="AG1319" s="1">
        <v>46</v>
      </c>
      <c r="AO1319" s="2">
        <v>46276</v>
      </c>
      <c r="AP1319" s="1" t="s">
        <v>588</v>
      </c>
      <c r="AS1319" s="1" t="s">
        <v>71</v>
      </c>
      <c r="AU1319" s="1" t="s">
        <v>72</v>
      </c>
      <c r="AV1319" s="1" t="s">
        <v>73</v>
      </c>
      <c r="AX1319" s="1">
        <v>0</v>
      </c>
      <c r="BA1319" s="1">
        <v>9</v>
      </c>
      <c r="BB1319" s="1">
        <v>0</v>
      </c>
      <c r="BC1319" s="1">
        <v>0</v>
      </c>
      <c r="BE1319" s="1">
        <v>27245253</v>
      </c>
    </row>
    <row r="1320" spans="1:57" x14ac:dyDescent="0.25">
      <c r="A1320" s="1" t="str">
        <f>T("1945116904813959748")</f>
        <v>1945116904813959748</v>
      </c>
      <c r="B1320" s="1" t="str">
        <f>T("249918637157")</f>
        <v>249918637157</v>
      </c>
      <c r="C1320" s="1" t="str">
        <f>T("1941094470741131428")</f>
        <v>1941094470741131428</v>
      </c>
      <c r="AC1320" s="1" t="s">
        <v>461</v>
      </c>
      <c r="AD1320" s="1" t="s">
        <v>462</v>
      </c>
      <c r="AE1320" s="1" t="s">
        <v>479</v>
      </c>
      <c r="AF1320" s="1" t="s">
        <v>107</v>
      </c>
      <c r="AG1320" s="1">
        <v>37</v>
      </c>
      <c r="AO1320" s="2">
        <v>46276</v>
      </c>
      <c r="AP1320" s="1" t="s">
        <v>588</v>
      </c>
      <c r="AS1320" s="1" t="s">
        <v>71</v>
      </c>
      <c r="AU1320" s="1" t="s">
        <v>72</v>
      </c>
      <c r="AV1320" s="1" t="s">
        <v>73</v>
      </c>
      <c r="AX1320" s="1">
        <v>0</v>
      </c>
      <c r="BA1320" s="1">
        <v>9</v>
      </c>
      <c r="BB1320" s="1">
        <v>0</v>
      </c>
      <c r="BC1320" s="1">
        <v>0</v>
      </c>
      <c r="BE1320" s="1">
        <v>27245253</v>
      </c>
    </row>
    <row r="1321" spans="1:57" x14ac:dyDescent="0.25">
      <c r="A1321" s="1" t="str">
        <f>T("1945116904822347964")</f>
        <v>1945116904822347964</v>
      </c>
      <c r="B1321" s="1" t="str">
        <f>T("24912917005")</f>
        <v>24912917005</v>
      </c>
      <c r="C1321" s="1" t="str">
        <f>T("1941094470741134128")</f>
        <v>1941094470741134128</v>
      </c>
      <c r="AC1321" s="1" t="s">
        <v>104</v>
      </c>
      <c r="AD1321" s="1" t="s">
        <v>141</v>
      </c>
      <c r="AE1321" s="1" t="s">
        <v>481</v>
      </c>
      <c r="AF1321" s="1" t="s">
        <v>107</v>
      </c>
      <c r="AO1321" s="2">
        <v>46276</v>
      </c>
      <c r="AP1321" s="1" t="s">
        <v>588</v>
      </c>
      <c r="AS1321" s="1" t="s">
        <v>71</v>
      </c>
      <c r="AU1321" s="1" t="s">
        <v>72</v>
      </c>
      <c r="AV1321" s="1" t="s">
        <v>73</v>
      </c>
      <c r="AX1321" s="1">
        <v>0</v>
      </c>
      <c r="BA1321" s="1">
        <v>9</v>
      </c>
      <c r="BB1321" s="1">
        <v>0</v>
      </c>
      <c r="BC1321" s="1">
        <v>0</v>
      </c>
      <c r="BE1321" s="1">
        <v>27245253</v>
      </c>
    </row>
    <row r="1322" spans="1:57" x14ac:dyDescent="0.25">
      <c r="A1322" s="1" t="str">
        <f>T("1945116904822348664")</f>
        <v>1945116904822348664</v>
      </c>
      <c r="B1322" s="1" t="str">
        <f>T("249919549619")</f>
        <v>249919549619</v>
      </c>
      <c r="C1322" s="1" t="str">
        <f>T("1941094470741135128")</f>
        <v>1941094470741135128</v>
      </c>
      <c r="AC1322" s="1" t="s">
        <v>104</v>
      </c>
      <c r="AD1322" s="1" t="s">
        <v>141</v>
      </c>
      <c r="AE1322" s="1" t="s">
        <v>481</v>
      </c>
      <c r="AF1322" s="1" t="s">
        <v>107</v>
      </c>
      <c r="AO1322" s="2">
        <v>46276</v>
      </c>
      <c r="AP1322" s="1" t="s">
        <v>588</v>
      </c>
      <c r="AS1322" s="1" t="s">
        <v>71</v>
      </c>
      <c r="AU1322" s="1" t="s">
        <v>72</v>
      </c>
      <c r="AV1322" s="1" t="s">
        <v>437</v>
      </c>
      <c r="AX1322" s="1">
        <v>0</v>
      </c>
      <c r="BA1322" s="1">
        <v>9</v>
      </c>
      <c r="BB1322" s="1">
        <v>0</v>
      </c>
      <c r="BC1322" s="1">
        <v>0</v>
      </c>
      <c r="BE1322" s="1">
        <v>27245253</v>
      </c>
    </row>
    <row r="1323" spans="1:57" x14ac:dyDescent="0.25">
      <c r="A1323" s="1" t="str">
        <f>T("1945116904830736280")</f>
        <v>1945116904830736280</v>
      </c>
      <c r="B1323" s="1" t="str">
        <f>T("249114779921")</f>
        <v>249114779921</v>
      </c>
      <c r="C1323" s="1" t="str">
        <f>T("1941094470745326236")</f>
        <v>1941094470745326236</v>
      </c>
      <c r="AC1323" s="1" t="s">
        <v>104</v>
      </c>
      <c r="AD1323" s="1" t="s">
        <v>141</v>
      </c>
      <c r="AE1323" s="1" t="s">
        <v>481</v>
      </c>
      <c r="AF1323" s="1" t="s">
        <v>107</v>
      </c>
      <c r="AO1323" s="2">
        <v>46276</v>
      </c>
      <c r="AP1323" s="1" t="s">
        <v>588</v>
      </c>
      <c r="AS1323" s="1" t="s">
        <v>71</v>
      </c>
      <c r="AU1323" s="1" t="s">
        <v>72</v>
      </c>
      <c r="AV1323" s="1" t="s">
        <v>73</v>
      </c>
      <c r="AX1323" s="1">
        <v>0</v>
      </c>
      <c r="BA1323" s="1">
        <v>9</v>
      </c>
      <c r="BB1323" s="1">
        <v>0</v>
      </c>
      <c r="BC1323" s="1">
        <v>0</v>
      </c>
      <c r="BE1323" s="1">
        <v>27245253</v>
      </c>
    </row>
    <row r="1324" spans="1:57" x14ac:dyDescent="0.25">
      <c r="A1324" s="1" t="str">
        <f>T("1945147093048562636")</f>
        <v>1945147093048562636</v>
      </c>
      <c r="B1324" s="1" t="str">
        <f>T("249923176713")</f>
        <v>249923176713</v>
      </c>
      <c r="C1324" s="1" t="str">
        <f>T("1941094502710117604")</f>
        <v>1941094502710117604</v>
      </c>
      <c r="AA1324" s="1">
        <v>1</v>
      </c>
      <c r="AC1324" s="1" t="s">
        <v>104</v>
      </c>
      <c r="AD1324" s="1" t="s">
        <v>151</v>
      </c>
      <c r="AE1324" s="1" t="s">
        <v>392</v>
      </c>
      <c r="AF1324" s="1" t="s">
        <v>144</v>
      </c>
      <c r="AG1324" s="1">
        <v>30</v>
      </c>
      <c r="AO1324" s="2">
        <v>46276</v>
      </c>
      <c r="AP1324" s="1" t="s">
        <v>592</v>
      </c>
      <c r="AQ1324" s="2">
        <v>46276</v>
      </c>
      <c r="AR1324" s="1" t="s">
        <v>593</v>
      </c>
      <c r="AS1324" s="1" t="s">
        <v>71</v>
      </c>
      <c r="AU1324" s="1" t="s">
        <v>78</v>
      </c>
      <c r="AV1324" s="1" t="s">
        <v>80</v>
      </c>
      <c r="AW1324" s="1">
        <v>134.54</v>
      </c>
      <c r="AX1324" s="1">
        <v>0</v>
      </c>
      <c r="AZ1324" s="1" t="s">
        <v>81</v>
      </c>
      <c r="BA1324" s="1">
        <v>1</v>
      </c>
      <c r="BB1324" s="1">
        <v>0</v>
      </c>
      <c r="BC1324" s="1">
        <v>0</v>
      </c>
      <c r="BE1324" s="1">
        <v>27246347</v>
      </c>
    </row>
    <row r="1325" spans="1:57" x14ac:dyDescent="0.25">
      <c r="A1325" s="1" t="str">
        <f>T("1945147093086314408")</f>
        <v>1945147093086314408</v>
      </c>
      <c r="B1325" s="1" t="str">
        <f>T("249928539676")</f>
        <v>249928539676</v>
      </c>
      <c r="C1325" s="1" t="str">
        <f>T("1941094502710118004")</f>
        <v>1941094502710118004</v>
      </c>
      <c r="M1325" s="1" t="s">
        <v>59</v>
      </c>
      <c r="O1325" s="1" t="s">
        <v>65</v>
      </c>
      <c r="P1325" s="1" t="s">
        <v>83</v>
      </c>
      <c r="Q1325" s="1" t="s">
        <v>101</v>
      </c>
      <c r="R1325" s="1" t="s">
        <v>93</v>
      </c>
      <c r="T1325" s="1" t="s">
        <v>464</v>
      </c>
      <c r="U1325" s="1" t="s">
        <v>65</v>
      </c>
      <c r="V1325" s="1" t="s">
        <v>66</v>
      </c>
      <c r="W1325" s="1" t="s">
        <v>67</v>
      </c>
      <c r="X1325" s="1" t="s">
        <v>66</v>
      </c>
      <c r="Y1325" s="1" t="s">
        <v>69</v>
      </c>
      <c r="AA1325" s="1">
        <v>1</v>
      </c>
      <c r="AB1325" s="1">
        <v>1</v>
      </c>
      <c r="AC1325" s="1" t="s">
        <v>104</v>
      </c>
      <c r="AD1325" s="1" t="s">
        <v>151</v>
      </c>
      <c r="AE1325" s="1" t="s">
        <v>392</v>
      </c>
      <c r="AF1325" s="1" t="s">
        <v>144</v>
      </c>
      <c r="AG1325" s="1">
        <v>33</v>
      </c>
      <c r="AO1325" s="2">
        <v>46276</v>
      </c>
      <c r="AP1325" s="1" t="s">
        <v>592</v>
      </c>
      <c r="AQ1325" s="2">
        <v>46276</v>
      </c>
      <c r="AR1325" s="1" t="s">
        <v>594</v>
      </c>
      <c r="AS1325" s="1" t="s">
        <v>71</v>
      </c>
      <c r="AU1325" s="1" t="s">
        <v>78</v>
      </c>
      <c r="AV1325" s="1" t="s">
        <v>80</v>
      </c>
      <c r="AW1325" s="1">
        <v>205.46</v>
      </c>
      <c r="AX1325" s="1">
        <v>0</v>
      </c>
      <c r="AZ1325" s="1" t="s">
        <v>81</v>
      </c>
      <c r="BA1325" s="1">
        <v>1</v>
      </c>
      <c r="BB1325" s="1">
        <v>0</v>
      </c>
      <c r="BC1325" s="1">
        <v>0</v>
      </c>
      <c r="BE1325" s="1">
        <v>27246347</v>
      </c>
    </row>
    <row r="1326" spans="1:57" x14ac:dyDescent="0.25">
      <c r="A1326" s="1" t="str">
        <f>T("1945147093199559024")</f>
        <v>1945147093199559024</v>
      </c>
      <c r="B1326" s="1" t="str">
        <f>T("249929998540")</f>
        <v>249929998540</v>
      </c>
      <c r="C1326" s="1" t="str">
        <f>T("1941094502710118504")</f>
        <v>1941094502710118504</v>
      </c>
      <c r="M1326" s="1" t="s">
        <v>59</v>
      </c>
      <c r="O1326" s="1" t="s">
        <v>65</v>
      </c>
      <c r="P1326" s="1" t="s">
        <v>83</v>
      </c>
      <c r="Q1326" s="1" t="s">
        <v>112</v>
      </c>
      <c r="R1326" s="1" t="s">
        <v>84</v>
      </c>
      <c r="S1326" s="1" t="s">
        <v>64</v>
      </c>
      <c r="U1326" s="1" t="s">
        <v>65</v>
      </c>
      <c r="V1326" s="1" t="s">
        <v>66</v>
      </c>
      <c r="W1326" s="1" t="s">
        <v>67</v>
      </c>
      <c r="X1326" s="1" t="s">
        <v>103</v>
      </c>
      <c r="Y1326" s="1" t="s">
        <v>85</v>
      </c>
      <c r="AA1326" s="1">
        <v>1</v>
      </c>
      <c r="AB1326" s="1">
        <v>1</v>
      </c>
      <c r="AC1326" s="1" t="s">
        <v>104</v>
      </c>
      <c r="AD1326" s="1" t="s">
        <v>151</v>
      </c>
      <c r="AE1326" s="1" t="s">
        <v>392</v>
      </c>
      <c r="AF1326" s="1" t="s">
        <v>144</v>
      </c>
      <c r="AG1326" s="1">
        <v>25</v>
      </c>
      <c r="AO1326" s="2">
        <v>46276</v>
      </c>
      <c r="AP1326" s="1" t="s">
        <v>592</v>
      </c>
      <c r="AQ1326" s="2">
        <v>46276</v>
      </c>
      <c r="AR1326" s="1" t="s">
        <v>595</v>
      </c>
      <c r="AS1326" s="1" t="s">
        <v>71</v>
      </c>
      <c r="AU1326" s="1" t="s">
        <v>78</v>
      </c>
      <c r="AV1326" s="1" t="s">
        <v>80</v>
      </c>
      <c r="AW1326" s="1">
        <v>212.54</v>
      </c>
      <c r="AX1326" s="1">
        <v>0</v>
      </c>
      <c r="AZ1326" s="1" t="s">
        <v>81</v>
      </c>
      <c r="BA1326" s="1">
        <v>4</v>
      </c>
      <c r="BB1326" s="1">
        <v>0</v>
      </c>
      <c r="BC1326" s="1">
        <v>0</v>
      </c>
      <c r="BE1326" s="1">
        <v>27246347</v>
      </c>
    </row>
    <row r="1327" spans="1:57" x14ac:dyDescent="0.25">
      <c r="A1327" s="1" t="str">
        <f>T("1945147093249890020")</f>
        <v>1945147093249890020</v>
      </c>
      <c r="B1327" s="1" t="str">
        <f>T("249966365342")</f>
        <v>249966365342</v>
      </c>
      <c r="C1327" s="1" t="str">
        <f>T("1941094502710118904")</f>
        <v>1941094502710118904</v>
      </c>
      <c r="AC1327" s="1" t="s">
        <v>104</v>
      </c>
      <c r="AD1327" s="1" t="s">
        <v>151</v>
      </c>
      <c r="AE1327" s="1" t="s">
        <v>392</v>
      </c>
      <c r="AF1327" s="1" t="s">
        <v>144</v>
      </c>
      <c r="AG1327" s="1">
        <v>20</v>
      </c>
      <c r="AO1327" s="2">
        <v>46276</v>
      </c>
      <c r="AP1327" s="1" t="s">
        <v>592</v>
      </c>
      <c r="AS1327" s="1" t="s">
        <v>71</v>
      </c>
      <c r="AU1327" s="1" t="s">
        <v>72</v>
      </c>
      <c r="AV1327" s="1" t="s">
        <v>73</v>
      </c>
      <c r="AX1327" s="1">
        <v>0</v>
      </c>
      <c r="BA1327" s="1">
        <v>9</v>
      </c>
      <c r="BB1327" s="1">
        <v>0</v>
      </c>
      <c r="BC1327" s="1">
        <v>0</v>
      </c>
      <c r="BE1327" s="1">
        <v>27246347</v>
      </c>
    </row>
    <row r="1328" spans="1:57" x14ac:dyDescent="0.25">
      <c r="A1328" s="1" t="str">
        <f>T("1945147093254085928")</f>
        <v>1945147093254085928</v>
      </c>
      <c r="B1328" s="1" t="str">
        <f>T("249998466006")</f>
        <v>249998466006</v>
      </c>
      <c r="C1328" s="1" t="str">
        <f>T("1941094502710119304")</f>
        <v>1941094502710119304</v>
      </c>
      <c r="AA1328" s="1">
        <v>1</v>
      </c>
      <c r="AC1328" s="1" t="s">
        <v>104</v>
      </c>
      <c r="AD1328" s="1" t="s">
        <v>151</v>
      </c>
      <c r="AE1328" s="1" t="s">
        <v>392</v>
      </c>
      <c r="AF1328" s="1" t="s">
        <v>144</v>
      </c>
      <c r="AG1328" s="1">
        <v>32</v>
      </c>
      <c r="AO1328" s="2">
        <v>46276</v>
      </c>
      <c r="AP1328" s="1" t="s">
        <v>592</v>
      </c>
      <c r="AQ1328" s="2">
        <v>46276</v>
      </c>
      <c r="AR1328" s="1" t="s">
        <v>596</v>
      </c>
      <c r="AS1328" s="1" t="s">
        <v>71</v>
      </c>
      <c r="AU1328" s="1" t="s">
        <v>79</v>
      </c>
      <c r="AV1328" s="1" t="s">
        <v>80</v>
      </c>
      <c r="AW1328" s="1">
        <v>59.56</v>
      </c>
      <c r="AX1328" s="1">
        <v>0</v>
      </c>
      <c r="AZ1328" s="1" t="s">
        <v>81</v>
      </c>
      <c r="BA1328" s="1">
        <v>1</v>
      </c>
      <c r="BB1328" s="1">
        <v>0</v>
      </c>
      <c r="BC1328" s="1">
        <v>0</v>
      </c>
      <c r="BE1328" s="1">
        <v>27246347</v>
      </c>
    </row>
    <row r="1329" spans="1:57" x14ac:dyDescent="0.25">
      <c r="A1329" s="1" t="str">
        <f>T("1945147093304418124")</f>
        <v>1945147093304418124</v>
      </c>
      <c r="B1329" s="1" t="str">
        <f>T("249925010818")</f>
        <v>249925010818</v>
      </c>
      <c r="C1329" s="1" t="str">
        <f>T("1941094502714311012")</f>
        <v>1941094502714311012</v>
      </c>
      <c r="AC1329" s="1" t="s">
        <v>104</v>
      </c>
      <c r="AD1329" s="1" t="s">
        <v>151</v>
      </c>
      <c r="AE1329" s="1" t="s">
        <v>392</v>
      </c>
      <c r="AF1329" s="1" t="s">
        <v>144</v>
      </c>
      <c r="AG1329" s="1">
        <v>42</v>
      </c>
      <c r="AO1329" s="2">
        <v>46276</v>
      </c>
      <c r="AP1329" s="1" t="s">
        <v>592</v>
      </c>
      <c r="AQ1329" s="2">
        <v>46276</v>
      </c>
      <c r="AR1329" s="1" t="s">
        <v>597</v>
      </c>
      <c r="AS1329" s="1" t="s">
        <v>71</v>
      </c>
      <c r="AU1329" s="1" t="s">
        <v>79</v>
      </c>
      <c r="AV1329" s="1" t="s">
        <v>80</v>
      </c>
      <c r="AW1329" s="1">
        <v>24.54</v>
      </c>
      <c r="AX1329" s="1">
        <v>0</v>
      </c>
      <c r="AZ1329" s="1" t="s">
        <v>81</v>
      </c>
      <c r="BA1329" s="1">
        <v>1</v>
      </c>
      <c r="BB1329" s="1">
        <v>0</v>
      </c>
      <c r="BC1329" s="1">
        <v>0</v>
      </c>
      <c r="BE1329" s="1">
        <v>27246347</v>
      </c>
    </row>
    <row r="1330" spans="1:57" x14ac:dyDescent="0.25">
      <c r="A1330" s="1" t="str">
        <f>T("1945147093308609032")</f>
        <v>1945147093308609032</v>
      </c>
      <c r="B1330" s="1" t="str">
        <f>T("249625292476")</f>
        <v>249625292476</v>
      </c>
      <c r="C1330" s="1" t="str">
        <f>T("1941094502710120104")</f>
        <v>1941094502710120104</v>
      </c>
      <c r="AC1330" s="1" t="s">
        <v>104</v>
      </c>
      <c r="AD1330" s="1" t="s">
        <v>151</v>
      </c>
      <c r="AE1330" s="1" t="s">
        <v>392</v>
      </c>
      <c r="AF1330" s="1" t="s">
        <v>144</v>
      </c>
      <c r="AG1330" s="1">
        <v>28</v>
      </c>
      <c r="AO1330" s="2">
        <v>46276</v>
      </c>
      <c r="AP1330" s="1" t="s">
        <v>592</v>
      </c>
      <c r="AS1330" s="1" t="s">
        <v>71</v>
      </c>
      <c r="AU1330" s="1" t="s">
        <v>72</v>
      </c>
      <c r="AV1330" s="1" t="s">
        <v>73</v>
      </c>
      <c r="AX1330" s="1">
        <v>0</v>
      </c>
      <c r="BA1330" s="1">
        <v>9</v>
      </c>
      <c r="BB1330" s="1">
        <v>0</v>
      </c>
      <c r="BC1330" s="1">
        <v>0</v>
      </c>
      <c r="BE1330" s="1">
        <v>27246347</v>
      </c>
    </row>
    <row r="1331" spans="1:57" x14ac:dyDescent="0.25">
      <c r="A1331" s="1" t="str">
        <f>T("1945147093358941728")</f>
        <v>1945147093358941728</v>
      </c>
      <c r="B1331" s="1" t="str">
        <f>T("249923592430")</f>
        <v>249923592430</v>
      </c>
      <c r="C1331" s="1" t="str">
        <f>T("1941094502714311412")</f>
        <v>1941094502714311412</v>
      </c>
      <c r="M1331" s="1" t="s">
        <v>59</v>
      </c>
      <c r="AA1331" s="1">
        <v>1</v>
      </c>
      <c r="AC1331" s="1" t="s">
        <v>104</v>
      </c>
      <c r="AD1331" s="1" t="s">
        <v>151</v>
      </c>
      <c r="AE1331" s="1" t="s">
        <v>392</v>
      </c>
      <c r="AF1331" s="1" t="s">
        <v>144</v>
      </c>
      <c r="AG1331" s="1">
        <v>34</v>
      </c>
      <c r="AO1331" s="2">
        <v>46276</v>
      </c>
      <c r="AP1331" s="1" t="s">
        <v>592</v>
      </c>
      <c r="AQ1331" s="2">
        <v>46276</v>
      </c>
      <c r="AR1331" s="1" t="s">
        <v>598</v>
      </c>
      <c r="AS1331" s="1" t="s">
        <v>71</v>
      </c>
      <c r="AU1331" s="1" t="s">
        <v>78</v>
      </c>
      <c r="AV1331" s="1" t="s">
        <v>80</v>
      </c>
      <c r="AW1331" s="1">
        <v>100.86</v>
      </c>
      <c r="AX1331" s="1">
        <v>0</v>
      </c>
      <c r="AZ1331" s="1" t="s">
        <v>81</v>
      </c>
      <c r="BA1331" s="1">
        <v>1</v>
      </c>
      <c r="BB1331" s="1">
        <v>0</v>
      </c>
      <c r="BC1331" s="1">
        <v>0</v>
      </c>
      <c r="BE1331" s="1">
        <v>27246347</v>
      </c>
    </row>
    <row r="1332" spans="1:57" x14ac:dyDescent="0.25">
      <c r="A1332" s="1" t="str">
        <f>T("1945147093371523252")</f>
        <v>1945147093371523252</v>
      </c>
      <c r="B1332" s="1" t="str">
        <f>T("249994280449")</f>
        <v>249994280449</v>
      </c>
      <c r="C1332" s="1" t="str">
        <f>T("1941094502714311812")</f>
        <v>1941094502714311812</v>
      </c>
      <c r="AC1332" s="1" t="s">
        <v>104</v>
      </c>
      <c r="AD1332" s="1" t="s">
        <v>151</v>
      </c>
      <c r="AE1332" s="1" t="s">
        <v>392</v>
      </c>
      <c r="AF1332" s="1" t="s">
        <v>144</v>
      </c>
      <c r="AG1332" s="1">
        <v>36</v>
      </c>
      <c r="AO1332" s="2">
        <v>46276</v>
      </c>
      <c r="AP1332" s="1" t="s">
        <v>592</v>
      </c>
      <c r="AQ1332" s="2">
        <v>46276</v>
      </c>
      <c r="AR1332" s="1" t="s">
        <v>599</v>
      </c>
      <c r="AS1332" s="1" t="s">
        <v>71</v>
      </c>
      <c r="AU1332" s="1" t="s">
        <v>79</v>
      </c>
      <c r="AV1332" s="1" t="s">
        <v>80</v>
      </c>
      <c r="AW1332" s="1">
        <v>35.479999999999997</v>
      </c>
      <c r="AX1332" s="1">
        <v>0</v>
      </c>
      <c r="AZ1332" s="1" t="s">
        <v>81</v>
      </c>
      <c r="BA1332" s="1">
        <v>1</v>
      </c>
      <c r="BB1332" s="1">
        <v>0</v>
      </c>
      <c r="BC1332" s="1">
        <v>0</v>
      </c>
      <c r="BE1332" s="1">
        <v>27246347</v>
      </c>
    </row>
    <row r="1333" spans="1:57" x14ac:dyDescent="0.25">
      <c r="A1333" s="1" t="str">
        <f>T("1945147093405081316")</f>
        <v>1945147093405081316</v>
      </c>
      <c r="B1333" s="1" t="str">
        <f>T("249994635333")</f>
        <v>249994635333</v>
      </c>
      <c r="C1333" s="1" t="str">
        <f>T("1941094502714312212")</f>
        <v>1941094502714312212</v>
      </c>
      <c r="M1333" s="1" t="s">
        <v>59</v>
      </c>
      <c r="O1333" s="1" t="s">
        <v>65</v>
      </c>
      <c r="P1333" s="1" t="s">
        <v>111</v>
      </c>
      <c r="Q1333" s="1" t="s">
        <v>112</v>
      </c>
      <c r="R1333" s="1" t="s">
        <v>93</v>
      </c>
      <c r="T1333" s="1" t="s">
        <v>95</v>
      </c>
      <c r="U1333" s="1" t="s">
        <v>65</v>
      </c>
      <c r="V1333" s="1" t="s">
        <v>102</v>
      </c>
      <c r="W1333" s="1" t="s">
        <v>60</v>
      </c>
      <c r="X1333" s="1" t="s">
        <v>66</v>
      </c>
      <c r="Y1333" s="1" t="s">
        <v>160</v>
      </c>
      <c r="AA1333" s="1">
        <v>1</v>
      </c>
      <c r="AB1333" s="1">
        <v>1</v>
      </c>
      <c r="AC1333" s="1" t="s">
        <v>104</v>
      </c>
      <c r="AD1333" s="1" t="s">
        <v>151</v>
      </c>
      <c r="AE1333" s="1" t="s">
        <v>392</v>
      </c>
      <c r="AF1333" s="1" t="s">
        <v>144</v>
      </c>
      <c r="AG1333" s="1">
        <v>38</v>
      </c>
      <c r="AO1333" s="2">
        <v>46276</v>
      </c>
      <c r="AP1333" s="1" t="s">
        <v>592</v>
      </c>
      <c r="AQ1333" s="2">
        <v>46276</v>
      </c>
      <c r="AR1333" s="1" t="s">
        <v>600</v>
      </c>
      <c r="AS1333" s="1" t="s">
        <v>71</v>
      </c>
      <c r="AU1333" s="1" t="s">
        <v>78</v>
      </c>
      <c r="AV1333" s="1" t="s">
        <v>80</v>
      </c>
      <c r="AW1333" s="1">
        <v>202.36</v>
      </c>
      <c r="AX1333" s="1">
        <v>0</v>
      </c>
      <c r="AZ1333" s="1" t="s">
        <v>81</v>
      </c>
      <c r="BA1333" s="1">
        <v>3</v>
      </c>
      <c r="BB1333" s="1">
        <v>0</v>
      </c>
      <c r="BC1333" s="1">
        <v>0</v>
      </c>
      <c r="BE1333" s="1">
        <v>27246347</v>
      </c>
    </row>
    <row r="1334" spans="1:57" x14ac:dyDescent="0.25">
      <c r="A1334" s="1" t="str">
        <f>T("1945147093434438872")</f>
        <v>1945147093434438872</v>
      </c>
      <c r="B1334" s="1" t="str">
        <f>T("249998035219")</f>
        <v>249998035219</v>
      </c>
      <c r="C1334" s="1" t="str">
        <f>T("1941094502714312712")</f>
        <v>1941094502714312712</v>
      </c>
      <c r="AC1334" s="1" t="s">
        <v>104</v>
      </c>
      <c r="AD1334" s="1" t="s">
        <v>151</v>
      </c>
      <c r="AE1334" s="1" t="s">
        <v>392</v>
      </c>
      <c r="AF1334" s="1" t="s">
        <v>144</v>
      </c>
      <c r="AG1334" s="1">
        <v>29</v>
      </c>
      <c r="AO1334" s="2">
        <v>46276</v>
      </c>
      <c r="AP1334" s="1" t="s">
        <v>592</v>
      </c>
      <c r="AS1334" s="1" t="s">
        <v>71</v>
      </c>
      <c r="AU1334" s="1" t="s">
        <v>72</v>
      </c>
      <c r="AV1334" s="1" t="s">
        <v>131</v>
      </c>
      <c r="AX1334" s="1">
        <v>0</v>
      </c>
      <c r="BA1334" s="1">
        <v>9</v>
      </c>
      <c r="BB1334" s="1">
        <v>0</v>
      </c>
      <c r="BC1334" s="1">
        <v>0</v>
      </c>
      <c r="BE1334" s="1">
        <v>27246347</v>
      </c>
    </row>
    <row r="1335" spans="1:57" x14ac:dyDescent="0.25">
      <c r="A1335" s="1" t="str">
        <f>T("1945147093451216404")</f>
        <v>1945147093451216404</v>
      </c>
      <c r="B1335" s="1" t="str">
        <f>T("249991158727")</f>
        <v>249991158727</v>
      </c>
      <c r="C1335" s="1" t="str">
        <f>T("1941094502714313112")</f>
        <v>1941094502714313112</v>
      </c>
      <c r="AC1335" s="1" t="s">
        <v>104</v>
      </c>
      <c r="AD1335" s="1" t="s">
        <v>151</v>
      </c>
      <c r="AE1335" s="1" t="s">
        <v>392</v>
      </c>
      <c r="AF1335" s="1" t="s">
        <v>144</v>
      </c>
      <c r="AG1335" s="1">
        <v>34</v>
      </c>
      <c r="AO1335" s="2">
        <v>46276</v>
      </c>
      <c r="AP1335" s="1" t="s">
        <v>592</v>
      </c>
      <c r="AS1335" s="1" t="s">
        <v>71</v>
      </c>
      <c r="AU1335" s="1" t="s">
        <v>72</v>
      </c>
      <c r="AV1335" s="1" t="s">
        <v>601</v>
      </c>
      <c r="AX1335" s="1">
        <v>0</v>
      </c>
      <c r="BA1335" s="1">
        <v>9</v>
      </c>
      <c r="BB1335" s="1">
        <v>0</v>
      </c>
      <c r="BC1335" s="1">
        <v>0</v>
      </c>
      <c r="BE1335" s="1">
        <v>27246347</v>
      </c>
    </row>
    <row r="1336" spans="1:57" x14ac:dyDescent="0.25">
      <c r="A1336" s="1" t="str">
        <f>T("1945147093484772068")</f>
        <v>1945147093484772068</v>
      </c>
      <c r="B1336" s="1" t="str">
        <f>T("249961540958")</f>
        <v>249961540958</v>
      </c>
      <c r="C1336" s="1" t="str">
        <f>T("1941094502714313512")</f>
        <v>1941094502714313512</v>
      </c>
      <c r="AC1336" s="1" t="s">
        <v>104</v>
      </c>
      <c r="AD1336" s="1" t="s">
        <v>151</v>
      </c>
      <c r="AE1336" s="1" t="s">
        <v>392</v>
      </c>
      <c r="AF1336" s="1" t="s">
        <v>144</v>
      </c>
      <c r="AG1336" s="1">
        <v>38</v>
      </c>
      <c r="AO1336" s="2">
        <v>46276</v>
      </c>
      <c r="AP1336" s="1" t="s">
        <v>592</v>
      </c>
      <c r="AS1336" s="1" t="s">
        <v>71</v>
      </c>
      <c r="AU1336" s="1" t="s">
        <v>72</v>
      </c>
      <c r="AV1336" s="1" t="s">
        <v>73</v>
      </c>
      <c r="AX1336" s="1">
        <v>0</v>
      </c>
      <c r="BA1336" s="1">
        <v>9</v>
      </c>
      <c r="BB1336" s="1">
        <v>0</v>
      </c>
      <c r="BC1336" s="1">
        <v>0</v>
      </c>
      <c r="BE1336" s="1">
        <v>27246347</v>
      </c>
    </row>
    <row r="1337" spans="1:57" x14ac:dyDescent="0.25">
      <c r="A1337" s="1" t="str">
        <f>T("1945147093497355892")</f>
        <v>1945147093497355892</v>
      </c>
      <c r="B1337" s="1" t="str">
        <f>T("249925009400")</f>
        <v>249925009400</v>
      </c>
      <c r="C1337" s="1" t="str">
        <f>T("1941094502714313912")</f>
        <v>1941094502714313912</v>
      </c>
      <c r="AC1337" s="1" t="s">
        <v>104</v>
      </c>
      <c r="AD1337" s="1" t="s">
        <v>151</v>
      </c>
      <c r="AE1337" s="1" t="s">
        <v>392</v>
      </c>
      <c r="AF1337" s="1" t="s">
        <v>144</v>
      </c>
      <c r="AG1337" s="1">
        <v>41</v>
      </c>
      <c r="AO1337" s="2">
        <v>46276</v>
      </c>
      <c r="AP1337" s="1" t="s">
        <v>592</v>
      </c>
      <c r="AQ1337" s="2">
        <v>46276</v>
      </c>
      <c r="AR1337" s="1" t="s">
        <v>602</v>
      </c>
      <c r="AS1337" s="1" t="s">
        <v>71</v>
      </c>
      <c r="AU1337" s="1" t="s">
        <v>79</v>
      </c>
      <c r="AV1337" s="1" t="s">
        <v>80</v>
      </c>
      <c r="AW1337" s="1">
        <v>36.6</v>
      </c>
      <c r="AX1337" s="1">
        <v>0</v>
      </c>
      <c r="AZ1337" s="1" t="s">
        <v>81</v>
      </c>
      <c r="BA1337" s="1">
        <v>2</v>
      </c>
      <c r="BB1337" s="1">
        <v>0</v>
      </c>
      <c r="BC1337" s="1">
        <v>0</v>
      </c>
      <c r="BE1337" s="1">
        <v>27246347</v>
      </c>
    </row>
    <row r="1338" spans="1:57" x14ac:dyDescent="0.25">
      <c r="A1338" s="1" t="str">
        <f>T("1945147093539297572")</f>
        <v>1945147093539297572</v>
      </c>
      <c r="B1338" s="1" t="str">
        <f>T("249925512420")</f>
        <v>249925512420</v>
      </c>
      <c r="C1338" s="1" t="str">
        <f>T("1941094502714314312")</f>
        <v>1941094502714314312</v>
      </c>
      <c r="AC1338" s="1" t="s">
        <v>104</v>
      </c>
      <c r="AD1338" s="1" t="s">
        <v>151</v>
      </c>
      <c r="AE1338" s="1" t="s">
        <v>392</v>
      </c>
      <c r="AF1338" s="1" t="s">
        <v>144</v>
      </c>
      <c r="AG1338" s="1">
        <v>40</v>
      </c>
      <c r="AO1338" s="2">
        <v>46276</v>
      </c>
      <c r="AP1338" s="1" t="s">
        <v>592</v>
      </c>
      <c r="AS1338" s="1" t="s">
        <v>71</v>
      </c>
      <c r="AU1338" s="1" t="s">
        <v>72</v>
      </c>
      <c r="AV1338" s="1" t="s">
        <v>73</v>
      </c>
      <c r="AX1338" s="1">
        <v>0</v>
      </c>
      <c r="BA1338" s="1">
        <v>9</v>
      </c>
      <c r="BB1338" s="1">
        <v>0</v>
      </c>
      <c r="BC1338" s="1">
        <v>0</v>
      </c>
      <c r="BE1338" s="1">
        <v>27246347</v>
      </c>
    </row>
    <row r="1339" spans="1:57" x14ac:dyDescent="0.25">
      <c r="A1339" s="1" t="str">
        <f>T("1945147093551878896")</f>
        <v>1945147093551878896</v>
      </c>
      <c r="B1339" s="1" t="str">
        <f>T("249122623340")</f>
        <v>249122623340</v>
      </c>
      <c r="C1339" s="1" t="str">
        <f>T("1941094502718505020")</f>
        <v>1941094502718505020</v>
      </c>
      <c r="AC1339" s="1" t="s">
        <v>104</v>
      </c>
      <c r="AD1339" s="1" t="s">
        <v>151</v>
      </c>
      <c r="AE1339" s="1" t="s">
        <v>392</v>
      </c>
      <c r="AF1339" s="1" t="s">
        <v>144</v>
      </c>
      <c r="AG1339" s="1">
        <v>35</v>
      </c>
      <c r="AO1339" s="2">
        <v>46276</v>
      </c>
      <c r="AP1339" s="1" t="s">
        <v>592</v>
      </c>
      <c r="AS1339" s="1" t="s">
        <v>71</v>
      </c>
      <c r="AU1339" s="1" t="s">
        <v>72</v>
      </c>
      <c r="AV1339" s="1" t="s">
        <v>73</v>
      </c>
      <c r="AX1339" s="1">
        <v>0</v>
      </c>
      <c r="BA1339" s="1">
        <v>9</v>
      </c>
      <c r="BB1339" s="1">
        <v>0</v>
      </c>
      <c r="BC1339" s="1">
        <v>0</v>
      </c>
      <c r="BE1339" s="1">
        <v>27246347</v>
      </c>
    </row>
    <row r="1340" spans="1:57" x14ac:dyDescent="0.25">
      <c r="A1340" s="1" t="str">
        <f>T("1945147093593824976")</f>
        <v>1945147093593824976</v>
      </c>
      <c r="B1340" s="1" t="str">
        <f>T("249990554670")</f>
        <v>249990554670</v>
      </c>
      <c r="C1340" s="1" t="str">
        <f>T("1941094502718505520")</f>
        <v>1941094502718505520</v>
      </c>
      <c r="M1340" s="1" t="s">
        <v>59</v>
      </c>
      <c r="O1340" s="1" t="s">
        <v>65</v>
      </c>
      <c r="P1340" s="1" t="s">
        <v>111</v>
      </c>
      <c r="Q1340" s="1" t="s">
        <v>92</v>
      </c>
      <c r="R1340" s="1" t="s">
        <v>84</v>
      </c>
      <c r="S1340" s="1" t="s">
        <v>64</v>
      </c>
      <c r="U1340" s="1" t="s">
        <v>65</v>
      </c>
      <c r="V1340" s="1" t="s">
        <v>103</v>
      </c>
      <c r="W1340" s="1" t="s">
        <v>60</v>
      </c>
      <c r="X1340" s="1" t="s">
        <v>103</v>
      </c>
      <c r="Y1340" s="1" t="s">
        <v>160</v>
      </c>
      <c r="AA1340" s="1">
        <v>1</v>
      </c>
      <c r="AB1340" s="1">
        <v>1</v>
      </c>
      <c r="AC1340" s="1" t="s">
        <v>104</v>
      </c>
      <c r="AD1340" s="1" t="s">
        <v>151</v>
      </c>
      <c r="AE1340" s="1" t="s">
        <v>392</v>
      </c>
      <c r="AF1340" s="1" t="s">
        <v>144</v>
      </c>
      <c r="AG1340" s="1">
        <v>35</v>
      </c>
      <c r="AO1340" s="2">
        <v>46276</v>
      </c>
      <c r="AP1340" s="1" t="s">
        <v>592</v>
      </c>
      <c r="AQ1340" s="2">
        <v>46276</v>
      </c>
      <c r="AR1340" s="1" t="s">
        <v>603</v>
      </c>
      <c r="AS1340" s="1" t="s">
        <v>71</v>
      </c>
      <c r="AU1340" s="1" t="s">
        <v>78</v>
      </c>
      <c r="AV1340" s="1" t="s">
        <v>80</v>
      </c>
      <c r="AW1340" s="1">
        <v>166.86</v>
      </c>
      <c r="AX1340" s="1">
        <v>0</v>
      </c>
      <c r="AZ1340" s="1" t="s">
        <v>81</v>
      </c>
      <c r="BA1340" s="1">
        <v>1</v>
      </c>
      <c r="BB1340" s="1">
        <v>0</v>
      </c>
      <c r="BC1340" s="1">
        <v>0</v>
      </c>
      <c r="BE1340" s="1">
        <v>27246347</v>
      </c>
    </row>
    <row r="1341" spans="1:57" x14ac:dyDescent="0.25">
      <c r="A1341" s="1" t="str">
        <f>T("1945147093602212692")</f>
        <v>1945147093602212692</v>
      </c>
      <c r="B1341" s="1" t="str">
        <f>T("249993320202")</f>
        <v>249993320202</v>
      </c>
      <c r="C1341" s="1" t="str">
        <f>T("1941094502718506020")</f>
        <v>1941094502718506020</v>
      </c>
      <c r="M1341" s="1" t="s">
        <v>59</v>
      </c>
      <c r="O1341" s="1" t="s">
        <v>65</v>
      </c>
      <c r="P1341" s="1" t="s">
        <v>111</v>
      </c>
      <c r="Q1341" s="1" t="s">
        <v>92</v>
      </c>
      <c r="AA1341" s="1">
        <v>1</v>
      </c>
      <c r="AC1341" s="1" t="s">
        <v>104</v>
      </c>
      <c r="AD1341" s="1" t="s">
        <v>151</v>
      </c>
      <c r="AE1341" s="1" t="s">
        <v>392</v>
      </c>
      <c r="AF1341" s="1" t="s">
        <v>144</v>
      </c>
      <c r="AG1341" s="1">
        <v>45</v>
      </c>
      <c r="AO1341" s="2">
        <v>46276</v>
      </c>
      <c r="AP1341" s="1" t="s">
        <v>592</v>
      </c>
      <c r="AQ1341" s="2">
        <v>46276</v>
      </c>
      <c r="AR1341" s="1" t="s">
        <v>604</v>
      </c>
      <c r="AS1341" s="1" t="s">
        <v>71</v>
      </c>
      <c r="AU1341" s="1" t="s">
        <v>78</v>
      </c>
      <c r="AV1341" s="1" t="s">
        <v>80</v>
      </c>
      <c r="AW1341" s="1">
        <v>198.14</v>
      </c>
      <c r="AX1341" s="1">
        <v>0</v>
      </c>
      <c r="AZ1341" s="1" t="s">
        <v>81</v>
      </c>
      <c r="BA1341" s="1">
        <v>1</v>
      </c>
      <c r="BB1341" s="1">
        <v>0</v>
      </c>
      <c r="BC1341" s="1">
        <v>0</v>
      </c>
      <c r="BE1341" s="1">
        <v>27246347</v>
      </c>
    </row>
    <row r="1342" spans="1:57" x14ac:dyDescent="0.25">
      <c r="A1342" s="1" t="str">
        <f>T("1945147093652544688")</f>
        <v>1945147093652544688</v>
      </c>
      <c r="B1342" s="1" t="str">
        <f>T("249992688567")</f>
        <v>249992688567</v>
      </c>
      <c r="C1342" s="1" t="str">
        <f>T("1941094502718506520")</f>
        <v>1941094502718506520</v>
      </c>
      <c r="AC1342" s="1" t="s">
        <v>104</v>
      </c>
      <c r="AD1342" s="1" t="s">
        <v>151</v>
      </c>
      <c r="AE1342" s="1" t="s">
        <v>392</v>
      </c>
      <c r="AF1342" s="1" t="s">
        <v>144</v>
      </c>
      <c r="AG1342" s="1">
        <v>30</v>
      </c>
      <c r="AO1342" s="2">
        <v>46276</v>
      </c>
      <c r="AP1342" s="1" t="s">
        <v>592</v>
      </c>
      <c r="AS1342" s="1" t="s">
        <v>71</v>
      </c>
      <c r="AU1342" s="1" t="s">
        <v>72</v>
      </c>
      <c r="AV1342" s="1" t="s">
        <v>73</v>
      </c>
      <c r="AX1342" s="1">
        <v>0</v>
      </c>
      <c r="BA1342" s="1">
        <v>9</v>
      </c>
      <c r="BB1342" s="1">
        <v>0</v>
      </c>
      <c r="BC1342" s="1">
        <v>0</v>
      </c>
      <c r="BE1342" s="1">
        <v>27246347</v>
      </c>
    </row>
    <row r="1343" spans="1:57" x14ac:dyDescent="0.25">
      <c r="A1343" s="1" t="str">
        <f>T("1945147093656737096")</f>
        <v>1945147093656737096</v>
      </c>
      <c r="B1343" s="1" t="str">
        <f>T("249121692202")</f>
        <v>249121692202</v>
      </c>
      <c r="C1343" s="1" t="str">
        <f>T("1941094502718507120")</f>
        <v>1941094502718507120</v>
      </c>
      <c r="M1343" s="1" t="s">
        <v>59</v>
      </c>
      <c r="O1343" s="1" t="s">
        <v>65</v>
      </c>
      <c r="P1343" s="1" t="s">
        <v>83</v>
      </c>
      <c r="Q1343" s="1" t="s">
        <v>101</v>
      </c>
      <c r="R1343" s="1" t="s">
        <v>93</v>
      </c>
      <c r="T1343" s="1" t="s">
        <v>95</v>
      </c>
      <c r="U1343" s="1" t="s">
        <v>65</v>
      </c>
      <c r="AA1343" s="1">
        <v>1</v>
      </c>
      <c r="AC1343" s="1" t="s">
        <v>104</v>
      </c>
      <c r="AD1343" s="1" t="s">
        <v>151</v>
      </c>
      <c r="AE1343" s="1" t="s">
        <v>392</v>
      </c>
      <c r="AF1343" s="1" t="s">
        <v>144</v>
      </c>
      <c r="AG1343" s="1">
        <v>37</v>
      </c>
      <c r="AO1343" s="2">
        <v>46276</v>
      </c>
      <c r="AP1343" s="1" t="s">
        <v>592</v>
      </c>
      <c r="AQ1343" s="2">
        <v>46276</v>
      </c>
      <c r="AR1343" s="1" t="s">
        <v>605</v>
      </c>
      <c r="AS1343" s="1" t="s">
        <v>71</v>
      </c>
      <c r="AU1343" s="1" t="s">
        <v>79</v>
      </c>
      <c r="AV1343" s="1" t="s">
        <v>80</v>
      </c>
      <c r="AW1343" s="1">
        <v>136.46</v>
      </c>
      <c r="AX1343" s="1">
        <v>0</v>
      </c>
      <c r="AZ1343" s="1" t="s">
        <v>81</v>
      </c>
      <c r="BA1343" s="1">
        <v>1</v>
      </c>
      <c r="BB1343" s="1">
        <v>0</v>
      </c>
      <c r="BC1343" s="1">
        <v>0</v>
      </c>
      <c r="BE1343" s="1">
        <v>27246347</v>
      </c>
    </row>
    <row r="1344" spans="1:57" x14ac:dyDescent="0.25">
      <c r="A1344" s="1" t="str">
        <f>T("1945147093723845124")</f>
        <v>1945147093723845124</v>
      </c>
      <c r="B1344" s="1" t="str">
        <f>T("249916167784")</f>
        <v>249916167784</v>
      </c>
      <c r="C1344" s="1" t="str">
        <f>T("1941094502718508220")</f>
        <v>1941094502718508220</v>
      </c>
      <c r="AC1344" s="1" t="s">
        <v>104</v>
      </c>
      <c r="AD1344" s="1" t="s">
        <v>151</v>
      </c>
      <c r="AE1344" s="1" t="s">
        <v>392</v>
      </c>
      <c r="AF1344" s="1" t="s">
        <v>144</v>
      </c>
      <c r="AG1344" s="1">
        <v>28</v>
      </c>
      <c r="AO1344" s="2">
        <v>46276</v>
      </c>
      <c r="AP1344" s="1" t="s">
        <v>592</v>
      </c>
      <c r="AS1344" s="1" t="s">
        <v>71</v>
      </c>
      <c r="AU1344" s="1" t="s">
        <v>72</v>
      </c>
      <c r="AV1344" s="1" t="s">
        <v>73</v>
      </c>
      <c r="AX1344" s="1">
        <v>0</v>
      </c>
      <c r="BA1344" s="1">
        <v>9</v>
      </c>
      <c r="BB1344" s="1">
        <v>0</v>
      </c>
      <c r="BC1344" s="1">
        <v>0</v>
      </c>
      <c r="BE1344" s="1">
        <v>27246347</v>
      </c>
    </row>
    <row r="1345" spans="1:57" x14ac:dyDescent="0.25">
      <c r="A1345" s="1" t="str">
        <f>T("1945147093740623356")</f>
        <v>1945147093740623356</v>
      </c>
      <c r="B1345" s="1" t="str">
        <f>T("249990645099")</f>
        <v>249990645099</v>
      </c>
      <c r="C1345" s="1" t="str">
        <f>T("1941094502718508620")</f>
        <v>1941094502718508620</v>
      </c>
      <c r="AC1345" s="1" t="s">
        <v>104</v>
      </c>
      <c r="AD1345" s="1" t="s">
        <v>151</v>
      </c>
      <c r="AE1345" s="1" t="s">
        <v>392</v>
      </c>
      <c r="AF1345" s="1" t="s">
        <v>144</v>
      </c>
      <c r="AG1345" s="1">
        <v>36</v>
      </c>
      <c r="AO1345" s="2">
        <v>46276</v>
      </c>
      <c r="AP1345" s="1" t="s">
        <v>592</v>
      </c>
      <c r="AQ1345" s="2">
        <v>46276</v>
      </c>
      <c r="AR1345" s="1" t="s">
        <v>606</v>
      </c>
      <c r="AS1345" s="1" t="s">
        <v>71</v>
      </c>
      <c r="AU1345" s="1" t="s">
        <v>79</v>
      </c>
      <c r="AV1345" s="1" t="s">
        <v>80</v>
      </c>
      <c r="AW1345" s="1">
        <v>4.66</v>
      </c>
      <c r="AX1345" s="1">
        <v>0</v>
      </c>
      <c r="AZ1345" s="1" t="s">
        <v>81</v>
      </c>
      <c r="BA1345" s="1">
        <v>1</v>
      </c>
      <c r="BB1345" s="1">
        <v>0</v>
      </c>
      <c r="BC1345" s="1">
        <v>0</v>
      </c>
      <c r="BE1345" s="1">
        <v>27246347</v>
      </c>
    </row>
    <row r="1346" spans="1:57" x14ac:dyDescent="0.25">
      <c r="A1346" s="1" t="str">
        <f>T("1945147093778373628")</f>
        <v>1945147093778373628</v>
      </c>
      <c r="B1346" s="1" t="str">
        <f>T("249912579146")</f>
        <v>249912579146</v>
      </c>
      <c r="C1346" s="1" t="str">
        <f>T("1941094502722699328")</f>
        <v>1941094502722699328</v>
      </c>
      <c r="AC1346" s="1" t="s">
        <v>104</v>
      </c>
      <c r="AD1346" s="1" t="s">
        <v>151</v>
      </c>
      <c r="AE1346" s="1" t="s">
        <v>392</v>
      </c>
      <c r="AF1346" s="1" t="s">
        <v>144</v>
      </c>
      <c r="AG1346" s="1">
        <v>27</v>
      </c>
      <c r="AO1346" s="2">
        <v>46276</v>
      </c>
      <c r="AP1346" s="1" t="s">
        <v>592</v>
      </c>
      <c r="AS1346" s="1" t="s">
        <v>71</v>
      </c>
      <c r="AU1346" s="1" t="s">
        <v>75</v>
      </c>
      <c r="AV1346" s="1" t="s">
        <v>590</v>
      </c>
      <c r="AX1346" s="1">
        <v>0</v>
      </c>
      <c r="BA1346" s="1">
        <v>6</v>
      </c>
      <c r="BB1346" s="1">
        <v>0</v>
      </c>
      <c r="BC1346" s="1">
        <v>0</v>
      </c>
      <c r="BE1346" s="1">
        <v>27246347</v>
      </c>
    </row>
    <row r="1347" spans="1:57" x14ac:dyDescent="0.25">
      <c r="A1347" s="1" t="str">
        <f>T("1945147093786762444")</f>
        <v>1945147093786762444</v>
      </c>
      <c r="B1347" s="1" t="str">
        <f>T("249924149706")</f>
        <v>249924149706</v>
      </c>
      <c r="C1347" s="1" t="str">
        <f>T("1941094502722699728")</f>
        <v>1941094502722699728</v>
      </c>
      <c r="M1347" s="1" t="s">
        <v>59</v>
      </c>
      <c r="AA1347" s="1">
        <v>1</v>
      </c>
      <c r="AC1347" s="1" t="s">
        <v>104</v>
      </c>
      <c r="AD1347" s="1" t="s">
        <v>151</v>
      </c>
      <c r="AE1347" s="1" t="s">
        <v>392</v>
      </c>
      <c r="AF1347" s="1" t="s">
        <v>144</v>
      </c>
      <c r="AG1347" s="1">
        <v>22</v>
      </c>
      <c r="AO1347" s="2">
        <v>46276</v>
      </c>
      <c r="AP1347" s="1" t="s">
        <v>592</v>
      </c>
      <c r="AQ1347" s="2">
        <v>46276</v>
      </c>
      <c r="AR1347" s="1" t="s">
        <v>607</v>
      </c>
      <c r="AS1347" s="1" t="s">
        <v>71</v>
      </c>
      <c r="AU1347" s="1" t="s">
        <v>79</v>
      </c>
      <c r="AV1347" s="1" t="s">
        <v>80</v>
      </c>
      <c r="AW1347" s="1">
        <v>143.08000000000001</v>
      </c>
      <c r="AX1347" s="1">
        <v>0</v>
      </c>
      <c r="AZ1347" s="1" t="s">
        <v>81</v>
      </c>
      <c r="BA1347" s="1">
        <v>1</v>
      </c>
      <c r="BB1347" s="1">
        <v>0</v>
      </c>
      <c r="BC1347" s="1">
        <v>0</v>
      </c>
      <c r="BE1347" s="1">
        <v>27246347</v>
      </c>
    </row>
    <row r="1348" spans="1:57" x14ac:dyDescent="0.25">
      <c r="A1348" s="1" t="str">
        <f>T("1945147093828704124")</f>
        <v>1945147093828704124</v>
      </c>
      <c r="B1348" s="1" t="str">
        <f>T("249924665697")</f>
        <v>249924665697</v>
      </c>
      <c r="C1348" s="1" t="str">
        <f>T("1941094502722700128")</f>
        <v>1941094502722700128</v>
      </c>
      <c r="AA1348" s="1">
        <v>1</v>
      </c>
      <c r="AC1348" s="1" t="s">
        <v>104</v>
      </c>
      <c r="AD1348" s="1" t="s">
        <v>151</v>
      </c>
      <c r="AE1348" s="1" t="s">
        <v>392</v>
      </c>
      <c r="AF1348" s="1" t="s">
        <v>144</v>
      </c>
      <c r="AG1348" s="1">
        <v>40</v>
      </c>
      <c r="AO1348" s="2">
        <v>46276</v>
      </c>
      <c r="AP1348" s="1" t="s">
        <v>592</v>
      </c>
      <c r="AQ1348" s="2">
        <v>46276</v>
      </c>
      <c r="AR1348" s="1" t="s">
        <v>608</v>
      </c>
      <c r="AS1348" s="1" t="s">
        <v>71</v>
      </c>
      <c r="AU1348" s="1" t="s">
        <v>79</v>
      </c>
      <c r="AV1348" s="1" t="s">
        <v>80</v>
      </c>
      <c r="AW1348" s="1">
        <v>39.68</v>
      </c>
      <c r="AX1348" s="1">
        <v>0</v>
      </c>
      <c r="AZ1348" s="1" t="s">
        <v>81</v>
      </c>
      <c r="BA1348" s="1">
        <v>3</v>
      </c>
      <c r="BB1348" s="1">
        <v>0</v>
      </c>
      <c r="BC1348" s="1">
        <v>0</v>
      </c>
      <c r="BE1348" s="1">
        <v>27246347</v>
      </c>
    </row>
    <row r="1349" spans="1:57" x14ac:dyDescent="0.25">
      <c r="A1349" s="1" t="str">
        <f>T("1945147093841286248")</f>
        <v>1945147093841286248</v>
      </c>
      <c r="B1349" s="1" t="str">
        <f>T("249928967814")</f>
        <v>249928967814</v>
      </c>
      <c r="C1349" s="1" t="str">
        <f>T("1941094502722700728")</f>
        <v>1941094502722700728</v>
      </c>
      <c r="M1349" s="1" t="s">
        <v>59</v>
      </c>
      <c r="O1349" s="1" t="s">
        <v>65</v>
      </c>
      <c r="P1349" s="1" t="s">
        <v>61</v>
      </c>
      <c r="Q1349" s="1" t="s">
        <v>101</v>
      </c>
      <c r="AA1349" s="1">
        <v>1</v>
      </c>
      <c r="AC1349" s="1" t="s">
        <v>104</v>
      </c>
      <c r="AD1349" s="1" t="s">
        <v>151</v>
      </c>
      <c r="AE1349" s="1" t="s">
        <v>392</v>
      </c>
      <c r="AF1349" s="1" t="s">
        <v>144</v>
      </c>
      <c r="AG1349" s="1">
        <v>31</v>
      </c>
      <c r="AO1349" s="2">
        <v>46276</v>
      </c>
      <c r="AP1349" s="1" t="s">
        <v>592</v>
      </c>
      <c r="AQ1349" s="2">
        <v>46276</v>
      </c>
      <c r="AR1349" s="1" t="s">
        <v>598</v>
      </c>
      <c r="AS1349" s="1" t="s">
        <v>71</v>
      </c>
      <c r="AU1349" s="1" t="s">
        <v>79</v>
      </c>
      <c r="AV1349" s="1" t="s">
        <v>80</v>
      </c>
      <c r="AW1349" s="1">
        <v>148.13999999999999</v>
      </c>
      <c r="AX1349" s="1">
        <v>0</v>
      </c>
      <c r="AZ1349" s="1" t="s">
        <v>81</v>
      </c>
      <c r="BA1349" s="1">
        <v>1</v>
      </c>
      <c r="BB1349" s="1">
        <v>0</v>
      </c>
      <c r="BC1349" s="1">
        <v>0</v>
      </c>
      <c r="BE1349" s="1">
        <v>27246347</v>
      </c>
    </row>
    <row r="1350" spans="1:57" x14ac:dyDescent="0.25">
      <c r="A1350" s="1" t="str">
        <f>T("1945147093879035520")</f>
        <v>1945147093879035520</v>
      </c>
      <c r="B1350" s="1" t="str">
        <f>T("249916256174")</f>
        <v>249916256174</v>
      </c>
      <c r="C1350" s="1" t="str">
        <f>T("1941094502722701328")</f>
        <v>1941094502722701328</v>
      </c>
      <c r="AC1350" s="1" t="s">
        <v>104</v>
      </c>
      <c r="AD1350" s="1" t="s">
        <v>151</v>
      </c>
      <c r="AE1350" s="1" t="s">
        <v>392</v>
      </c>
      <c r="AF1350" s="1" t="s">
        <v>144</v>
      </c>
      <c r="AG1350" s="1">
        <v>32</v>
      </c>
      <c r="AO1350" s="2">
        <v>46276</v>
      </c>
      <c r="AP1350" s="1" t="s">
        <v>592</v>
      </c>
      <c r="AS1350" s="1" t="s">
        <v>71</v>
      </c>
      <c r="AU1350" s="1" t="s">
        <v>72</v>
      </c>
      <c r="AV1350" s="1" t="s">
        <v>437</v>
      </c>
      <c r="AX1350" s="1">
        <v>0</v>
      </c>
      <c r="BA1350" s="1">
        <v>9</v>
      </c>
      <c r="BB1350" s="1">
        <v>0</v>
      </c>
      <c r="BC1350" s="1">
        <v>0</v>
      </c>
      <c r="BE1350" s="1">
        <v>27246347</v>
      </c>
    </row>
    <row r="1351" spans="1:57" x14ac:dyDescent="0.25">
      <c r="A1351" s="1" t="str">
        <f>T("1945147093900009160")</f>
        <v>1945147093900009160</v>
      </c>
      <c r="B1351" s="1" t="str">
        <f>T("249964723208")</f>
        <v>249964723208</v>
      </c>
      <c r="C1351" s="1" t="str">
        <f>T("1941094502722701728")</f>
        <v>1941094502722701728</v>
      </c>
      <c r="AC1351" s="1" t="s">
        <v>104</v>
      </c>
      <c r="AD1351" s="1" t="s">
        <v>151</v>
      </c>
      <c r="AE1351" s="1" t="s">
        <v>392</v>
      </c>
      <c r="AF1351" s="1" t="s">
        <v>144</v>
      </c>
      <c r="AG1351" s="1">
        <v>37</v>
      </c>
      <c r="AO1351" s="2">
        <v>46276</v>
      </c>
      <c r="AP1351" s="1" t="s">
        <v>592</v>
      </c>
      <c r="AS1351" s="1" t="s">
        <v>71</v>
      </c>
      <c r="AU1351" s="1" t="s">
        <v>72</v>
      </c>
      <c r="AV1351" s="1" t="s">
        <v>437</v>
      </c>
      <c r="AX1351" s="1">
        <v>0</v>
      </c>
      <c r="BA1351" s="1">
        <v>9</v>
      </c>
      <c r="BB1351" s="1">
        <v>0</v>
      </c>
      <c r="BC1351" s="1">
        <v>0</v>
      </c>
      <c r="BE1351" s="1">
        <v>27246347</v>
      </c>
    </row>
    <row r="1352" spans="1:57" x14ac:dyDescent="0.25">
      <c r="A1352" s="1" t="str">
        <f>T("1945147093929367516")</f>
        <v>1945147093929367516</v>
      </c>
      <c r="B1352" s="1" t="str">
        <f>T("249920463418")</f>
        <v>249920463418</v>
      </c>
      <c r="C1352" s="1" t="str">
        <f>T("1941094502726895136")</f>
        <v>1941094502726895136</v>
      </c>
      <c r="AA1352" s="1">
        <v>1</v>
      </c>
      <c r="AC1352" s="1" t="s">
        <v>104</v>
      </c>
      <c r="AD1352" s="1" t="s">
        <v>151</v>
      </c>
      <c r="AE1352" s="1" t="s">
        <v>392</v>
      </c>
      <c r="AF1352" s="1" t="s">
        <v>144</v>
      </c>
      <c r="AG1352" s="1">
        <v>38</v>
      </c>
      <c r="AO1352" s="2">
        <v>46276</v>
      </c>
      <c r="AP1352" s="1" t="s">
        <v>592</v>
      </c>
      <c r="AQ1352" s="2">
        <v>46276</v>
      </c>
      <c r="AR1352" s="1" t="s">
        <v>405</v>
      </c>
      <c r="AS1352" s="1" t="s">
        <v>71</v>
      </c>
      <c r="AU1352" s="1" t="s">
        <v>79</v>
      </c>
      <c r="AV1352" s="1" t="s">
        <v>80</v>
      </c>
      <c r="AW1352" s="1">
        <v>71.739999999999995</v>
      </c>
      <c r="AX1352" s="1">
        <v>0</v>
      </c>
      <c r="AZ1352" s="1" t="s">
        <v>81</v>
      </c>
      <c r="BA1352" s="1">
        <v>4</v>
      </c>
      <c r="BB1352" s="1">
        <v>0</v>
      </c>
      <c r="BC1352" s="1">
        <v>0</v>
      </c>
      <c r="BE1352" s="1">
        <v>27246347</v>
      </c>
    </row>
    <row r="1353" spans="1:57" x14ac:dyDescent="0.25">
      <c r="A1353" s="1" t="str">
        <f>T("1945147093958728772")</f>
        <v>1945147093958728772</v>
      </c>
      <c r="B1353" s="1" t="str">
        <f>T("249965637062")</f>
        <v>249965637062</v>
      </c>
      <c r="C1353" s="1" t="str">
        <f>T("1941094502726896136")</f>
        <v>1941094502726896136</v>
      </c>
      <c r="AC1353" s="1" t="s">
        <v>276</v>
      </c>
      <c r="AD1353" s="1" t="s">
        <v>298</v>
      </c>
      <c r="AE1353" s="1" t="s">
        <v>609</v>
      </c>
      <c r="AF1353" s="1" t="s">
        <v>144</v>
      </c>
      <c r="AG1353" s="1">
        <v>20</v>
      </c>
      <c r="AO1353" s="2">
        <v>46276</v>
      </c>
      <c r="AP1353" s="1" t="s">
        <v>592</v>
      </c>
      <c r="AS1353" s="1" t="s">
        <v>71</v>
      </c>
      <c r="AU1353" s="1" t="s">
        <v>72</v>
      </c>
      <c r="AV1353" s="1" t="s">
        <v>73</v>
      </c>
      <c r="AX1353" s="1">
        <v>0</v>
      </c>
      <c r="BA1353" s="1">
        <v>9</v>
      </c>
      <c r="BB1353" s="1">
        <v>0</v>
      </c>
      <c r="BC1353" s="1">
        <v>0</v>
      </c>
      <c r="BE1353" s="1">
        <v>27246347</v>
      </c>
    </row>
    <row r="1354" spans="1:57" x14ac:dyDescent="0.25">
      <c r="A1354" s="1" t="str">
        <f>T("1945147093992281136")</f>
        <v>1945147093992281136</v>
      </c>
      <c r="B1354" s="1" t="str">
        <f>T("249962210838")</f>
        <v>249962210838</v>
      </c>
      <c r="C1354" s="1" t="str">
        <f>T("1941094502726896536")</f>
        <v>1941094502726896536</v>
      </c>
      <c r="AC1354" s="1" t="s">
        <v>276</v>
      </c>
      <c r="AD1354" s="1" t="s">
        <v>298</v>
      </c>
      <c r="AE1354" s="1" t="s">
        <v>609</v>
      </c>
      <c r="AF1354" s="1" t="s">
        <v>144</v>
      </c>
      <c r="AG1354" s="1">
        <v>23</v>
      </c>
      <c r="AO1354" s="2">
        <v>46276</v>
      </c>
      <c r="AP1354" s="1" t="s">
        <v>592</v>
      </c>
      <c r="AS1354" s="1" t="s">
        <v>71</v>
      </c>
      <c r="AU1354" s="1" t="s">
        <v>72</v>
      </c>
      <c r="AV1354" s="1" t="s">
        <v>437</v>
      </c>
      <c r="AX1354" s="1">
        <v>0</v>
      </c>
      <c r="BA1354" s="1">
        <v>9</v>
      </c>
      <c r="BB1354" s="1">
        <v>0</v>
      </c>
      <c r="BC1354" s="1">
        <v>0</v>
      </c>
      <c r="BE1354" s="1">
        <v>27246347</v>
      </c>
    </row>
    <row r="1355" spans="1:57" x14ac:dyDescent="0.25">
      <c r="A1355" s="1" t="str">
        <f>T("1945147094013255376")</f>
        <v>1945147094013255376</v>
      </c>
      <c r="B1355" s="1" t="str">
        <f>T("249962047947")</f>
        <v>249962047947</v>
      </c>
      <c r="C1355" s="1" t="str">
        <f>T("1941094502726896936")</f>
        <v>1941094502726896936</v>
      </c>
      <c r="AC1355" s="1" t="s">
        <v>276</v>
      </c>
      <c r="AD1355" s="1" t="s">
        <v>298</v>
      </c>
      <c r="AE1355" s="1" t="s">
        <v>609</v>
      </c>
      <c r="AF1355" s="1" t="s">
        <v>144</v>
      </c>
      <c r="AG1355" s="1">
        <v>25</v>
      </c>
      <c r="AO1355" s="2">
        <v>46276</v>
      </c>
      <c r="AP1355" s="1" t="s">
        <v>592</v>
      </c>
      <c r="AS1355" s="1" t="s">
        <v>71</v>
      </c>
      <c r="AU1355" s="1" t="s">
        <v>72</v>
      </c>
      <c r="AV1355" s="1" t="s">
        <v>437</v>
      </c>
      <c r="AX1355" s="1">
        <v>0</v>
      </c>
      <c r="BA1355" s="1">
        <v>9</v>
      </c>
      <c r="BB1355" s="1">
        <v>0</v>
      </c>
      <c r="BC1355" s="1">
        <v>0</v>
      </c>
      <c r="BE1355" s="1">
        <v>27246347</v>
      </c>
    </row>
    <row r="1356" spans="1:57" x14ac:dyDescent="0.25">
      <c r="A1356" s="1" t="str">
        <f>T("1945147094059390964")</f>
        <v>1945147094059390964</v>
      </c>
      <c r="B1356" s="1" t="str">
        <f>T("249125956337")</f>
        <v>249125956337</v>
      </c>
      <c r="C1356" s="1" t="str">
        <f>T("1941094502735282752")</f>
        <v>1941094502735282752</v>
      </c>
      <c r="M1356" s="1" t="s">
        <v>59</v>
      </c>
      <c r="O1356" s="1" t="s">
        <v>65</v>
      </c>
      <c r="AA1356" s="1">
        <v>1</v>
      </c>
      <c r="AC1356" s="1" t="s">
        <v>276</v>
      </c>
      <c r="AD1356" s="1" t="s">
        <v>298</v>
      </c>
      <c r="AE1356" s="1" t="s">
        <v>609</v>
      </c>
      <c r="AF1356" s="1" t="s">
        <v>144</v>
      </c>
      <c r="AG1356" s="1">
        <v>24</v>
      </c>
      <c r="AO1356" s="2">
        <v>46276</v>
      </c>
      <c r="AP1356" s="1" t="s">
        <v>592</v>
      </c>
      <c r="AQ1356" s="2">
        <v>46276</v>
      </c>
      <c r="AR1356" s="1" t="s">
        <v>607</v>
      </c>
      <c r="AS1356" s="1" t="s">
        <v>71</v>
      </c>
      <c r="AU1356" s="1" t="s">
        <v>79</v>
      </c>
      <c r="AV1356" s="1" t="s">
        <v>80</v>
      </c>
      <c r="AW1356" s="1">
        <v>99.7</v>
      </c>
      <c r="AX1356" s="1">
        <v>0</v>
      </c>
      <c r="AZ1356" s="1" t="s">
        <v>81</v>
      </c>
      <c r="BA1356" s="1">
        <v>1</v>
      </c>
      <c r="BB1356" s="1">
        <v>0</v>
      </c>
      <c r="BC1356" s="1">
        <v>0</v>
      </c>
      <c r="BE1356" s="1">
        <v>27246347</v>
      </c>
    </row>
    <row r="1357" spans="1:57" x14ac:dyDescent="0.25">
      <c r="A1357" s="1" t="str">
        <f>T("1945147094071975388")</f>
        <v>1945147094071975388</v>
      </c>
      <c r="B1357" s="1" t="str">
        <f>T("249905666278")</f>
        <v>249905666278</v>
      </c>
      <c r="C1357" s="1" t="str">
        <f>T("1941094502739477260")</f>
        <v>1941094502739477260</v>
      </c>
      <c r="AC1357" s="1" t="s">
        <v>276</v>
      </c>
      <c r="AD1357" s="1" t="s">
        <v>298</v>
      </c>
      <c r="AE1357" s="1" t="s">
        <v>609</v>
      </c>
      <c r="AF1357" s="1" t="s">
        <v>144</v>
      </c>
      <c r="AG1357" s="1">
        <v>20</v>
      </c>
      <c r="AO1357" s="2">
        <v>46276</v>
      </c>
      <c r="AP1357" s="1" t="s">
        <v>592</v>
      </c>
      <c r="AS1357" s="1" t="s">
        <v>71</v>
      </c>
      <c r="AU1357" s="1" t="s">
        <v>72</v>
      </c>
      <c r="AV1357" s="1" t="s">
        <v>73</v>
      </c>
      <c r="AX1357" s="1">
        <v>0</v>
      </c>
      <c r="BA1357" s="1">
        <v>9</v>
      </c>
      <c r="BB1357" s="1">
        <v>0</v>
      </c>
      <c r="BC1357" s="1">
        <v>0</v>
      </c>
      <c r="BE1357" s="1">
        <v>27246347</v>
      </c>
    </row>
    <row r="1358" spans="1:57" x14ac:dyDescent="0.25">
      <c r="A1358" s="1" t="str">
        <f>T("1945147094088751720")</f>
        <v>1945147094088751720</v>
      </c>
      <c r="B1358" s="1" t="str">
        <f>T("249923805785")</f>
        <v>249923805785</v>
      </c>
      <c r="C1358" s="1" t="str">
        <f>T("1941094502726895636")</f>
        <v>1941094502726895636</v>
      </c>
      <c r="AC1358" s="1" t="s">
        <v>104</v>
      </c>
      <c r="AD1358" s="1" t="s">
        <v>151</v>
      </c>
      <c r="AE1358" s="1" t="s">
        <v>392</v>
      </c>
      <c r="AF1358" s="1" t="s">
        <v>144</v>
      </c>
      <c r="AG1358" s="1">
        <v>42</v>
      </c>
      <c r="AO1358" s="2">
        <v>46276</v>
      </c>
      <c r="AP1358" s="1" t="s">
        <v>592</v>
      </c>
      <c r="AS1358" s="1" t="s">
        <v>71</v>
      </c>
      <c r="AU1358" s="1" t="s">
        <v>72</v>
      </c>
      <c r="AV1358" s="1" t="s">
        <v>73</v>
      </c>
      <c r="AX1358" s="1">
        <v>0</v>
      </c>
      <c r="BA1358" s="1">
        <v>9</v>
      </c>
      <c r="BB1358" s="1">
        <v>0</v>
      </c>
      <c r="BC1358" s="1">
        <v>0</v>
      </c>
      <c r="BE1358" s="1">
        <v>27246347</v>
      </c>
    </row>
    <row r="1359" spans="1:57" x14ac:dyDescent="0.25">
      <c r="A1359" s="1" t="str">
        <f>T("1945147094122304984")</f>
        <v>1945147094122304984</v>
      </c>
      <c r="B1359" s="1" t="str">
        <f>T("249906103242")</f>
        <v>249906103242</v>
      </c>
      <c r="C1359" s="1" t="str">
        <f>T("1941094502739477860")</f>
        <v>1941094502739477860</v>
      </c>
      <c r="AC1359" s="1" t="s">
        <v>276</v>
      </c>
      <c r="AD1359" s="1" t="s">
        <v>298</v>
      </c>
      <c r="AE1359" s="1" t="s">
        <v>609</v>
      </c>
      <c r="AF1359" s="1" t="s">
        <v>144</v>
      </c>
      <c r="AG1359" s="1">
        <v>22</v>
      </c>
      <c r="AO1359" s="2">
        <v>46276</v>
      </c>
      <c r="AP1359" s="1" t="s">
        <v>592</v>
      </c>
      <c r="AS1359" s="1" t="s">
        <v>71</v>
      </c>
      <c r="AU1359" s="1" t="s">
        <v>72</v>
      </c>
      <c r="AV1359" s="1" t="s">
        <v>73</v>
      </c>
      <c r="AX1359" s="1">
        <v>0</v>
      </c>
      <c r="BA1359" s="1">
        <v>9</v>
      </c>
      <c r="BB1359" s="1">
        <v>0</v>
      </c>
      <c r="BC1359" s="1">
        <v>0</v>
      </c>
      <c r="BE1359" s="1">
        <v>27246347</v>
      </c>
    </row>
    <row r="1360" spans="1:57" x14ac:dyDescent="0.25">
      <c r="A1360" s="1" t="str">
        <f>T("1945147094122307484")</f>
        <v>1945147094122307484</v>
      </c>
      <c r="B1360" s="1" t="str">
        <f>T("249900106312")</f>
        <v>249900106312</v>
      </c>
      <c r="C1360" s="1" t="str">
        <f>T("1941094502739478260")</f>
        <v>1941094502739478260</v>
      </c>
      <c r="AC1360" s="1" t="s">
        <v>276</v>
      </c>
      <c r="AD1360" s="1" t="s">
        <v>298</v>
      </c>
      <c r="AE1360" s="1" t="s">
        <v>609</v>
      </c>
      <c r="AF1360" s="1" t="s">
        <v>144</v>
      </c>
      <c r="AG1360" s="1">
        <v>21</v>
      </c>
      <c r="AO1360" s="2">
        <v>46276</v>
      </c>
      <c r="AP1360" s="1" t="s">
        <v>592</v>
      </c>
      <c r="AS1360" s="1" t="s">
        <v>71</v>
      </c>
      <c r="AU1360" s="1" t="s">
        <v>72</v>
      </c>
      <c r="AV1360" s="1" t="s">
        <v>73</v>
      </c>
      <c r="AX1360" s="1">
        <v>0</v>
      </c>
      <c r="BA1360" s="1">
        <v>9</v>
      </c>
      <c r="BB1360" s="1">
        <v>0</v>
      </c>
      <c r="BC1360" s="1">
        <v>0</v>
      </c>
      <c r="BE1360" s="1">
        <v>27246347</v>
      </c>
    </row>
    <row r="1361" spans="1:57" x14ac:dyDescent="0.25">
      <c r="A1361" s="1" t="str">
        <f>T("1945147094181024596")</f>
        <v>1945147094181024596</v>
      </c>
      <c r="B1361" s="1" t="str">
        <f>T("249908428877")</f>
        <v>249908428877</v>
      </c>
      <c r="C1361" s="1" t="str">
        <f>T("1941094502739479160")</f>
        <v>1941094502739479160</v>
      </c>
      <c r="AC1361" s="1" t="s">
        <v>276</v>
      </c>
      <c r="AD1361" s="1" t="s">
        <v>298</v>
      </c>
      <c r="AE1361" s="1" t="s">
        <v>609</v>
      </c>
      <c r="AF1361" s="1" t="s">
        <v>144</v>
      </c>
      <c r="AG1361" s="1">
        <v>21</v>
      </c>
      <c r="AO1361" s="2">
        <v>46276</v>
      </c>
      <c r="AP1361" s="1" t="s">
        <v>592</v>
      </c>
      <c r="AS1361" s="1" t="s">
        <v>71</v>
      </c>
      <c r="AU1361" s="1" t="s">
        <v>72</v>
      </c>
      <c r="AV1361" s="1" t="s">
        <v>73</v>
      </c>
      <c r="AX1361" s="1">
        <v>0</v>
      </c>
      <c r="BA1361" s="1">
        <v>9</v>
      </c>
      <c r="BB1361" s="1">
        <v>0</v>
      </c>
      <c r="BC1361" s="1">
        <v>0</v>
      </c>
      <c r="BE1361" s="1">
        <v>27246347</v>
      </c>
    </row>
    <row r="1362" spans="1:57" x14ac:dyDescent="0.25">
      <c r="A1362" s="1" t="str">
        <f>T("1945147094181025996")</f>
        <v>1945147094181025996</v>
      </c>
      <c r="B1362" s="1" t="str">
        <f>T("249909450740")</f>
        <v>249909450740</v>
      </c>
      <c r="C1362" s="1" t="str">
        <f>T("1941094502739479960")</f>
        <v>1941094502739479960</v>
      </c>
      <c r="AC1362" s="1" t="s">
        <v>276</v>
      </c>
      <c r="AD1362" s="1" t="s">
        <v>298</v>
      </c>
      <c r="AE1362" s="1" t="s">
        <v>609</v>
      </c>
      <c r="AF1362" s="1" t="s">
        <v>144</v>
      </c>
      <c r="AG1362" s="1">
        <v>20</v>
      </c>
      <c r="AO1362" s="2">
        <v>46276</v>
      </c>
      <c r="AP1362" s="1" t="s">
        <v>592</v>
      </c>
      <c r="AS1362" s="1" t="s">
        <v>71</v>
      </c>
      <c r="AU1362" s="1" t="s">
        <v>72</v>
      </c>
      <c r="AV1362" s="1" t="s">
        <v>73</v>
      </c>
      <c r="AX1362" s="1">
        <v>0</v>
      </c>
      <c r="BA1362" s="1">
        <v>9</v>
      </c>
      <c r="BB1362" s="1">
        <v>0</v>
      </c>
      <c r="BC1362" s="1">
        <v>0</v>
      </c>
      <c r="BE1362" s="1">
        <v>27246347</v>
      </c>
    </row>
    <row r="1363" spans="1:57" x14ac:dyDescent="0.25">
      <c r="A1363" s="1" t="str">
        <f>T("1945147094189416012")</f>
        <v>1945147094189416012</v>
      </c>
      <c r="B1363" s="1" t="str">
        <f>T("249918873809")</f>
        <v>249918873809</v>
      </c>
      <c r="C1363" s="1" t="str">
        <f>T("1941094502739480560")</f>
        <v>1941094502739480560</v>
      </c>
      <c r="AC1363" s="1" t="s">
        <v>276</v>
      </c>
      <c r="AD1363" s="1" t="s">
        <v>298</v>
      </c>
      <c r="AE1363" s="1" t="s">
        <v>609</v>
      </c>
      <c r="AF1363" s="1" t="s">
        <v>144</v>
      </c>
      <c r="AG1363" s="1">
        <v>30</v>
      </c>
      <c r="AO1363" s="2">
        <v>46276</v>
      </c>
      <c r="AP1363" s="1" t="s">
        <v>592</v>
      </c>
      <c r="AS1363" s="1" t="s">
        <v>71</v>
      </c>
      <c r="AU1363" s="1" t="s">
        <v>72</v>
      </c>
      <c r="AV1363" s="1" t="s">
        <v>73</v>
      </c>
      <c r="AX1363" s="1">
        <v>0</v>
      </c>
      <c r="BA1363" s="1">
        <v>9</v>
      </c>
      <c r="BB1363" s="1">
        <v>0</v>
      </c>
      <c r="BC1363" s="1">
        <v>0</v>
      </c>
      <c r="BE1363" s="1">
        <v>27246347</v>
      </c>
    </row>
    <row r="1364" spans="1:57" x14ac:dyDescent="0.25">
      <c r="A1364" s="1" t="str">
        <f>T("1945147094235551300")</f>
        <v>1945147094235551300</v>
      </c>
      <c r="B1364" s="1" t="str">
        <f>T("249968465312")</f>
        <v>249968465312</v>
      </c>
      <c r="C1364" s="1" t="str">
        <f>T("1941094502743673568")</f>
        <v>1941094502743673568</v>
      </c>
      <c r="AC1364" s="1" t="s">
        <v>276</v>
      </c>
      <c r="AD1364" s="1" t="s">
        <v>298</v>
      </c>
      <c r="AE1364" s="1" t="s">
        <v>609</v>
      </c>
      <c r="AF1364" s="1" t="s">
        <v>144</v>
      </c>
      <c r="AG1364" s="1">
        <v>30</v>
      </c>
      <c r="AO1364" s="2">
        <v>46276</v>
      </c>
      <c r="AP1364" s="1" t="s">
        <v>592</v>
      </c>
      <c r="AS1364" s="1" t="s">
        <v>71</v>
      </c>
      <c r="AU1364" s="1" t="s">
        <v>72</v>
      </c>
      <c r="AV1364" s="1" t="s">
        <v>73</v>
      </c>
      <c r="AX1364" s="1">
        <v>0</v>
      </c>
      <c r="BA1364" s="1">
        <v>9</v>
      </c>
      <c r="BB1364" s="1">
        <v>0</v>
      </c>
      <c r="BC1364" s="1">
        <v>0</v>
      </c>
      <c r="BE1364" s="1">
        <v>27246347</v>
      </c>
    </row>
    <row r="1365" spans="1:57" x14ac:dyDescent="0.25">
      <c r="A1365" s="1" t="str">
        <f>T("1945147094239744908")</f>
        <v>1945147094239744908</v>
      </c>
      <c r="B1365" s="1" t="str">
        <f>T("249907412634")</f>
        <v>249907412634</v>
      </c>
      <c r="C1365" s="1" t="str">
        <f>T("1941094502743673068")</f>
        <v>1941094502743673068</v>
      </c>
      <c r="AC1365" s="1" t="s">
        <v>276</v>
      </c>
      <c r="AD1365" s="1" t="s">
        <v>298</v>
      </c>
      <c r="AE1365" s="1" t="s">
        <v>609</v>
      </c>
      <c r="AF1365" s="1" t="s">
        <v>144</v>
      </c>
      <c r="AG1365" s="1">
        <v>30</v>
      </c>
      <c r="AO1365" s="2">
        <v>46276</v>
      </c>
      <c r="AP1365" s="1" t="s">
        <v>592</v>
      </c>
      <c r="AS1365" s="1" t="s">
        <v>71</v>
      </c>
      <c r="AU1365" s="1" t="s">
        <v>72</v>
      </c>
      <c r="AV1365" s="1" t="s">
        <v>73</v>
      </c>
      <c r="AX1365" s="1">
        <v>0</v>
      </c>
      <c r="BA1365" s="1">
        <v>9</v>
      </c>
      <c r="BB1365" s="1">
        <v>0</v>
      </c>
      <c r="BC1365" s="1">
        <v>0</v>
      </c>
      <c r="BE1365" s="1">
        <v>27246347</v>
      </c>
    </row>
    <row r="1366" spans="1:57" x14ac:dyDescent="0.25">
      <c r="A1366" s="1" t="str">
        <f>T("1945147094248132924")</f>
        <v>1945147094248132924</v>
      </c>
      <c r="B1366" s="1" t="str">
        <f>T("249918393866")</f>
        <v>249918393866</v>
      </c>
      <c r="C1366" s="1" t="str">
        <f>T("1941094502743674168")</f>
        <v>1941094502743674168</v>
      </c>
      <c r="AC1366" s="1" t="s">
        <v>276</v>
      </c>
      <c r="AD1366" s="1" t="s">
        <v>298</v>
      </c>
      <c r="AE1366" s="1" t="s">
        <v>609</v>
      </c>
      <c r="AF1366" s="1" t="s">
        <v>144</v>
      </c>
      <c r="AG1366" s="1">
        <v>30</v>
      </c>
      <c r="AO1366" s="2">
        <v>46276</v>
      </c>
      <c r="AP1366" s="1" t="s">
        <v>592</v>
      </c>
      <c r="AS1366" s="1" t="s">
        <v>71</v>
      </c>
      <c r="AU1366" s="1" t="s">
        <v>72</v>
      </c>
      <c r="AV1366" s="1" t="s">
        <v>437</v>
      </c>
      <c r="AX1366" s="1">
        <v>0</v>
      </c>
      <c r="BA1366" s="1">
        <v>9</v>
      </c>
      <c r="BB1366" s="1">
        <v>0</v>
      </c>
      <c r="BC1366" s="1">
        <v>0</v>
      </c>
      <c r="BE1366" s="1">
        <v>27246347</v>
      </c>
    </row>
    <row r="1367" spans="1:57" x14ac:dyDescent="0.25">
      <c r="A1367" s="1" t="str">
        <f>T("1945147094285882096")</f>
        <v>1945147094285882096</v>
      </c>
      <c r="B1367" s="1" t="str">
        <f>T("249916656505")</f>
        <v>249916656505</v>
      </c>
      <c r="C1367" s="1" t="str">
        <f>T("1941094502743674668")</f>
        <v>1941094502743674668</v>
      </c>
      <c r="AC1367" s="1" t="s">
        <v>276</v>
      </c>
      <c r="AD1367" s="1" t="s">
        <v>298</v>
      </c>
      <c r="AE1367" s="1" t="s">
        <v>609</v>
      </c>
      <c r="AF1367" s="1" t="s">
        <v>144</v>
      </c>
      <c r="AG1367" s="1">
        <v>30</v>
      </c>
      <c r="AO1367" s="2">
        <v>46276</v>
      </c>
      <c r="AP1367" s="1" t="s">
        <v>592</v>
      </c>
      <c r="AS1367" s="1" t="s">
        <v>71</v>
      </c>
      <c r="AU1367" s="1" t="s">
        <v>72</v>
      </c>
      <c r="AV1367" s="1" t="s">
        <v>437</v>
      </c>
      <c r="AX1367" s="1">
        <v>0</v>
      </c>
      <c r="BA1367" s="1">
        <v>9</v>
      </c>
      <c r="BB1367" s="1">
        <v>0</v>
      </c>
      <c r="BC1367" s="1">
        <v>0</v>
      </c>
      <c r="BE1367" s="1">
        <v>27246347</v>
      </c>
    </row>
    <row r="1368" spans="1:57" x14ac:dyDescent="0.25">
      <c r="A1368" s="1" t="str">
        <f>T("1945147094290079404")</f>
        <v>1945147094290079404</v>
      </c>
      <c r="B1368" s="1" t="str">
        <f>T("249903941718")</f>
        <v>249903941718</v>
      </c>
      <c r="C1368" s="1" t="str">
        <f>T("1941094502747865376")</f>
        <v>1941094502747865376</v>
      </c>
      <c r="AC1368" s="1" t="s">
        <v>276</v>
      </c>
      <c r="AD1368" s="1" t="s">
        <v>298</v>
      </c>
      <c r="AE1368" s="1" t="s">
        <v>609</v>
      </c>
      <c r="AF1368" s="1" t="s">
        <v>144</v>
      </c>
      <c r="AG1368" s="1">
        <v>20</v>
      </c>
      <c r="AO1368" s="2">
        <v>46276</v>
      </c>
      <c r="AP1368" s="1" t="s">
        <v>592</v>
      </c>
      <c r="AS1368" s="1" t="s">
        <v>71</v>
      </c>
      <c r="AU1368" s="1" t="s">
        <v>72</v>
      </c>
      <c r="AV1368" s="1" t="s">
        <v>437</v>
      </c>
      <c r="AX1368" s="1">
        <v>0</v>
      </c>
      <c r="BA1368" s="1">
        <v>9</v>
      </c>
      <c r="BB1368" s="1">
        <v>0</v>
      </c>
      <c r="BC1368" s="1">
        <v>0</v>
      </c>
      <c r="BE1368" s="1">
        <v>27246347</v>
      </c>
    </row>
    <row r="1369" spans="1:57" x14ac:dyDescent="0.25">
      <c r="A1369" s="1" t="str">
        <f>T("1945147094294271812")</f>
        <v>1945147094294271812</v>
      </c>
      <c r="B1369" s="1" t="str">
        <f>T("249903210501")</f>
        <v>249903210501</v>
      </c>
      <c r="C1369" s="1" t="str">
        <f>T("1941094502747865876")</f>
        <v>1941094502747865876</v>
      </c>
      <c r="AC1369" s="1" t="s">
        <v>276</v>
      </c>
      <c r="AD1369" s="1" t="s">
        <v>298</v>
      </c>
      <c r="AE1369" s="1" t="s">
        <v>609</v>
      </c>
      <c r="AF1369" s="1" t="s">
        <v>144</v>
      </c>
      <c r="AG1369" s="1">
        <v>23</v>
      </c>
      <c r="AO1369" s="2">
        <v>46276</v>
      </c>
      <c r="AP1369" s="1" t="s">
        <v>592</v>
      </c>
      <c r="AS1369" s="1" t="s">
        <v>71</v>
      </c>
      <c r="AU1369" s="1" t="s">
        <v>72</v>
      </c>
      <c r="AV1369" s="1" t="s">
        <v>73</v>
      </c>
      <c r="AX1369" s="1">
        <v>0</v>
      </c>
      <c r="BA1369" s="1">
        <v>9</v>
      </c>
      <c r="BB1369" s="1">
        <v>0</v>
      </c>
      <c r="BC1369" s="1">
        <v>0</v>
      </c>
      <c r="BE1369" s="1">
        <v>27246347</v>
      </c>
    </row>
    <row r="1370" spans="1:57" x14ac:dyDescent="0.25">
      <c r="A1370" s="1" t="str">
        <f>T("1945147094336213092")</f>
        <v>1945147094336213092</v>
      </c>
      <c r="B1370" s="1" t="str">
        <f>T("249900251393")</f>
        <v>249900251393</v>
      </c>
      <c r="C1370" s="1" t="str">
        <f>T("1941094502747866976")</f>
        <v>1941094502747866976</v>
      </c>
      <c r="AC1370" s="1" t="s">
        <v>276</v>
      </c>
      <c r="AD1370" s="1" t="s">
        <v>298</v>
      </c>
      <c r="AE1370" s="1" t="s">
        <v>609</v>
      </c>
      <c r="AF1370" s="1" t="s">
        <v>144</v>
      </c>
      <c r="AG1370" s="1">
        <v>20</v>
      </c>
      <c r="AO1370" s="2">
        <v>46276</v>
      </c>
      <c r="AP1370" s="1" t="s">
        <v>592</v>
      </c>
      <c r="AS1370" s="1" t="s">
        <v>71</v>
      </c>
      <c r="AU1370" s="1" t="s">
        <v>72</v>
      </c>
      <c r="AV1370" s="1" t="s">
        <v>437</v>
      </c>
      <c r="AX1370" s="1">
        <v>0</v>
      </c>
      <c r="BA1370" s="1">
        <v>9</v>
      </c>
      <c r="BB1370" s="1">
        <v>0</v>
      </c>
      <c r="BC1370" s="1">
        <v>0</v>
      </c>
      <c r="BE1370" s="1">
        <v>27246347</v>
      </c>
    </row>
    <row r="1371" spans="1:57" x14ac:dyDescent="0.25">
      <c r="A1371" s="1" t="str">
        <f>T("1945147094336216692")</f>
        <v>1945147094336216692</v>
      </c>
      <c r="B1371" s="1" t="str">
        <f>T("249116925057")</f>
        <v>249116925057</v>
      </c>
      <c r="C1371" s="1" t="str">
        <f>T("1941094502747867576")</f>
        <v>1941094502747867576</v>
      </c>
      <c r="M1371" s="1" t="s">
        <v>59</v>
      </c>
      <c r="O1371" s="1" t="s">
        <v>65</v>
      </c>
      <c r="P1371" s="1" t="s">
        <v>61</v>
      </c>
      <c r="Q1371" s="1" t="s">
        <v>92</v>
      </c>
      <c r="R1371" s="1" t="s">
        <v>93</v>
      </c>
      <c r="T1371" s="1" t="s">
        <v>95</v>
      </c>
      <c r="U1371" s="1" t="s">
        <v>65</v>
      </c>
      <c r="V1371" s="1" t="s">
        <v>66</v>
      </c>
      <c r="W1371" s="1" t="s">
        <v>60</v>
      </c>
      <c r="X1371" s="1" t="s">
        <v>66</v>
      </c>
      <c r="Y1371" s="1" t="s">
        <v>85</v>
      </c>
      <c r="AA1371" s="1">
        <v>1</v>
      </c>
      <c r="AB1371" s="1">
        <v>1</v>
      </c>
      <c r="AC1371" s="1" t="s">
        <v>276</v>
      </c>
      <c r="AD1371" s="1" t="s">
        <v>298</v>
      </c>
      <c r="AE1371" s="1" t="s">
        <v>609</v>
      </c>
      <c r="AF1371" s="1" t="s">
        <v>144</v>
      </c>
      <c r="AG1371" s="1">
        <v>20</v>
      </c>
      <c r="AO1371" s="2">
        <v>46276</v>
      </c>
      <c r="AP1371" s="1" t="s">
        <v>592</v>
      </c>
      <c r="AQ1371" s="2">
        <v>46276</v>
      </c>
      <c r="AR1371" s="1" t="s">
        <v>594</v>
      </c>
      <c r="AS1371" s="1" t="s">
        <v>71</v>
      </c>
      <c r="AU1371" s="1" t="s">
        <v>79</v>
      </c>
      <c r="AV1371" s="1" t="s">
        <v>80</v>
      </c>
      <c r="AW1371" s="1">
        <v>186.24</v>
      </c>
      <c r="AX1371" s="1">
        <v>0</v>
      </c>
      <c r="AZ1371" s="1" t="s">
        <v>81</v>
      </c>
      <c r="BA1371" s="1">
        <v>1</v>
      </c>
      <c r="BB1371" s="1">
        <v>0</v>
      </c>
      <c r="BC1371" s="1">
        <v>0</v>
      </c>
      <c r="BE1371" s="1">
        <v>27246347</v>
      </c>
    </row>
    <row r="1372" spans="1:57" x14ac:dyDescent="0.25">
      <c r="A1372" s="1" t="str">
        <f>T("1945147094344603408")</f>
        <v>1945147094344603408</v>
      </c>
      <c r="B1372" s="1" t="str">
        <f>T("249960538945")</f>
        <v>249960538945</v>
      </c>
      <c r="C1372" s="1" t="str">
        <f>T("1941094502747868076")</f>
        <v>1941094502747868076</v>
      </c>
      <c r="AC1372" s="1" t="s">
        <v>276</v>
      </c>
      <c r="AD1372" s="1" t="s">
        <v>298</v>
      </c>
      <c r="AE1372" s="1" t="s">
        <v>609</v>
      </c>
      <c r="AF1372" s="1" t="s">
        <v>144</v>
      </c>
      <c r="AG1372" s="1">
        <v>20</v>
      </c>
      <c r="AO1372" s="2">
        <v>46276</v>
      </c>
      <c r="AP1372" s="1" t="s">
        <v>592</v>
      </c>
      <c r="AS1372" s="1" t="s">
        <v>71</v>
      </c>
      <c r="AU1372" s="1" t="s">
        <v>72</v>
      </c>
      <c r="AV1372" s="1" t="s">
        <v>73</v>
      </c>
      <c r="AX1372" s="1">
        <v>0</v>
      </c>
      <c r="BA1372" s="1">
        <v>9</v>
      </c>
      <c r="BB1372" s="1">
        <v>0</v>
      </c>
      <c r="BC1372" s="1">
        <v>0</v>
      </c>
      <c r="BE1372" s="1">
        <v>27246347</v>
      </c>
    </row>
    <row r="1373" spans="1:57" x14ac:dyDescent="0.25">
      <c r="A1373" s="1" t="str">
        <f>T("1945147094382354180")</f>
        <v>1945147094382354180</v>
      </c>
      <c r="B1373" s="1" t="str">
        <f>T("249913145545")</f>
        <v>249913145545</v>
      </c>
      <c r="C1373" s="1" t="str">
        <f>T("1941094502752059484")</f>
        <v>1941094502752059484</v>
      </c>
      <c r="AC1373" s="1" t="s">
        <v>276</v>
      </c>
      <c r="AD1373" s="1" t="s">
        <v>298</v>
      </c>
      <c r="AE1373" s="1" t="s">
        <v>609</v>
      </c>
      <c r="AF1373" s="1" t="s">
        <v>144</v>
      </c>
      <c r="AG1373" s="1">
        <v>19</v>
      </c>
      <c r="AO1373" s="2">
        <v>46276</v>
      </c>
      <c r="AP1373" s="1" t="s">
        <v>592</v>
      </c>
      <c r="AS1373" s="1" t="s">
        <v>71</v>
      </c>
      <c r="AU1373" s="1" t="s">
        <v>72</v>
      </c>
      <c r="AV1373" s="1" t="s">
        <v>437</v>
      </c>
      <c r="AX1373" s="1">
        <v>0</v>
      </c>
      <c r="BA1373" s="1">
        <v>9</v>
      </c>
      <c r="BB1373" s="1">
        <v>0</v>
      </c>
      <c r="BC1373" s="1">
        <v>0</v>
      </c>
      <c r="BE1373" s="1">
        <v>27246347</v>
      </c>
    </row>
    <row r="1374" spans="1:57" x14ac:dyDescent="0.25">
      <c r="A1374" s="1" t="str">
        <f>T("1945147094390739796")</f>
        <v>1945147094390739796</v>
      </c>
      <c r="B1374" s="1" t="str">
        <f>T("249967937793")</f>
        <v>249967937793</v>
      </c>
      <c r="C1374" s="1" t="str">
        <f>T("1941094502747868576")</f>
        <v>1941094502747868576</v>
      </c>
      <c r="AC1374" s="1" t="s">
        <v>276</v>
      </c>
      <c r="AD1374" s="1" t="s">
        <v>298</v>
      </c>
      <c r="AE1374" s="1" t="s">
        <v>609</v>
      </c>
      <c r="AF1374" s="1" t="s">
        <v>144</v>
      </c>
      <c r="AG1374" s="1">
        <v>20</v>
      </c>
      <c r="AO1374" s="2">
        <v>46276</v>
      </c>
      <c r="AP1374" s="1" t="s">
        <v>592</v>
      </c>
      <c r="AS1374" s="1" t="s">
        <v>71</v>
      </c>
      <c r="AU1374" s="1" t="s">
        <v>72</v>
      </c>
      <c r="AV1374" s="1" t="s">
        <v>73</v>
      </c>
      <c r="AX1374" s="1">
        <v>0</v>
      </c>
      <c r="BA1374" s="1">
        <v>9</v>
      </c>
      <c r="BB1374" s="1">
        <v>0</v>
      </c>
      <c r="BC1374" s="1">
        <v>0</v>
      </c>
      <c r="BE1374" s="1">
        <v>27246347</v>
      </c>
    </row>
    <row r="1375" spans="1:57" x14ac:dyDescent="0.25">
      <c r="A1375" s="1" t="str">
        <f>T("1945147094390740596")</f>
        <v>1945147094390740596</v>
      </c>
      <c r="B1375" s="1" t="str">
        <f>T("249907181116")</f>
        <v>249907181116</v>
      </c>
      <c r="C1375" s="1" t="str">
        <f>T("1941094502752060084")</f>
        <v>1941094502752060084</v>
      </c>
      <c r="AC1375" s="1" t="s">
        <v>276</v>
      </c>
      <c r="AD1375" s="1" t="s">
        <v>298</v>
      </c>
      <c r="AE1375" s="1" t="s">
        <v>609</v>
      </c>
      <c r="AF1375" s="1" t="s">
        <v>144</v>
      </c>
      <c r="AG1375" s="1">
        <v>19</v>
      </c>
      <c r="AO1375" s="2">
        <v>46276</v>
      </c>
      <c r="AP1375" s="1" t="s">
        <v>592</v>
      </c>
      <c r="AS1375" s="1" t="s">
        <v>71</v>
      </c>
      <c r="AU1375" s="1" t="s">
        <v>72</v>
      </c>
      <c r="AV1375" s="1" t="s">
        <v>437</v>
      </c>
      <c r="AX1375" s="1">
        <v>0</v>
      </c>
      <c r="BA1375" s="1">
        <v>9</v>
      </c>
      <c r="BB1375" s="1">
        <v>0</v>
      </c>
      <c r="BC1375" s="1">
        <v>0</v>
      </c>
      <c r="BE1375" s="1">
        <v>27246347</v>
      </c>
    </row>
    <row r="1376" spans="1:57" x14ac:dyDescent="0.25">
      <c r="A1376" s="1" t="str">
        <f>T("1945147094428489068")</f>
        <v>1945147094428489068</v>
      </c>
      <c r="B1376" s="1" t="str">
        <f>T("249903424637")</f>
        <v>249903424637</v>
      </c>
      <c r="C1376" s="1" t="str">
        <f>T("1941094502752061784")</f>
        <v>1941094502752061784</v>
      </c>
      <c r="AC1376" s="1" t="s">
        <v>276</v>
      </c>
      <c r="AD1376" s="1" t="s">
        <v>298</v>
      </c>
      <c r="AE1376" s="1" t="s">
        <v>609</v>
      </c>
      <c r="AF1376" s="1" t="s">
        <v>144</v>
      </c>
      <c r="AG1376" s="1">
        <v>20</v>
      </c>
      <c r="AO1376" s="2">
        <v>46276</v>
      </c>
      <c r="AP1376" s="1" t="s">
        <v>592</v>
      </c>
      <c r="AS1376" s="1" t="s">
        <v>71</v>
      </c>
      <c r="AU1376" s="1" t="s">
        <v>72</v>
      </c>
      <c r="AV1376" s="1" t="s">
        <v>73</v>
      </c>
      <c r="AX1376" s="1">
        <v>0</v>
      </c>
      <c r="BA1376" s="1">
        <v>9</v>
      </c>
      <c r="BB1376" s="1">
        <v>0</v>
      </c>
      <c r="BC1376" s="1">
        <v>0</v>
      </c>
      <c r="BE1376" s="1">
        <v>27246347</v>
      </c>
    </row>
    <row r="1377" spans="1:57" x14ac:dyDescent="0.25">
      <c r="A1377" s="1" t="str">
        <f>T("1945147094436877484")</f>
        <v>1945147094436877484</v>
      </c>
      <c r="B1377" s="1" t="str">
        <f>T("249915308094")</f>
        <v>249915308094</v>
      </c>
      <c r="C1377" s="1" t="str">
        <f>T("1941094502756254092")</f>
        <v>1941094502756254092</v>
      </c>
      <c r="AC1377" s="1" t="s">
        <v>276</v>
      </c>
      <c r="AD1377" s="1" t="s">
        <v>298</v>
      </c>
      <c r="AE1377" s="1" t="s">
        <v>609</v>
      </c>
      <c r="AF1377" s="1" t="s">
        <v>144</v>
      </c>
      <c r="AG1377" s="1">
        <v>21</v>
      </c>
      <c r="AO1377" s="2">
        <v>46276</v>
      </c>
      <c r="AP1377" s="1" t="s">
        <v>592</v>
      </c>
      <c r="AS1377" s="1" t="s">
        <v>71</v>
      </c>
      <c r="AU1377" s="1" t="s">
        <v>72</v>
      </c>
      <c r="AV1377" s="1" t="s">
        <v>437</v>
      </c>
      <c r="AX1377" s="1">
        <v>0</v>
      </c>
      <c r="BA1377" s="1">
        <v>9</v>
      </c>
      <c r="BB1377" s="1">
        <v>0</v>
      </c>
      <c r="BC1377" s="1">
        <v>0</v>
      </c>
      <c r="BE1377" s="1">
        <v>27246347</v>
      </c>
    </row>
    <row r="1378" spans="1:57" x14ac:dyDescent="0.25">
      <c r="A1378" s="1" t="str">
        <f>T("1945147094457848924")</f>
        <v>1945147094457848924</v>
      </c>
      <c r="B1378" s="1" t="str">
        <f>T("249907930899")</f>
        <v>249907930899</v>
      </c>
      <c r="C1378" s="1" t="str">
        <f>T("1941094502756254592")</f>
        <v>1941094502756254592</v>
      </c>
      <c r="AC1378" s="1" t="s">
        <v>276</v>
      </c>
      <c r="AD1378" s="1" t="s">
        <v>298</v>
      </c>
      <c r="AE1378" s="1" t="s">
        <v>609</v>
      </c>
      <c r="AF1378" s="1" t="s">
        <v>144</v>
      </c>
      <c r="AG1378" s="1">
        <v>21</v>
      </c>
      <c r="AO1378" s="2">
        <v>46276</v>
      </c>
      <c r="AP1378" s="1" t="s">
        <v>592</v>
      </c>
      <c r="AS1378" s="1" t="s">
        <v>71</v>
      </c>
      <c r="AU1378" s="1" t="s">
        <v>72</v>
      </c>
      <c r="AV1378" s="1" t="s">
        <v>437</v>
      </c>
      <c r="AX1378" s="1">
        <v>0</v>
      </c>
      <c r="BA1378" s="1">
        <v>9</v>
      </c>
      <c r="BB1378" s="1">
        <v>0</v>
      </c>
      <c r="BC1378" s="1">
        <v>0</v>
      </c>
      <c r="BE1378" s="1">
        <v>27246347</v>
      </c>
    </row>
    <row r="1379" spans="1:57" x14ac:dyDescent="0.25">
      <c r="A1379" s="1" t="str">
        <f>T("1945147094487208580")</f>
        <v>1945147094487208580</v>
      </c>
      <c r="B1379" s="1" t="str">
        <f>T("249914076618")</f>
        <v>249914076618</v>
      </c>
      <c r="C1379" s="1" t="str">
        <f>T("1941094502773030924")</f>
        <v>1941094502773030924</v>
      </c>
      <c r="AC1379" s="1" t="s">
        <v>276</v>
      </c>
      <c r="AD1379" s="1" t="s">
        <v>298</v>
      </c>
      <c r="AE1379" s="1" t="s">
        <v>610</v>
      </c>
      <c r="AF1379" s="1" t="s">
        <v>144</v>
      </c>
      <c r="AG1379" s="1">
        <v>30</v>
      </c>
      <c r="AO1379" s="2">
        <v>46276</v>
      </c>
      <c r="AP1379" s="1" t="s">
        <v>592</v>
      </c>
      <c r="AS1379" s="1" t="s">
        <v>71</v>
      </c>
      <c r="AU1379" s="1" t="s">
        <v>72</v>
      </c>
      <c r="AV1379" s="1" t="s">
        <v>437</v>
      </c>
      <c r="AX1379" s="1">
        <v>0</v>
      </c>
      <c r="BA1379" s="1">
        <v>9</v>
      </c>
      <c r="BB1379" s="1">
        <v>0</v>
      </c>
      <c r="BC1379" s="1">
        <v>0</v>
      </c>
      <c r="BE1379" s="1">
        <v>27246347</v>
      </c>
    </row>
    <row r="1380" spans="1:57" x14ac:dyDescent="0.25">
      <c r="A1380" s="1" t="str">
        <f>T("1945147094491404088")</f>
        <v>1945147094491404088</v>
      </c>
      <c r="B1380" s="1" t="str">
        <f>T("249918679488")</f>
        <v>249918679488</v>
      </c>
      <c r="C1380" s="1" t="str">
        <f>T("1941094502773032824")</f>
        <v>1941094502773032824</v>
      </c>
      <c r="AC1380" s="1" t="s">
        <v>276</v>
      </c>
      <c r="AD1380" s="1" t="s">
        <v>298</v>
      </c>
      <c r="AE1380" s="1" t="s">
        <v>610</v>
      </c>
      <c r="AF1380" s="1" t="s">
        <v>144</v>
      </c>
      <c r="AG1380" s="1">
        <v>30</v>
      </c>
      <c r="AO1380" s="2">
        <v>46276</v>
      </c>
      <c r="AP1380" s="1" t="s">
        <v>592</v>
      </c>
      <c r="AS1380" s="1" t="s">
        <v>71</v>
      </c>
      <c r="AU1380" s="1" t="s">
        <v>72</v>
      </c>
      <c r="AV1380" s="1" t="s">
        <v>437</v>
      </c>
      <c r="AX1380" s="1">
        <v>0</v>
      </c>
      <c r="BA1380" s="1">
        <v>9</v>
      </c>
      <c r="BB1380" s="1">
        <v>0</v>
      </c>
      <c r="BC1380" s="1">
        <v>0</v>
      </c>
      <c r="BE1380" s="1">
        <v>27246347</v>
      </c>
    </row>
    <row r="1381" spans="1:57" x14ac:dyDescent="0.25">
      <c r="A1381" s="1" t="str">
        <f>T("1945147094516571936")</f>
        <v>1945147094516571936</v>
      </c>
      <c r="B1381" s="1" t="str">
        <f>T("249110754995")</f>
        <v>249110754995</v>
      </c>
      <c r="C1381" s="1" t="str">
        <f>T("1941094502777225632")</f>
        <v>1941094502777225632</v>
      </c>
      <c r="AC1381" s="1" t="s">
        <v>276</v>
      </c>
      <c r="AD1381" s="1" t="s">
        <v>298</v>
      </c>
      <c r="AE1381" s="1" t="s">
        <v>610</v>
      </c>
      <c r="AF1381" s="1" t="s">
        <v>144</v>
      </c>
      <c r="AG1381" s="1">
        <v>18</v>
      </c>
      <c r="AO1381" s="2">
        <v>46276</v>
      </c>
      <c r="AP1381" s="1" t="s">
        <v>592</v>
      </c>
      <c r="AQ1381" s="2">
        <v>46276</v>
      </c>
      <c r="AR1381" s="1" t="s">
        <v>611</v>
      </c>
      <c r="AS1381" s="1" t="s">
        <v>71</v>
      </c>
      <c r="AU1381" s="1" t="s">
        <v>79</v>
      </c>
      <c r="AV1381" s="1" t="s">
        <v>80</v>
      </c>
      <c r="AW1381" s="1">
        <v>37.340000000000003</v>
      </c>
      <c r="AX1381" s="1">
        <v>0</v>
      </c>
      <c r="AZ1381" s="1" t="s">
        <v>81</v>
      </c>
      <c r="BA1381" s="1">
        <v>3</v>
      </c>
      <c r="BB1381" s="1">
        <v>0</v>
      </c>
      <c r="BC1381" s="1">
        <v>0</v>
      </c>
      <c r="BE1381" s="1">
        <v>27246347</v>
      </c>
    </row>
    <row r="1382" spans="1:57" x14ac:dyDescent="0.25">
      <c r="A1382" s="1" t="str">
        <f>T("1945147094533348868")</f>
        <v>1945147094533348868</v>
      </c>
      <c r="B1382" s="1" t="str">
        <f>T("249912273440")</f>
        <v>249912273440</v>
      </c>
      <c r="C1382" s="1" t="str">
        <f>T("1941094502777226432")</f>
        <v>1941094502777226432</v>
      </c>
      <c r="AC1382" s="1" t="s">
        <v>276</v>
      </c>
      <c r="AD1382" s="1" t="s">
        <v>298</v>
      </c>
      <c r="AE1382" s="1" t="s">
        <v>610</v>
      </c>
      <c r="AF1382" s="1" t="s">
        <v>144</v>
      </c>
      <c r="AG1382" s="1">
        <v>22</v>
      </c>
      <c r="AO1382" s="2">
        <v>46276</v>
      </c>
      <c r="AP1382" s="1" t="s">
        <v>592</v>
      </c>
      <c r="AS1382" s="1" t="s">
        <v>71</v>
      </c>
      <c r="AU1382" s="1" t="s">
        <v>72</v>
      </c>
      <c r="AV1382" s="1" t="s">
        <v>437</v>
      </c>
      <c r="AX1382" s="1">
        <v>0</v>
      </c>
      <c r="BA1382" s="1">
        <v>9</v>
      </c>
      <c r="BB1382" s="1">
        <v>0</v>
      </c>
      <c r="BC1382" s="1">
        <v>0</v>
      </c>
      <c r="BE1382" s="1">
        <v>27246347</v>
      </c>
    </row>
    <row r="1383" spans="1:57" x14ac:dyDescent="0.25">
      <c r="A1383" s="1" t="str">
        <f>T("1945147094541736484")</f>
        <v>1945147094541736484</v>
      </c>
      <c r="B1383" s="1" t="str">
        <f>T("249124736135")</f>
        <v>249124736135</v>
      </c>
      <c r="C1383" s="1" t="str">
        <f>T("1941094502777227032")</f>
        <v>1941094502777227032</v>
      </c>
      <c r="AC1383" s="1" t="s">
        <v>276</v>
      </c>
      <c r="AD1383" s="1" t="s">
        <v>298</v>
      </c>
      <c r="AE1383" s="1" t="s">
        <v>610</v>
      </c>
      <c r="AF1383" s="1" t="s">
        <v>144</v>
      </c>
      <c r="AG1383" s="1">
        <v>30</v>
      </c>
      <c r="AO1383" s="2">
        <v>46276</v>
      </c>
      <c r="AP1383" s="1" t="s">
        <v>592</v>
      </c>
      <c r="AS1383" s="1" t="s">
        <v>71</v>
      </c>
      <c r="AU1383" s="1" t="s">
        <v>72</v>
      </c>
      <c r="AV1383" s="1" t="s">
        <v>73</v>
      </c>
      <c r="AX1383" s="1">
        <v>0</v>
      </c>
      <c r="BA1383" s="1">
        <v>9</v>
      </c>
      <c r="BB1383" s="1">
        <v>0</v>
      </c>
      <c r="BC1383" s="1">
        <v>0</v>
      </c>
      <c r="BE1383" s="1">
        <v>27246347</v>
      </c>
    </row>
    <row r="1384" spans="1:57" x14ac:dyDescent="0.25">
      <c r="A1384" s="1" t="str">
        <f>T("1945147094566903732")</f>
        <v>1945147094566903732</v>
      </c>
      <c r="B1384" s="1" t="str">
        <f>T("249966848587")</f>
        <v>249966848587</v>
      </c>
      <c r="C1384" s="1" t="str">
        <f>T("1941094502777227632")</f>
        <v>1941094502777227632</v>
      </c>
      <c r="AC1384" s="1" t="s">
        <v>276</v>
      </c>
      <c r="AD1384" s="1" t="s">
        <v>298</v>
      </c>
      <c r="AE1384" s="1" t="s">
        <v>610</v>
      </c>
      <c r="AF1384" s="1" t="s">
        <v>144</v>
      </c>
      <c r="AG1384" s="1">
        <v>19</v>
      </c>
      <c r="AO1384" s="2">
        <v>46276</v>
      </c>
      <c r="AP1384" s="1" t="s">
        <v>592</v>
      </c>
      <c r="AS1384" s="1" t="s">
        <v>71</v>
      </c>
      <c r="AU1384" s="1" t="s">
        <v>72</v>
      </c>
      <c r="AV1384" s="1" t="s">
        <v>73</v>
      </c>
      <c r="AX1384" s="1">
        <v>0</v>
      </c>
      <c r="BA1384" s="1">
        <v>9</v>
      </c>
      <c r="BB1384" s="1">
        <v>0</v>
      </c>
      <c r="BC1384" s="1">
        <v>0</v>
      </c>
      <c r="BE1384" s="1">
        <v>27246347</v>
      </c>
    </row>
    <row r="1385" spans="1:57" x14ac:dyDescent="0.25">
      <c r="A1385" s="1" t="str">
        <f>T("1945147094587873172")</f>
        <v>1945147094587873172</v>
      </c>
      <c r="B1385" s="1" t="str">
        <f>T("249116473965")</f>
        <v>249116473965</v>
      </c>
      <c r="C1385" s="1" t="str">
        <f>T("1941094502777228032")</f>
        <v>1941094502777228032</v>
      </c>
      <c r="AC1385" s="1" t="s">
        <v>276</v>
      </c>
      <c r="AD1385" s="1" t="s">
        <v>298</v>
      </c>
      <c r="AE1385" s="1" t="s">
        <v>610</v>
      </c>
      <c r="AF1385" s="1" t="s">
        <v>144</v>
      </c>
      <c r="AG1385" s="1">
        <v>28</v>
      </c>
      <c r="AO1385" s="2">
        <v>46276</v>
      </c>
      <c r="AP1385" s="1" t="s">
        <v>592</v>
      </c>
      <c r="AS1385" s="1" t="s">
        <v>71</v>
      </c>
      <c r="AU1385" s="1" t="s">
        <v>72</v>
      </c>
      <c r="AV1385" s="1" t="s">
        <v>73</v>
      </c>
      <c r="AX1385" s="1">
        <v>0</v>
      </c>
      <c r="BA1385" s="1">
        <v>9</v>
      </c>
      <c r="BB1385" s="1">
        <v>0</v>
      </c>
      <c r="BC1385" s="1">
        <v>0</v>
      </c>
      <c r="BE1385" s="1">
        <v>27246347</v>
      </c>
    </row>
    <row r="1386" spans="1:57" x14ac:dyDescent="0.25">
      <c r="A1386" s="1" t="str">
        <f>T("1945147094592068080")</f>
        <v>1945147094592068080</v>
      </c>
      <c r="B1386" s="1" t="str">
        <f>T("249119450499")</f>
        <v>249119450499</v>
      </c>
      <c r="C1386" s="1" t="str">
        <f>T("1941094502781421340")</f>
        <v>1941094502781421340</v>
      </c>
      <c r="AC1386" s="1" t="s">
        <v>276</v>
      </c>
      <c r="AD1386" s="1" t="s">
        <v>298</v>
      </c>
      <c r="AE1386" s="1" t="s">
        <v>610</v>
      </c>
      <c r="AF1386" s="1" t="s">
        <v>144</v>
      </c>
      <c r="AG1386" s="1">
        <v>20</v>
      </c>
      <c r="AO1386" s="2">
        <v>46276</v>
      </c>
      <c r="AP1386" s="1" t="s">
        <v>592</v>
      </c>
      <c r="AQ1386" s="2">
        <v>46276</v>
      </c>
      <c r="AR1386" s="1" t="s">
        <v>612</v>
      </c>
      <c r="AS1386" s="1" t="s">
        <v>71</v>
      </c>
      <c r="AU1386" s="1" t="s">
        <v>79</v>
      </c>
      <c r="AV1386" s="1" t="s">
        <v>80</v>
      </c>
      <c r="AW1386" s="1">
        <v>8.02</v>
      </c>
      <c r="AX1386" s="1">
        <v>0</v>
      </c>
      <c r="AZ1386" s="1" t="s">
        <v>81</v>
      </c>
      <c r="BA1386" s="1">
        <v>1</v>
      </c>
      <c r="BB1386" s="1">
        <v>0</v>
      </c>
      <c r="BC1386" s="1">
        <v>0</v>
      </c>
      <c r="BE1386" s="1">
        <v>27246347</v>
      </c>
    </row>
    <row r="1387" spans="1:57" x14ac:dyDescent="0.25">
      <c r="A1387" s="1" t="str">
        <f>T("1945147094621429236")</f>
        <v>1945147094621429236</v>
      </c>
      <c r="B1387" s="1" t="str">
        <f>T("249122900636")</f>
        <v>249122900636</v>
      </c>
      <c r="C1387" s="1" t="str">
        <f>T("1941094502781423340")</f>
        <v>1941094502781423340</v>
      </c>
      <c r="M1387" s="1" t="s">
        <v>59</v>
      </c>
      <c r="O1387" s="1" t="s">
        <v>65</v>
      </c>
      <c r="AA1387" s="1">
        <v>1</v>
      </c>
      <c r="AC1387" s="1" t="s">
        <v>276</v>
      </c>
      <c r="AD1387" s="1" t="s">
        <v>298</v>
      </c>
      <c r="AE1387" s="1" t="s">
        <v>610</v>
      </c>
      <c r="AF1387" s="1" t="s">
        <v>144</v>
      </c>
      <c r="AG1387" s="1">
        <v>25</v>
      </c>
      <c r="AO1387" s="2">
        <v>46276</v>
      </c>
      <c r="AP1387" s="1" t="s">
        <v>592</v>
      </c>
      <c r="AQ1387" s="2">
        <v>46276</v>
      </c>
      <c r="AR1387" s="1" t="s">
        <v>613</v>
      </c>
      <c r="AS1387" s="1" t="s">
        <v>71</v>
      </c>
      <c r="AU1387" s="1" t="s">
        <v>78</v>
      </c>
      <c r="AV1387" s="1" t="s">
        <v>80</v>
      </c>
      <c r="AW1387" s="1">
        <v>172.92</v>
      </c>
      <c r="AX1387" s="1">
        <v>0</v>
      </c>
      <c r="AZ1387" s="1" t="s">
        <v>81</v>
      </c>
      <c r="BA1387" s="1">
        <v>1</v>
      </c>
      <c r="BB1387" s="1">
        <v>0</v>
      </c>
      <c r="BC1387" s="1">
        <v>0</v>
      </c>
      <c r="BE1387" s="1">
        <v>27246347</v>
      </c>
    </row>
    <row r="1388" spans="1:57" x14ac:dyDescent="0.25">
      <c r="A1388" s="1" t="str">
        <f>T("1945147094650788992")</f>
        <v>1945147094650788992</v>
      </c>
      <c r="B1388" s="1" t="str">
        <f>T("249117833270")</f>
        <v>249117833270</v>
      </c>
      <c r="C1388" s="1" t="str">
        <f>T("1941094502785615248")</f>
        <v>1941094502785615248</v>
      </c>
      <c r="AA1388" s="1">
        <v>1</v>
      </c>
      <c r="AC1388" s="1" t="s">
        <v>276</v>
      </c>
      <c r="AD1388" s="1" t="s">
        <v>298</v>
      </c>
      <c r="AE1388" s="1" t="s">
        <v>610</v>
      </c>
      <c r="AF1388" s="1" t="s">
        <v>144</v>
      </c>
      <c r="AG1388" s="1">
        <v>20</v>
      </c>
      <c r="AO1388" s="2">
        <v>46276</v>
      </c>
      <c r="AP1388" s="1" t="s">
        <v>592</v>
      </c>
      <c r="AQ1388" s="2">
        <v>46276</v>
      </c>
      <c r="AR1388" s="1" t="s">
        <v>593</v>
      </c>
      <c r="AS1388" s="1" t="s">
        <v>71</v>
      </c>
      <c r="AU1388" s="1" t="s">
        <v>79</v>
      </c>
      <c r="AV1388" s="1" t="s">
        <v>80</v>
      </c>
      <c r="AW1388" s="1">
        <v>46.12</v>
      </c>
      <c r="AX1388" s="1">
        <v>0</v>
      </c>
      <c r="AZ1388" s="1" t="s">
        <v>81</v>
      </c>
      <c r="BA1388" s="1">
        <v>1</v>
      </c>
      <c r="BB1388" s="1">
        <v>0</v>
      </c>
      <c r="BC1388" s="1">
        <v>0</v>
      </c>
      <c r="BE1388" s="1">
        <v>27246347</v>
      </c>
    </row>
    <row r="1389" spans="1:57" x14ac:dyDescent="0.25">
      <c r="A1389" s="1" t="str">
        <f>T("1945147094654981500")</f>
        <v>1945147094654981500</v>
      </c>
      <c r="B1389" s="1" t="str">
        <f>T("249900623091")</f>
        <v>249900623091</v>
      </c>
      <c r="C1389" s="1" t="str">
        <f>T("1941094502785614648")</f>
        <v>1941094502785614648</v>
      </c>
      <c r="AC1389" s="1" t="s">
        <v>276</v>
      </c>
      <c r="AD1389" s="1" t="s">
        <v>298</v>
      </c>
      <c r="AE1389" s="1" t="s">
        <v>610</v>
      </c>
      <c r="AF1389" s="1" t="s">
        <v>144</v>
      </c>
      <c r="AG1389" s="1">
        <v>24</v>
      </c>
      <c r="AO1389" s="2">
        <v>46276</v>
      </c>
      <c r="AP1389" s="1" t="s">
        <v>592</v>
      </c>
      <c r="AS1389" s="1" t="s">
        <v>71</v>
      </c>
      <c r="AU1389" s="1" t="s">
        <v>72</v>
      </c>
      <c r="AV1389" s="1" t="s">
        <v>437</v>
      </c>
      <c r="AX1389" s="1">
        <v>0</v>
      </c>
      <c r="BA1389" s="1">
        <v>9</v>
      </c>
      <c r="BB1389" s="1">
        <v>0</v>
      </c>
      <c r="BC1389" s="1">
        <v>0</v>
      </c>
      <c r="BE1389" s="1">
        <v>27246347</v>
      </c>
    </row>
    <row r="1390" spans="1:57" x14ac:dyDescent="0.25">
      <c r="A1390" s="1" t="str">
        <f>T("1945147094688537964")</f>
        <v>1945147094688537964</v>
      </c>
      <c r="B1390" s="1" t="str">
        <f>T("249121147005")</f>
        <v>249121147005</v>
      </c>
      <c r="C1390" s="1" t="str">
        <f>T("1941094502785615748")</f>
        <v>1941094502785615748</v>
      </c>
      <c r="AA1390" s="1">
        <v>1</v>
      </c>
      <c r="AC1390" s="1" t="s">
        <v>276</v>
      </c>
      <c r="AD1390" s="1" t="s">
        <v>298</v>
      </c>
      <c r="AE1390" s="1" t="s">
        <v>610</v>
      </c>
      <c r="AF1390" s="1" t="s">
        <v>144</v>
      </c>
      <c r="AG1390" s="1">
        <v>28</v>
      </c>
      <c r="AO1390" s="2">
        <v>46276</v>
      </c>
      <c r="AP1390" s="1" t="s">
        <v>592</v>
      </c>
      <c r="AQ1390" s="2">
        <v>46276</v>
      </c>
      <c r="AR1390" s="1" t="s">
        <v>614</v>
      </c>
      <c r="AS1390" s="1" t="s">
        <v>71</v>
      </c>
      <c r="AU1390" s="1" t="s">
        <v>79</v>
      </c>
      <c r="AV1390" s="1" t="s">
        <v>80</v>
      </c>
      <c r="AW1390" s="1">
        <v>64.38</v>
      </c>
      <c r="AX1390" s="1">
        <v>0</v>
      </c>
      <c r="AZ1390" s="1" t="s">
        <v>81</v>
      </c>
      <c r="BA1390" s="1">
        <v>1</v>
      </c>
      <c r="BB1390" s="1">
        <v>0</v>
      </c>
      <c r="BC1390" s="1">
        <v>0</v>
      </c>
      <c r="BE1390" s="1">
        <v>27246347</v>
      </c>
    </row>
    <row r="1391" spans="1:57" x14ac:dyDescent="0.25">
      <c r="A1391" s="1" t="str">
        <f>T("1945147094705315296")</f>
        <v>1945147094705315296</v>
      </c>
      <c r="B1391" s="1" t="str">
        <f>T("249113324534")</f>
        <v>249113324534</v>
      </c>
      <c r="C1391" s="1" t="str">
        <f>T("1941094502785616248")</f>
        <v>1941094502785616248</v>
      </c>
      <c r="M1391" s="1" t="s">
        <v>59</v>
      </c>
      <c r="O1391" s="1" t="s">
        <v>60</v>
      </c>
      <c r="P1391" s="1" t="s">
        <v>83</v>
      </c>
      <c r="Q1391" s="1" t="s">
        <v>112</v>
      </c>
      <c r="R1391" s="1" t="s">
        <v>63</v>
      </c>
      <c r="AA1391" s="1">
        <v>1</v>
      </c>
      <c r="AC1391" s="1" t="s">
        <v>276</v>
      </c>
      <c r="AD1391" s="1" t="s">
        <v>298</v>
      </c>
      <c r="AE1391" s="1" t="s">
        <v>610</v>
      </c>
      <c r="AF1391" s="1" t="s">
        <v>144</v>
      </c>
      <c r="AG1391" s="1">
        <v>19</v>
      </c>
      <c r="AO1391" s="2">
        <v>46276</v>
      </c>
      <c r="AP1391" s="1" t="s">
        <v>592</v>
      </c>
      <c r="AQ1391" s="2">
        <v>46277</v>
      </c>
      <c r="AR1391" s="1" t="s">
        <v>615</v>
      </c>
      <c r="AS1391" s="1" t="s">
        <v>71</v>
      </c>
      <c r="AU1391" s="1" t="s">
        <v>79</v>
      </c>
      <c r="AV1391" s="1" t="s">
        <v>80</v>
      </c>
      <c r="AW1391" s="1">
        <v>99.88</v>
      </c>
      <c r="AX1391" s="1">
        <v>0</v>
      </c>
      <c r="AZ1391" s="1" t="s">
        <v>81</v>
      </c>
      <c r="BA1391" s="1">
        <v>7</v>
      </c>
      <c r="BB1391" s="1">
        <v>0</v>
      </c>
      <c r="BC1391" s="1">
        <v>0</v>
      </c>
      <c r="BE1391" s="1">
        <v>27246347</v>
      </c>
    </row>
    <row r="1392" spans="1:57" x14ac:dyDescent="0.25">
      <c r="A1392" s="1" t="str">
        <f>T("1945147094717898420")</f>
        <v>1945147094717898420</v>
      </c>
      <c r="B1392" s="1" t="str">
        <f>T("249127933168")</f>
        <v>249127933168</v>
      </c>
      <c r="C1392" s="1" t="str">
        <f>T("1941094502785616748")</f>
        <v>1941094502785616748</v>
      </c>
      <c r="AA1392" s="1">
        <v>1</v>
      </c>
      <c r="AC1392" s="1" t="s">
        <v>276</v>
      </c>
      <c r="AD1392" s="1" t="s">
        <v>298</v>
      </c>
      <c r="AE1392" s="1" t="s">
        <v>610</v>
      </c>
      <c r="AF1392" s="1" t="s">
        <v>144</v>
      </c>
      <c r="AG1392" s="1">
        <v>30</v>
      </c>
      <c r="AO1392" s="2">
        <v>46276</v>
      </c>
      <c r="AP1392" s="1" t="s">
        <v>592</v>
      </c>
      <c r="AQ1392" s="2">
        <v>46276</v>
      </c>
      <c r="AR1392" s="1" t="s">
        <v>616</v>
      </c>
      <c r="AS1392" s="1" t="s">
        <v>71</v>
      </c>
      <c r="AU1392" s="1" t="s">
        <v>79</v>
      </c>
      <c r="AV1392" s="1" t="s">
        <v>80</v>
      </c>
      <c r="AW1392" s="1">
        <v>39.86</v>
      </c>
      <c r="AX1392" s="1">
        <v>0</v>
      </c>
      <c r="AZ1392" s="1" t="s">
        <v>81</v>
      </c>
      <c r="BA1392" s="1">
        <v>1</v>
      </c>
      <c r="BB1392" s="1">
        <v>0</v>
      </c>
      <c r="BC1392" s="1">
        <v>0</v>
      </c>
      <c r="BE1392" s="1">
        <v>27246347</v>
      </c>
    </row>
    <row r="1393" spans="1:57" x14ac:dyDescent="0.25">
      <c r="A1393" s="1" t="str">
        <f>T("1945147094814364004")</f>
        <v>1945147094814364004</v>
      </c>
      <c r="B1393" s="1" t="str">
        <f>T("249911828889")</f>
        <v>249911828889</v>
      </c>
      <c r="C1393" s="1" t="str">
        <f>T("1941094502785617348")</f>
        <v>1941094502785617348</v>
      </c>
      <c r="AC1393" s="1" t="s">
        <v>276</v>
      </c>
      <c r="AD1393" s="1" t="s">
        <v>298</v>
      </c>
      <c r="AE1393" s="1" t="s">
        <v>610</v>
      </c>
      <c r="AF1393" s="1" t="s">
        <v>144</v>
      </c>
      <c r="AG1393" s="1">
        <v>29</v>
      </c>
      <c r="AO1393" s="2">
        <v>46276</v>
      </c>
      <c r="AP1393" s="1" t="s">
        <v>592</v>
      </c>
      <c r="AS1393" s="1" t="s">
        <v>71</v>
      </c>
      <c r="AU1393" s="1" t="s">
        <v>72</v>
      </c>
      <c r="AV1393" s="1" t="s">
        <v>73</v>
      </c>
      <c r="AX1393" s="1">
        <v>0</v>
      </c>
      <c r="BA1393" s="1">
        <v>9</v>
      </c>
      <c r="BB1393" s="1">
        <v>0</v>
      </c>
      <c r="BC1393" s="1">
        <v>0</v>
      </c>
      <c r="BE1393" s="1">
        <v>27246347</v>
      </c>
    </row>
    <row r="1394" spans="1:57" x14ac:dyDescent="0.25">
      <c r="A1394" s="1" t="str">
        <f>T("1945147094860503392")</f>
        <v>1945147094860503392</v>
      </c>
      <c r="B1394" s="1" t="str">
        <f>T("249917503630")</f>
        <v>249917503630</v>
      </c>
      <c r="C1394" s="1" t="str">
        <f>T("1941094502789809456")</f>
        <v>1941094502789809456</v>
      </c>
      <c r="AC1394" s="1" t="s">
        <v>276</v>
      </c>
      <c r="AD1394" s="1" t="s">
        <v>298</v>
      </c>
      <c r="AE1394" s="1" t="s">
        <v>610</v>
      </c>
      <c r="AF1394" s="1" t="s">
        <v>144</v>
      </c>
      <c r="AG1394" s="1">
        <v>21</v>
      </c>
      <c r="AO1394" s="2">
        <v>46276</v>
      </c>
      <c r="AP1394" s="1" t="s">
        <v>592</v>
      </c>
      <c r="AS1394" s="1" t="s">
        <v>71</v>
      </c>
      <c r="AU1394" s="1" t="s">
        <v>72</v>
      </c>
      <c r="AV1394" s="1" t="s">
        <v>73</v>
      </c>
      <c r="AX1394" s="1">
        <v>0</v>
      </c>
      <c r="BA1394" s="1">
        <v>9</v>
      </c>
      <c r="BB1394" s="1">
        <v>0</v>
      </c>
      <c r="BC1394" s="1">
        <v>0</v>
      </c>
      <c r="BE1394" s="1">
        <v>27246347</v>
      </c>
    </row>
    <row r="1395" spans="1:57" x14ac:dyDescent="0.25">
      <c r="A1395" s="1" t="str">
        <f>T("1945147094868892708")</f>
        <v>1945147094868892708</v>
      </c>
      <c r="B1395" s="1" t="str">
        <f>T("249117860348")</f>
        <v>249117860348</v>
      </c>
      <c r="C1395" s="1" t="str">
        <f>T("1941094502794004664")</f>
        <v>1941094502794004664</v>
      </c>
      <c r="AC1395" s="1" t="s">
        <v>276</v>
      </c>
      <c r="AD1395" s="1" t="s">
        <v>298</v>
      </c>
      <c r="AE1395" s="1" t="s">
        <v>610</v>
      </c>
      <c r="AF1395" s="1" t="s">
        <v>144</v>
      </c>
      <c r="AG1395" s="1">
        <v>19</v>
      </c>
      <c r="AO1395" s="2">
        <v>46276</v>
      </c>
      <c r="AP1395" s="1" t="s">
        <v>592</v>
      </c>
      <c r="AS1395" s="1" t="s">
        <v>71</v>
      </c>
      <c r="AU1395" s="1" t="s">
        <v>72</v>
      </c>
      <c r="AV1395" s="1" t="s">
        <v>73</v>
      </c>
      <c r="AX1395" s="1">
        <v>0</v>
      </c>
      <c r="BA1395" s="1">
        <v>9</v>
      </c>
      <c r="BB1395" s="1">
        <v>0</v>
      </c>
      <c r="BC1395" s="1">
        <v>0</v>
      </c>
      <c r="BE1395" s="1">
        <v>27246347</v>
      </c>
    </row>
    <row r="1396" spans="1:57" x14ac:dyDescent="0.25">
      <c r="A1396" s="1" t="str">
        <f>T("1945147094881474032")</f>
        <v>1945147094881474032</v>
      </c>
      <c r="B1396" s="1" t="str">
        <f>T("249125215821")</f>
        <v>249125215821</v>
      </c>
      <c r="C1396" s="1" t="str">
        <f>T("1941094502794004164")</f>
        <v>1941094502794004164</v>
      </c>
      <c r="AC1396" s="1" t="s">
        <v>276</v>
      </c>
      <c r="AD1396" s="1" t="s">
        <v>298</v>
      </c>
      <c r="AE1396" s="1" t="s">
        <v>610</v>
      </c>
      <c r="AF1396" s="1" t="s">
        <v>144</v>
      </c>
      <c r="AG1396" s="1">
        <v>28</v>
      </c>
      <c r="AO1396" s="2">
        <v>46276</v>
      </c>
      <c r="AP1396" s="1" t="s">
        <v>592</v>
      </c>
      <c r="AQ1396" s="2">
        <v>46276</v>
      </c>
      <c r="AR1396" s="1" t="s">
        <v>617</v>
      </c>
      <c r="AS1396" s="1" t="s">
        <v>71</v>
      </c>
      <c r="AU1396" s="1" t="s">
        <v>79</v>
      </c>
      <c r="AV1396" s="1" t="s">
        <v>80</v>
      </c>
      <c r="AW1396" s="1">
        <v>29.48</v>
      </c>
      <c r="AX1396" s="1">
        <v>0</v>
      </c>
      <c r="AZ1396" s="1" t="s">
        <v>81</v>
      </c>
      <c r="BA1396" s="1">
        <v>2</v>
      </c>
      <c r="BB1396" s="1">
        <v>0</v>
      </c>
      <c r="BC1396" s="1">
        <v>0</v>
      </c>
      <c r="BE1396" s="1">
        <v>27246347</v>
      </c>
    </row>
    <row r="1397" spans="1:57" x14ac:dyDescent="0.25">
      <c r="A1397" s="1" t="str">
        <f>T("1945147094927611220")</f>
        <v>1945147094927611220</v>
      </c>
      <c r="B1397" s="1" t="str">
        <f>T("249119932247")</f>
        <v>249119932247</v>
      </c>
      <c r="C1397" s="1" t="str">
        <f>T("1941094502794005164")</f>
        <v>1941094502794005164</v>
      </c>
      <c r="AA1397" s="1">
        <v>1</v>
      </c>
      <c r="AC1397" s="1" t="s">
        <v>276</v>
      </c>
      <c r="AD1397" s="1" t="s">
        <v>298</v>
      </c>
      <c r="AE1397" s="1" t="s">
        <v>610</v>
      </c>
      <c r="AF1397" s="1" t="s">
        <v>144</v>
      </c>
      <c r="AG1397" s="1">
        <v>25</v>
      </c>
      <c r="AO1397" s="2">
        <v>46276</v>
      </c>
      <c r="AP1397" s="1" t="s">
        <v>592</v>
      </c>
      <c r="AQ1397" s="2">
        <v>46276</v>
      </c>
      <c r="AR1397" s="1" t="s">
        <v>618</v>
      </c>
      <c r="AS1397" s="1" t="s">
        <v>71</v>
      </c>
      <c r="AU1397" s="1" t="s">
        <v>79</v>
      </c>
      <c r="AV1397" s="1" t="s">
        <v>80</v>
      </c>
      <c r="AW1397" s="1">
        <v>62.82</v>
      </c>
      <c r="AX1397" s="1">
        <v>0</v>
      </c>
      <c r="AZ1397" s="1" t="s">
        <v>81</v>
      </c>
      <c r="BA1397" s="1">
        <v>1</v>
      </c>
      <c r="BB1397" s="1">
        <v>0</v>
      </c>
      <c r="BC1397" s="1">
        <v>0</v>
      </c>
      <c r="BE1397" s="1">
        <v>27246347</v>
      </c>
    </row>
    <row r="1398" spans="1:57" x14ac:dyDescent="0.25">
      <c r="A1398" s="1" t="str">
        <f>T("1945147094936000436")</f>
        <v>1945147094936000436</v>
      </c>
      <c r="B1398" s="1" t="str">
        <f>T("249124749199")</f>
        <v>249124749199</v>
      </c>
      <c r="C1398" s="1" t="str">
        <f>T("1941094502794005664")</f>
        <v>1941094502794005664</v>
      </c>
      <c r="AC1398" s="1" t="s">
        <v>276</v>
      </c>
      <c r="AD1398" s="1" t="s">
        <v>298</v>
      </c>
      <c r="AE1398" s="1" t="s">
        <v>610</v>
      </c>
      <c r="AF1398" s="1" t="s">
        <v>144</v>
      </c>
      <c r="AG1398" s="1">
        <v>23</v>
      </c>
      <c r="AO1398" s="2">
        <v>46276</v>
      </c>
      <c r="AP1398" s="1" t="s">
        <v>592</v>
      </c>
      <c r="AQ1398" s="2">
        <v>46276</v>
      </c>
      <c r="AR1398" s="1" t="s">
        <v>619</v>
      </c>
      <c r="AS1398" s="1" t="s">
        <v>71</v>
      </c>
      <c r="AU1398" s="1" t="s">
        <v>79</v>
      </c>
      <c r="AV1398" s="1" t="s">
        <v>80</v>
      </c>
      <c r="AW1398" s="1">
        <v>37.6</v>
      </c>
      <c r="AX1398" s="1">
        <v>0</v>
      </c>
      <c r="AZ1398" s="1" t="s">
        <v>81</v>
      </c>
      <c r="BA1398" s="1">
        <v>3</v>
      </c>
      <c r="BB1398" s="1">
        <v>0</v>
      </c>
      <c r="BC1398" s="1">
        <v>0</v>
      </c>
      <c r="BE1398" s="1">
        <v>27246347</v>
      </c>
    </row>
    <row r="1399" spans="1:57" x14ac:dyDescent="0.25">
      <c r="A1399" s="1" t="str">
        <f>T("1945147094940194944")</f>
        <v>1945147094940194944</v>
      </c>
      <c r="B1399" s="1" t="str">
        <f>T("249902199493")</f>
        <v>249902199493</v>
      </c>
      <c r="C1399" s="1" t="str">
        <f>T("1941094502798197272")</f>
        <v>1941094502798197272</v>
      </c>
      <c r="AC1399" s="1" t="s">
        <v>276</v>
      </c>
      <c r="AD1399" s="1" t="s">
        <v>298</v>
      </c>
      <c r="AE1399" s="1" t="s">
        <v>610</v>
      </c>
      <c r="AF1399" s="1" t="s">
        <v>144</v>
      </c>
      <c r="AG1399" s="1">
        <v>23</v>
      </c>
      <c r="AO1399" s="2">
        <v>46276</v>
      </c>
      <c r="AP1399" s="1" t="s">
        <v>592</v>
      </c>
      <c r="AS1399" s="1" t="s">
        <v>71</v>
      </c>
      <c r="AU1399" s="1" t="s">
        <v>72</v>
      </c>
      <c r="AV1399" s="1" t="s">
        <v>437</v>
      </c>
      <c r="AX1399" s="1">
        <v>0</v>
      </c>
      <c r="BA1399" s="1">
        <v>9</v>
      </c>
      <c r="BB1399" s="1">
        <v>0</v>
      </c>
      <c r="BC1399" s="1">
        <v>0</v>
      </c>
      <c r="BE1399" s="1">
        <v>27246347</v>
      </c>
    </row>
    <row r="1400" spans="1:57" x14ac:dyDescent="0.25">
      <c r="A1400" s="1" t="str">
        <f>T("1945147094998913556")</f>
        <v>1945147094998913556</v>
      </c>
      <c r="B1400" s="1" t="str">
        <f>T("249994464624")</f>
        <v>249994464624</v>
      </c>
      <c r="C1400" s="1" t="str">
        <f>T("1941094502798197772")</f>
        <v>1941094502798197772</v>
      </c>
      <c r="AC1400" s="1" t="s">
        <v>276</v>
      </c>
      <c r="AD1400" s="1" t="s">
        <v>298</v>
      </c>
      <c r="AE1400" s="1" t="s">
        <v>610</v>
      </c>
      <c r="AF1400" s="1" t="s">
        <v>144</v>
      </c>
      <c r="AG1400" s="1">
        <v>23</v>
      </c>
      <c r="AO1400" s="2">
        <v>46276</v>
      </c>
      <c r="AP1400" s="1" t="s">
        <v>592</v>
      </c>
      <c r="AS1400" s="1" t="s">
        <v>71</v>
      </c>
      <c r="AU1400" s="1" t="s">
        <v>72</v>
      </c>
      <c r="AV1400" s="1" t="s">
        <v>73</v>
      </c>
      <c r="AX1400" s="1">
        <v>0</v>
      </c>
      <c r="BA1400" s="1">
        <v>9</v>
      </c>
      <c r="BB1400" s="1">
        <v>0</v>
      </c>
      <c r="BC1400" s="1">
        <v>0</v>
      </c>
      <c r="BE1400" s="1">
        <v>27246347</v>
      </c>
    </row>
    <row r="1401" spans="1:57" x14ac:dyDescent="0.25">
      <c r="A1401" s="1" t="str">
        <f>T("1945147095003107464")</f>
        <v>1945147095003107464</v>
      </c>
      <c r="B1401" s="1" t="str">
        <f>T("249122098898")</f>
        <v>249122098898</v>
      </c>
      <c r="C1401" s="1" t="str">
        <f>T("1941094502798198672")</f>
        <v>1941094502798198672</v>
      </c>
      <c r="AC1401" s="1" t="s">
        <v>276</v>
      </c>
      <c r="AD1401" s="1" t="s">
        <v>298</v>
      </c>
      <c r="AE1401" s="1" t="s">
        <v>610</v>
      </c>
      <c r="AF1401" s="1" t="s">
        <v>144</v>
      </c>
      <c r="AG1401" s="1">
        <v>26</v>
      </c>
      <c r="AO1401" s="2">
        <v>46276</v>
      </c>
      <c r="AP1401" s="1" t="s">
        <v>592</v>
      </c>
      <c r="AS1401" s="1" t="s">
        <v>71</v>
      </c>
      <c r="AU1401" s="1" t="s">
        <v>72</v>
      </c>
      <c r="AV1401" s="1" t="s">
        <v>73</v>
      </c>
      <c r="AX1401" s="1">
        <v>0</v>
      </c>
      <c r="BA1401" s="1">
        <v>9</v>
      </c>
      <c r="BB1401" s="1">
        <v>0</v>
      </c>
      <c r="BC1401" s="1">
        <v>0</v>
      </c>
      <c r="BE1401" s="1">
        <v>27246347</v>
      </c>
    </row>
    <row r="1402" spans="1:57" x14ac:dyDescent="0.25">
      <c r="A1402" s="1" t="str">
        <f>T("1945147095003107964")</f>
        <v>1945147095003107964</v>
      </c>
      <c r="B1402" s="1" t="str">
        <f>T("249123983338")</f>
        <v>249123983338</v>
      </c>
      <c r="C1402" s="1" t="str">
        <f>T("1941094502798198272")</f>
        <v>1941094502798198272</v>
      </c>
      <c r="AC1402" s="1" t="s">
        <v>276</v>
      </c>
      <c r="AD1402" s="1" t="s">
        <v>298</v>
      </c>
      <c r="AE1402" s="1" t="s">
        <v>610</v>
      </c>
      <c r="AF1402" s="1" t="s">
        <v>144</v>
      </c>
      <c r="AG1402" s="1">
        <v>19</v>
      </c>
      <c r="AO1402" s="2">
        <v>46276</v>
      </c>
      <c r="AP1402" s="1" t="s">
        <v>592</v>
      </c>
      <c r="AQ1402" s="2">
        <v>46276</v>
      </c>
      <c r="AR1402" s="1" t="s">
        <v>620</v>
      </c>
      <c r="AS1402" s="1" t="s">
        <v>71</v>
      </c>
      <c r="AU1402" s="1" t="s">
        <v>79</v>
      </c>
      <c r="AV1402" s="1" t="s">
        <v>80</v>
      </c>
      <c r="AW1402" s="1">
        <v>37.380000000000003</v>
      </c>
      <c r="AX1402" s="1">
        <v>0</v>
      </c>
      <c r="AZ1402" s="1" t="s">
        <v>81</v>
      </c>
      <c r="BA1402" s="1">
        <v>4</v>
      </c>
      <c r="BB1402" s="1">
        <v>0</v>
      </c>
      <c r="BC1402" s="1">
        <v>0</v>
      </c>
      <c r="BE1402" s="1">
        <v>27246347</v>
      </c>
    </row>
    <row r="1403" spans="1:57" x14ac:dyDescent="0.25">
      <c r="A1403" s="1" t="str">
        <f>T("1945147095053439460")</f>
        <v>1945147095053439460</v>
      </c>
      <c r="B1403" s="1" t="str">
        <f>T("249900623356")</f>
        <v>249900623356</v>
      </c>
      <c r="C1403" s="1" t="str">
        <f>T("1941094502798199972")</f>
        <v>1941094502798199972</v>
      </c>
      <c r="AC1403" s="1" t="s">
        <v>276</v>
      </c>
      <c r="AD1403" s="1" t="s">
        <v>298</v>
      </c>
      <c r="AE1403" s="1" t="s">
        <v>610</v>
      </c>
      <c r="AF1403" s="1" t="s">
        <v>144</v>
      </c>
      <c r="AG1403" s="1">
        <v>25</v>
      </c>
      <c r="AO1403" s="2">
        <v>46276</v>
      </c>
      <c r="AP1403" s="1" t="s">
        <v>592</v>
      </c>
      <c r="AS1403" s="1" t="s">
        <v>71</v>
      </c>
      <c r="AU1403" s="1" t="s">
        <v>75</v>
      </c>
      <c r="AV1403" s="1" t="s">
        <v>590</v>
      </c>
      <c r="AX1403" s="1">
        <v>0</v>
      </c>
      <c r="BA1403" s="1">
        <v>5</v>
      </c>
      <c r="BB1403" s="1">
        <v>0</v>
      </c>
      <c r="BC1403" s="1">
        <v>0</v>
      </c>
      <c r="BE1403" s="1">
        <v>27246347</v>
      </c>
    </row>
    <row r="1404" spans="1:57" x14ac:dyDescent="0.25">
      <c r="A1404" s="1" t="str">
        <f>T("1945147095057633868")</f>
        <v>1945147095057633868</v>
      </c>
      <c r="B1404" s="1" t="str">
        <f>T("249915996276")</f>
        <v>249915996276</v>
      </c>
      <c r="C1404" s="1" t="str">
        <f>T("1941094502798200472")</f>
        <v>1941094502798200472</v>
      </c>
      <c r="AC1404" s="1" t="s">
        <v>276</v>
      </c>
      <c r="AD1404" s="1" t="s">
        <v>298</v>
      </c>
      <c r="AE1404" s="1" t="s">
        <v>610</v>
      </c>
      <c r="AF1404" s="1" t="s">
        <v>144</v>
      </c>
      <c r="AG1404" s="1">
        <v>26</v>
      </c>
      <c r="AO1404" s="2">
        <v>46276</v>
      </c>
      <c r="AP1404" s="1" t="s">
        <v>592</v>
      </c>
      <c r="AS1404" s="1" t="s">
        <v>71</v>
      </c>
      <c r="AU1404" s="1" t="s">
        <v>72</v>
      </c>
      <c r="AV1404" s="1" t="s">
        <v>437</v>
      </c>
      <c r="AX1404" s="1">
        <v>0</v>
      </c>
      <c r="BA1404" s="1">
        <v>9</v>
      </c>
      <c r="BB1404" s="1">
        <v>0</v>
      </c>
      <c r="BC1404" s="1">
        <v>0</v>
      </c>
      <c r="BE1404" s="1">
        <v>27246347</v>
      </c>
    </row>
    <row r="1405" spans="1:57" x14ac:dyDescent="0.25">
      <c r="A1405" s="1" t="str">
        <f>T("1945147095066024084")</f>
        <v>1945147095066024084</v>
      </c>
      <c r="B1405" s="1" t="str">
        <f>T("249121612711")</f>
        <v>249121612711</v>
      </c>
      <c r="C1405" s="1" t="str">
        <f>T("1941094502802394780")</f>
        <v>1941094502802394780</v>
      </c>
      <c r="M1405" s="1" t="s">
        <v>59</v>
      </c>
      <c r="O1405" s="1" t="s">
        <v>65</v>
      </c>
      <c r="P1405" s="1" t="s">
        <v>111</v>
      </c>
      <c r="Q1405" s="1" t="s">
        <v>112</v>
      </c>
      <c r="R1405" s="1" t="s">
        <v>84</v>
      </c>
      <c r="S1405" s="1" t="s">
        <v>159</v>
      </c>
      <c r="U1405" s="1" t="s">
        <v>65</v>
      </c>
      <c r="V1405" s="1" t="s">
        <v>102</v>
      </c>
      <c r="W1405" s="1" t="s">
        <v>60</v>
      </c>
      <c r="X1405" s="1" t="s">
        <v>66</v>
      </c>
      <c r="Y1405" s="1" t="s">
        <v>160</v>
      </c>
      <c r="AA1405" s="1">
        <v>1</v>
      </c>
      <c r="AB1405" s="1">
        <v>1</v>
      </c>
      <c r="AC1405" s="1" t="s">
        <v>276</v>
      </c>
      <c r="AD1405" s="1" t="s">
        <v>298</v>
      </c>
      <c r="AE1405" s="1" t="s">
        <v>610</v>
      </c>
      <c r="AF1405" s="1" t="s">
        <v>144</v>
      </c>
      <c r="AG1405" s="1">
        <v>25</v>
      </c>
      <c r="AO1405" s="2">
        <v>46276</v>
      </c>
      <c r="AP1405" s="1" t="s">
        <v>592</v>
      </c>
      <c r="AQ1405" s="2">
        <v>46276</v>
      </c>
      <c r="AR1405" s="1" t="s">
        <v>621</v>
      </c>
      <c r="AS1405" s="1" t="s">
        <v>71</v>
      </c>
      <c r="AU1405" s="1" t="s">
        <v>78</v>
      </c>
      <c r="AV1405" s="1" t="s">
        <v>80</v>
      </c>
      <c r="AW1405" s="1">
        <v>198.3</v>
      </c>
      <c r="AX1405" s="1">
        <v>0</v>
      </c>
      <c r="AZ1405" s="1" t="s">
        <v>81</v>
      </c>
      <c r="BA1405" s="1">
        <v>1</v>
      </c>
      <c r="BB1405" s="1">
        <v>0</v>
      </c>
      <c r="BC1405" s="1">
        <v>0</v>
      </c>
      <c r="BE1405" s="1">
        <v>27246347</v>
      </c>
    </row>
    <row r="1406" spans="1:57" x14ac:dyDescent="0.25">
      <c r="A1406" s="1" t="str">
        <f>T("1945147095107965364")</f>
        <v>1945147095107965364</v>
      </c>
      <c r="B1406" s="1" t="str">
        <f>T("249129245118")</f>
        <v>249129245118</v>
      </c>
      <c r="C1406" s="1" t="str">
        <f>T("1941094502810780096")</f>
        <v>1941094502810780096</v>
      </c>
      <c r="AC1406" s="1" t="s">
        <v>276</v>
      </c>
      <c r="AD1406" s="1" t="s">
        <v>298</v>
      </c>
      <c r="AE1406" s="1" t="s">
        <v>610</v>
      </c>
      <c r="AF1406" s="1" t="s">
        <v>144</v>
      </c>
      <c r="AG1406" s="1">
        <v>22</v>
      </c>
      <c r="AO1406" s="2">
        <v>46276</v>
      </c>
      <c r="AP1406" s="1" t="s">
        <v>592</v>
      </c>
      <c r="AS1406" s="1" t="s">
        <v>71</v>
      </c>
      <c r="AU1406" s="1" t="s">
        <v>72</v>
      </c>
      <c r="AV1406" s="1" t="s">
        <v>73</v>
      </c>
      <c r="AX1406" s="1">
        <v>0</v>
      </c>
      <c r="BA1406" s="1">
        <v>9</v>
      </c>
      <c r="BB1406" s="1">
        <v>0</v>
      </c>
      <c r="BC1406" s="1">
        <v>0</v>
      </c>
      <c r="BE1406" s="1">
        <v>27246347</v>
      </c>
    </row>
    <row r="1407" spans="1:57" x14ac:dyDescent="0.25">
      <c r="A1407" s="1" t="str">
        <f>T("1945147095112160572")</f>
        <v>1945147095112160572</v>
      </c>
      <c r="B1407" s="1" t="str">
        <f>T("249908155537")</f>
        <v>249908155537</v>
      </c>
      <c r="C1407" s="1" t="str">
        <f>T("1941094502810780696")</f>
        <v>1941094502810780696</v>
      </c>
      <c r="AC1407" s="1" t="s">
        <v>276</v>
      </c>
      <c r="AD1407" s="1" t="s">
        <v>298</v>
      </c>
      <c r="AE1407" s="1" t="s">
        <v>610</v>
      </c>
      <c r="AF1407" s="1" t="s">
        <v>144</v>
      </c>
      <c r="AG1407" s="1">
        <v>23</v>
      </c>
      <c r="AO1407" s="2">
        <v>46276</v>
      </c>
      <c r="AP1407" s="1" t="s">
        <v>592</v>
      </c>
      <c r="AS1407" s="1" t="s">
        <v>71</v>
      </c>
      <c r="AU1407" s="1" t="s">
        <v>72</v>
      </c>
      <c r="AV1407" s="1" t="s">
        <v>73</v>
      </c>
      <c r="AX1407" s="1">
        <v>0</v>
      </c>
      <c r="BA1407" s="1">
        <v>9</v>
      </c>
      <c r="BB1407" s="1">
        <v>0</v>
      </c>
      <c r="BC1407" s="1">
        <v>0</v>
      </c>
      <c r="BE1407" s="1">
        <v>27246347</v>
      </c>
    </row>
    <row r="1408" spans="1:57" x14ac:dyDescent="0.25">
      <c r="A1408" s="1" t="str">
        <f>T("1945147095149909844")</f>
        <v>1945147095149909844</v>
      </c>
      <c r="B1408" s="1" t="str">
        <f>T("249119464624")</f>
        <v>249119464624</v>
      </c>
      <c r="C1408" s="1" t="str">
        <f>T("1941094502810781296")</f>
        <v>1941094502810781296</v>
      </c>
      <c r="AA1408" s="1">
        <v>1</v>
      </c>
      <c r="AC1408" s="1" t="s">
        <v>276</v>
      </c>
      <c r="AD1408" s="1" t="s">
        <v>298</v>
      </c>
      <c r="AE1408" s="1" t="s">
        <v>610</v>
      </c>
      <c r="AF1408" s="1" t="s">
        <v>144</v>
      </c>
      <c r="AG1408" s="1">
        <v>30</v>
      </c>
      <c r="AO1408" s="2">
        <v>46276</v>
      </c>
      <c r="AP1408" s="1" t="s">
        <v>592</v>
      </c>
      <c r="AQ1408" s="2">
        <v>46276</v>
      </c>
      <c r="AR1408" s="1" t="s">
        <v>622</v>
      </c>
      <c r="AS1408" s="1" t="s">
        <v>71</v>
      </c>
      <c r="AU1408" s="1" t="s">
        <v>79</v>
      </c>
      <c r="AV1408" s="1" t="s">
        <v>80</v>
      </c>
      <c r="AW1408" s="1">
        <v>64.400000000000006</v>
      </c>
      <c r="AX1408" s="1">
        <v>0</v>
      </c>
      <c r="AZ1408" s="1" t="s">
        <v>81</v>
      </c>
      <c r="BA1408" s="1">
        <v>1</v>
      </c>
      <c r="BB1408" s="1">
        <v>0</v>
      </c>
      <c r="BC1408" s="1">
        <v>0</v>
      </c>
      <c r="BE1408" s="1">
        <v>27246347</v>
      </c>
    </row>
    <row r="1409" spans="1:57" x14ac:dyDescent="0.25">
      <c r="A1409" s="1" t="str">
        <f>T("1945147095162494868")</f>
        <v>1945147095162494868</v>
      </c>
      <c r="B1409" s="1" t="str">
        <f>T("249915357234")</f>
        <v>249915357234</v>
      </c>
      <c r="C1409" s="1" t="str">
        <f>T("1941094502810782196")</f>
        <v>1941094502810782196</v>
      </c>
      <c r="AC1409" s="1" t="s">
        <v>276</v>
      </c>
      <c r="AD1409" s="1" t="s">
        <v>298</v>
      </c>
      <c r="AE1409" s="1" t="s">
        <v>610</v>
      </c>
      <c r="AF1409" s="1" t="s">
        <v>144</v>
      </c>
      <c r="AG1409" s="1">
        <v>24</v>
      </c>
      <c r="AO1409" s="2">
        <v>46276</v>
      </c>
      <c r="AP1409" s="1" t="s">
        <v>592</v>
      </c>
      <c r="AS1409" s="1" t="s">
        <v>71</v>
      </c>
      <c r="AU1409" s="1" t="s">
        <v>72</v>
      </c>
      <c r="AV1409" s="1" t="s">
        <v>437</v>
      </c>
      <c r="AX1409" s="1">
        <v>0</v>
      </c>
      <c r="BA1409" s="1">
        <v>9</v>
      </c>
      <c r="BB1409" s="1">
        <v>0</v>
      </c>
      <c r="BC1409" s="1">
        <v>0</v>
      </c>
      <c r="BE1409" s="1">
        <v>27246347</v>
      </c>
    </row>
    <row r="1410" spans="1:57" x14ac:dyDescent="0.25">
      <c r="A1410" s="1" t="str">
        <f>T("1945147095170880884")</f>
        <v>1945147095170880884</v>
      </c>
      <c r="B1410" s="1" t="str">
        <f>T("249125494017")</f>
        <v>249125494017</v>
      </c>
      <c r="C1410" s="1" t="str">
        <f>T("1941094502810781696")</f>
        <v>1941094502810781696</v>
      </c>
      <c r="AA1410" s="1">
        <v>1</v>
      </c>
      <c r="AC1410" s="1" t="s">
        <v>276</v>
      </c>
      <c r="AD1410" s="1" t="s">
        <v>298</v>
      </c>
      <c r="AE1410" s="1" t="s">
        <v>610</v>
      </c>
      <c r="AF1410" s="1" t="s">
        <v>144</v>
      </c>
      <c r="AG1410" s="1">
        <v>26</v>
      </c>
      <c r="AO1410" s="2">
        <v>46276</v>
      </c>
      <c r="AP1410" s="1" t="s">
        <v>592</v>
      </c>
      <c r="AQ1410" s="2">
        <v>46276</v>
      </c>
      <c r="AR1410" s="1" t="s">
        <v>623</v>
      </c>
      <c r="AS1410" s="1" t="s">
        <v>71</v>
      </c>
      <c r="AU1410" s="1" t="s">
        <v>79</v>
      </c>
      <c r="AV1410" s="1" t="s">
        <v>80</v>
      </c>
      <c r="AW1410" s="1">
        <v>48.26</v>
      </c>
      <c r="AX1410" s="1">
        <v>0</v>
      </c>
      <c r="AZ1410" s="1" t="s">
        <v>81</v>
      </c>
      <c r="BA1410" s="1">
        <v>1</v>
      </c>
      <c r="BB1410" s="1">
        <v>0</v>
      </c>
      <c r="BC1410" s="1">
        <v>0</v>
      </c>
      <c r="BE1410" s="1">
        <v>27246347</v>
      </c>
    </row>
    <row r="1411" spans="1:57" x14ac:dyDescent="0.25">
      <c r="A1411" s="1" t="str">
        <f>T("1945147095208630356")</f>
        <v>1945147095208630356</v>
      </c>
      <c r="B1411" s="1" t="str">
        <f>T("249124239304")</f>
        <v>249124239304</v>
      </c>
      <c r="C1411" s="1" t="str">
        <f>T("1941094502810782596")</f>
        <v>1941094502810782596</v>
      </c>
      <c r="M1411" s="1" t="s">
        <v>59</v>
      </c>
      <c r="O1411" s="1" t="s">
        <v>65</v>
      </c>
      <c r="P1411" s="1" t="s">
        <v>91</v>
      </c>
      <c r="Q1411" s="1" t="s">
        <v>112</v>
      </c>
      <c r="R1411" s="1" t="s">
        <v>93</v>
      </c>
      <c r="T1411" s="1" t="s">
        <v>95</v>
      </c>
      <c r="U1411" s="1" t="s">
        <v>65</v>
      </c>
      <c r="V1411" s="1" t="s">
        <v>103</v>
      </c>
      <c r="W1411" s="1" t="s">
        <v>60</v>
      </c>
      <c r="X1411" s="1" t="s">
        <v>66</v>
      </c>
      <c r="Y1411" s="1" t="s">
        <v>69</v>
      </c>
      <c r="AA1411" s="1">
        <v>1</v>
      </c>
      <c r="AB1411" s="1">
        <v>1</v>
      </c>
      <c r="AC1411" s="1" t="s">
        <v>276</v>
      </c>
      <c r="AD1411" s="1" t="s">
        <v>298</v>
      </c>
      <c r="AE1411" s="1" t="s">
        <v>610</v>
      </c>
      <c r="AF1411" s="1" t="s">
        <v>144</v>
      </c>
      <c r="AG1411" s="1">
        <v>17</v>
      </c>
      <c r="AO1411" s="2">
        <v>46276</v>
      </c>
      <c r="AP1411" s="1" t="s">
        <v>592</v>
      </c>
      <c r="AQ1411" s="2">
        <v>46276</v>
      </c>
      <c r="AR1411" s="1" t="s">
        <v>624</v>
      </c>
      <c r="AS1411" s="1" t="s">
        <v>71</v>
      </c>
      <c r="AU1411" s="1" t="s">
        <v>78</v>
      </c>
      <c r="AV1411" s="1" t="s">
        <v>80</v>
      </c>
      <c r="AW1411" s="1">
        <v>230.52</v>
      </c>
      <c r="AX1411" s="1">
        <v>0</v>
      </c>
      <c r="AZ1411" s="1" t="s">
        <v>81</v>
      </c>
      <c r="BA1411" s="1">
        <v>1</v>
      </c>
      <c r="BB1411" s="1">
        <v>0</v>
      </c>
      <c r="BC1411" s="1">
        <v>0</v>
      </c>
      <c r="BE1411" s="1">
        <v>27246347</v>
      </c>
    </row>
    <row r="1412" spans="1:57" x14ac:dyDescent="0.25">
      <c r="A1412" s="1" t="str">
        <f>T("1945147095217019472")</f>
        <v>1945147095217019472</v>
      </c>
      <c r="B1412" s="1" t="str">
        <f>T("249903993586")</f>
        <v>249903993586</v>
      </c>
      <c r="C1412" s="1" t="str">
        <f>T("1941094502814975304")</f>
        <v>1941094502814975304</v>
      </c>
      <c r="AC1412" s="1" t="s">
        <v>276</v>
      </c>
      <c r="AD1412" s="1" t="s">
        <v>298</v>
      </c>
      <c r="AE1412" s="1" t="s">
        <v>610</v>
      </c>
      <c r="AF1412" s="1" t="s">
        <v>144</v>
      </c>
      <c r="AG1412" s="1">
        <v>21</v>
      </c>
      <c r="AO1412" s="2">
        <v>46276</v>
      </c>
      <c r="AP1412" s="1" t="s">
        <v>592</v>
      </c>
      <c r="AS1412" s="1" t="s">
        <v>71</v>
      </c>
      <c r="AU1412" s="1" t="s">
        <v>72</v>
      </c>
      <c r="AV1412" s="1" t="s">
        <v>73</v>
      </c>
      <c r="AX1412" s="1">
        <v>0</v>
      </c>
      <c r="BA1412" s="1">
        <v>9</v>
      </c>
      <c r="BB1412" s="1">
        <v>0</v>
      </c>
      <c r="BC1412" s="1">
        <v>0</v>
      </c>
      <c r="BE1412" s="1">
        <v>27246347</v>
      </c>
    </row>
    <row r="1413" spans="1:57" x14ac:dyDescent="0.25">
      <c r="A1413" s="1" t="str">
        <f>T("1945147095229601696")</f>
        <v>1945147095229601696</v>
      </c>
      <c r="B1413" s="1" t="str">
        <f>T("249904626863")</f>
        <v>249904626863</v>
      </c>
      <c r="C1413" s="1" t="str">
        <f>T("1941094502814975904")</f>
        <v>1941094502814975904</v>
      </c>
      <c r="AC1413" s="1" t="s">
        <v>276</v>
      </c>
      <c r="AD1413" s="1" t="s">
        <v>298</v>
      </c>
      <c r="AE1413" s="1" t="s">
        <v>610</v>
      </c>
      <c r="AF1413" s="1" t="s">
        <v>144</v>
      </c>
      <c r="AG1413" s="1">
        <v>22</v>
      </c>
      <c r="AO1413" s="2">
        <v>46276</v>
      </c>
      <c r="AP1413" s="1" t="s">
        <v>592</v>
      </c>
      <c r="AS1413" s="1" t="s">
        <v>71</v>
      </c>
      <c r="AU1413" s="1" t="s">
        <v>72</v>
      </c>
      <c r="AV1413" s="1" t="s">
        <v>437</v>
      </c>
      <c r="AX1413" s="1">
        <v>0</v>
      </c>
      <c r="BA1413" s="1">
        <v>9</v>
      </c>
      <c r="BB1413" s="1">
        <v>0</v>
      </c>
      <c r="BC1413" s="1">
        <v>0</v>
      </c>
      <c r="BE1413" s="1">
        <v>27246347</v>
      </c>
    </row>
    <row r="1414" spans="1:57" x14ac:dyDescent="0.25">
      <c r="A1414" s="1" t="str">
        <f>T("1945147095267349868")</f>
        <v>1945147095267349868</v>
      </c>
      <c r="B1414" s="1" t="str">
        <f>T("249960715832")</f>
        <v>249960715832</v>
      </c>
      <c r="C1414" s="1" t="str">
        <f>T("1941094502814976404")</f>
        <v>1941094502814976404</v>
      </c>
      <c r="AC1414" s="1" t="s">
        <v>276</v>
      </c>
      <c r="AD1414" s="1" t="s">
        <v>298</v>
      </c>
      <c r="AE1414" s="1" t="s">
        <v>610</v>
      </c>
      <c r="AF1414" s="1" t="s">
        <v>144</v>
      </c>
      <c r="AG1414" s="1">
        <v>26</v>
      </c>
      <c r="AO1414" s="2">
        <v>46276</v>
      </c>
      <c r="AP1414" s="1" t="s">
        <v>592</v>
      </c>
      <c r="AS1414" s="1" t="s">
        <v>71</v>
      </c>
      <c r="AU1414" s="1" t="s">
        <v>72</v>
      </c>
      <c r="AV1414" s="1" t="s">
        <v>437</v>
      </c>
      <c r="AX1414" s="1">
        <v>0</v>
      </c>
      <c r="BA1414" s="1">
        <v>9</v>
      </c>
      <c r="BB1414" s="1">
        <v>0</v>
      </c>
      <c r="BC1414" s="1">
        <v>0</v>
      </c>
      <c r="BE1414" s="1">
        <v>27246347</v>
      </c>
    </row>
    <row r="1415" spans="1:57" x14ac:dyDescent="0.25">
      <c r="A1415" s="1" t="str">
        <f>T("1945147095267350868")</f>
        <v>1945147095267350868</v>
      </c>
      <c r="B1415" s="1" t="str">
        <f>T("249117540866")</f>
        <v>249117540866</v>
      </c>
      <c r="C1415" s="1" t="str">
        <f>T("1941094502814978004")</f>
        <v>1941094502814978004</v>
      </c>
      <c r="AA1415" s="1">
        <v>1</v>
      </c>
      <c r="AC1415" s="1" t="s">
        <v>276</v>
      </c>
      <c r="AD1415" s="1" t="s">
        <v>298</v>
      </c>
      <c r="AE1415" s="1" t="s">
        <v>610</v>
      </c>
      <c r="AF1415" s="1" t="s">
        <v>144</v>
      </c>
      <c r="AG1415" s="1">
        <v>23</v>
      </c>
      <c r="AO1415" s="2">
        <v>46276</v>
      </c>
      <c r="AP1415" s="1" t="s">
        <v>592</v>
      </c>
      <c r="AQ1415" s="2">
        <v>46276</v>
      </c>
      <c r="AR1415" s="1" t="s">
        <v>625</v>
      </c>
      <c r="AS1415" s="1" t="s">
        <v>71</v>
      </c>
      <c r="AU1415" s="1" t="s">
        <v>79</v>
      </c>
      <c r="AV1415" s="1" t="s">
        <v>80</v>
      </c>
      <c r="AW1415" s="1">
        <v>46.02</v>
      </c>
      <c r="AX1415" s="1">
        <v>0</v>
      </c>
      <c r="AZ1415" s="1" t="s">
        <v>81</v>
      </c>
      <c r="BA1415" s="1">
        <v>1</v>
      </c>
      <c r="BB1415" s="1">
        <v>0</v>
      </c>
      <c r="BC1415" s="1">
        <v>0</v>
      </c>
      <c r="BE1415" s="1">
        <v>27246347</v>
      </c>
    </row>
    <row r="1416" spans="1:57" x14ac:dyDescent="0.25">
      <c r="A1416" s="1" t="str">
        <f>T("1945147095279932492")</f>
        <v>1945147095279932492</v>
      </c>
      <c r="B1416" s="1" t="str">
        <f>T("249121804145")</f>
        <v>249121804145</v>
      </c>
      <c r="C1416" s="1" t="str">
        <f>T("1941094502819172012")</f>
        <v>1941094502819172012</v>
      </c>
      <c r="M1416" s="1" t="s">
        <v>59</v>
      </c>
      <c r="O1416" s="1" t="s">
        <v>65</v>
      </c>
      <c r="P1416" s="1" t="s">
        <v>83</v>
      </c>
      <c r="Q1416" s="1" t="s">
        <v>112</v>
      </c>
      <c r="R1416" s="1" t="s">
        <v>93</v>
      </c>
      <c r="T1416" s="1" t="s">
        <v>95</v>
      </c>
      <c r="U1416" s="1" t="s">
        <v>65</v>
      </c>
      <c r="AA1416" s="1">
        <v>1</v>
      </c>
      <c r="AC1416" s="1" t="s">
        <v>276</v>
      </c>
      <c r="AD1416" s="1" t="s">
        <v>298</v>
      </c>
      <c r="AE1416" s="1" t="s">
        <v>610</v>
      </c>
      <c r="AF1416" s="1" t="s">
        <v>144</v>
      </c>
      <c r="AG1416" s="1">
        <v>19</v>
      </c>
      <c r="AO1416" s="2">
        <v>46276</v>
      </c>
      <c r="AP1416" s="1" t="s">
        <v>592</v>
      </c>
      <c r="AQ1416" s="2">
        <v>46276</v>
      </c>
      <c r="AR1416" s="1" t="s">
        <v>626</v>
      </c>
      <c r="AS1416" s="1" t="s">
        <v>71</v>
      </c>
      <c r="AU1416" s="1" t="s">
        <v>79</v>
      </c>
      <c r="AV1416" s="1" t="s">
        <v>80</v>
      </c>
      <c r="AW1416" s="1">
        <v>179.26</v>
      </c>
      <c r="AX1416" s="1">
        <v>0</v>
      </c>
      <c r="AZ1416" s="1" t="s">
        <v>81</v>
      </c>
      <c r="BA1416" s="1">
        <v>1</v>
      </c>
      <c r="BB1416" s="1">
        <v>0</v>
      </c>
      <c r="BC1416" s="1">
        <v>0</v>
      </c>
      <c r="BE1416" s="1">
        <v>27246347</v>
      </c>
    </row>
    <row r="1417" spans="1:57" x14ac:dyDescent="0.25">
      <c r="A1417" s="1" t="str">
        <f>T("1945147095317683664")</f>
        <v>1945147095317683664</v>
      </c>
      <c r="B1417" s="1" t="str">
        <f>T("249911527372")</f>
        <v>249911527372</v>
      </c>
      <c r="C1417" s="1" t="str">
        <f>T("1941094502823364020")</f>
        <v>1941094502823364020</v>
      </c>
      <c r="AC1417" s="1" t="s">
        <v>276</v>
      </c>
      <c r="AD1417" s="1" t="s">
        <v>298</v>
      </c>
      <c r="AE1417" s="1" t="s">
        <v>610</v>
      </c>
      <c r="AF1417" s="1" t="s">
        <v>144</v>
      </c>
      <c r="AG1417" s="1">
        <v>20</v>
      </c>
      <c r="AO1417" s="2">
        <v>46276</v>
      </c>
      <c r="AP1417" s="1" t="s">
        <v>592</v>
      </c>
      <c r="AS1417" s="1" t="s">
        <v>71</v>
      </c>
      <c r="AU1417" s="1" t="s">
        <v>72</v>
      </c>
      <c r="AV1417" s="1" t="s">
        <v>73</v>
      </c>
      <c r="AX1417" s="1">
        <v>0</v>
      </c>
      <c r="BA1417" s="1">
        <v>9</v>
      </c>
      <c r="BB1417" s="1">
        <v>0</v>
      </c>
      <c r="BC1417" s="1">
        <v>0</v>
      </c>
      <c r="BE1417" s="1">
        <v>27246347</v>
      </c>
    </row>
    <row r="1418" spans="1:57" x14ac:dyDescent="0.25">
      <c r="A1418" s="1" t="str">
        <f>T("1945147095326071780")</f>
        <v>1945147095326071780</v>
      </c>
      <c r="B1418" s="1" t="str">
        <f>T("249908829141")</f>
        <v>249908829141</v>
      </c>
      <c r="C1418" s="1" t="str">
        <f>T("1941094502823364520")</f>
        <v>1941094502823364520</v>
      </c>
      <c r="AC1418" s="1" t="s">
        <v>276</v>
      </c>
      <c r="AD1418" s="1" t="s">
        <v>298</v>
      </c>
      <c r="AE1418" s="1" t="s">
        <v>610</v>
      </c>
      <c r="AF1418" s="1" t="s">
        <v>144</v>
      </c>
      <c r="AG1418" s="1">
        <v>25</v>
      </c>
      <c r="AO1418" s="2">
        <v>46276</v>
      </c>
      <c r="AP1418" s="1" t="s">
        <v>592</v>
      </c>
      <c r="AS1418" s="1" t="s">
        <v>71</v>
      </c>
      <c r="AU1418" s="1" t="s">
        <v>72</v>
      </c>
      <c r="AV1418" s="1" t="s">
        <v>73</v>
      </c>
      <c r="AX1418" s="1">
        <v>0</v>
      </c>
      <c r="BA1418" s="1">
        <v>9</v>
      </c>
      <c r="BB1418" s="1">
        <v>0</v>
      </c>
      <c r="BC1418" s="1">
        <v>0</v>
      </c>
      <c r="BE1418" s="1">
        <v>27246347</v>
      </c>
    </row>
    <row r="1419" spans="1:57" x14ac:dyDescent="0.25">
      <c r="A1419" s="1" t="str">
        <f>T("1945147095330266588")</f>
        <v>1945147095330266588</v>
      </c>
      <c r="B1419" s="1" t="str">
        <f>T("249125596358")</f>
        <v>249125596358</v>
      </c>
      <c r="C1419" s="1" t="str">
        <f>T("1941094502823365220")</f>
        <v>1941094502823365220</v>
      </c>
      <c r="AC1419" s="1" t="s">
        <v>276</v>
      </c>
      <c r="AD1419" s="1" t="s">
        <v>298</v>
      </c>
      <c r="AE1419" s="1" t="s">
        <v>610</v>
      </c>
      <c r="AF1419" s="1" t="s">
        <v>144</v>
      </c>
      <c r="AG1419" s="1">
        <v>20</v>
      </c>
      <c r="AO1419" s="2">
        <v>46276</v>
      </c>
      <c r="AP1419" s="1" t="s">
        <v>592</v>
      </c>
      <c r="AQ1419" s="2">
        <v>46276</v>
      </c>
      <c r="AR1419" s="1" t="s">
        <v>627</v>
      </c>
      <c r="AS1419" s="1" t="s">
        <v>71</v>
      </c>
      <c r="AU1419" s="1" t="s">
        <v>79</v>
      </c>
      <c r="AV1419" s="1" t="s">
        <v>80</v>
      </c>
      <c r="AW1419" s="1">
        <v>14.9</v>
      </c>
      <c r="AX1419" s="1">
        <v>0</v>
      </c>
      <c r="AZ1419" s="1" t="s">
        <v>81</v>
      </c>
      <c r="BA1419" s="1">
        <v>4</v>
      </c>
      <c r="BB1419" s="1">
        <v>0</v>
      </c>
      <c r="BC1419" s="1">
        <v>0</v>
      </c>
      <c r="BE1419" s="1">
        <v>27246347</v>
      </c>
    </row>
    <row r="1420" spans="1:57" x14ac:dyDescent="0.25">
      <c r="A1420" s="1" t="str">
        <f>T("1945147095368015160")</f>
        <v>1945147095368015160</v>
      </c>
      <c r="B1420" s="1" t="str">
        <f>T("249113442987")</f>
        <v>249113442987</v>
      </c>
      <c r="C1420" s="1" t="str">
        <f>T("1941094502823366620")</f>
        <v>1941094502823366620</v>
      </c>
      <c r="AC1420" s="1" t="s">
        <v>276</v>
      </c>
      <c r="AD1420" s="1" t="s">
        <v>298</v>
      </c>
      <c r="AE1420" s="1" t="s">
        <v>610</v>
      </c>
      <c r="AF1420" s="1" t="s">
        <v>144</v>
      </c>
      <c r="AG1420" s="1">
        <v>30</v>
      </c>
      <c r="AO1420" s="2">
        <v>46276</v>
      </c>
      <c r="AP1420" s="1" t="s">
        <v>592</v>
      </c>
      <c r="AQ1420" s="2">
        <v>46276</v>
      </c>
      <c r="AR1420" s="1" t="s">
        <v>628</v>
      </c>
      <c r="AS1420" s="1" t="s">
        <v>71</v>
      </c>
      <c r="AU1420" s="1" t="s">
        <v>79</v>
      </c>
      <c r="AV1420" s="1" t="s">
        <v>80</v>
      </c>
      <c r="AW1420" s="1">
        <v>12.1</v>
      </c>
      <c r="AX1420" s="1">
        <v>0</v>
      </c>
      <c r="AZ1420" s="1" t="s">
        <v>81</v>
      </c>
      <c r="BA1420" s="1">
        <v>1</v>
      </c>
      <c r="BB1420" s="1">
        <v>0</v>
      </c>
      <c r="BC1420" s="1">
        <v>0</v>
      </c>
      <c r="BE1420" s="1">
        <v>27246347</v>
      </c>
    </row>
    <row r="1421" spans="1:57" x14ac:dyDescent="0.25">
      <c r="A1421" s="1" t="str">
        <f>T("1945147095388983600")</f>
        <v>1945147095388983600</v>
      </c>
      <c r="B1421" s="1" t="str">
        <f>T("249110746342")</f>
        <v>249110746342</v>
      </c>
      <c r="C1421" s="1" t="str">
        <f>T("1941094502827557928")</f>
        <v>1941094502827557928</v>
      </c>
      <c r="AC1421" s="1" t="s">
        <v>276</v>
      </c>
      <c r="AD1421" s="1" t="s">
        <v>298</v>
      </c>
      <c r="AE1421" s="1" t="s">
        <v>610</v>
      </c>
      <c r="AF1421" s="1" t="s">
        <v>144</v>
      </c>
      <c r="AG1421" s="1">
        <v>27</v>
      </c>
      <c r="AO1421" s="2">
        <v>46276</v>
      </c>
      <c r="AP1421" s="1" t="s">
        <v>592</v>
      </c>
      <c r="AQ1421" s="2">
        <v>46276</v>
      </c>
      <c r="AR1421" s="1" t="s">
        <v>629</v>
      </c>
      <c r="AS1421" s="1" t="s">
        <v>71</v>
      </c>
      <c r="AU1421" s="1" t="s">
        <v>79</v>
      </c>
      <c r="AV1421" s="1" t="s">
        <v>80</v>
      </c>
      <c r="AW1421" s="1">
        <v>35.06</v>
      </c>
      <c r="AX1421" s="1">
        <v>0</v>
      </c>
      <c r="AZ1421" s="1" t="s">
        <v>81</v>
      </c>
      <c r="BA1421" s="1">
        <v>6</v>
      </c>
      <c r="BB1421" s="1">
        <v>0</v>
      </c>
      <c r="BC1421" s="1">
        <v>0</v>
      </c>
      <c r="BE1421" s="1">
        <v>27246347</v>
      </c>
    </row>
    <row r="1422" spans="1:57" x14ac:dyDescent="0.25">
      <c r="A1422" s="1" t="str">
        <f>T("1945147095388985900")</f>
        <v>1945147095388985900</v>
      </c>
      <c r="B1422" s="1" t="str">
        <f>T("249918069270")</f>
        <v>249918069270</v>
      </c>
      <c r="C1422" s="1" t="str">
        <f>T("1941094502827557428")</f>
        <v>1941094502827557428</v>
      </c>
      <c r="AC1422" s="1" t="s">
        <v>276</v>
      </c>
      <c r="AD1422" s="1" t="s">
        <v>298</v>
      </c>
      <c r="AE1422" s="1" t="s">
        <v>610</v>
      </c>
      <c r="AF1422" s="1" t="s">
        <v>144</v>
      </c>
      <c r="AG1422" s="1">
        <v>20</v>
      </c>
      <c r="AO1422" s="2">
        <v>46276</v>
      </c>
      <c r="AP1422" s="1" t="s">
        <v>592</v>
      </c>
      <c r="AS1422" s="1" t="s">
        <v>71</v>
      </c>
      <c r="AU1422" s="1" t="s">
        <v>72</v>
      </c>
      <c r="AV1422" s="1" t="s">
        <v>437</v>
      </c>
      <c r="AX1422" s="1">
        <v>0</v>
      </c>
      <c r="BA1422" s="1">
        <v>9</v>
      </c>
      <c r="BB1422" s="1">
        <v>0</v>
      </c>
      <c r="BC1422" s="1">
        <v>0</v>
      </c>
      <c r="BE1422" s="1">
        <v>27246347</v>
      </c>
    </row>
    <row r="1423" spans="1:57" x14ac:dyDescent="0.25">
      <c r="A1423" s="1" t="str">
        <f>T("1945147095422540364")</f>
        <v>1945147095422540364</v>
      </c>
      <c r="B1423" s="1" t="str">
        <f>T("249903821790")</f>
        <v>249903821790</v>
      </c>
      <c r="C1423" s="1" t="str">
        <f>T("1941094502831752836")</f>
        <v>1941094502831752836</v>
      </c>
      <c r="AC1423" s="1" t="s">
        <v>276</v>
      </c>
      <c r="AD1423" s="1" t="s">
        <v>298</v>
      </c>
      <c r="AE1423" s="1" t="s">
        <v>610</v>
      </c>
      <c r="AF1423" s="1" t="s">
        <v>144</v>
      </c>
      <c r="AG1423" s="1">
        <v>21</v>
      </c>
      <c r="AO1423" s="2">
        <v>46276</v>
      </c>
      <c r="AP1423" s="1" t="s">
        <v>592</v>
      </c>
      <c r="AS1423" s="1" t="s">
        <v>71</v>
      </c>
      <c r="AU1423" s="1" t="s">
        <v>72</v>
      </c>
      <c r="AV1423" s="1" t="s">
        <v>73</v>
      </c>
      <c r="AX1423" s="1">
        <v>0</v>
      </c>
      <c r="BA1423" s="1">
        <v>9</v>
      </c>
      <c r="BB1423" s="1">
        <v>0</v>
      </c>
      <c r="BC1423" s="1">
        <v>0</v>
      </c>
      <c r="BE1423" s="1">
        <v>27246347</v>
      </c>
    </row>
    <row r="1424" spans="1:57" x14ac:dyDescent="0.25">
      <c r="A1424" s="1" t="str">
        <f>T("1945192384552440624")</f>
        <v>1945192384552440624</v>
      </c>
      <c r="B1424" s="1" t="str">
        <f>T("249122735488")</f>
        <v>249122735488</v>
      </c>
      <c r="C1424" s="1" t="str">
        <f>T("1941094502831753236")</f>
        <v>1941094502831753236</v>
      </c>
      <c r="AC1424" s="1" t="s">
        <v>276</v>
      </c>
      <c r="AD1424" s="1" t="s">
        <v>298</v>
      </c>
      <c r="AE1424" s="1" t="s">
        <v>610</v>
      </c>
      <c r="AF1424" s="1" t="s">
        <v>144</v>
      </c>
      <c r="AG1424" s="1">
        <v>25</v>
      </c>
      <c r="AO1424" s="2">
        <v>46276</v>
      </c>
      <c r="AP1424" s="1" t="s">
        <v>226</v>
      </c>
      <c r="AQ1424" s="2">
        <v>46276</v>
      </c>
      <c r="AR1424" s="1" t="s">
        <v>630</v>
      </c>
      <c r="AS1424" s="1" t="s">
        <v>71</v>
      </c>
      <c r="AU1424" s="1" t="s">
        <v>79</v>
      </c>
      <c r="AV1424" s="1" t="s">
        <v>80</v>
      </c>
      <c r="AW1424" s="1">
        <v>13.06</v>
      </c>
      <c r="AX1424" s="1">
        <v>0</v>
      </c>
      <c r="AZ1424" s="1" t="s">
        <v>81</v>
      </c>
      <c r="BA1424" s="1">
        <v>1</v>
      </c>
      <c r="BB1424" s="1">
        <v>0</v>
      </c>
      <c r="BC1424" s="1">
        <v>0</v>
      </c>
      <c r="BE1424" s="1">
        <v>27246367</v>
      </c>
    </row>
    <row r="1425" spans="1:57" x14ac:dyDescent="0.25">
      <c r="A1425" s="1" t="str">
        <f>T("1945192384565024748")</f>
        <v>1945192384565024748</v>
      </c>
      <c r="B1425" s="1" t="str">
        <f>T("249127029649")</f>
        <v>249127029649</v>
      </c>
      <c r="C1425" s="1" t="str">
        <f>T("1941094502831753536")</f>
        <v>1941094502831753536</v>
      </c>
      <c r="AA1425" s="1">
        <v>1</v>
      </c>
      <c r="AC1425" s="1" t="s">
        <v>276</v>
      </c>
      <c r="AD1425" s="1" t="s">
        <v>298</v>
      </c>
      <c r="AE1425" s="1" t="s">
        <v>610</v>
      </c>
      <c r="AF1425" s="1" t="s">
        <v>144</v>
      </c>
      <c r="AG1425" s="1">
        <v>30</v>
      </c>
      <c r="AO1425" s="2">
        <v>46276</v>
      </c>
      <c r="AP1425" s="1" t="s">
        <v>226</v>
      </c>
      <c r="AQ1425" s="2">
        <v>46276</v>
      </c>
      <c r="AR1425" s="1" t="s">
        <v>631</v>
      </c>
      <c r="AS1425" s="1" t="s">
        <v>71</v>
      </c>
      <c r="AU1425" s="1" t="s">
        <v>79</v>
      </c>
      <c r="AV1425" s="1" t="s">
        <v>80</v>
      </c>
      <c r="AW1425" s="1">
        <v>43.56</v>
      </c>
      <c r="AX1425" s="1">
        <v>0</v>
      </c>
      <c r="AZ1425" s="1" t="s">
        <v>81</v>
      </c>
      <c r="BA1425" s="1">
        <v>1</v>
      </c>
      <c r="BB1425" s="1">
        <v>0</v>
      </c>
      <c r="BC1425" s="1">
        <v>0</v>
      </c>
      <c r="BE1425" s="1">
        <v>27246367</v>
      </c>
    </row>
    <row r="1426" spans="1:57" x14ac:dyDescent="0.25">
      <c r="A1426" s="1" t="str">
        <f>T("1945192384569219156")</f>
        <v>1945192384569219156</v>
      </c>
      <c r="B1426" s="1" t="str">
        <f>T("249110365225")</f>
        <v>249110365225</v>
      </c>
      <c r="C1426" s="1" t="str">
        <f>T("1941094502831753936")</f>
        <v>1941094502831753936</v>
      </c>
      <c r="AC1426" s="1" t="s">
        <v>276</v>
      </c>
      <c r="AD1426" s="1" t="s">
        <v>298</v>
      </c>
      <c r="AE1426" s="1" t="s">
        <v>610</v>
      </c>
      <c r="AF1426" s="1" t="s">
        <v>144</v>
      </c>
      <c r="AG1426" s="1">
        <v>22</v>
      </c>
      <c r="AO1426" s="2">
        <v>46276</v>
      </c>
      <c r="AP1426" s="1" t="s">
        <v>226</v>
      </c>
      <c r="AS1426" s="1" t="s">
        <v>71</v>
      </c>
      <c r="AU1426" s="1" t="s">
        <v>72</v>
      </c>
      <c r="AV1426" s="1" t="s">
        <v>73</v>
      </c>
      <c r="AX1426" s="1">
        <v>0</v>
      </c>
      <c r="BA1426" s="1">
        <v>9</v>
      </c>
      <c r="BB1426" s="1">
        <v>0</v>
      </c>
      <c r="BC1426" s="1">
        <v>0</v>
      </c>
      <c r="BE1426" s="1">
        <v>27246367</v>
      </c>
    </row>
    <row r="1427" spans="1:57" x14ac:dyDescent="0.25">
      <c r="A1427" s="1" t="str">
        <f>T("1945192384703437712")</f>
        <v>1945192384703437712</v>
      </c>
      <c r="B1427" s="1" t="str">
        <f>T("249965937612")</f>
        <v>249965937612</v>
      </c>
      <c r="C1427" s="1" t="str">
        <f>T("1941094502831754636")</f>
        <v>1941094502831754636</v>
      </c>
      <c r="AC1427" s="1" t="s">
        <v>276</v>
      </c>
      <c r="AD1427" s="1" t="s">
        <v>298</v>
      </c>
      <c r="AE1427" s="1" t="s">
        <v>526</v>
      </c>
      <c r="AF1427" s="1" t="s">
        <v>144</v>
      </c>
      <c r="AG1427" s="1">
        <v>29</v>
      </c>
      <c r="AO1427" s="2">
        <v>46276</v>
      </c>
      <c r="AP1427" s="1" t="s">
        <v>226</v>
      </c>
      <c r="AS1427" s="1" t="s">
        <v>71</v>
      </c>
      <c r="AU1427" s="1" t="s">
        <v>72</v>
      </c>
      <c r="AV1427" s="1" t="s">
        <v>437</v>
      </c>
      <c r="AX1427" s="1">
        <v>0</v>
      </c>
      <c r="BA1427" s="1">
        <v>9</v>
      </c>
      <c r="BB1427" s="1">
        <v>0</v>
      </c>
      <c r="BC1427" s="1">
        <v>0</v>
      </c>
      <c r="BE1427" s="1">
        <v>27246367</v>
      </c>
    </row>
    <row r="1428" spans="1:57" x14ac:dyDescent="0.25">
      <c r="A1428" s="1" t="str">
        <f>T("1945192384703438012")</f>
        <v>1945192384703438012</v>
      </c>
      <c r="B1428" s="1" t="str">
        <f>T("249968808558")</f>
        <v>249968808558</v>
      </c>
      <c r="C1428" s="1" t="str">
        <f>T("1941094502835945544")</f>
        <v>1941094502835945544</v>
      </c>
      <c r="AC1428" s="1" t="s">
        <v>276</v>
      </c>
      <c r="AD1428" s="1" t="s">
        <v>298</v>
      </c>
      <c r="AE1428" s="1" t="s">
        <v>526</v>
      </c>
      <c r="AF1428" s="1" t="s">
        <v>144</v>
      </c>
      <c r="AG1428" s="1">
        <v>30</v>
      </c>
      <c r="AO1428" s="2">
        <v>46276</v>
      </c>
      <c r="AP1428" s="1" t="s">
        <v>226</v>
      </c>
      <c r="AS1428" s="1" t="s">
        <v>71</v>
      </c>
      <c r="AU1428" s="1" t="s">
        <v>72</v>
      </c>
      <c r="AV1428" s="1" t="s">
        <v>73</v>
      </c>
      <c r="AX1428" s="1">
        <v>0</v>
      </c>
      <c r="BA1428" s="1">
        <v>9</v>
      </c>
      <c r="BB1428" s="1">
        <v>0</v>
      </c>
      <c r="BC1428" s="1">
        <v>0</v>
      </c>
      <c r="BE1428" s="1">
        <v>27246367</v>
      </c>
    </row>
    <row r="1429" spans="1:57" x14ac:dyDescent="0.25">
      <c r="A1429" s="1" t="str">
        <f>T("1945192384703438112")</f>
        <v>1945192384703438112</v>
      </c>
      <c r="B1429" s="1" t="str">
        <f>T("249914079912")</f>
        <v>249914079912</v>
      </c>
      <c r="C1429" s="1" t="str">
        <f>T("1941094502831754936")</f>
        <v>1941094502831754936</v>
      </c>
      <c r="AC1429" s="1" t="s">
        <v>276</v>
      </c>
      <c r="AD1429" s="1" t="s">
        <v>298</v>
      </c>
      <c r="AE1429" s="1" t="s">
        <v>526</v>
      </c>
      <c r="AF1429" s="1" t="s">
        <v>144</v>
      </c>
      <c r="AG1429" s="1">
        <v>35</v>
      </c>
      <c r="AO1429" s="2">
        <v>46276</v>
      </c>
      <c r="AP1429" s="1" t="s">
        <v>226</v>
      </c>
      <c r="AS1429" s="1" t="s">
        <v>71</v>
      </c>
      <c r="AU1429" s="1" t="s">
        <v>72</v>
      </c>
      <c r="AV1429" s="1" t="s">
        <v>437</v>
      </c>
      <c r="AX1429" s="1">
        <v>0</v>
      </c>
      <c r="BA1429" s="1">
        <v>9</v>
      </c>
      <c r="BB1429" s="1">
        <v>0</v>
      </c>
      <c r="BC1429" s="1">
        <v>0</v>
      </c>
      <c r="BE1429" s="1">
        <v>27246367</v>
      </c>
    </row>
    <row r="1430" spans="1:57" x14ac:dyDescent="0.25">
      <c r="A1430" s="1" t="str">
        <f>T("1945192384711827128")</f>
        <v>1945192384711827128</v>
      </c>
      <c r="B1430" s="1" t="str">
        <f>T("249900092863")</f>
        <v>249900092863</v>
      </c>
      <c r="C1430" s="1" t="str">
        <f>T("1941094502831754236")</f>
        <v>1941094502831754236</v>
      </c>
      <c r="AC1430" s="1" t="s">
        <v>276</v>
      </c>
      <c r="AD1430" s="1" t="s">
        <v>298</v>
      </c>
      <c r="AE1430" s="1" t="s">
        <v>610</v>
      </c>
      <c r="AF1430" s="1" t="s">
        <v>144</v>
      </c>
      <c r="AG1430" s="1">
        <v>25</v>
      </c>
      <c r="AO1430" s="2">
        <v>46276</v>
      </c>
      <c r="AP1430" s="1" t="s">
        <v>226</v>
      </c>
      <c r="AS1430" s="1" t="s">
        <v>71</v>
      </c>
      <c r="AU1430" s="1" t="s">
        <v>72</v>
      </c>
      <c r="AV1430" s="1" t="s">
        <v>73</v>
      </c>
      <c r="AX1430" s="1">
        <v>0</v>
      </c>
      <c r="BA1430" s="1">
        <v>9</v>
      </c>
      <c r="BB1430" s="1">
        <v>0</v>
      </c>
      <c r="BC1430" s="1">
        <v>0</v>
      </c>
      <c r="BE1430" s="1">
        <v>27246367</v>
      </c>
    </row>
    <row r="1431" spans="1:57" x14ac:dyDescent="0.25">
      <c r="A1431" s="1" t="str">
        <f>T("1945192384841847976")</f>
        <v>1945192384841847976</v>
      </c>
      <c r="B1431" s="1" t="str">
        <f>T("249908591854")</f>
        <v>249908591854</v>
      </c>
      <c r="C1431" s="1" t="str">
        <f>T("1941094502835945944")</f>
        <v>1941094502835945944</v>
      </c>
      <c r="AC1431" s="1" t="s">
        <v>276</v>
      </c>
      <c r="AD1431" s="1" t="s">
        <v>298</v>
      </c>
      <c r="AE1431" s="1" t="s">
        <v>526</v>
      </c>
      <c r="AF1431" s="1" t="s">
        <v>144</v>
      </c>
      <c r="AG1431" s="1">
        <v>28</v>
      </c>
      <c r="AO1431" s="2">
        <v>46276</v>
      </c>
      <c r="AP1431" s="1" t="s">
        <v>226</v>
      </c>
      <c r="AS1431" s="1" t="s">
        <v>71</v>
      </c>
      <c r="AU1431" s="1" t="s">
        <v>72</v>
      </c>
      <c r="AV1431" s="1" t="s">
        <v>73</v>
      </c>
      <c r="AX1431" s="1">
        <v>0</v>
      </c>
      <c r="BA1431" s="1">
        <v>9</v>
      </c>
      <c r="BB1431" s="1">
        <v>0</v>
      </c>
      <c r="BC1431" s="1">
        <v>0</v>
      </c>
      <c r="BE1431" s="1">
        <v>27246367</v>
      </c>
    </row>
    <row r="1432" spans="1:57" x14ac:dyDescent="0.25">
      <c r="A1432" s="1" t="str">
        <f>T("1945192384841848776")</f>
        <v>1945192384841848776</v>
      </c>
      <c r="B1432" s="1" t="str">
        <f>T("249916406278")</f>
        <v>249916406278</v>
      </c>
      <c r="C1432" s="1" t="str">
        <f>T("1941094502835947344")</f>
        <v>1941094502835947344</v>
      </c>
      <c r="AC1432" s="1" t="s">
        <v>276</v>
      </c>
      <c r="AD1432" s="1" t="s">
        <v>298</v>
      </c>
      <c r="AE1432" s="1" t="s">
        <v>526</v>
      </c>
      <c r="AF1432" s="1" t="s">
        <v>144</v>
      </c>
      <c r="AG1432" s="1">
        <v>32</v>
      </c>
      <c r="AO1432" s="2">
        <v>46276</v>
      </c>
      <c r="AP1432" s="1" t="s">
        <v>226</v>
      </c>
      <c r="AS1432" s="1" t="s">
        <v>71</v>
      </c>
      <c r="AU1432" s="1" t="s">
        <v>72</v>
      </c>
      <c r="AV1432" s="1" t="s">
        <v>437</v>
      </c>
      <c r="AX1432" s="1">
        <v>0</v>
      </c>
      <c r="BA1432" s="1">
        <v>9</v>
      </c>
      <c r="BB1432" s="1">
        <v>0</v>
      </c>
      <c r="BC1432" s="1">
        <v>0</v>
      </c>
      <c r="BE1432" s="1">
        <v>27246367</v>
      </c>
    </row>
    <row r="1433" spans="1:57" x14ac:dyDescent="0.25">
      <c r="A1433" s="1" t="str">
        <f>T("1945192384850237392")</f>
        <v>1945192384850237392</v>
      </c>
      <c r="B1433" s="1" t="str">
        <f>T("249961809335")</f>
        <v>249961809335</v>
      </c>
      <c r="C1433" s="1" t="str">
        <f>T("1941094502840142152")</f>
        <v>1941094502840142152</v>
      </c>
      <c r="AC1433" s="1" t="s">
        <v>276</v>
      </c>
      <c r="AD1433" s="1" t="s">
        <v>298</v>
      </c>
      <c r="AE1433" s="1" t="s">
        <v>526</v>
      </c>
      <c r="AF1433" s="1" t="s">
        <v>144</v>
      </c>
      <c r="AG1433" s="1">
        <v>18</v>
      </c>
      <c r="AO1433" s="2">
        <v>46276</v>
      </c>
      <c r="AP1433" s="1" t="s">
        <v>226</v>
      </c>
      <c r="AS1433" s="1" t="s">
        <v>71</v>
      </c>
      <c r="AU1433" s="1" t="s">
        <v>72</v>
      </c>
      <c r="AV1433" s="1" t="s">
        <v>437</v>
      </c>
      <c r="AX1433" s="1">
        <v>0</v>
      </c>
      <c r="BA1433" s="1">
        <v>9</v>
      </c>
      <c r="BB1433" s="1">
        <v>0</v>
      </c>
      <c r="BC1433" s="1">
        <v>0</v>
      </c>
      <c r="BE1433" s="1">
        <v>27246367</v>
      </c>
    </row>
    <row r="1434" spans="1:57" x14ac:dyDescent="0.25">
      <c r="A1434" s="1" t="str">
        <f>T("1945192384850237992")</f>
        <v>1945192384850237992</v>
      </c>
      <c r="B1434" s="1" t="str">
        <f>T("249902015669")</f>
        <v>249902015669</v>
      </c>
      <c r="C1434" s="1" t="str">
        <f>T("1941094502835947944")</f>
        <v>1941094502835947944</v>
      </c>
      <c r="AC1434" s="1" t="s">
        <v>276</v>
      </c>
      <c r="AD1434" s="1" t="s">
        <v>298</v>
      </c>
      <c r="AE1434" s="1" t="s">
        <v>526</v>
      </c>
      <c r="AF1434" s="1" t="s">
        <v>144</v>
      </c>
      <c r="AG1434" s="1">
        <v>21</v>
      </c>
      <c r="AO1434" s="2">
        <v>46276</v>
      </c>
      <c r="AP1434" s="1" t="s">
        <v>226</v>
      </c>
      <c r="AS1434" s="1" t="s">
        <v>71</v>
      </c>
      <c r="AU1434" s="1" t="s">
        <v>72</v>
      </c>
      <c r="AV1434" s="1" t="s">
        <v>437</v>
      </c>
      <c r="AX1434" s="1">
        <v>0</v>
      </c>
      <c r="BA1434" s="1">
        <v>9</v>
      </c>
      <c r="BB1434" s="1">
        <v>0</v>
      </c>
      <c r="BC1434" s="1">
        <v>0</v>
      </c>
      <c r="BE1434" s="1">
        <v>27246367</v>
      </c>
    </row>
    <row r="1435" spans="1:57" x14ac:dyDescent="0.25">
      <c r="A1435" s="1" t="str">
        <f>T("1945192385030590936")</f>
        <v>1945192385030590936</v>
      </c>
      <c r="B1435" s="1" t="str">
        <f>T("249908572527")</f>
        <v>249908572527</v>
      </c>
      <c r="C1435" s="1" t="str">
        <f>T("1941094502844336260")</f>
        <v>1941094502844336260</v>
      </c>
      <c r="AC1435" s="1" t="s">
        <v>276</v>
      </c>
      <c r="AD1435" s="1" t="s">
        <v>298</v>
      </c>
      <c r="AE1435" s="1" t="s">
        <v>526</v>
      </c>
      <c r="AF1435" s="1" t="s">
        <v>144</v>
      </c>
      <c r="AG1435" s="1">
        <v>20</v>
      </c>
      <c r="AO1435" s="2">
        <v>46276</v>
      </c>
      <c r="AP1435" s="1" t="s">
        <v>226</v>
      </c>
      <c r="AS1435" s="1" t="s">
        <v>71</v>
      </c>
      <c r="AU1435" s="1" t="s">
        <v>72</v>
      </c>
      <c r="AV1435" s="1" t="s">
        <v>73</v>
      </c>
      <c r="AX1435" s="1">
        <v>0</v>
      </c>
      <c r="BA1435" s="1">
        <v>9</v>
      </c>
      <c r="BB1435" s="1">
        <v>0</v>
      </c>
      <c r="BC1435" s="1">
        <v>0</v>
      </c>
      <c r="BE1435" s="1">
        <v>27246367</v>
      </c>
    </row>
    <row r="1436" spans="1:57" x14ac:dyDescent="0.25">
      <c r="A1436" s="1" t="str">
        <f>T("1945192385030593736")</f>
        <v>1945192385030593736</v>
      </c>
      <c r="B1436" s="1" t="str">
        <f>T("249903884429")</f>
        <v>249903884429</v>
      </c>
      <c r="C1436" s="1" t="str">
        <f>T("1941094502844334860")</f>
        <v>1941094502844334860</v>
      </c>
      <c r="AC1436" s="1" t="s">
        <v>276</v>
      </c>
      <c r="AD1436" s="1" t="s">
        <v>298</v>
      </c>
      <c r="AE1436" s="1" t="s">
        <v>526</v>
      </c>
      <c r="AF1436" s="1" t="s">
        <v>144</v>
      </c>
      <c r="AG1436" s="1">
        <v>20</v>
      </c>
      <c r="AO1436" s="2">
        <v>46276</v>
      </c>
      <c r="AP1436" s="1" t="s">
        <v>226</v>
      </c>
      <c r="AS1436" s="1" t="s">
        <v>71</v>
      </c>
      <c r="AU1436" s="1" t="s">
        <v>72</v>
      </c>
      <c r="AV1436" s="1" t="s">
        <v>73</v>
      </c>
      <c r="AX1436" s="1">
        <v>0</v>
      </c>
      <c r="BA1436" s="1">
        <v>9</v>
      </c>
      <c r="BB1436" s="1">
        <v>0</v>
      </c>
      <c r="BC1436" s="1">
        <v>0</v>
      </c>
      <c r="BE1436" s="1">
        <v>27246367</v>
      </c>
    </row>
    <row r="1437" spans="1:57" x14ac:dyDescent="0.25">
      <c r="A1437" s="1" t="str">
        <f>T("1945192385047370368")</f>
        <v>1945192385047370368</v>
      </c>
      <c r="B1437" s="1" t="str">
        <f>T("249960697075")</f>
        <v>249960697075</v>
      </c>
      <c r="C1437" s="1" t="str">
        <f>T("1941094502844336860")</f>
        <v>1941094502844336860</v>
      </c>
      <c r="AC1437" s="1" t="s">
        <v>276</v>
      </c>
      <c r="AD1437" s="1" t="s">
        <v>298</v>
      </c>
      <c r="AE1437" s="1" t="s">
        <v>526</v>
      </c>
      <c r="AF1437" s="1" t="s">
        <v>144</v>
      </c>
      <c r="AG1437" s="1">
        <v>20</v>
      </c>
      <c r="AO1437" s="2">
        <v>46276</v>
      </c>
      <c r="AP1437" s="1" t="s">
        <v>226</v>
      </c>
      <c r="AS1437" s="1" t="s">
        <v>71</v>
      </c>
      <c r="AU1437" s="1" t="s">
        <v>72</v>
      </c>
      <c r="AV1437" s="1" t="s">
        <v>73</v>
      </c>
      <c r="AX1437" s="1">
        <v>0</v>
      </c>
      <c r="BA1437" s="1">
        <v>9</v>
      </c>
      <c r="BB1437" s="1">
        <v>0</v>
      </c>
      <c r="BC1437" s="1">
        <v>0</v>
      </c>
      <c r="BE1437" s="1">
        <v>27246367</v>
      </c>
    </row>
    <row r="1438" spans="1:57" x14ac:dyDescent="0.25">
      <c r="A1438" s="1" t="str">
        <f>T("1945192385051562676")</f>
        <v>1945192385051562676</v>
      </c>
      <c r="B1438" s="1" t="str">
        <f>T("249964206195")</f>
        <v>249964206195</v>
      </c>
      <c r="C1438" s="1" t="str">
        <f>T("1941094502856920384")</f>
        <v>1941094502856920384</v>
      </c>
      <c r="AC1438" s="1" t="s">
        <v>276</v>
      </c>
      <c r="AD1438" s="1" t="s">
        <v>298</v>
      </c>
      <c r="AE1438" s="1" t="s">
        <v>526</v>
      </c>
      <c r="AF1438" s="1" t="s">
        <v>144</v>
      </c>
      <c r="AG1438" s="1">
        <v>26</v>
      </c>
      <c r="AO1438" s="2">
        <v>46276</v>
      </c>
      <c r="AP1438" s="1" t="s">
        <v>226</v>
      </c>
      <c r="AS1438" s="1" t="s">
        <v>71</v>
      </c>
      <c r="AU1438" s="1" t="s">
        <v>72</v>
      </c>
      <c r="AV1438" s="1" t="s">
        <v>437</v>
      </c>
      <c r="AX1438" s="1">
        <v>0</v>
      </c>
      <c r="BA1438" s="1">
        <v>9</v>
      </c>
      <c r="BB1438" s="1">
        <v>0</v>
      </c>
      <c r="BC1438" s="1">
        <v>0</v>
      </c>
      <c r="BE1438" s="1">
        <v>27246367</v>
      </c>
    </row>
    <row r="1439" spans="1:57" x14ac:dyDescent="0.25">
      <c r="A1439" s="1" t="str">
        <f>T("1945192385093507556")</f>
        <v>1945192385093507556</v>
      </c>
      <c r="B1439" s="1" t="str">
        <f>T("249965270860")</f>
        <v>249965270860</v>
      </c>
      <c r="C1439" s="1" t="str">
        <f>T("1941094502869500108")</f>
        <v>1941094502869500108</v>
      </c>
      <c r="AC1439" s="1" t="s">
        <v>276</v>
      </c>
      <c r="AD1439" s="1" t="s">
        <v>298</v>
      </c>
      <c r="AE1439" s="1" t="s">
        <v>526</v>
      </c>
      <c r="AF1439" s="1" t="s">
        <v>144</v>
      </c>
      <c r="AG1439" s="1">
        <v>33</v>
      </c>
      <c r="AO1439" s="2">
        <v>46276</v>
      </c>
      <c r="AP1439" s="1" t="s">
        <v>226</v>
      </c>
      <c r="AS1439" s="1" t="s">
        <v>71</v>
      </c>
      <c r="AU1439" s="1" t="s">
        <v>72</v>
      </c>
      <c r="AV1439" s="1" t="s">
        <v>73</v>
      </c>
      <c r="AX1439" s="1">
        <v>0</v>
      </c>
      <c r="BA1439" s="1">
        <v>9</v>
      </c>
      <c r="BB1439" s="1">
        <v>0</v>
      </c>
      <c r="BC1439" s="1">
        <v>0</v>
      </c>
      <c r="BE1439" s="1">
        <v>27246367</v>
      </c>
    </row>
    <row r="1440" spans="1:57" x14ac:dyDescent="0.25">
      <c r="A1440" s="1" t="str">
        <f>T("1945192385101894872")</f>
        <v>1945192385101894872</v>
      </c>
      <c r="B1440" s="1" t="str">
        <f>T("249907459119")</f>
        <v>249907459119</v>
      </c>
      <c r="C1440" s="1" t="str">
        <f>T("1941094502882086232")</f>
        <v>1941094502882086232</v>
      </c>
      <c r="AC1440" s="1" t="s">
        <v>276</v>
      </c>
      <c r="AD1440" s="1" t="s">
        <v>298</v>
      </c>
      <c r="AE1440" s="1" t="s">
        <v>526</v>
      </c>
      <c r="AF1440" s="1" t="s">
        <v>144</v>
      </c>
      <c r="AG1440" s="1">
        <v>26</v>
      </c>
      <c r="AO1440" s="2">
        <v>46276</v>
      </c>
      <c r="AP1440" s="1" t="s">
        <v>226</v>
      </c>
      <c r="AS1440" s="1" t="s">
        <v>71</v>
      </c>
      <c r="AU1440" s="1" t="s">
        <v>72</v>
      </c>
      <c r="AV1440" s="1" t="s">
        <v>437</v>
      </c>
      <c r="AX1440" s="1">
        <v>0</v>
      </c>
      <c r="BA1440" s="1">
        <v>9</v>
      </c>
      <c r="BB1440" s="1">
        <v>0</v>
      </c>
      <c r="BC1440" s="1">
        <v>0</v>
      </c>
      <c r="BE1440" s="1">
        <v>27246367</v>
      </c>
    </row>
    <row r="1441" spans="1:57" x14ac:dyDescent="0.25">
      <c r="A1441" s="1" t="str">
        <f>T("1945192385118674204")</f>
        <v>1945192385118674204</v>
      </c>
      <c r="B1441" s="1" t="str">
        <f>T("249905048526")</f>
        <v>249905048526</v>
      </c>
      <c r="C1441" s="1" t="str">
        <f>T("1941094502886277340")</f>
        <v>1941094502886277340</v>
      </c>
      <c r="AC1441" s="1" t="s">
        <v>276</v>
      </c>
      <c r="AD1441" s="1" t="s">
        <v>298</v>
      </c>
      <c r="AE1441" s="1" t="s">
        <v>526</v>
      </c>
      <c r="AF1441" s="1" t="s">
        <v>144</v>
      </c>
      <c r="AG1441" s="1">
        <v>20</v>
      </c>
      <c r="AO1441" s="2">
        <v>46276</v>
      </c>
      <c r="AP1441" s="1" t="s">
        <v>226</v>
      </c>
      <c r="AS1441" s="1" t="s">
        <v>71</v>
      </c>
      <c r="AU1441" s="1" t="s">
        <v>72</v>
      </c>
      <c r="AV1441" s="1" t="s">
        <v>73</v>
      </c>
      <c r="AX1441" s="1">
        <v>0</v>
      </c>
      <c r="BA1441" s="1">
        <v>9</v>
      </c>
      <c r="BB1441" s="1">
        <v>0</v>
      </c>
      <c r="BC1441" s="1">
        <v>0</v>
      </c>
      <c r="BE1441" s="1">
        <v>27246367</v>
      </c>
    </row>
    <row r="1442" spans="1:57" x14ac:dyDescent="0.25">
      <c r="A1442" s="1" t="str">
        <f>T("1945192385127059720")</f>
        <v>1945192385127059720</v>
      </c>
      <c r="B1442" s="1" t="str">
        <f>T("249906909452")</f>
        <v>249906909452</v>
      </c>
      <c r="C1442" s="1" t="str">
        <f>T("1941094502886277840")</f>
        <v>1941094502886277840</v>
      </c>
      <c r="AC1442" s="1" t="s">
        <v>276</v>
      </c>
      <c r="AD1442" s="1" t="s">
        <v>298</v>
      </c>
      <c r="AE1442" s="1" t="s">
        <v>526</v>
      </c>
      <c r="AF1442" s="1" t="s">
        <v>144</v>
      </c>
      <c r="AG1442" s="1">
        <v>30</v>
      </c>
      <c r="AO1442" s="2">
        <v>46276</v>
      </c>
      <c r="AP1442" s="1" t="s">
        <v>226</v>
      </c>
      <c r="AS1442" s="1" t="s">
        <v>71</v>
      </c>
      <c r="AU1442" s="1" t="s">
        <v>72</v>
      </c>
      <c r="AV1442" s="1" t="s">
        <v>437</v>
      </c>
      <c r="AX1442" s="1">
        <v>0</v>
      </c>
      <c r="BA1442" s="1">
        <v>9</v>
      </c>
      <c r="BB1442" s="1">
        <v>0</v>
      </c>
      <c r="BC1442" s="1">
        <v>0</v>
      </c>
      <c r="BE1442" s="1">
        <v>27246367</v>
      </c>
    </row>
    <row r="1443" spans="1:57" x14ac:dyDescent="0.25">
      <c r="A1443" s="1" t="str">
        <f>T("1945192385164808692")</f>
        <v>1945192385164808692</v>
      </c>
      <c r="B1443" s="1" t="str">
        <f>T("249901715301")</f>
        <v>249901715301</v>
      </c>
      <c r="C1443" s="1" t="str">
        <f>T("1941094502886278240")</f>
        <v>1941094502886278240</v>
      </c>
      <c r="AC1443" s="1" t="s">
        <v>276</v>
      </c>
      <c r="AD1443" s="1" t="s">
        <v>298</v>
      </c>
      <c r="AE1443" s="1" t="s">
        <v>526</v>
      </c>
      <c r="AF1443" s="1" t="s">
        <v>144</v>
      </c>
      <c r="AG1443" s="1">
        <v>20</v>
      </c>
      <c r="AO1443" s="2">
        <v>46276</v>
      </c>
      <c r="AP1443" s="1" t="s">
        <v>226</v>
      </c>
      <c r="AS1443" s="1" t="s">
        <v>71</v>
      </c>
      <c r="AU1443" s="1" t="s">
        <v>72</v>
      </c>
      <c r="AV1443" s="1" t="s">
        <v>126</v>
      </c>
      <c r="AX1443" s="1">
        <v>0</v>
      </c>
      <c r="BA1443" s="1">
        <v>9</v>
      </c>
      <c r="BB1443" s="1">
        <v>0</v>
      </c>
      <c r="BC1443" s="1">
        <v>0</v>
      </c>
      <c r="BE1443" s="1">
        <v>27246367</v>
      </c>
    </row>
    <row r="1444" spans="1:57" x14ac:dyDescent="0.25">
      <c r="A1444" s="1" t="str">
        <f>T("1945192385169004400")</f>
        <v>1945192385169004400</v>
      </c>
      <c r="B1444" s="1" t="str">
        <f>T("249962681097")</f>
        <v>249962681097</v>
      </c>
      <c r="C1444" s="1" t="str">
        <f>T("1941094502886279140")</f>
        <v>1941094502886279140</v>
      </c>
      <c r="AC1444" s="1" t="s">
        <v>276</v>
      </c>
      <c r="AD1444" s="1" t="s">
        <v>298</v>
      </c>
      <c r="AE1444" s="1" t="s">
        <v>526</v>
      </c>
      <c r="AF1444" s="1" t="s">
        <v>144</v>
      </c>
      <c r="AG1444" s="1">
        <v>21</v>
      </c>
      <c r="AO1444" s="2">
        <v>46276</v>
      </c>
      <c r="AP1444" s="1" t="s">
        <v>226</v>
      </c>
      <c r="AS1444" s="1" t="s">
        <v>71</v>
      </c>
      <c r="AU1444" s="1" t="s">
        <v>72</v>
      </c>
      <c r="AV1444" s="1" t="s">
        <v>73</v>
      </c>
      <c r="AX1444" s="1">
        <v>0</v>
      </c>
      <c r="BA1444" s="1">
        <v>9</v>
      </c>
      <c r="BB1444" s="1">
        <v>0</v>
      </c>
      <c r="BC1444" s="1">
        <v>0</v>
      </c>
      <c r="BE1444" s="1">
        <v>27246367</v>
      </c>
    </row>
    <row r="1445" spans="1:57" x14ac:dyDescent="0.25">
      <c r="A1445" s="1" t="str">
        <f>T("1945192385194169748")</f>
        <v>1945192385194169748</v>
      </c>
      <c r="B1445" s="1" t="str">
        <f>T("249915513436")</f>
        <v>249915513436</v>
      </c>
      <c r="C1445" s="1" t="str">
        <f>T("1941094502886279540")</f>
        <v>1941094502886279540</v>
      </c>
      <c r="AC1445" s="1" t="s">
        <v>276</v>
      </c>
      <c r="AD1445" s="1" t="s">
        <v>298</v>
      </c>
      <c r="AE1445" s="1" t="s">
        <v>526</v>
      </c>
      <c r="AF1445" s="1" t="s">
        <v>144</v>
      </c>
      <c r="AG1445" s="1">
        <v>32</v>
      </c>
      <c r="AO1445" s="2">
        <v>46276</v>
      </c>
      <c r="AP1445" s="1" t="s">
        <v>226</v>
      </c>
      <c r="AS1445" s="1" t="s">
        <v>71</v>
      </c>
      <c r="AU1445" s="1" t="s">
        <v>72</v>
      </c>
      <c r="AV1445" s="1" t="s">
        <v>73</v>
      </c>
      <c r="AX1445" s="1">
        <v>0</v>
      </c>
      <c r="BA1445" s="1">
        <v>9</v>
      </c>
      <c r="BB1445" s="1">
        <v>0</v>
      </c>
      <c r="BC1445" s="1">
        <v>0</v>
      </c>
      <c r="BE1445" s="1">
        <v>27246367</v>
      </c>
    </row>
    <row r="1446" spans="1:57" x14ac:dyDescent="0.25">
      <c r="A1446" s="1" t="str">
        <f>T("1945192385206752072")</f>
        <v>1945192385206752072</v>
      </c>
      <c r="B1446" s="1" t="str">
        <f>T("249910717446")</f>
        <v>249910717446</v>
      </c>
      <c r="C1446" s="1" t="str">
        <f>T("1941094502886279940")</f>
        <v>1941094502886279940</v>
      </c>
      <c r="AC1446" s="1" t="s">
        <v>276</v>
      </c>
      <c r="AD1446" s="1" t="s">
        <v>298</v>
      </c>
      <c r="AE1446" s="1" t="s">
        <v>526</v>
      </c>
      <c r="AF1446" s="1" t="s">
        <v>144</v>
      </c>
      <c r="AG1446" s="1">
        <v>21</v>
      </c>
      <c r="AO1446" s="2">
        <v>46276</v>
      </c>
      <c r="AP1446" s="1" t="s">
        <v>226</v>
      </c>
      <c r="AS1446" s="1" t="s">
        <v>71</v>
      </c>
      <c r="AU1446" s="1" t="s">
        <v>72</v>
      </c>
      <c r="AV1446" s="1" t="s">
        <v>73</v>
      </c>
      <c r="AX1446" s="1">
        <v>0</v>
      </c>
      <c r="BA1446" s="1">
        <v>9</v>
      </c>
      <c r="BB1446" s="1">
        <v>0</v>
      </c>
      <c r="BC1446" s="1">
        <v>0</v>
      </c>
      <c r="BE1446" s="1">
        <v>27246367</v>
      </c>
    </row>
    <row r="1447" spans="1:57" x14ac:dyDescent="0.25">
      <c r="A1447" s="1" t="str">
        <f>T("1945192385244502844")</f>
        <v>1945192385244502844</v>
      </c>
      <c r="B1447" s="1" t="str">
        <f>T("249122177455")</f>
        <v>249122177455</v>
      </c>
      <c r="C1447" s="1" t="str">
        <f>T("1941094502886280840")</f>
        <v>1941094502886280840</v>
      </c>
      <c r="M1447" s="1" t="s">
        <v>59</v>
      </c>
      <c r="O1447" s="1" t="s">
        <v>65</v>
      </c>
      <c r="P1447" s="1" t="s">
        <v>111</v>
      </c>
      <c r="Q1447" s="1" t="s">
        <v>101</v>
      </c>
      <c r="R1447" s="1" t="s">
        <v>93</v>
      </c>
      <c r="T1447" s="1" t="s">
        <v>95</v>
      </c>
      <c r="U1447" s="1" t="s">
        <v>65</v>
      </c>
      <c r="V1447" s="1" t="s">
        <v>102</v>
      </c>
      <c r="W1447" s="1" t="s">
        <v>60</v>
      </c>
      <c r="X1447" s="1" t="s">
        <v>66</v>
      </c>
      <c r="Y1447" s="1" t="s">
        <v>69</v>
      </c>
      <c r="AA1447" s="1">
        <v>1</v>
      </c>
      <c r="AB1447" s="1">
        <v>1</v>
      </c>
      <c r="AC1447" s="1" t="s">
        <v>276</v>
      </c>
      <c r="AD1447" s="1" t="s">
        <v>298</v>
      </c>
      <c r="AE1447" s="1" t="s">
        <v>526</v>
      </c>
      <c r="AF1447" s="1" t="s">
        <v>144</v>
      </c>
      <c r="AG1447" s="1">
        <v>26</v>
      </c>
      <c r="AO1447" s="2">
        <v>46276</v>
      </c>
      <c r="AP1447" s="1" t="s">
        <v>226</v>
      </c>
      <c r="AQ1447" s="2">
        <v>46276</v>
      </c>
      <c r="AR1447" s="1" t="s">
        <v>420</v>
      </c>
      <c r="AS1447" s="1" t="s">
        <v>71</v>
      </c>
      <c r="AU1447" s="1" t="s">
        <v>78</v>
      </c>
      <c r="AV1447" s="1" t="s">
        <v>80</v>
      </c>
      <c r="AW1447" s="1">
        <v>205.08</v>
      </c>
      <c r="AX1447" s="1">
        <v>0</v>
      </c>
      <c r="AZ1447" s="1" t="s">
        <v>81</v>
      </c>
      <c r="BA1447" s="1">
        <v>2</v>
      </c>
      <c r="BB1447" s="1">
        <v>0</v>
      </c>
      <c r="BC1447" s="1">
        <v>0</v>
      </c>
      <c r="BE1447" s="1">
        <v>27246367</v>
      </c>
    </row>
    <row r="1448" spans="1:57" x14ac:dyDescent="0.25">
      <c r="A1448" s="1" t="str">
        <f>T("1945192385248697152")</f>
        <v>1945192385248697152</v>
      </c>
      <c r="B1448" s="1" t="str">
        <f>T("249960069063")</f>
        <v>249960069063</v>
      </c>
      <c r="C1448" s="1" t="str">
        <f>T("1941094502886280440")</f>
        <v>1941094502886280440</v>
      </c>
      <c r="AC1448" s="1" t="s">
        <v>276</v>
      </c>
      <c r="AD1448" s="1" t="s">
        <v>298</v>
      </c>
      <c r="AE1448" s="1" t="s">
        <v>526</v>
      </c>
      <c r="AF1448" s="1" t="s">
        <v>144</v>
      </c>
      <c r="AG1448" s="1">
        <v>34</v>
      </c>
      <c r="AO1448" s="2">
        <v>46276</v>
      </c>
      <c r="AP1448" s="1" t="s">
        <v>226</v>
      </c>
      <c r="AS1448" s="1" t="s">
        <v>71</v>
      </c>
      <c r="AU1448" s="1" t="s">
        <v>72</v>
      </c>
      <c r="AV1448" s="1" t="s">
        <v>73</v>
      </c>
      <c r="AX1448" s="1">
        <v>0</v>
      </c>
      <c r="BA1448" s="1">
        <v>9</v>
      </c>
      <c r="BB1448" s="1">
        <v>0</v>
      </c>
      <c r="BC1448" s="1">
        <v>0</v>
      </c>
      <c r="BE1448" s="1">
        <v>27246367</v>
      </c>
    </row>
    <row r="1449" spans="1:57" x14ac:dyDescent="0.25">
      <c r="A1449" s="1" t="str">
        <f>T("1945192385282252416")</f>
        <v>1945192385282252416</v>
      </c>
      <c r="B1449" s="1" t="str">
        <f>T("249912763548")</f>
        <v>249912763548</v>
      </c>
      <c r="C1449" s="1" t="str">
        <f>T("1941094502890471548")</f>
        <v>1941094502890471548</v>
      </c>
      <c r="AC1449" s="1" t="s">
        <v>276</v>
      </c>
      <c r="AD1449" s="1" t="s">
        <v>298</v>
      </c>
      <c r="AE1449" s="1" t="s">
        <v>526</v>
      </c>
      <c r="AF1449" s="1" t="s">
        <v>144</v>
      </c>
      <c r="AG1449" s="1">
        <v>22</v>
      </c>
      <c r="AO1449" s="2">
        <v>46276</v>
      </c>
      <c r="AP1449" s="1" t="s">
        <v>226</v>
      </c>
      <c r="AS1449" s="1" t="s">
        <v>71</v>
      </c>
      <c r="AU1449" s="1" t="s">
        <v>72</v>
      </c>
      <c r="AV1449" s="1" t="s">
        <v>437</v>
      </c>
      <c r="AX1449" s="1">
        <v>0</v>
      </c>
      <c r="BA1449" s="1">
        <v>9</v>
      </c>
      <c r="BB1449" s="1">
        <v>0</v>
      </c>
      <c r="BC1449" s="1">
        <v>0</v>
      </c>
      <c r="BE1449" s="1">
        <v>27246367</v>
      </c>
    </row>
    <row r="1450" spans="1:57" x14ac:dyDescent="0.25">
      <c r="A1450" s="1" t="str">
        <f>T("1945192385286445324")</f>
        <v>1945192385286445324</v>
      </c>
      <c r="B1450" s="1" t="str">
        <f>T("249966707582")</f>
        <v>249966707582</v>
      </c>
      <c r="C1450" s="1" t="str">
        <f>T("1941094502890471848")</f>
        <v>1941094502890471848</v>
      </c>
      <c r="AC1450" s="1" t="s">
        <v>276</v>
      </c>
      <c r="AD1450" s="1" t="s">
        <v>298</v>
      </c>
      <c r="AE1450" s="1" t="s">
        <v>526</v>
      </c>
      <c r="AF1450" s="1" t="s">
        <v>144</v>
      </c>
      <c r="AG1450" s="1">
        <v>19</v>
      </c>
      <c r="AO1450" s="2">
        <v>46276</v>
      </c>
      <c r="AP1450" s="1" t="s">
        <v>226</v>
      </c>
      <c r="AS1450" s="1" t="s">
        <v>71</v>
      </c>
      <c r="AU1450" s="1" t="s">
        <v>72</v>
      </c>
      <c r="AV1450" s="1" t="s">
        <v>126</v>
      </c>
      <c r="AX1450" s="1">
        <v>0</v>
      </c>
      <c r="BA1450" s="1">
        <v>9</v>
      </c>
      <c r="BB1450" s="1">
        <v>0</v>
      </c>
      <c r="BC1450" s="1">
        <v>0</v>
      </c>
      <c r="BE1450" s="1">
        <v>27246367</v>
      </c>
    </row>
    <row r="1451" spans="1:57" x14ac:dyDescent="0.25">
      <c r="A1451" s="1" t="str">
        <f>T("1945192385315806080")</f>
        <v>1945192385315806080</v>
      </c>
      <c r="B1451" s="1" t="str">
        <f>T("249908597785")</f>
        <v>249908597785</v>
      </c>
      <c r="C1451" s="1" t="str">
        <f>T("1941094502890472248")</f>
        <v>1941094502890472248</v>
      </c>
      <c r="AC1451" s="1" t="s">
        <v>276</v>
      </c>
      <c r="AD1451" s="1" t="s">
        <v>298</v>
      </c>
      <c r="AE1451" s="1" t="s">
        <v>526</v>
      </c>
      <c r="AF1451" s="1" t="s">
        <v>144</v>
      </c>
      <c r="AG1451" s="1">
        <v>18</v>
      </c>
      <c r="AO1451" s="2">
        <v>46276</v>
      </c>
      <c r="AP1451" s="1" t="s">
        <v>226</v>
      </c>
      <c r="AS1451" s="1" t="s">
        <v>71</v>
      </c>
      <c r="AU1451" s="1" t="s">
        <v>72</v>
      </c>
      <c r="AV1451" s="1" t="s">
        <v>437</v>
      </c>
      <c r="AX1451" s="1">
        <v>0</v>
      </c>
      <c r="BA1451" s="1">
        <v>9</v>
      </c>
      <c r="BB1451" s="1">
        <v>0</v>
      </c>
      <c r="BC1451" s="1">
        <v>0</v>
      </c>
      <c r="BE1451" s="1">
        <v>27246367</v>
      </c>
    </row>
    <row r="1452" spans="1:57" x14ac:dyDescent="0.25">
      <c r="A1452" s="1" t="str">
        <f>T("1945192385324195296")</f>
        <v>1945192385324195296</v>
      </c>
      <c r="B1452" s="1" t="str">
        <f>T("249118113311")</f>
        <v>249118113311</v>
      </c>
      <c r="C1452" s="1" t="str">
        <f>T("1941094502890472648")</f>
        <v>1941094502890472648</v>
      </c>
      <c r="M1452" s="1" t="s">
        <v>59</v>
      </c>
      <c r="O1452" s="1" t="s">
        <v>65</v>
      </c>
      <c r="P1452" s="1" t="s">
        <v>83</v>
      </c>
      <c r="Q1452" s="1" t="s">
        <v>101</v>
      </c>
      <c r="R1452" s="1" t="s">
        <v>93</v>
      </c>
      <c r="T1452" s="1" t="s">
        <v>119</v>
      </c>
      <c r="U1452" s="1" t="s">
        <v>65</v>
      </c>
      <c r="V1452" s="1" t="s">
        <v>66</v>
      </c>
      <c r="W1452" s="1" t="s">
        <v>67</v>
      </c>
      <c r="X1452" s="1" t="s">
        <v>66</v>
      </c>
      <c r="Y1452" s="1" t="s">
        <v>85</v>
      </c>
      <c r="AA1452" s="1">
        <v>1</v>
      </c>
      <c r="AB1452" s="1">
        <v>1</v>
      </c>
      <c r="AC1452" s="1" t="s">
        <v>104</v>
      </c>
      <c r="AD1452" s="1" t="s">
        <v>151</v>
      </c>
      <c r="AE1452" s="1" t="s">
        <v>392</v>
      </c>
      <c r="AF1452" s="1" t="s">
        <v>107</v>
      </c>
      <c r="AG1452" s="1">
        <v>26</v>
      </c>
      <c r="AO1452" s="2">
        <v>46276</v>
      </c>
      <c r="AP1452" s="1" t="s">
        <v>226</v>
      </c>
      <c r="AQ1452" s="2">
        <v>46276</v>
      </c>
      <c r="AR1452" s="1" t="s">
        <v>632</v>
      </c>
      <c r="AS1452" s="1" t="s">
        <v>71</v>
      </c>
      <c r="AU1452" s="1" t="s">
        <v>78</v>
      </c>
      <c r="AV1452" s="1" t="s">
        <v>80</v>
      </c>
      <c r="AW1452" s="1">
        <v>199.24</v>
      </c>
      <c r="AX1452" s="1">
        <v>0</v>
      </c>
      <c r="AZ1452" s="1" t="s">
        <v>81</v>
      </c>
      <c r="BA1452" s="1">
        <v>2</v>
      </c>
      <c r="BB1452" s="1">
        <v>0</v>
      </c>
      <c r="BC1452" s="1">
        <v>0</v>
      </c>
      <c r="BE1452" s="1">
        <v>27246367</v>
      </c>
    </row>
    <row r="1453" spans="1:57" x14ac:dyDescent="0.25">
      <c r="A1453" s="1" t="str">
        <f>T("1945192385349358544")</f>
        <v>1945192385349358544</v>
      </c>
      <c r="B1453" s="1" t="str">
        <f>T("249997369544")</f>
        <v>249997369544</v>
      </c>
      <c r="C1453" s="1" t="str">
        <f>T("1941094502890473048")</f>
        <v>1941094502890473048</v>
      </c>
      <c r="AA1453" s="1">
        <v>1</v>
      </c>
      <c r="AC1453" s="1" t="s">
        <v>104</v>
      </c>
      <c r="AD1453" s="1" t="s">
        <v>151</v>
      </c>
      <c r="AE1453" s="1" t="s">
        <v>392</v>
      </c>
      <c r="AF1453" s="1" t="s">
        <v>107</v>
      </c>
      <c r="AG1453" s="1">
        <v>22</v>
      </c>
      <c r="AO1453" s="2">
        <v>46276</v>
      </c>
      <c r="AP1453" s="1" t="s">
        <v>226</v>
      </c>
      <c r="AQ1453" s="2">
        <v>46276</v>
      </c>
      <c r="AR1453" s="1" t="s">
        <v>633</v>
      </c>
      <c r="AS1453" s="1" t="s">
        <v>71</v>
      </c>
      <c r="AU1453" s="1" t="s">
        <v>79</v>
      </c>
      <c r="AV1453" s="1" t="s">
        <v>80</v>
      </c>
      <c r="AW1453" s="1">
        <v>89.98</v>
      </c>
      <c r="AX1453" s="1">
        <v>0</v>
      </c>
      <c r="AZ1453" s="1" t="s">
        <v>81</v>
      </c>
      <c r="BA1453" s="1">
        <v>1</v>
      </c>
      <c r="BB1453" s="1">
        <v>0</v>
      </c>
      <c r="BC1453" s="1">
        <v>0</v>
      </c>
      <c r="BE1453" s="1">
        <v>27246367</v>
      </c>
    </row>
    <row r="1454" spans="1:57" x14ac:dyDescent="0.25">
      <c r="A1454" s="1" t="str">
        <f>T("1945192385353553452")</f>
        <v>1945192385353553452</v>
      </c>
      <c r="B1454" s="1" t="str">
        <f>T("249923404102")</f>
        <v>249923404102</v>
      </c>
      <c r="C1454" s="1" t="str">
        <f>T("1941094502890473448")</f>
        <v>1941094502890473448</v>
      </c>
      <c r="AC1454" s="1" t="s">
        <v>104</v>
      </c>
      <c r="AD1454" s="1" t="s">
        <v>151</v>
      </c>
      <c r="AE1454" s="1" t="s">
        <v>392</v>
      </c>
      <c r="AF1454" s="1" t="s">
        <v>107</v>
      </c>
      <c r="AG1454" s="1">
        <v>29</v>
      </c>
      <c r="AO1454" s="2">
        <v>46276</v>
      </c>
      <c r="AP1454" s="1" t="s">
        <v>226</v>
      </c>
      <c r="AS1454" s="1" t="s">
        <v>71</v>
      </c>
      <c r="AU1454" s="1" t="s">
        <v>72</v>
      </c>
      <c r="AV1454" s="1" t="s">
        <v>73</v>
      </c>
      <c r="AX1454" s="1">
        <v>0</v>
      </c>
      <c r="BA1454" s="1">
        <v>9</v>
      </c>
      <c r="BB1454" s="1">
        <v>0</v>
      </c>
      <c r="BC1454" s="1">
        <v>0</v>
      </c>
      <c r="BE1454" s="1">
        <v>27246367</v>
      </c>
    </row>
    <row r="1455" spans="1:57" x14ac:dyDescent="0.25">
      <c r="A1455" s="1" t="str">
        <f>T("1945192385387108816")</f>
        <v>1945192385387108816</v>
      </c>
      <c r="B1455" s="1" t="str">
        <f>T("249990249555")</f>
        <v>249990249555</v>
      </c>
      <c r="C1455" s="1" t="str">
        <f>T("1941094502890473848")</f>
        <v>1941094502890473848</v>
      </c>
      <c r="AA1455" s="1">
        <v>1</v>
      </c>
      <c r="AC1455" s="1" t="s">
        <v>104</v>
      </c>
      <c r="AD1455" s="1" t="s">
        <v>151</v>
      </c>
      <c r="AE1455" s="1" t="s">
        <v>392</v>
      </c>
      <c r="AF1455" s="1" t="s">
        <v>107</v>
      </c>
      <c r="AG1455" s="1">
        <v>19</v>
      </c>
      <c r="AO1455" s="2">
        <v>46276</v>
      </c>
      <c r="AP1455" s="1" t="s">
        <v>226</v>
      </c>
      <c r="AQ1455" s="2">
        <v>46276</v>
      </c>
      <c r="AR1455" s="1" t="s">
        <v>374</v>
      </c>
      <c r="AS1455" s="1" t="s">
        <v>71</v>
      </c>
      <c r="AU1455" s="1" t="s">
        <v>79</v>
      </c>
      <c r="AV1455" s="1" t="s">
        <v>80</v>
      </c>
      <c r="AW1455" s="1">
        <v>104.38</v>
      </c>
      <c r="AX1455" s="1">
        <v>0</v>
      </c>
      <c r="AZ1455" s="1" t="s">
        <v>81</v>
      </c>
      <c r="BA1455" s="1">
        <v>1</v>
      </c>
      <c r="BB1455" s="1">
        <v>0</v>
      </c>
      <c r="BC1455" s="1">
        <v>0</v>
      </c>
      <c r="BE1455" s="1">
        <v>27246367</v>
      </c>
    </row>
    <row r="1456" spans="1:57" x14ac:dyDescent="0.25">
      <c r="A1456" s="1" t="str">
        <f>T("1945192385437439012")</f>
        <v>1945192385437439012</v>
      </c>
      <c r="B1456" s="1" t="str">
        <f>T("249915903126")</f>
        <v>249915903126</v>
      </c>
      <c r="C1456" s="1" t="str">
        <f>T("1941094502890474348")</f>
        <v>1941094502890474348</v>
      </c>
      <c r="AC1456" s="1" t="s">
        <v>104</v>
      </c>
      <c r="AD1456" s="1" t="s">
        <v>151</v>
      </c>
      <c r="AE1456" s="1" t="s">
        <v>392</v>
      </c>
      <c r="AF1456" s="1" t="s">
        <v>107</v>
      </c>
      <c r="AG1456" s="1">
        <v>23</v>
      </c>
      <c r="AO1456" s="2">
        <v>46276</v>
      </c>
      <c r="AP1456" s="1" t="s">
        <v>226</v>
      </c>
      <c r="AS1456" s="1" t="s">
        <v>71</v>
      </c>
      <c r="AU1456" s="1" t="s">
        <v>72</v>
      </c>
      <c r="AV1456" s="1" t="s">
        <v>437</v>
      </c>
      <c r="AX1456" s="1">
        <v>0</v>
      </c>
      <c r="BA1456" s="1">
        <v>9</v>
      </c>
      <c r="BB1456" s="1">
        <v>0</v>
      </c>
      <c r="BC1456" s="1">
        <v>0</v>
      </c>
      <c r="BE1456" s="1">
        <v>27246367</v>
      </c>
    </row>
    <row r="1457" spans="1:57" x14ac:dyDescent="0.25">
      <c r="A1457" s="1" t="str">
        <f>T("1945192385445826828")</f>
        <v>1945192385445826828</v>
      </c>
      <c r="B1457" s="1" t="str">
        <f>T("249928210102")</f>
        <v>249928210102</v>
      </c>
      <c r="C1457" s="1" t="str">
        <f>T("1941094502890475248")</f>
        <v>1941094502890475248</v>
      </c>
      <c r="AC1457" s="1" t="s">
        <v>104</v>
      </c>
      <c r="AD1457" s="1" t="s">
        <v>151</v>
      </c>
      <c r="AE1457" s="1" t="s">
        <v>392</v>
      </c>
      <c r="AF1457" s="1" t="s">
        <v>107</v>
      </c>
      <c r="AG1457" s="1">
        <v>25</v>
      </c>
      <c r="AO1457" s="2">
        <v>46276</v>
      </c>
      <c r="AP1457" s="1" t="s">
        <v>226</v>
      </c>
      <c r="AS1457" s="1" t="s">
        <v>71</v>
      </c>
      <c r="AU1457" s="1" t="s">
        <v>72</v>
      </c>
      <c r="AV1457" s="1" t="s">
        <v>73</v>
      </c>
      <c r="AX1457" s="1">
        <v>0</v>
      </c>
      <c r="BA1457" s="1">
        <v>9</v>
      </c>
      <c r="BB1457" s="1">
        <v>0</v>
      </c>
      <c r="BC1457" s="1">
        <v>0</v>
      </c>
      <c r="BE1457" s="1">
        <v>27246367</v>
      </c>
    </row>
    <row r="1458" spans="1:57" x14ac:dyDescent="0.25">
      <c r="A1458" s="1" t="str">
        <f>T("1945192385450024736")</f>
        <v>1945192385450024736</v>
      </c>
      <c r="B1458" s="1" t="str">
        <f>T("249929163940")</f>
        <v>249929163940</v>
      </c>
      <c r="C1458" s="1" t="str">
        <f>T("1941094502890474848")</f>
        <v>1941094502890474848</v>
      </c>
      <c r="AA1458" s="1">
        <v>1</v>
      </c>
      <c r="AC1458" s="1" t="s">
        <v>104</v>
      </c>
      <c r="AD1458" s="1" t="s">
        <v>151</v>
      </c>
      <c r="AE1458" s="1" t="s">
        <v>392</v>
      </c>
      <c r="AF1458" s="1" t="s">
        <v>107</v>
      </c>
      <c r="AG1458" s="1">
        <v>19</v>
      </c>
      <c r="AO1458" s="2">
        <v>46276</v>
      </c>
      <c r="AP1458" s="1" t="s">
        <v>226</v>
      </c>
      <c r="AQ1458" s="2">
        <v>46276</v>
      </c>
      <c r="AR1458" s="1" t="s">
        <v>240</v>
      </c>
      <c r="AS1458" s="1" t="s">
        <v>71</v>
      </c>
      <c r="AU1458" s="1" t="s">
        <v>79</v>
      </c>
      <c r="AV1458" s="1" t="s">
        <v>80</v>
      </c>
      <c r="AW1458" s="1">
        <v>62.7</v>
      </c>
      <c r="AX1458" s="1">
        <v>0</v>
      </c>
      <c r="AZ1458" s="1" t="s">
        <v>81</v>
      </c>
      <c r="BA1458" s="1">
        <v>1</v>
      </c>
      <c r="BB1458" s="1">
        <v>0</v>
      </c>
      <c r="BC1458" s="1">
        <v>0</v>
      </c>
      <c r="BE1458" s="1">
        <v>27246367</v>
      </c>
    </row>
    <row r="1459" spans="1:57" x14ac:dyDescent="0.25">
      <c r="A1459" s="1" t="str">
        <f>T("1945192385475189384")</f>
        <v>1945192385475189384</v>
      </c>
      <c r="B1459" s="1" t="str">
        <f>T("249123024478")</f>
        <v>249123024478</v>
      </c>
      <c r="C1459" s="1" t="str">
        <f>T("1941094502894665856")</f>
        <v>1941094502894665856</v>
      </c>
      <c r="AA1459" s="1">
        <v>1</v>
      </c>
      <c r="AC1459" s="1" t="s">
        <v>104</v>
      </c>
      <c r="AD1459" s="1" t="s">
        <v>151</v>
      </c>
      <c r="AE1459" s="1" t="s">
        <v>392</v>
      </c>
      <c r="AF1459" s="1" t="s">
        <v>107</v>
      </c>
      <c r="AG1459" s="1">
        <v>20</v>
      </c>
      <c r="AO1459" s="2">
        <v>46276</v>
      </c>
      <c r="AP1459" s="1" t="s">
        <v>226</v>
      </c>
      <c r="AQ1459" s="2">
        <v>46276</v>
      </c>
      <c r="AR1459" s="1" t="s">
        <v>634</v>
      </c>
      <c r="AS1459" s="1" t="s">
        <v>71</v>
      </c>
      <c r="AU1459" s="1" t="s">
        <v>79</v>
      </c>
      <c r="AV1459" s="1" t="s">
        <v>80</v>
      </c>
      <c r="AW1459" s="1">
        <v>71.099999999999994</v>
      </c>
      <c r="AX1459" s="1">
        <v>0</v>
      </c>
      <c r="AZ1459" s="1" t="s">
        <v>81</v>
      </c>
      <c r="BA1459" s="1">
        <v>1</v>
      </c>
      <c r="BB1459" s="1">
        <v>0</v>
      </c>
      <c r="BC1459" s="1">
        <v>0</v>
      </c>
      <c r="BE1459" s="1">
        <v>27246367</v>
      </c>
    </row>
    <row r="1460" spans="1:57" x14ac:dyDescent="0.25">
      <c r="A1460" s="1" t="str">
        <f>T("1945192385517133564")</f>
        <v>1945192385517133564</v>
      </c>
      <c r="B1460" s="1" t="str">
        <f>T("249928996079")</f>
        <v>249928996079</v>
      </c>
      <c r="C1460" s="1" t="str">
        <f>T("1941094502894666356")</f>
        <v>1941094502894666356</v>
      </c>
      <c r="AC1460" s="1" t="s">
        <v>104</v>
      </c>
      <c r="AD1460" s="1" t="s">
        <v>151</v>
      </c>
      <c r="AE1460" s="1" t="s">
        <v>392</v>
      </c>
      <c r="AF1460" s="1" t="s">
        <v>107</v>
      </c>
      <c r="AG1460" s="1">
        <v>25</v>
      </c>
      <c r="AO1460" s="2">
        <v>46276</v>
      </c>
      <c r="AP1460" s="1" t="s">
        <v>226</v>
      </c>
      <c r="AS1460" s="1" t="s">
        <v>71</v>
      </c>
      <c r="AU1460" s="1" t="s">
        <v>72</v>
      </c>
      <c r="AV1460" s="1" t="s">
        <v>73</v>
      </c>
      <c r="AX1460" s="1">
        <v>0</v>
      </c>
      <c r="BA1460" s="1">
        <v>9</v>
      </c>
      <c r="BB1460" s="1">
        <v>0</v>
      </c>
      <c r="BC1460" s="1">
        <v>0</v>
      </c>
      <c r="BE1460" s="1">
        <v>27246367</v>
      </c>
    </row>
    <row r="1461" spans="1:57" x14ac:dyDescent="0.25">
      <c r="A1461" s="1" t="str">
        <f>T("1945192385529713988")</f>
        <v>1945192385529713988</v>
      </c>
      <c r="B1461" s="1" t="str">
        <f>T("249923523744")</f>
        <v>249923523744</v>
      </c>
      <c r="C1461" s="1" t="str">
        <f>T("1941094502894667156")</f>
        <v>1941094502894667156</v>
      </c>
      <c r="M1461" s="1" t="s">
        <v>59</v>
      </c>
      <c r="O1461" s="1" t="s">
        <v>65</v>
      </c>
      <c r="P1461" s="1" t="s">
        <v>83</v>
      </c>
      <c r="AA1461" s="1">
        <v>1</v>
      </c>
      <c r="AC1461" s="1" t="s">
        <v>104</v>
      </c>
      <c r="AD1461" s="1" t="s">
        <v>151</v>
      </c>
      <c r="AE1461" s="1" t="s">
        <v>392</v>
      </c>
      <c r="AF1461" s="1" t="s">
        <v>107</v>
      </c>
      <c r="AG1461" s="1">
        <v>25</v>
      </c>
      <c r="AO1461" s="2">
        <v>46276</v>
      </c>
      <c r="AP1461" s="1" t="s">
        <v>226</v>
      </c>
      <c r="AQ1461" s="2">
        <v>46276</v>
      </c>
      <c r="AR1461" s="1" t="s">
        <v>230</v>
      </c>
      <c r="AS1461" s="1" t="s">
        <v>71</v>
      </c>
      <c r="AU1461" s="1" t="s">
        <v>79</v>
      </c>
      <c r="AV1461" s="1" t="s">
        <v>80</v>
      </c>
      <c r="AW1461" s="1">
        <v>98.42</v>
      </c>
      <c r="AX1461" s="1">
        <v>0</v>
      </c>
      <c r="AZ1461" s="1" t="s">
        <v>81</v>
      </c>
      <c r="BA1461" s="1">
        <v>1</v>
      </c>
      <c r="BB1461" s="1">
        <v>0</v>
      </c>
      <c r="BC1461" s="1">
        <v>0</v>
      </c>
      <c r="BE1461" s="1">
        <v>27246367</v>
      </c>
    </row>
    <row r="1462" spans="1:57" x14ac:dyDescent="0.25">
      <c r="A1462" s="1" t="str">
        <f>T("1945192385529714588")</f>
        <v>1945192385529714588</v>
      </c>
      <c r="B1462" s="1" t="str">
        <f>T("249114755208")</f>
        <v>249114755208</v>
      </c>
      <c r="C1462" s="1" t="str">
        <f>T("1941094502894666756")</f>
        <v>1941094502894666756</v>
      </c>
      <c r="AA1462" s="1">
        <v>1</v>
      </c>
      <c r="AC1462" s="1" t="s">
        <v>104</v>
      </c>
      <c r="AD1462" s="1" t="s">
        <v>151</v>
      </c>
      <c r="AE1462" s="1" t="s">
        <v>392</v>
      </c>
      <c r="AF1462" s="1" t="s">
        <v>107</v>
      </c>
      <c r="AG1462" s="1">
        <v>21</v>
      </c>
      <c r="AO1462" s="2">
        <v>46276</v>
      </c>
      <c r="AP1462" s="1" t="s">
        <v>226</v>
      </c>
      <c r="AQ1462" s="2">
        <v>46276</v>
      </c>
      <c r="AR1462" s="1" t="s">
        <v>378</v>
      </c>
      <c r="AS1462" s="1" t="s">
        <v>71</v>
      </c>
      <c r="AU1462" s="1" t="s">
        <v>79</v>
      </c>
      <c r="AV1462" s="1" t="s">
        <v>80</v>
      </c>
      <c r="AW1462" s="1">
        <v>44.66</v>
      </c>
      <c r="AX1462" s="1">
        <v>0</v>
      </c>
      <c r="AZ1462" s="1" t="s">
        <v>81</v>
      </c>
      <c r="BA1462" s="1">
        <v>1</v>
      </c>
      <c r="BB1462" s="1">
        <v>0</v>
      </c>
      <c r="BC1462" s="1">
        <v>0</v>
      </c>
      <c r="BE1462" s="1">
        <v>27246367</v>
      </c>
    </row>
    <row r="1463" spans="1:57" x14ac:dyDescent="0.25">
      <c r="A1463" s="1" t="str">
        <f>T("1945192385550685628")</f>
        <v>1945192385550685628</v>
      </c>
      <c r="B1463" s="1" t="str">
        <f>T("249997477697")</f>
        <v>249997477697</v>
      </c>
      <c r="C1463" s="1" t="str">
        <f>T("1941094502894667656")</f>
        <v>1941094502894667656</v>
      </c>
      <c r="AC1463" s="1" t="s">
        <v>104</v>
      </c>
      <c r="AD1463" s="1" t="s">
        <v>151</v>
      </c>
      <c r="AE1463" s="1" t="s">
        <v>392</v>
      </c>
      <c r="AF1463" s="1" t="s">
        <v>107</v>
      </c>
      <c r="AG1463" s="1">
        <v>21</v>
      </c>
      <c r="AO1463" s="2">
        <v>46276</v>
      </c>
      <c r="AP1463" s="1" t="s">
        <v>226</v>
      </c>
      <c r="AS1463" s="1" t="s">
        <v>71</v>
      </c>
      <c r="AU1463" s="1" t="s">
        <v>72</v>
      </c>
      <c r="AV1463" s="1" t="s">
        <v>73</v>
      </c>
      <c r="AX1463" s="1">
        <v>0</v>
      </c>
      <c r="BA1463" s="1">
        <v>9</v>
      </c>
      <c r="BB1463" s="1">
        <v>0</v>
      </c>
      <c r="BC1463" s="1">
        <v>0</v>
      </c>
      <c r="BE1463" s="1">
        <v>27246367</v>
      </c>
    </row>
    <row r="1464" spans="1:57" x14ac:dyDescent="0.25">
      <c r="A1464" s="1" t="str">
        <f>T("1945192385693292000")</f>
        <v>1945192385693292000</v>
      </c>
      <c r="B1464" s="1" t="str">
        <f>T("249998218099")</f>
        <v>249998218099</v>
      </c>
      <c r="C1464" s="1" t="str">
        <f>T("1941094502894668056")</f>
        <v>1941094502894668056</v>
      </c>
      <c r="AC1464" s="1" t="s">
        <v>104</v>
      </c>
      <c r="AD1464" s="1" t="s">
        <v>151</v>
      </c>
      <c r="AE1464" s="1" t="s">
        <v>392</v>
      </c>
      <c r="AF1464" s="1" t="s">
        <v>107</v>
      </c>
      <c r="AG1464" s="1">
        <v>19</v>
      </c>
      <c r="AO1464" s="2">
        <v>46276</v>
      </c>
      <c r="AP1464" s="1" t="s">
        <v>226</v>
      </c>
      <c r="AQ1464" s="2">
        <v>46276</v>
      </c>
      <c r="AR1464" s="1" t="s">
        <v>630</v>
      </c>
      <c r="AS1464" s="1" t="s">
        <v>71</v>
      </c>
      <c r="AU1464" s="1" t="s">
        <v>79</v>
      </c>
      <c r="AV1464" s="1" t="s">
        <v>80</v>
      </c>
      <c r="AW1464" s="1">
        <v>23.86</v>
      </c>
      <c r="AX1464" s="1">
        <v>0</v>
      </c>
      <c r="AZ1464" s="1" t="s">
        <v>81</v>
      </c>
      <c r="BA1464" s="1">
        <v>1</v>
      </c>
      <c r="BB1464" s="1">
        <v>0</v>
      </c>
      <c r="BC1464" s="1">
        <v>0</v>
      </c>
      <c r="BE1464" s="1">
        <v>27246367</v>
      </c>
    </row>
    <row r="1465" spans="1:57" x14ac:dyDescent="0.25">
      <c r="A1465" s="1" t="str">
        <f>T("1945192385705875424")</f>
        <v>1945192385705875424</v>
      </c>
      <c r="B1465" s="1" t="str">
        <f>T("249113631414")</f>
        <v>249113631414</v>
      </c>
      <c r="C1465" s="1" t="str">
        <f>T("1941094502894668456")</f>
        <v>1941094502894668456</v>
      </c>
      <c r="AC1465" s="1" t="s">
        <v>104</v>
      </c>
      <c r="AD1465" s="1" t="s">
        <v>151</v>
      </c>
      <c r="AE1465" s="1" t="s">
        <v>392</v>
      </c>
      <c r="AF1465" s="1" t="s">
        <v>107</v>
      </c>
      <c r="AG1465" s="1">
        <v>19</v>
      </c>
      <c r="AO1465" s="2">
        <v>46276</v>
      </c>
      <c r="AP1465" s="1" t="s">
        <v>226</v>
      </c>
      <c r="AQ1465" s="2">
        <v>46276</v>
      </c>
      <c r="AR1465" s="1" t="s">
        <v>635</v>
      </c>
      <c r="AS1465" s="1" t="s">
        <v>71</v>
      </c>
      <c r="AU1465" s="1" t="s">
        <v>79</v>
      </c>
      <c r="AV1465" s="1" t="s">
        <v>80</v>
      </c>
      <c r="AW1465" s="1">
        <v>8.08</v>
      </c>
      <c r="AX1465" s="1">
        <v>0</v>
      </c>
      <c r="AZ1465" s="1" t="s">
        <v>81</v>
      </c>
      <c r="BA1465" s="1">
        <v>3</v>
      </c>
      <c r="BB1465" s="1">
        <v>0</v>
      </c>
      <c r="BC1465" s="1">
        <v>0</v>
      </c>
      <c r="BE1465" s="1">
        <v>27246367</v>
      </c>
    </row>
    <row r="1466" spans="1:57" x14ac:dyDescent="0.25">
      <c r="A1466" s="1" t="str">
        <f>T("1945192385731040272")</f>
        <v>1945192385731040272</v>
      </c>
      <c r="B1466" s="1" t="str">
        <f>T("249124674742")</f>
        <v>249124674742</v>
      </c>
      <c r="C1466" s="1" t="str">
        <f>T("1941094502894669256")</f>
        <v>1941094502894669256</v>
      </c>
      <c r="AA1466" s="1">
        <v>1</v>
      </c>
      <c r="AC1466" s="1" t="s">
        <v>104</v>
      </c>
      <c r="AD1466" s="1" t="s">
        <v>151</v>
      </c>
      <c r="AE1466" s="1" t="s">
        <v>392</v>
      </c>
      <c r="AF1466" s="1" t="s">
        <v>107</v>
      </c>
      <c r="AG1466" s="1">
        <v>26</v>
      </c>
      <c r="AO1466" s="2">
        <v>46276</v>
      </c>
      <c r="AP1466" s="1" t="s">
        <v>226</v>
      </c>
      <c r="AQ1466" s="2">
        <v>46276</v>
      </c>
      <c r="AR1466" s="1" t="s">
        <v>636</v>
      </c>
      <c r="AS1466" s="1" t="s">
        <v>71</v>
      </c>
      <c r="AU1466" s="1" t="s">
        <v>79</v>
      </c>
      <c r="AV1466" s="1" t="s">
        <v>80</v>
      </c>
      <c r="AW1466" s="1">
        <v>56.72</v>
      </c>
      <c r="AX1466" s="1">
        <v>0</v>
      </c>
      <c r="AZ1466" s="1" t="s">
        <v>81</v>
      </c>
      <c r="BA1466" s="1">
        <v>1</v>
      </c>
      <c r="BB1466" s="1">
        <v>0</v>
      </c>
      <c r="BC1466" s="1">
        <v>0</v>
      </c>
      <c r="BE1466" s="1">
        <v>27246367</v>
      </c>
    </row>
    <row r="1467" spans="1:57" x14ac:dyDescent="0.25">
      <c r="A1467" s="1" t="str">
        <f>T("1945192385731040273")</f>
        <v>1945192385731040273</v>
      </c>
      <c r="B1467" s="1" t="str">
        <f>T("249927208785")</f>
        <v>249927208785</v>
      </c>
      <c r="C1467" s="1" t="str">
        <f>T("1941094502894668956")</f>
        <v>1941094502894668956</v>
      </c>
      <c r="AA1467" s="1">
        <v>1</v>
      </c>
      <c r="AC1467" s="1" t="s">
        <v>104</v>
      </c>
      <c r="AD1467" s="1" t="s">
        <v>151</v>
      </c>
      <c r="AE1467" s="1" t="s">
        <v>392</v>
      </c>
      <c r="AF1467" s="1" t="s">
        <v>107</v>
      </c>
      <c r="AG1467" s="1">
        <v>18</v>
      </c>
      <c r="AO1467" s="2">
        <v>46276</v>
      </c>
      <c r="AP1467" s="1" t="s">
        <v>226</v>
      </c>
      <c r="AQ1467" s="2">
        <v>46277</v>
      </c>
      <c r="AR1467" s="1" t="s">
        <v>637</v>
      </c>
      <c r="AS1467" s="1" t="s">
        <v>71</v>
      </c>
      <c r="AU1467" s="1" t="s">
        <v>78</v>
      </c>
      <c r="AV1467" s="1" t="s">
        <v>80</v>
      </c>
      <c r="AW1467" s="1">
        <v>134.62</v>
      </c>
      <c r="AX1467" s="1">
        <v>0</v>
      </c>
      <c r="AZ1467" s="1" t="s">
        <v>81</v>
      </c>
      <c r="BA1467" s="1">
        <v>6</v>
      </c>
      <c r="BB1467" s="1">
        <v>0</v>
      </c>
      <c r="BC1467" s="1">
        <v>0</v>
      </c>
      <c r="BE1467" s="1">
        <v>27246367</v>
      </c>
    </row>
    <row r="1468" spans="1:57" x14ac:dyDescent="0.25">
      <c r="A1468" s="1" t="str">
        <f>T("1945192385781372068")</f>
        <v>1945192385781372068</v>
      </c>
      <c r="B1468" s="1" t="str">
        <f>T("249118525077")</f>
        <v>249118525077</v>
      </c>
      <c r="C1468" s="1" t="str">
        <f>T("1941094502894669756")</f>
        <v>1941094502894669756</v>
      </c>
      <c r="AC1468" s="1" t="s">
        <v>104</v>
      </c>
      <c r="AD1468" s="1" t="s">
        <v>151</v>
      </c>
      <c r="AE1468" s="1" t="s">
        <v>392</v>
      </c>
      <c r="AF1468" s="1" t="s">
        <v>107</v>
      </c>
      <c r="AG1468" s="1">
        <v>18</v>
      </c>
      <c r="AO1468" s="2">
        <v>46276</v>
      </c>
      <c r="AP1468" s="1" t="s">
        <v>226</v>
      </c>
      <c r="AS1468" s="1" t="s">
        <v>71</v>
      </c>
      <c r="AU1468" s="1" t="s">
        <v>72</v>
      </c>
      <c r="AV1468" s="1" t="s">
        <v>73</v>
      </c>
      <c r="AX1468" s="1">
        <v>0</v>
      </c>
      <c r="BA1468" s="1">
        <v>9</v>
      </c>
      <c r="BB1468" s="1">
        <v>0</v>
      </c>
      <c r="BC1468" s="1">
        <v>0</v>
      </c>
      <c r="BE1468" s="1">
        <v>27246367</v>
      </c>
    </row>
    <row r="1469" spans="1:57" x14ac:dyDescent="0.25">
      <c r="A1469" s="1" t="str">
        <f>T("1945192385785565976")</f>
        <v>1945192385785565976</v>
      </c>
      <c r="B1469" s="1" t="str">
        <f>T("249122362661")</f>
        <v>249122362661</v>
      </c>
      <c r="C1469" s="1" t="str">
        <f>T("1941094502898860364")</f>
        <v>1941094502898860364</v>
      </c>
      <c r="AA1469" s="1">
        <v>1</v>
      </c>
      <c r="AC1469" s="1" t="s">
        <v>104</v>
      </c>
      <c r="AD1469" s="1" t="s">
        <v>151</v>
      </c>
      <c r="AE1469" s="1" t="s">
        <v>392</v>
      </c>
      <c r="AF1469" s="1" t="s">
        <v>107</v>
      </c>
      <c r="AG1469" s="1">
        <v>28</v>
      </c>
      <c r="AO1469" s="2">
        <v>46276</v>
      </c>
      <c r="AP1469" s="1" t="s">
        <v>226</v>
      </c>
      <c r="AQ1469" s="2">
        <v>46276</v>
      </c>
      <c r="AR1469" s="1" t="s">
        <v>240</v>
      </c>
      <c r="AS1469" s="1" t="s">
        <v>71</v>
      </c>
      <c r="AU1469" s="1" t="s">
        <v>79</v>
      </c>
      <c r="AV1469" s="1" t="s">
        <v>80</v>
      </c>
      <c r="AW1469" s="1">
        <v>115.96</v>
      </c>
      <c r="AX1469" s="1">
        <v>0</v>
      </c>
      <c r="AZ1469" s="1" t="s">
        <v>81</v>
      </c>
      <c r="BA1469" s="1">
        <v>1</v>
      </c>
      <c r="BB1469" s="1">
        <v>0</v>
      </c>
      <c r="BC1469" s="1">
        <v>0</v>
      </c>
      <c r="BE1469" s="1">
        <v>27246367</v>
      </c>
    </row>
    <row r="1470" spans="1:57" x14ac:dyDescent="0.25">
      <c r="A1470" s="1" t="str">
        <f>T("1945192385793955392")</f>
        <v>1945192385793955392</v>
      </c>
      <c r="B1470" s="1" t="str">
        <f>T("249122312661")</f>
        <v>249122312661</v>
      </c>
      <c r="C1470" s="1" t="str">
        <f>T("1941094502898860864")</f>
        <v>1941094502898860864</v>
      </c>
      <c r="M1470" s="1" t="s">
        <v>59</v>
      </c>
      <c r="AA1470" s="1">
        <v>1</v>
      </c>
      <c r="AC1470" s="1" t="s">
        <v>104</v>
      </c>
      <c r="AD1470" s="1" t="s">
        <v>151</v>
      </c>
      <c r="AE1470" s="1" t="s">
        <v>392</v>
      </c>
      <c r="AF1470" s="1" t="s">
        <v>107</v>
      </c>
      <c r="AG1470" s="1">
        <v>32</v>
      </c>
      <c r="AO1470" s="2">
        <v>46276</v>
      </c>
      <c r="AP1470" s="1" t="s">
        <v>226</v>
      </c>
      <c r="AQ1470" s="2">
        <v>46276</v>
      </c>
      <c r="AR1470" s="1" t="s">
        <v>230</v>
      </c>
      <c r="AS1470" s="1" t="s">
        <v>71</v>
      </c>
      <c r="AU1470" s="1" t="s">
        <v>79</v>
      </c>
      <c r="AV1470" s="1" t="s">
        <v>80</v>
      </c>
      <c r="AW1470" s="1">
        <v>115.94</v>
      </c>
      <c r="AX1470" s="1">
        <v>0</v>
      </c>
      <c r="AZ1470" s="1" t="s">
        <v>81</v>
      </c>
      <c r="BA1470" s="1">
        <v>1</v>
      </c>
      <c r="BB1470" s="1">
        <v>0</v>
      </c>
      <c r="BC1470" s="1">
        <v>0</v>
      </c>
      <c r="BE1470" s="1">
        <v>27246367</v>
      </c>
    </row>
    <row r="1471" spans="1:57" x14ac:dyDescent="0.25">
      <c r="A1471" s="1" t="str">
        <f>T("1945192385798151300")</f>
        <v>1945192385798151300</v>
      </c>
      <c r="B1471" s="1" t="str">
        <f>T("249118081478")</f>
        <v>249118081478</v>
      </c>
      <c r="C1471" s="1" t="str">
        <f>T("1941094502898861164")</f>
        <v>1941094502898861164</v>
      </c>
      <c r="M1471" s="1" t="s">
        <v>59</v>
      </c>
      <c r="O1471" s="1" t="s">
        <v>65</v>
      </c>
      <c r="P1471" s="1" t="s">
        <v>83</v>
      </c>
      <c r="Q1471" s="1" t="s">
        <v>112</v>
      </c>
      <c r="R1471" s="1" t="s">
        <v>93</v>
      </c>
      <c r="T1471" s="1" t="s">
        <v>464</v>
      </c>
      <c r="U1471" s="1" t="s">
        <v>65</v>
      </c>
      <c r="V1471" s="1" t="s">
        <v>102</v>
      </c>
      <c r="W1471" s="1" t="s">
        <v>60</v>
      </c>
      <c r="X1471" s="1" t="s">
        <v>103</v>
      </c>
      <c r="Y1471" s="1" t="s">
        <v>69</v>
      </c>
      <c r="AA1471" s="1">
        <v>1</v>
      </c>
      <c r="AB1471" s="1">
        <v>1</v>
      </c>
      <c r="AC1471" s="1" t="s">
        <v>104</v>
      </c>
      <c r="AD1471" s="1" t="s">
        <v>151</v>
      </c>
      <c r="AE1471" s="1" t="s">
        <v>392</v>
      </c>
      <c r="AF1471" s="1" t="s">
        <v>107</v>
      </c>
      <c r="AG1471" s="1">
        <v>37</v>
      </c>
      <c r="AO1471" s="2">
        <v>46276</v>
      </c>
      <c r="AP1471" s="1" t="s">
        <v>226</v>
      </c>
      <c r="AQ1471" s="2">
        <v>46276</v>
      </c>
      <c r="AR1471" s="1" t="s">
        <v>638</v>
      </c>
      <c r="AS1471" s="1" t="s">
        <v>71</v>
      </c>
      <c r="AU1471" s="1" t="s">
        <v>78</v>
      </c>
      <c r="AV1471" s="1" t="s">
        <v>80</v>
      </c>
      <c r="AW1471" s="1">
        <v>232.1</v>
      </c>
      <c r="AX1471" s="1">
        <v>0</v>
      </c>
      <c r="AZ1471" s="1" t="s">
        <v>81</v>
      </c>
      <c r="BA1471" s="1">
        <v>3</v>
      </c>
      <c r="BB1471" s="1">
        <v>0</v>
      </c>
      <c r="BC1471" s="1">
        <v>0</v>
      </c>
      <c r="BE1471" s="1">
        <v>27246367</v>
      </c>
    </row>
    <row r="1472" spans="1:57" x14ac:dyDescent="0.25">
      <c r="A1472" s="1" t="str">
        <f>T("1945192385840092380")</f>
        <v>1945192385840092380</v>
      </c>
      <c r="B1472" s="1" t="str">
        <f>T("249923917481")</f>
        <v>249923917481</v>
      </c>
      <c r="C1472" s="1" t="str">
        <f>T("1941094502898861564")</f>
        <v>1941094502898861564</v>
      </c>
      <c r="AC1472" s="1" t="s">
        <v>104</v>
      </c>
      <c r="AD1472" s="1" t="s">
        <v>151</v>
      </c>
      <c r="AE1472" s="1" t="s">
        <v>392</v>
      </c>
      <c r="AF1472" s="1" t="s">
        <v>107</v>
      </c>
      <c r="AG1472" s="1">
        <v>19</v>
      </c>
      <c r="AO1472" s="2">
        <v>46276</v>
      </c>
      <c r="AP1472" s="1" t="s">
        <v>226</v>
      </c>
      <c r="AS1472" s="1" t="s">
        <v>71</v>
      </c>
      <c r="AU1472" s="1" t="s">
        <v>72</v>
      </c>
      <c r="AV1472" s="1" t="s">
        <v>126</v>
      </c>
      <c r="AX1472" s="1">
        <v>0</v>
      </c>
      <c r="BA1472" s="1">
        <v>9</v>
      </c>
      <c r="BB1472" s="1">
        <v>0</v>
      </c>
      <c r="BC1472" s="1">
        <v>0</v>
      </c>
      <c r="BE1472" s="1">
        <v>27246367</v>
      </c>
    </row>
    <row r="1473" spans="1:57" x14ac:dyDescent="0.25">
      <c r="A1473" s="1" t="str">
        <f>T("1945192385844289388")</f>
        <v>1945192385844289388</v>
      </c>
      <c r="B1473" s="1" t="str">
        <f>T("249124635481")</f>
        <v>249124635481</v>
      </c>
      <c r="C1473" s="1" t="str">
        <f>T("1941094502898861964")</f>
        <v>1941094502898861964</v>
      </c>
      <c r="AA1473" s="1">
        <v>1</v>
      </c>
      <c r="AC1473" s="1" t="s">
        <v>104</v>
      </c>
      <c r="AD1473" s="1" t="s">
        <v>151</v>
      </c>
      <c r="AE1473" s="1" t="s">
        <v>392</v>
      </c>
      <c r="AF1473" s="1" t="s">
        <v>107</v>
      </c>
      <c r="AG1473" s="1">
        <v>20</v>
      </c>
      <c r="AO1473" s="2">
        <v>46276</v>
      </c>
      <c r="AP1473" s="1" t="s">
        <v>226</v>
      </c>
      <c r="AQ1473" s="2">
        <v>46276</v>
      </c>
      <c r="AR1473" s="1" t="s">
        <v>231</v>
      </c>
      <c r="AS1473" s="1" t="s">
        <v>71</v>
      </c>
      <c r="AU1473" s="1" t="s">
        <v>78</v>
      </c>
      <c r="AV1473" s="1" t="s">
        <v>80</v>
      </c>
      <c r="AW1473" s="1">
        <v>134.69999999999999</v>
      </c>
      <c r="AX1473" s="1">
        <v>0</v>
      </c>
      <c r="AZ1473" s="1" t="s">
        <v>81</v>
      </c>
      <c r="BA1473" s="1">
        <v>1</v>
      </c>
      <c r="BB1473" s="1">
        <v>0</v>
      </c>
      <c r="BC1473" s="1">
        <v>0</v>
      </c>
      <c r="BE1473" s="1">
        <v>27246367</v>
      </c>
    </row>
    <row r="1474" spans="1:57" x14ac:dyDescent="0.25">
      <c r="A1474" s="1" t="str">
        <f>T("1945192385848481196")</f>
        <v>1945192385848481196</v>
      </c>
      <c r="B1474" s="1" t="str">
        <f>T("249969751514")</f>
        <v>249969751514</v>
      </c>
      <c r="C1474" s="1" t="str">
        <f>T("1941094502898862464")</f>
        <v>1941094502898862464</v>
      </c>
      <c r="AC1474" s="1" t="s">
        <v>104</v>
      </c>
      <c r="AD1474" s="1" t="s">
        <v>151</v>
      </c>
      <c r="AE1474" s="1" t="s">
        <v>392</v>
      </c>
      <c r="AF1474" s="1" t="s">
        <v>107</v>
      </c>
      <c r="AG1474" s="1">
        <v>19</v>
      </c>
      <c r="AO1474" s="2">
        <v>46276</v>
      </c>
      <c r="AP1474" s="1" t="s">
        <v>226</v>
      </c>
      <c r="AS1474" s="1" t="s">
        <v>71</v>
      </c>
      <c r="AU1474" s="1" t="s">
        <v>72</v>
      </c>
      <c r="AV1474" s="1" t="s">
        <v>126</v>
      </c>
      <c r="AX1474" s="1">
        <v>0</v>
      </c>
      <c r="BA1474" s="1">
        <v>9</v>
      </c>
      <c r="BB1474" s="1">
        <v>0</v>
      </c>
      <c r="BC1474" s="1">
        <v>0</v>
      </c>
      <c r="BE1474" s="1">
        <v>27246367</v>
      </c>
    </row>
    <row r="1475" spans="1:57" x14ac:dyDescent="0.25">
      <c r="A1475" s="1" t="str">
        <f>T("1945192385861063320")</f>
        <v>1945192385861063320</v>
      </c>
      <c r="B1475" s="1" t="str">
        <f>T("249925865792")</f>
        <v>249925865792</v>
      </c>
      <c r="C1475" s="1" t="str">
        <f>T("1941094502898863264")</f>
        <v>1941094502898863264</v>
      </c>
      <c r="AA1475" s="1">
        <v>1</v>
      </c>
      <c r="AC1475" s="1" t="s">
        <v>104</v>
      </c>
      <c r="AD1475" s="1" t="s">
        <v>151</v>
      </c>
      <c r="AE1475" s="1" t="s">
        <v>392</v>
      </c>
      <c r="AF1475" s="1" t="s">
        <v>107</v>
      </c>
      <c r="AG1475" s="1">
        <v>19</v>
      </c>
      <c r="AO1475" s="2">
        <v>46276</v>
      </c>
      <c r="AP1475" s="1" t="s">
        <v>226</v>
      </c>
      <c r="AQ1475" s="2">
        <v>46277</v>
      </c>
      <c r="AR1475" s="1" t="s">
        <v>639</v>
      </c>
      <c r="AS1475" s="1" t="s">
        <v>71</v>
      </c>
      <c r="AU1475" s="1" t="s">
        <v>78</v>
      </c>
      <c r="AV1475" s="1" t="s">
        <v>80</v>
      </c>
      <c r="AW1475" s="1">
        <v>134.62</v>
      </c>
      <c r="AX1475" s="1">
        <v>0</v>
      </c>
      <c r="AZ1475" s="1" t="s">
        <v>81</v>
      </c>
      <c r="BA1475" s="1">
        <v>4</v>
      </c>
      <c r="BB1475" s="1">
        <v>0</v>
      </c>
      <c r="BC1475" s="1">
        <v>0</v>
      </c>
      <c r="BE1475" s="1">
        <v>27246367</v>
      </c>
    </row>
    <row r="1476" spans="1:57" x14ac:dyDescent="0.25">
      <c r="A1476" s="1" t="str">
        <f>T("1945192385890425076")</f>
        <v>1945192385890425076</v>
      </c>
      <c r="B1476" s="1" t="str">
        <f>T("249927962701")</f>
        <v>249927962701</v>
      </c>
      <c r="C1476" s="1" t="str">
        <f>T("1941094502898863864")</f>
        <v>1941094502898863864</v>
      </c>
      <c r="AC1476" s="1" t="s">
        <v>104</v>
      </c>
      <c r="AD1476" s="1" t="s">
        <v>151</v>
      </c>
      <c r="AE1476" s="1" t="s">
        <v>392</v>
      </c>
      <c r="AF1476" s="1" t="s">
        <v>107</v>
      </c>
      <c r="AG1476" s="1">
        <v>23</v>
      </c>
      <c r="AO1476" s="2">
        <v>46276</v>
      </c>
      <c r="AP1476" s="1" t="s">
        <v>226</v>
      </c>
      <c r="AS1476" s="1" t="s">
        <v>71</v>
      </c>
      <c r="AU1476" s="1" t="s">
        <v>72</v>
      </c>
      <c r="AV1476" s="1" t="s">
        <v>126</v>
      </c>
      <c r="AX1476" s="1">
        <v>0</v>
      </c>
      <c r="BA1476" s="1">
        <v>9</v>
      </c>
      <c r="BB1476" s="1">
        <v>0</v>
      </c>
      <c r="BC1476" s="1">
        <v>0</v>
      </c>
      <c r="BE1476" s="1">
        <v>27246367</v>
      </c>
    </row>
    <row r="1477" spans="1:57" x14ac:dyDescent="0.25">
      <c r="A1477" s="1" t="str">
        <f>T("1945192385903007400")</f>
        <v>1945192385903007400</v>
      </c>
      <c r="B1477" s="1" t="str">
        <f>T("249927811986")</f>
        <v>249927811986</v>
      </c>
      <c r="C1477" s="1" t="str">
        <f>T("1941094502903055072")</f>
        <v>1941094502903055072</v>
      </c>
      <c r="AC1477" s="1" t="s">
        <v>104</v>
      </c>
      <c r="AD1477" s="1" t="s">
        <v>151</v>
      </c>
      <c r="AE1477" s="1" t="s">
        <v>392</v>
      </c>
      <c r="AF1477" s="1" t="s">
        <v>107</v>
      </c>
      <c r="AG1477" s="1">
        <v>18</v>
      </c>
      <c r="AO1477" s="2">
        <v>46276</v>
      </c>
      <c r="AP1477" s="1" t="s">
        <v>226</v>
      </c>
      <c r="AS1477" s="1" t="s">
        <v>71</v>
      </c>
      <c r="AU1477" s="1" t="s">
        <v>72</v>
      </c>
      <c r="AV1477" s="1" t="s">
        <v>73</v>
      </c>
      <c r="AX1477" s="1">
        <v>0</v>
      </c>
      <c r="BA1477" s="1">
        <v>9</v>
      </c>
      <c r="BB1477" s="1">
        <v>0</v>
      </c>
      <c r="BC1477" s="1">
        <v>0</v>
      </c>
      <c r="BE1477" s="1">
        <v>27246367</v>
      </c>
    </row>
    <row r="1478" spans="1:57" x14ac:dyDescent="0.25">
      <c r="A1478" s="1" t="str">
        <f>T("1945192385903007600")</f>
        <v>1945192385903007600</v>
      </c>
      <c r="B1478" s="1" t="str">
        <f>T("249927961701")</f>
        <v>249927961701</v>
      </c>
      <c r="C1478" s="1" t="str">
        <f>T("1941094502903054672")</f>
        <v>1941094502903054672</v>
      </c>
      <c r="M1478" s="1" t="s">
        <v>133</v>
      </c>
      <c r="N1478" s="1" t="s">
        <v>60</v>
      </c>
      <c r="O1478" s="1" t="s">
        <v>65</v>
      </c>
      <c r="P1478" s="1" t="s">
        <v>91</v>
      </c>
      <c r="Q1478" s="1" t="s">
        <v>101</v>
      </c>
      <c r="R1478" s="1" t="s">
        <v>93</v>
      </c>
      <c r="T1478" s="1" t="s">
        <v>464</v>
      </c>
      <c r="U1478" s="1" t="s">
        <v>65</v>
      </c>
      <c r="V1478" s="1" t="s">
        <v>102</v>
      </c>
      <c r="W1478" s="1" t="s">
        <v>60</v>
      </c>
      <c r="X1478" s="1" t="s">
        <v>66</v>
      </c>
      <c r="Y1478" s="1" t="s">
        <v>160</v>
      </c>
      <c r="AA1478" s="1">
        <v>1</v>
      </c>
      <c r="AB1478" s="1">
        <v>1</v>
      </c>
      <c r="AC1478" s="1" t="s">
        <v>104</v>
      </c>
      <c r="AD1478" s="1" t="s">
        <v>151</v>
      </c>
      <c r="AE1478" s="1" t="s">
        <v>392</v>
      </c>
      <c r="AF1478" s="1" t="s">
        <v>107</v>
      </c>
      <c r="AG1478" s="1">
        <v>18</v>
      </c>
      <c r="AO1478" s="2">
        <v>46276</v>
      </c>
      <c r="AP1478" s="1" t="s">
        <v>226</v>
      </c>
      <c r="AQ1478" s="2">
        <v>46276</v>
      </c>
      <c r="AR1478" s="1" t="s">
        <v>378</v>
      </c>
      <c r="AS1478" s="1" t="s">
        <v>71</v>
      </c>
      <c r="AU1478" s="1" t="s">
        <v>78</v>
      </c>
      <c r="AV1478" s="1" t="s">
        <v>80</v>
      </c>
      <c r="AW1478" s="1">
        <v>308.16000000000003</v>
      </c>
      <c r="AX1478" s="1">
        <v>0</v>
      </c>
      <c r="AZ1478" s="1" t="s">
        <v>81</v>
      </c>
      <c r="BA1478" s="1">
        <v>1</v>
      </c>
      <c r="BB1478" s="1">
        <v>0</v>
      </c>
      <c r="BC1478" s="1">
        <v>0</v>
      </c>
      <c r="BE1478" s="1">
        <v>27246367</v>
      </c>
    </row>
    <row r="1479" spans="1:57" x14ac:dyDescent="0.25">
      <c r="A1479" s="1" t="str">
        <f>T("1945192385907203208")</f>
        <v>1945192385907203208</v>
      </c>
      <c r="B1479" s="1" t="str">
        <f>T("249112378007")</f>
        <v>249112378007</v>
      </c>
      <c r="C1479" s="1" t="str">
        <f>T("1941094502903055472")</f>
        <v>1941094502903055472</v>
      </c>
      <c r="AC1479" s="1" t="s">
        <v>104</v>
      </c>
      <c r="AD1479" s="1" t="s">
        <v>151</v>
      </c>
      <c r="AE1479" s="1" t="s">
        <v>392</v>
      </c>
      <c r="AF1479" s="1" t="s">
        <v>107</v>
      </c>
      <c r="AG1479" s="1">
        <v>26</v>
      </c>
      <c r="AO1479" s="2">
        <v>46276</v>
      </c>
      <c r="AP1479" s="1" t="s">
        <v>226</v>
      </c>
      <c r="AS1479" s="1" t="s">
        <v>71</v>
      </c>
      <c r="AU1479" s="1" t="s">
        <v>72</v>
      </c>
      <c r="AV1479" s="1" t="s">
        <v>412</v>
      </c>
      <c r="AX1479" s="1">
        <v>0</v>
      </c>
      <c r="BA1479" s="1">
        <v>9</v>
      </c>
      <c r="BB1479" s="1">
        <v>0</v>
      </c>
      <c r="BC1479" s="1">
        <v>0</v>
      </c>
      <c r="BE1479" s="1">
        <v>27246367</v>
      </c>
    </row>
    <row r="1480" spans="1:57" x14ac:dyDescent="0.25">
      <c r="A1480" s="1" t="str">
        <f>T("1945192385949143588")</f>
        <v>1945192385949143588</v>
      </c>
      <c r="B1480" s="1" t="str">
        <f>T("249127811986")</f>
        <v>249127811986</v>
      </c>
      <c r="C1480" s="1" t="str">
        <f>T("1941094502903055872")</f>
        <v>1941094502903055872</v>
      </c>
      <c r="M1480" s="1" t="s">
        <v>59</v>
      </c>
      <c r="O1480" s="1" t="s">
        <v>60</v>
      </c>
      <c r="P1480" s="1" t="s">
        <v>83</v>
      </c>
      <c r="Q1480" s="1" t="s">
        <v>112</v>
      </c>
      <c r="R1480" s="1" t="s">
        <v>84</v>
      </c>
      <c r="S1480" s="1" t="s">
        <v>94</v>
      </c>
      <c r="U1480" s="1" t="s">
        <v>65</v>
      </c>
      <c r="V1480" s="1" t="s">
        <v>102</v>
      </c>
      <c r="W1480" s="1" t="s">
        <v>60</v>
      </c>
      <c r="X1480" s="1" t="s">
        <v>103</v>
      </c>
      <c r="Y1480" s="1" t="s">
        <v>69</v>
      </c>
      <c r="AA1480" s="1">
        <v>1</v>
      </c>
      <c r="AB1480" s="1">
        <v>1</v>
      </c>
      <c r="AC1480" s="1" t="s">
        <v>104</v>
      </c>
      <c r="AD1480" s="1" t="s">
        <v>151</v>
      </c>
      <c r="AE1480" s="1" t="s">
        <v>392</v>
      </c>
      <c r="AF1480" s="1" t="s">
        <v>107</v>
      </c>
      <c r="AG1480" s="1">
        <v>24</v>
      </c>
      <c r="AO1480" s="2">
        <v>46276</v>
      </c>
      <c r="AP1480" s="1" t="s">
        <v>226</v>
      </c>
      <c r="AQ1480" s="2">
        <v>46276</v>
      </c>
      <c r="AR1480" s="1" t="s">
        <v>418</v>
      </c>
      <c r="AS1480" s="1" t="s">
        <v>71</v>
      </c>
      <c r="AU1480" s="1" t="s">
        <v>78</v>
      </c>
      <c r="AV1480" s="1" t="s">
        <v>80</v>
      </c>
      <c r="AW1480" s="1">
        <v>200.02</v>
      </c>
      <c r="AX1480" s="1">
        <v>0</v>
      </c>
      <c r="AZ1480" s="1" t="s">
        <v>81</v>
      </c>
      <c r="BA1480" s="1">
        <v>2</v>
      </c>
      <c r="BB1480" s="1">
        <v>0</v>
      </c>
      <c r="BC1480" s="1">
        <v>0</v>
      </c>
      <c r="BE1480" s="1">
        <v>27246367</v>
      </c>
    </row>
    <row r="1481" spans="1:57" x14ac:dyDescent="0.25">
      <c r="A1481" s="1" t="str">
        <f>T("1945192385949145888")</f>
        <v>1945192385949145888</v>
      </c>
      <c r="B1481" s="1" t="str">
        <f>T("249997242175")</f>
        <v>249997242175</v>
      </c>
      <c r="C1481" s="1" t="str">
        <f>T("1941094502903056272")</f>
        <v>1941094502903056272</v>
      </c>
      <c r="M1481" s="1" t="s">
        <v>59</v>
      </c>
      <c r="O1481" s="1" t="s">
        <v>65</v>
      </c>
      <c r="P1481" s="1" t="s">
        <v>61</v>
      </c>
      <c r="AA1481" s="1">
        <v>1</v>
      </c>
      <c r="AC1481" s="1" t="s">
        <v>104</v>
      </c>
      <c r="AD1481" s="1" t="s">
        <v>151</v>
      </c>
      <c r="AE1481" s="1" t="s">
        <v>392</v>
      </c>
      <c r="AF1481" s="1" t="s">
        <v>107</v>
      </c>
      <c r="AG1481" s="1">
        <v>22</v>
      </c>
      <c r="AO1481" s="2">
        <v>46276</v>
      </c>
      <c r="AP1481" s="1" t="s">
        <v>226</v>
      </c>
      <c r="AQ1481" s="2">
        <v>46276</v>
      </c>
      <c r="AR1481" s="1" t="s">
        <v>377</v>
      </c>
      <c r="AS1481" s="1" t="s">
        <v>71</v>
      </c>
      <c r="AU1481" s="1" t="s">
        <v>79</v>
      </c>
      <c r="AV1481" s="1" t="s">
        <v>80</v>
      </c>
      <c r="AW1481" s="1">
        <v>133.97999999999999</v>
      </c>
      <c r="AX1481" s="1">
        <v>0</v>
      </c>
      <c r="AZ1481" s="1" t="s">
        <v>81</v>
      </c>
      <c r="BA1481" s="1">
        <v>3</v>
      </c>
      <c r="BB1481" s="1">
        <v>0</v>
      </c>
      <c r="BC1481" s="1">
        <v>0</v>
      </c>
      <c r="BE1481" s="1">
        <v>27246367</v>
      </c>
    </row>
    <row r="1482" spans="1:57" x14ac:dyDescent="0.25">
      <c r="A1482" s="1" t="str">
        <f>T("1945192385986895260")</f>
        <v>1945192385986895260</v>
      </c>
      <c r="B1482" s="1" t="str">
        <f>T("249993992158")</f>
        <v>249993992158</v>
      </c>
      <c r="C1482" s="1" t="str">
        <f>T("1941094502903056572")</f>
        <v>1941094502903056572</v>
      </c>
      <c r="AA1482" s="1">
        <v>1</v>
      </c>
      <c r="AC1482" s="1" t="s">
        <v>104</v>
      </c>
      <c r="AD1482" s="1" t="s">
        <v>151</v>
      </c>
      <c r="AE1482" s="1" t="s">
        <v>392</v>
      </c>
      <c r="AF1482" s="1" t="s">
        <v>107</v>
      </c>
      <c r="AG1482" s="1">
        <v>24</v>
      </c>
      <c r="AO1482" s="2">
        <v>46276</v>
      </c>
      <c r="AP1482" s="1" t="s">
        <v>226</v>
      </c>
      <c r="AQ1482" s="2">
        <v>46277</v>
      </c>
      <c r="AR1482" s="1" t="s">
        <v>640</v>
      </c>
      <c r="AS1482" s="1" t="s">
        <v>71</v>
      </c>
      <c r="AU1482" s="1" t="s">
        <v>79</v>
      </c>
      <c r="AV1482" s="1" t="s">
        <v>80</v>
      </c>
      <c r="AW1482" s="1">
        <v>61.06</v>
      </c>
      <c r="AX1482" s="1">
        <v>0</v>
      </c>
      <c r="AZ1482" s="1" t="s">
        <v>81</v>
      </c>
      <c r="BA1482" s="1">
        <v>4</v>
      </c>
      <c r="BB1482" s="1">
        <v>0</v>
      </c>
      <c r="BC1482" s="1">
        <v>0</v>
      </c>
      <c r="BE1482" s="1">
        <v>27246367</v>
      </c>
    </row>
    <row r="1483" spans="1:57" x14ac:dyDescent="0.25">
      <c r="A1483" s="1" t="str">
        <f>T("1945192385986895860")</f>
        <v>1945192385986895860</v>
      </c>
      <c r="B1483" s="1" t="str">
        <f>T("249923376778")</f>
        <v>249923376778</v>
      </c>
      <c r="C1483" s="1" t="str">
        <f>T("1941094502903056972")</f>
        <v>1941094502903056972</v>
      </c>
      <c r="AC1483" s="1" t="s">
        <v>104</v>
      </c>
      <c r="AD1483" s="1" t="s">
        <v>151</v>
      </c>
      <c r="AE1483" s="1" t="s">
        <v>392</v>
      </c>
      <c r="AF1483" s="1" t="s">
        <v>107</v>
      </c>
      <c r="AG1483" s="1">
        <v>24</v>
      </c>
      <c r="AO1483" s="2">
        <v>46276</v>
      </c>
      <c r="AP1483" s="1" t="s">
        <v>226</v>
      </c>
      <c r="AQ1483" s="2">
        <v>46277</v>
      </c>
      <c r="AR1483" s="1" t="s">
        <v>562</v>
      </c>
      <c r="AS1483" s="1" t="s">
        <v>71</v>
      </c>
      <c r="AU1483" s="1" t="s">
        <v>79</v>
      </c>
      <c r="AV1483" s="1" t="s">
        <v>80</v>
      </c>
      <c r="AW1483" s="1">
        <v>21.46</v>
      </c>
      <c r="AX1483" s="1">
        <v>0</v>
      </c>
      <c r="AZ1483" s="1" t="s">
        <v>81</v>
      </c>
      <c r="BA1483" s="1">
        <v>4</v>
      </c>
      <c r="BB1483" s="1">
        <v>0</v>
      </c>
      <c r="BC1483" s="1">
        <v>0</v>
      </c>
      <c r="BE1483" s="1">
        <v>27246367</v>
      </c>
    </row>
    <row r="1484" spans="1:57" x14ac:dyDescent="0.25">
      <c r="A1484" s="1" t="str">
        <f>T("1945192385999478384")</f>
        <v>1945192385999478384</v>
      </c>
      <c r="B1484" s="1" t="str">
        <f>T("249994787992")</f>
        <v>249994787992</v>
      </c>
      <c r="C1484" s="1" t="str">
        <f>T("1941094502903057572")</f>
        <v>1941094502903057572</v>
      </c>
      <c r="AA1484" s="1">
        <v>1</v>
      </c>
      <c r="AC1484" s="1" t="s">
        <v>104</v>
      </c>
      <c r="AD1484" s="1" t="s">
        <v>151</v>
      </c>
      <c r="AE1484" s="1" t="s">
        <v>392</v>
      </c>
      <c r="AF1484" s="1" t="s">
        <v>107</v>
      </c>
      <c r="AG1484" s="1">
        <v>21</v>
      </c>
      <c r="AO1484" s="2">
        <v>46276</v>
      </c>
      <c r="AP1484" s="1" t="s">
        <v>226</v>
      </c>
      <c r="AQ1484" s="2">
        <v>46276</v>
      </c>
      <c r="AR1484" s="1" t="s">
        <v>630</v>
      </c>
      <c r="AS1484" s="1" t="s">
        <v>71</v>
      </c>
      <c r="AU1484" s="1" t="s">
        <v>79</v>
      </c>
      <c r="AV1484" s="1" t="s">
        <v>80</v>
      </c>
      <c r="AW1484" s="1">
        <v>67.02</v>
      </c>
      <c r="AX1484" s="1">
        <v>0</v>
      </c>
      <c r="AZ1484" s="1" t="s">
        <v>81</v>
      </c>
      <c r="BA1484" s="1">
        <v>1</v>
      </c>
      <c r="BB1484" s="1">
        <v>0</v>
      </c>
      <c r="BC1484" s="1">
        <v>0</v>
      </c>
      <c r="BE1484" s="1">
        <v>27246367</v>
      </c>
    </row>
    <row r="1485" spans="1:57" x14ac:dyDescent="0.25">
      <c r="A1485" s="1" t="str">
        <f>T("1945192386007864800")</f>
        <v>1945192386007864800</v>
      </c>
      <c r="B1485" s="1" t="str">
        <f>T("249923424955")</f>
        <v>249923424955</v>
      </c>
      <c r="C1485" s="1" t="str">
        <f>T("1941094502903058072")</f>
        <v>1941094502903058072</v>
      </c>
      <c r="M1485" s="1" t="s">
        <v>133</v>
      </c>
      <c r="N1485" s="1" t="s">
        <v>60</v>
      </c>
      <c r="O1485" s="1" t="s">
        <v>60</v>
      </c>
      <c r="P1485" s="1" t="s">
        <v>83</v>
      </c>
      <c r="Q1485" s="1" t="s">
        <v>112</v>
      </c>
      <c r="R1485" s="1" t="s">
        <v>84</v>
      </c>
      <c r="S1485" s="1" t="s">
        <v>94</v>
      </c>
      <c r="U1485" s="1" t="s">
        <v>65</v>
      </c>
      <c r="V1485" s="1" t="s">
        <v>103</v>
      </c>
      <c r="W1485" s="1" t="s">
        <v>60</v>
      </c>
      <c r="X1485" s="1" t="s">
        <v>103</v>
      </c>
      <c r="Y1485" s="1" t="s">
        <v>69</v>
      </c>
      <c r="AA1485" s="1">
        <v>1</v>
      </c>
      <c r="AB1485" s="1">
        <v>1</v>
      </c>
      <c r="AC1485" s="1" t="s">
        <v>104</v>
      </c>
      <c r="AD1485" s="1" t="s">
        <v>151</v>
      </c>
      <c r="AE1485" s="1" t="s">
        <v>392</v>
      </c>
      <c r="AF1485" s="1" t="s">
        <v>107</v>
      </c>
      <c r="AG1485" s="1">
        <v>25</v>
      </c>
      <c r="AO1485" s="2">
        <v>46276</v>
      </c>
      <c r="AP1485" s="1" t="s">
        <v>226</v>
      </c>
      <c r="AQ1485" s="2">
        <v>46276</v>
      </c>
      <c r="AR1485" s="1" t="s">
        <v>641</v>
      </c>
      <c r="AS1485" s="1" t="s">
        <v>71</v>
      </c>
      <c r="AU1485" s="1" t="s">
        <v>78</v>
      </c>
      <c r="AV1485" s="1" t="s">
        <v>80</v>
      </c>
      <c r="AW1485" s="1">
        <v>275.04000000000002</v>
      </c>
      <c r="AX1485" s="1">
        <v>0</v>
      </c>
      <c r="AZ1485" s="1" t="s">
        <v>81</v>
      </c>
      <c r="BA1485" s="1">
        <v>3</v>
      </c>
      <c r="BB1485" s="1">
        <v>0</v>
      </c>
      <c r="BC1485" s="1">
        <v>0</v>
      </c>
      <c r="BE1485" s="1">
        <v>27246367</v>
      </c>
    </row>
    <row r="1486" spans="1:57" x14ac:dyDescent="0.25">
      <c r="A1486" s="1" t="str">
        <f>T("1945192386121111916")</f>
        <v>1945192386121111916</v>
      </c>
      <c r="B1486" s="1" t="str">
        <f>T("249926318333")</f>
        <v>249926318333</v>
      </c>
      <c r="C1486" s="1" t="str">
        <f>T("1941094502907248780")</f>
        <v>1941094502907248780</v>
      </c>
      <c r="AC1486" s="1" t="s">
        <v>104</v>
      </c>
      <c r="AD1486" s="1" t="s">
        <v>151</v>
      </c>
      <c r="AE1486" s="1" t="s">
        <v>392</v>
      </c>
      <c r="AF1486" s="1" t="s">
        <v>107</v>
      </c>
      <c r="AG1486" s="1">
        <v>18</v>
      </c>
      <c r="AO1486" s="2">
        <v>46276</v>
      </c>
      <c r="AP1486" s="1" t="s">
        <v>226</v>
      </c>
      <c r="AQ1486" s="2">
        <v>46276</v>
      </c>
      <c r="AR1486" s="1" t="s">
        <v>642</v>
      </c>
      <c r="AS1486" s="1" t="s">
        <v>71</v>
      </c>
      <c r="AU1486" s="1" t="s">
        <v>79</v>
      </c>
      <c r="AV1486" s="1" t="s">
        <v>80</v>
      </c>
      <c r="AW1486" s="1">
        <v>8.0399999999999991</v>
      </c>
      <c r="AX1486" s="1">
        <v>0</v>
      </c>
      <c r="AZ1486" s="1" t="s">
        <v>81</v>
      </c>
      <c r="BA1486" s="1">
        <v>2</v>
      </c>
      <c r="BB1486" s="1">
        <v>0</v>
      </c>
      <c r="BC1486" s="1">
        <v>0</v>
      </c>
      <c r="BE1486" s="1">
        <v>27246367</v>
      </c>
    </row>
    <row r="1487" spans="1:57" x14ac:dyDescent="0.25">
      <c r="A1487" s="1" t="str">
        <f>T("1945192386125307224")</f>
        <v>1945192386125307224</v>
      </c>
      <c r="B1487" s="1" t="str">
        <f>T("249999629122")</f>
        <v>249999629122</v>
      </c>
      <c r="C1487" s="1" t="str">
        <f>T("1941094502907249180")</f>
        <v>1941094502907249180</v>
      </c>
      <c r="AC1487" s="1" t="s">
        <v>104</v>
      </c>
      <c r="AD1487" s="1" t="s">
        <v>151</v>
      </c>
      <c r="AE1487" s="1" t="s">
        <v>392</v>
      </c>
      <c r="AF1487" s="1" t="s">
        <v>107</v>
      </c>
      <c r="AG1487" s="1">
        <v>19</v>
      </c>
      <c r="AO1487" s="2">
        <v>46276</v>
      </c>
      <c r="AP1487" s="1" t="s">
        <v>226</v>
      </c>
      <c r="AS1487" s="1" t="s">
        <v>71</v>
      </c>
      <c r="AU1487" s="1" t="s">
        <v>72</v>
      </c>
      <c r="AV1487" s="1" t="s">
        <v>126</v>
      </c>
      <c r="AX1487" s="1">
        <v>0</v>
      </c>
      <c r="BA1487" s="1">
        <v>9</v>
      </c>
      <c r="BB1487" s="1">
        <v>0</v>
      </c>
      <c r="BC1487" s="1">
        <v>0</v>
      </c>
      <c r="BE1487" s="1">
        <v>27246367</v>
      </c>
    </row>
    <row r="1488" spans="1:57" x14ac:dyDescent="0.25">
      <c r="A1488" s="1" t="str">
        <f>T("1945192386129501432")</f>
        <v>1945192386129501432</v>
      </c>
      <c r="B1488" s="1" t="str">
        <f>T("249927202215")</f>
        <v>249927202215</v>
      </c>
      <c r="C1488" s="1" t="str">
        <f>T("1941094502907249580")</f>
        <v>1941094502907249580</v>
      </c>
      <c r="M1488" s="1" t="s">
        <v>59</v>
      </c>
      <c r="O1488" s="1" t="s">
        <v>65</v>
      </c>
      <c r="P1488" s="1" t="s">
        <v>83</v>
      </c>
      <c r="Q1488" s="1" t="s">
        <v>101</v>
      </c>
      <c r="R1488" s="1" t="s">
        <v>93</v>
      </c>
      <c r="T1488" s="1" t="s">
        <v>464</v>
      </c>
      <c r="U1488" s="1" t="s">
        <v>65</v>
      </c>
      <c r="V1488" s="1" t="s">
        <v>102</v>
      </c>
      <c r="W1488" s="1" t="s">
        <v>60</v>
      </c>
      <c r="X1488" s="1" t="s">
        <v>68</v>
      </c>
      <c r="Y1488" s="1" t="s">
        <v>69</v>
      </c>
      <c r="AA1488" s="1">
        <v>1</v>
      </c>
      <c r="AB1488" s="1">
        <v>1</v>
      </c>
      <c r="AC1488" s="1" t="s">
        <v>104</v>
      </c>
      <c r="AD1488" s="1" t="s">
        <v>151</v>
      </c>
      <c r="AE1488" s="1" t="s">
        <v>392</v>
      </c>
      <c r="AF1488" s="1" t="s">
        <v>107</v>
      </c>
      <c r="AG1488" s="1">
        <v>23</v>
      </c>
      <c r="AO1488" s="2">
        <v>46276</v>
      </c>
      <c r="AP1488" s="1" t="s">
        <v>226</v>
      </c>
      <c r="AQ1488" s="2">
        <v>46277</v>
      </c>
      <c r="AR1488" s="1" t="s">
        <v>643</v>
      </c>
      <c r="AS1488" s="1" t="s">
        <v>71</v>
      </c>
      <c r="AU1488" s="1" t="s">
        <v>78</v>
      </c>
      <c r="AV1488" s="1" t="s">
        <v>80</v>
      </c>
      <c r="AW1488" s="1">
        <v>244.92</v>
      </c>
      <c r="AX1488" s="1">
        <v>0</v>
      </c>
      <c r="AZ1488" s="1" t="s">
        <v>81</v>
      </c>
      <c r="BA1488" s="1">
        <v>7</v>
      </c>
      <c r="BB1488" s="1">
        <v>0</v>
      </c>
      <c r="BC1488" s="1">
        <v>0</v>
      </c>
      <c r="BE1488" s="1">
        <v>27246367</v>
      </c>
    </row>
    <row r="1489" spans="1:57" x14ac:dyDescent="0.25">
      <c r="A1489" s="1" t="str">
        <f>T("1945192386142084756")</f>
        <v>1945192386142084756</v>
      </c>
      <c r="B1489" s="1" t="str">
        <f>T("249121157448")</f>
        <v>249121157448</v>
      </c>
      <c r="C1489" s="1" t="str">
        <f>T("1941094502907249980")</f>
        <v>1941094502907249980</v>
      </c>
      <c r="AC1489" s="1" t="s">
        <v>104</v>
      </c>
      <c r="AD1489" s="1" t="s">
        <v>151</v>
      </c>
      <c r="AE1489" s="1" t="s">
        <v>392</v>
      </c>
      <c r="AF1489" s="1" t="s">
        <v>107</v>
      </c>
      <c r="AG1489" s="1">
        <v>21</v>
      </c>
      <c r="AO1489" s="2">
        <v>46276</v>
      </c>
      <c r="AP1489" s="1" t="s">
        <v>226</v>
      </c>
      <c r="AS1489" s="1" t="s">
        <v>71</v>
      </c>
      <c r="AU1489" s="1" t="s">
        <v>72</v>
      </c>
      <c r="AV1489" s="1" t="s">
        <v>115</v>
      </c>
      <c r="AX1489" s="1">
        <v>0</v>
      </c>
      <c r="BA1489" s="1">
        <v>9</v>
      </c>
      <c r="BB1489" s="1">
        <v>0</v>
      </c>
      <c r="BC1489" s="1">
        <v>0</v>
      </c>
      <c r="BE1489" s="1">
        <v>27246367</v>
      </c>
    </row>
    <row r="1490" spans="1:57" x14ac:dyDescent="0.25">
      <c r="A1490" s="1" t="str">
        <f>T("1945192386192416152")</f>
        <v>1945192386192416152</v>
      </c>
      <c r="B1490" s="1" t="str">
        <f>T("249990153113")</f>
        <v>249990153113</v>
      </c>
      <c r="C1490" s="1" t="str">
        <f>T("1941094502907250380")</f>
        <v>1941094502907250380</v>
      </c>
      <c r="AA1490" s="1">
        <v>1</v>
      </c>
      <c r="AC1490" s="1" t="s">
        <v>104</v>
      </c>
      <c r="AD1490" s="1" t="s">
        <v>151</v>
      </c>
      <c r="AE1490" s="1" t="s">
        <v>392</v>
      </c>
      <c r="AF1490" s="1" t="s">
        <v>107</v>
      </c>
      <c r="AG1490" s="1">
        <v>27</v>
      </c>
      <c r="AO1490" s="2">
        <v>46276</v>
      </c>
      <c r="AP1490" s="1" t="s">
        <v>226</v>
      </c>
      <c r="AQ1490" s="2">
        <v>46276</v>
      </c>
      <c r="AR1490" s="1" t="s">
        <v>644</v>
      </c>
      <c r="AS1490" s="1" t="s">
        <v>71</v>
      </c>
      <c r="AU1490" s="1" t="s">
        <v>79</v>
      </c>
      <c r="AV1490" s="1" t="s">
        <v>80</v>
      </c>
      <c r="AW1490" s="1">
        <v>61.9</v>
      </c>
      <c r="AX1490" s="1">
        <v>0</v>
      </c>
      <c r="AZ1490" s="1" t="s">
        <v>81</v>
      </c>
      <c r="BA1490" s="1">
        <v>1</v>
      </c>
      <c r="BB1490" s="1">
        <v>0</v>
      </c>
      <c r="BC1490" s="1">
        <v>0</v>
      </c>
      <c r="BE1490" s="1">
        <v>27246367</v>
      </c>
    </row>
    <row r="1491" spans="1:57" x14ac:dyDescent="0.25">
      <c r="A1491" s="1" t="str">
        <f>T("1945192386221775408")</f>
        <v>1945192386221775408</v>
      </c>
      <c r="B1491" s="1" t="str">
        <f>T("249990074181")</f>
        <v>249990074181</v>
      </c>
      <c r="C1491" s="1" t="str">
        <f>T("1941094502907250880")</f>
        <v>1941094502907250880</v>
      </c>
      <c r="AC1491" s="1" t="s">
        <v>104</v>
      </c>
      <c r="AD1491" s="1" t="s">
        <v>151</v>
      </c>
      <c r="AE1491" s="1" t="s">
        <v>392</v>
      </c>
      <c r="AF1491" s="1" t="s">
        <v>107</v>
      </c>
      <c r="AG1491" s="1">
        <v>32</v>
      </c>
      <c r="AO1491" s="2">
        <v>46276</v>
      </c>
      <c r="AP1491" s="1" t="s">
        <v>226</v>
      </c>
      <c r="AS1491" s="1" t="s">
        <v>71</v>
      </c>
      <c r="AU1491" s="1" t="s">
        <v>72</v>
      </c>
      <c r="AV1491" s="1" t="s">
        <v>73</v>
      </c>
      <c r="AX1491" s="1">
        <v>0</v>
      </c>
      <c r="BA1491" s="1">
        <v>9</v>
      </c>
      <c r="BB1491" s="1">
        <v>0</v>
      </c>
      <c r="BC1491" s="1">
        <v>0</v>
      </c>
      <c r="BE1491" s="1">
        <v>27246367</v>
      </c>
    </row>
    <row r="1492" spans="1:57" x14ac:dyDescent="0.25">
      <c r="A1492" s="1" t="str">
        <f>T("1945192386221776508")</f>
        <v>1945192386221776508</v>
      </c>
      <c r="B1492" s="1" t="str">
        <f>T("249121240955")</f>
        <v>249121240955</v>
      </c>
      <c r="C1492" s="1" t="str">
        <f>T("1941094502911443288")</f>
        <v>1941094502911443288</v>
      </c>
      <c r="AA1492" s="1">
        <v>1</v>
      </c>
      <c r="AC1492" s="1" t="s">
        <v>104</v>
      </c>
      <c r="AD1492" s="1" t="s">
        <v>151</v>
      </c>
      <c r="AE1492" s="1" t="s">
        <v>392</v>
      </c>
      <c r="AF1492" s="1" t="s">
        <v>107</v>
      </c>
      <c r="AG1492" s="1">
        <v>38</v>
      </c>
      <c r="AO1492" s="2">
        <v>46276</v>
      </c>
      <c r="AP1492" s="1" t="s">
        <v>226</v>
      </c>
      <c r="AQ1492" s="2">
        <v>46276</v>
      </c>
      <c r="AR1492" s="1" t="s">
        <v>645</v>
      </c>
      <c r="AS1492" s="1" t="s">
        <v>71</v>
      </c>
      <c r="AU1492" s="1" t="s">
        <v>79</v>
      </c>
      <c r="AV1492" s="1" t="s">
        <v>80</v>
      </c>
      <c r="AW1492" s="1">
        <v>124.12</v>
      </c>
      <c r="AX1492" s="1">
        <v>0</v>
      </c>
      <c r="AZ1492" s="1" t="s">
        <v>81</v>
      </c>
      <c r="BA1492" s="1">
        <v>1</v>
      </c>
      <c r="BB1492" s="1">
        <v>0</v>
      </c>
      <c r="BC1492" s="1">
        <v>0</v>
      </c>
      <c r="BE1492" s="1">
        <v>27246367</v>
      </c>
    </row>
    <row r="1493" spans="1:57" x14ac:dyDescent="0.25">
      <c r="A1493" s="1" t="str">
        <f>T("1945192386230161824")</f>
        <v>1945192386230161824</v>
      </c>
      <c r="B1493" s="1" t="str">
        <f>T("249121156449")</f>
        <v>249121156449</v>
      </c>
      <c r="C1493" s="1" t="str">
        <f>T("1941094502907251380")</f>
        <v>1941094502907251380</v>
      </c>
      <c r="M1493" s="1" t="s">
        <v>59</v>
      </c>
      <c r="O1493" s="1" t="s">
        <v>60</v>
      </c>
      <c r="P1493" s="1" t="s">
        <v>83</v>
      </c>
      <c r="Q1493" s="1" t="s">
        <v>112</v>
      </c>
      <c r="R1493" s="1" t="s">
        <v>84</v>
      </c>
      <c r="S1493" s="1" t="s">
        <v>159</v>
      </c>
      <c r="U1493" s="1" t="s">
        <v>65</v>
      </c>
      <c r="V1493" s="1" t="s">
        <v>66</v>
      </c>
      <c r="W1493" s="1" t="s">
        <v>67</v>
      </c>
      <c r="X1493" s="1" t="s">
        <v>103</v>
      </c>
      <c r="Y1493" s="1" t="s">
        <v>69</v>
      </c>
      <c r="AA1493" s="1">
        <v>1</v>
      </c>
      <c r="AB1493" s="1">
        <v>1</v>
      </c>
      <c r="AC1493" s="1" t="s">
        <v>104</v>
      </c>
      <c r="AD1493" s="1" t="s">
        <v>151</v>
      </c>
      <c r="AE1493" s="1" t="s">
        <v>392</v>
      </c>
      <c r="AF1493" s="1" t="s">
        <v>107</v>
      </c>
      <c r="AG1493" s="1">
        <v>38</v>
      </c>
      <c r="AO1493" s="2">
        <v>46276</v>
      </c>
      <c r="AP1493" s="1" t="s">
        <v>226</v>
      </c>
      <c r="AQ1493" s="2">
        <v>46276</v>
      </c>
      <c r="AR1493" s="1" t="s">
        <v>646</v>
      </c>
      <c r="AS1493" s="1" t="s">
        <v>71</v>
      </c>
      <c r="AU1493" s="1" t="s">
        <v>78</v>
      </c>
      <c r="AV1493" s="1" t="s">
        <v>80</v>
      </c>
      <c r="AW1493" s="1">
        <v>240.76</v>
      </c>
      <c r="AX1493" s="1">
        <v>0</v>
      </c>
      <c r="AZ1493" s="1" t="s">
        <v>81</v>
      </c>
      <c r="BA1493" s="1">
        <v>2</v>
      </c>
      <c r="BB1493" s="1">
        <v>0</v>
      </c>
      <c r="BC1493" s="1">
        <v>0</v>
      </c>
      <c r="BE1493" s="1">
        <v>27246367</v>
      </c>
    </row>
    <row r="1494" spans="1:57" x14ac:dyDescent="0.25">
      <c r="A1494" s="1" t="str">
        <f>T("1945192386267911196")</f>
        <v>1945192386267911196</v>
      </c>
      <c r="B1494" s="1" t="str">
        <f>T("249922398992")</f>
        <v>249922398992</v>
      </c>
      <c r="C1494" s="1" t="str">
        <f>T("1941094502911445688")</f>
        <v>1941094502911445688</v>
      </c>
      <c r="AC1494" s="1" t="s">
        <v>104</v>
      </c>
      <c r="AD1494" s="1" t="s">
        <v>151</v>
      </c>
      <c r="AE1494" s="1" t="s">
        <v>392</v>
      </c>
      <c r="AF1494" s="1" t="s">
        <v>107</v>
      </c>
      <c r="AG1494" s="1">
        <v>25</v>
      </c>
      <c r="AO1494" s="2">
        <v>46276</v>
      </c>
      <c r="AP1494" s="1" t="s">
        <v>226</v>
      </c>
      <c r="AS1494" s="1" t="s">
        <v>71</v>
      </c>
      <c r="AU1494" s="1" t="s">
        <v>72</v>
      </c>
      <c r="AV1494" s="1" t="s">
        <v>126</v>
      </c>
      <c r="AX1494" s="1">
        <v>0</v>
      </c>
      <c r="BA1494" s="1">
        <v>9</v>
      </c>
      <c r="BB1494" s="1">
        <v>0</v>
      </c>
      <c r="BC1494" s="1">
        <v>0</v>
      </c>
      <c r="BE1494" s="1">
        <v>27246367</v>
      </c>
    </row>
    <row r="1495" spans="1:57" x14ac:dyDescent="0.25">
      <c r="A1495" s="1" t="str">
        <f>T("1945192386293079444")</f>
        <v>1945192386293079444</v>
      </c>
      <c r="B1495" s="1" t="str">
        <f>T("249927273600")</f>
        <v>249927273600</v>
      </c>
      <c r="C1495" s="1" t="str">
        <f>T("1941094502911446288")</f>
        <v>1941094502911446288</v>
      </c>
      <c r="M1495" s="1" t="s">
        <v>59</v>
      </c>
      <c r="O1495" s="1" t="s">
        <v>65</v>
      </c>
      <c r="P1495" s="1" t="s">
        <v>83</v>
      </c>
      <c r="Q1495" s="1" t="s">
        <v>101</v>
      </c>
      <c r="R1495" s="1" t="s">
        <v>84</v>
      </c>
      <c r="S1495" s="1" t="s">
        <v>94</v>
      </c>
      <c r="U1495" s="1" t="s">
        <v>65</v>
      </c>
      <c r="V1495" s="1" t="s">
        <v>66</v>
      </c>
      <c r="W1495" s="1" t="s">
        <v>67</v>
      </c>
      <c r="X1495" s="1" t="s">
        <v>66</v>
      </c>
      <c r="Y1495" s="1" t="s">
        <v>160</v>
      </c>
      <c r="AA1495" s="1">
        <v>1</v>
      </c>
      <c r="AB1495" s="1">
        <v>1</v>
      </c>
      <c r="AC1495" s="1" t="s">
        <v>104</v>
      </c>
      <c r="AD1495" s="1" t="s">
        <v>151</v>
      </c>
      <c r="AE1495" s="1" t="s">
        <v>392</v>
      </c>
      <c r="AF1495" s="1" t="s">
        <v>107</v>
      </c>
      <c r="AG1495" s="1">
        <v>25</v>
      </c>
      <c r="AO1495" s="2">
        <v>46276</v>
      </c>
      <c r="AP1495" s="1" t="s">
        <v>226</v>
      </c>
      <c r="AQ1495" s="2">
        <v>46276</v>
      </c>
      <c r="AR1495" s="1" t="s">
        <v>647</v>
      </c>
      <c r="AS1495" s="1" t="s">
        <v>71</v>
      </c>
      <c r="AU1495" s="1" t="s">
        <v>78</v>
      </c>
      <c r="AV1495" s="1" t="s">
        <v>80</v>
      </c>
      <c r="AW1495" s="1">
        <v>411.2</v>
      </c>
      <c r="AX1495" s="1">
        <v>0</v>
      </c>
      <c r="AZ1495" s="1" t="s">
        <v>81</v>
      </c>
      <c r="BA1495" s="1">
        <v>1</v>
      </c>
      <c r="BB1495" s="1">
        <v>0</v>
      </c>
      <c r="BC1495" s="1">
        <v>0</v>
      </c>
      <c r="BE1495" s="1">
        <v>27246367</v>
      </c>
    </row>
    <row r="1496" spans="1:57" x14ac:dyDescent="0.25">
      <c r="A1496" s="1" t="str">
        <f>T("1945192386305662068")</f>
        <v>1945192386305662068</v>
      </c>
      <c r="B1496" s="1" t="str">
        <f>T("249929419755")</f>
        <v>249929419755</v>
      </c>
      <c r="C1496" s="1" t="str">
        <f>T("1941094502911446688")</f>
        <v>1941094502911446688</v>
      </c>
      <c r="AC1496" s="1" t="s">
        <v>104</v>
      </c>
      <c r="AD1496" s="1" t="s">
        <v>151</v>
      </c>
      <c r="AE1496" s="1" t="s">
        <v>392</v>
      </c>
      <c r="AF1496" s="1" t="s">
        <v>107</v>
      </c>
      <c r="AG1496" s="1">
        <v>22</v>
      </c>
      <c r="AO1496" s="2">
        <v>46276</v>
      </c>
      <c r="AP1496" s="1" t="s">
        <v>226</v>
      </c>
      <c r="AS1496" s="1" t="s">
        <v>71</v>
      </c>
      <c r="AU1496" s="1" t="s">
        <v>72</v>
      </c>
      <c r="AV1496" s="1" t="s">
        <v>73</v>
      </c>
      <c r="AX1496" s="1">
        <v>0</v>
      </c>
      <c r="BA1496" s="1">
        <v>9</v>
      </c>
      <c r="BB1496" s="1">
        <v>0</v>
      </c>
      <c r="BC1496" s="1">
        <v>0</v>
      </c>
      <c r="BE1496" s="1">
        <v>27246367</v>
      </c>
    </row>
    <row r="1497" spans="1:57" x14ac:dyDescent="0.25">
      <c r="A1497" s="1" t="str">
        <f>T("1945192386314048884")</f>
        <v>1945192386314048884</v>
      </c>
      <c r="B1497" s="1" t="str">
        <f>T("249991039196")</f>
        <v>249991039196</v>
      </c>
      <c r="C1497" s="1" t="str">
        <f>T("1941094502915637396")</f>
        <v>1941094502915637396</v>
      </c>
      <c r="AA1497" s="1">
        <v>1</v>
      </c>
      <c r="AC1497" s="1" t="s">
        <v>104</v>
      </c>
      <c r="AD1497" s="1" t="s">
        <v>151</v>
      </c>
      <c r="AE1497" s="1" t="s">
        <v>392</v>
      </c>
      <c r="AF1497" s="1" t="s">
        <v>107</v>
      </c>
      <c r="AG1497" s="1">
        <v>24</v>
      </c>
      <c r="AO1497" s="2">
        <v>46276</v>
      </c>
      <c r="AP1497" s="1" t="s">
        <v>226</v>
      </c>
      <c r="AQ1497" s="2">
        <v>46276</v>
      </c>
      <c r="AR1497" s="1" t="s">
        <v>648</v>
      </c>
      <c r="AS1497" s="1" t="s">
        <v>71</v>
      </c>
      <c r="AU1497" s="1" t="s">
        <v>79</v>
      </c>
      <c r="AV1497" s="1" t="s">
        <v>80</v>
      </c>
      <c r="AW1497" s="1">
        <v>41.76</v>
      </c>
      <c r="AX1497" s="1">
        <v>0</v>
      </c>
      <c r="AZ1497" s="1" t="s">
        <v>81</v>
      </c>
      <c r="BA1497" s="1">
        <v>3</v>
      </c>
      <c r="BB1497" s="1">
        <v>0</v>
      </c>
      <c r="BC1497" s="1">
        <v>0</v>
      </c>
      <c r="BE1497" s="1">
        <v>27246367</v>
      </c>
    </row>
    <row r="1498" spans="1:57" x14ac:dyDescent="0.25">
      <c r="A1498" s="1" t="str">
        <f>T("1945192386351796356")</f>
        <v>1945192386351796356</v>
      </c>
      <c r="B1498" s="1" t="str">
        <f>T("249124119201")</f>
        <v>249124119201</v>
      </c>
      <c r="C1498" s="1" t="str">
        <f>T("1941094502915637896")</f>
        <v>1941094502915637896</v>
      </c>
      <c r="M1498" s="1" t="s">
        <v>59</v>
      </c>
      <c r="O1498" s="1" t="s">
        <v>60</v>
      </c>
      <c r="P1498" s="1" t="s">
        <v>83</v>
      </c>
      <c r="Q1498" s="1" t="s">
        <v>92</v>
      </c>
      <c r="R1498" s="1" t="s">
        <v>84</v>
      </c>
      <c r="S1498" s="1" t="s">
        <v>61</v>
      </c>
      <c r="U1498" s="1" t="s">
        <v>60</v>
      </c>
      <c r="V1498" s="1" t="s">
        <v>102</v>
      </c>
      <c r="W1498" s="1" t="s">
        <v>60</v>
      </c>
      <c r="X1498" s="1" t="s">
        <v>66</v>
      </c>
      <c r="Y1498" s="1" t="s">
        <v>85</v>
      </c>
      <c r="AA1498" s="1">
        <v>1</v>
      </c>
      <c r="AB1498" s="1">
        <v>1</v>
      </c>
      <c r="AC1498" s="1" t="s">
        <v>104</v>
      </c>
      <c r="AD1498" s="1" t="s">
        <v>151</v>
      </c>
      <c r="AE1498" s="1" t="s">
        <v>392</v>
      </c>
      <c r="AF1498" s="1" t="s">
        <v>107</v>
      </c>
      <c r="AG1498" s="1">
        <v>24</v>
      </c>
      <c r="AO1498" s="2">
        <v>46276</v>
      </c>
      <c r="AP1498" s="1" t="s">
        <v>226</v>
      </c>
      <c r="AQ1498" s="2">
        <v>46276</v>
      </c>
      <c r="AR1498" s="1" t="s">
        <v>649</v>
      </c>
      <c r="AS1498" s="1" t="s">
        <v>71</v>
      </c>
      <c r="AU1498" s="1" t="s">
        <v>78</v>
      </c>
      <c r="AV1498" s="1" t="s">
        <v>80</v>
      </c>
      <c r="AW1498" s="1">
        <v>237.52</v>
      </c>
      <c r="AX1498" s="1">
        <v>0</v>
      </c>
      <c r="AZ1498" s="1" t="s">
        <v>81</v>
      </c>
      <c r="BA1498" s="1">
        <v>1</v>
      </c>
      <c r="BB1498" s="1">
        <v>0</v>
      </c>
      <c r="BC1498" s="1">
        <v>0</v>
      </c>
      <c r="BE1498" s="1">
        <v>27246367</v>
      </c>
    </row>
    <row r="1499" spans="1:57" x14ac:dyDescent="0.25">
      <c r="A1499" s="1" t="str">
        <f>T("1945192386381157412")</f>
        <v>1945192386381157412</v>
      </c>
      <c r="B1499" s="1" t="str">
        <f>T("249122345088")</f>
        <v>249122345088</v>
      </c>
      <c r="C1499" s="1" t="str">
        <f>T("1941094502915638296")</f>
        <v>1941094502915638296</v>
      </c>
      <c r="AC1499" s="1" t="s">
        <v>104</v>
      </c>
      <c r="AD1499" s="1" t="s">
        <v>151</v>
      </c>
      <c r="AE1499" s="1" t="s">
        <v>392</v>
      </c>
      <c r="AF1499" s="1" t="s">
        <v>107</v>
      </c>
      <c r="AG1499" s="1">
        <v>25</v>
      </c>
      <c r="AO1499" s="2">
        <v>46276</v>
      </c>
      <c r="AP1499" s="1" t="s">
        <v>226</v>
      </c>
      <c r="AS1499" s="1" t="s">
        <v>71</v>
      </c>
      <c r="AU1499" s="1" t="s">
        <v>72</v>
      </c>
      <c r="AV1499" s="1" t="s">
        <v>73</v>
      </c>
      <c r="AX1499" s="1">
        <v>0</v>
      </c>
      <c r="BA1499" s="1">
        <v>9</v>
      </c>
      <c r="BB1499" s="1">
        <v>0</v>
      </c>
      <c r="BC1499" s="1">
        <v>0</v>
      </c>
      <c r="BE1499" s="1">
        <v>27246367</v>
      </c>
    </row>
    <row r="1500" spans="1:57" x14ac:dyDescent="0.25">
      <c r="A1500" s="1" t="str">
        <f>T("1945192386397933844")</f>
        <v>1945192386397933844</v>
      </c>
      <c r="B1500" s="1" t="str">
        <f>T("249944167301")</f>
        <v>249944167301</v>
      </c>
      <c r="C1500" s="1" t="str">
        <f>T("1941094502915639096")</f>
        <v>1941094502915639096</v>
      </c>
      <c r="AC1500" s="1" t="s">
        <v>104</v>
      </c>
      <c r="AD1500" s="1" t="s">
        <v>151</v>
      </c>
      <c r="AE1500" s="1" t="s">
        <v>392</v>
      </c>
      <c r="AF1500" s="1" t="s">
        <v>107</v>
      </c>
      <c r="AG1500" s="1">
        <v>25</v>
      </c>
      <c r="AO1500" s="2">
        <v>46276</v>
      </c>
      <c r="AP1500" s="1" t="s">
        <v>226</v>
      </c>
      <c r="AS1500" s="1" t="s">
        <v>71</v>
      </c>
      <c r="AU1500" s="1" t="s">
        <v>72</v>
      </c>
      <c r="AV1500" s="1" t="s">
        <v>73</v>
      </c>
      <c r="AX1500" s="1">
        <v>0</v>
      </c>
      <c r="BA1500" s="1">
        <v>9</v>
      </c>
      <c r="BB1500" s="1">
        <v>0</v>
      </c>
      <c r="BC1500" s="1">
        <v>0</v>
      </c>
      <c r="BE1500" s="1">
        <v>27246367</v>
      </c>
    </row>
    <row r="1501" spans="1:57" x14ac:dyDescent="0.25">
      <c r="A1501" s="1" t="str">
        <f>T("1945192386397936244")</f>
        <v>1945192386397936244</v>
      </c>
      <c r="B1501" s="1" t="str">
        <f>T("249923815224")</f>
        <v>249923815224</v>
      </c>
      <c r="C1501" s="1" t="str">
        <f>T("1941094502915638696")</f>
        <v>1941094502915638696</v>
      </c>
      <c r="AC1501" s="1" t="s">
        <v>104</v>
      </c>
      <c r="AD1501" s="1" t="s">
        <v>151</v>
      </c>
      <c r="AE1501" s="1" t="s">
        <v>392</v>
      </c>
      <c r="AF1501" s="1" t="s">
        <v>107</v>
      </c>
      <c r="AG1501" s="1">
        <v>24</v>
      </c>
      <c r="AO1501" s="2">
        <v>46276</v>
      </c>
      <c r="AP1501" s="1" t="s">
        <v>226</v>
      </c>
      <c r="AQ1501" s="2">
        <v>46276</v>
      </c>
      <c r="AR1501" s="1" t="s">
        <v>235</v>
      </c>
      <c r="AS1501" s="1" t="s">
        <v>71</v>
      </c>
      <c r="AU1501" s="1" t="s">
        <v>79</v>
      </c>
      <c r="AV1501" s="1" t="s">
        <v>80</v>
      </c>
      <c r="AW1501" s="1">
        <v>37.4</v>
      </c>
      <c r="AX1501" s="1">
        <v>0</v>
      </c>
      <c r="AZ1501" s="1" t="s">
        <v>81</v>
      </c>
      <c r="BA1501" s="1">
        <v>1</v>
      </c>
      <c r="BB1501" s="1">
        <v>0</v>
      </c>
      <c r="BC1501" s="1">
        <v>0</v>
      </c>
      <c r="BE1501" s="1">
        <v>27246367</v>
      </c>
    </row>
    <row r="1502" spans="1:57" x14ac:dyDescent="0.25">
      <c r="A1502" s="1" t="str">
        <f>T("1945192386498599536")</f>
        <v>1945192386498599536</v>
      </c>
      <c r="B1502" s="1" t="str">
        <f>T("249923812073")</f>
        <v>249923812073</v>
      </c>
      <c r="C1502" s="1" t="str">
        <f>T("1941094502915639496")</f>
        <v>1941094502915639496</v>
      </c>
      <c r="AC1502" s="1" t="s">
        <v>104</v>
      </c>
      <c r="AD1502" s="1" t="s">
        <v>151</v>
      </c>
      <c r="AE1502" s="1" t="s">
        <v>392</v>
      </c>
      <c r="AF1502" s="1" t="s">
        <v>107</v>
      </c>
      <c r="AG1502" s="1">
        <v>23</v>
      </c>
      <c r="AO1502" s="2">
        <v>46276</v>
      </c>
      <c r="AP1502" s="1" t="s">
        <v>226</v>
      </c>
      <c r="AS1502" s="1" t="s">
        <v>71</v>
      </c>
      <c r="AU1502" s="1" t="s">
        <v>72</v>
      </c>
      <c r="AV1502" s="1" t="s">
        <v>73</v>
      </c>
      <c r="AX1502" s="1">
        <v>0</v>
      </c>
      <c r="BA1502" s="1">
        <v>9</v>
      </c>
      <c r="BB1502" s="1">
        <v>0</v>
      </c>
      <c r="BC1502" s="1">
        <v>0</v>
      </c>
      <c r="BE1502" s="1">
        <v>27246367</v>
      </c>
    </row>
    <row r="1503" spans="1:57" x14ac:dyDescent="0.25">
      <c r="A1503" s="1" t="str">
        <f>T("1945192386519571976")</f>
        <v>1945192386519571976</v>
      </c>
      <c r="B1503" s="1" t="str">
        <f>T("249995611614")</f>
        <v>249995611614</v>
      </c>
      <c r="C1503" s="1" t="str">
        <f>T("1941094502915639896")</f>
        <v>1941094502915639896</v>
      </c>
      <c r="AC1503" s="1" t="s">
        <v>104</v>
      </c>
      <c r="AD1503" s="1" t="s">
        <v>151</v>
      </c>
      <c r="AE1503" s="1" t="s">
        <v>392</v>
      </c>
      <c r="AF1503" s="1" t="s">
        <v>107</v>
      </c>
      <c r="AG1503" s="1">
        <v>18</v>
      </c>
      <c r="AO1503" s="2">
        <v>46276</v>
      </c>
      <c r="AP1503" s="1" t="s">
        <v>226</v>
      </c>
      <c r="AS1503" s="1" t="s">
        <v>71</v>
      </c>
      <c r="AU1503" s="1" t="s">
        <v>72</v>
      </c>
      <c r="AV1503" s="1" t="s">
        <v>73</v>
      </c>
      <c r="AX1503" s="1">
        <v>0</v>
      </c>
      <c r="BA1503" s="1">
        <v>9</v>
      </c>
      <c r="BB1503" s="1">
        <v>0</v>
      </c>
      <c r="BC1503" s="1">
        <v>0</v>
      </c>
      <c r="BE1503" s="1">
        <v>27246367</v>
      </c>
    </row>
    <row r="1504" spans="1:57" x14ac:dyDescent="0.25">
      <c r="A1504" s="1" t="str">
        <f>T("1945192386523766484")</f>
        <v>1945192386523766484</v>
      </c>
      <c r="B1504" s="1" t="str">
        <f>T("249997428148")</f>
        <v>249997428148</v>
      </c>
      <c r="C1504" s="1" t="str">
        <f>T("1941094502915640296")</f>
        <v>1941094502915640296</v>
      </c>
      <c r="AC1504" s="1" t="s">
        <v>104</v>
      </c>
      <c r="AD1504" s="1" t="s">
        <v>151</v>
      </c>
      <c r="AE1504" s="1" t="s">
        <v>392</v>
      </c>
      <c r="AF1504" s="1" t="s">
        <v>107</v>
      </c>
      <c r="AG1504" s="1">
        <v>23</v>
      </c>
      <c r="AO1504" s="2">
        <v>46276</v>
      </c>
      <c r="AP1504" s="1" t="s">
        <v>226</v>
      </c>
      <c r="AS1504" s="1" t="s">
        <v>71</v>
      </c>
      <c r="AU1504" s="1" t="s">
        <v>72</v>
      </c>
      <c r="AV1504" s="1" t="s">
        <v>73</v>
      </c>
      <c r="AX1504" s="1">
        <v>0</v>
      </c>
      <c r="BA1504" s="1">
        <v>9</v>
      </c>
      <c r="BB1504" s="1">
        <v>0</v>
      </c>
      <c r="BC1504" s="1">
        <v>0</v>
      </c>
      <c r="BE1504" s="1">
        <v>27246367</v>
      </c>
    </row>
    <row r="1505" spans="1:57" x14ac:dyDescent="0.25">
      <c r="A1505" s="1" t="str">
        <f>T("1945192386527960392")</f>
        <v>1945192386527960392</v>
      </c>
      <c r="B1505" s="1" t="str">
        <f>T("249990383063")</f>
        <v>249990383063</v>
      </c>
      <c r="C1505" s="1" t="str">
        <f>T("1941094502915640796")</f>
        <v>1941094502915640796</v>
      </c>
      <c r="AC1505" s="1" t="s">
        <v>104</v>
      </c>
      <c r="AD1505" s="1" t="s">
        <v>151</v>
      </c>
      <c r="AE1505" s="1" t="s">
        <v>392</v>
      </c>
      <c r="AF1505" s="1" t="s">
        <v>107</v>
      </c>
      <c r="AG1505" s="1">
        <v>20</v>
      </c>
      <c r="AO1505" s="2">
        <v>46276</v>
      </c>
      <c r="AP1505" s="1" t="s">
        <v>226</v>
      </c>
      <c r="AS1505" s="1" t="s">
        <v>71</v>
      </c>
      <c r="AU1505" s="1" t="s">
        <v>72</v>
      </c>
      <c r="AV1505" s="1" t="s">
        <v>73</v>
      </c>
      <c r="AX1505" s="1">
        <v>0</v>
      </c>
      <c r="BA1505" s="1">
        <v>9</v>
      </c>
      <c r="BB1505" s="1">
        <v>0</v>
      </c>
      <c r="BC1505" s="1">
        <v>0</v>
      </c>
      <c r="BE1505" s="1">
        <v>27246367</v>
      </c>
    </row>
    <row r="1506" spans="1:57" x14ac:dyDescent="0.25">
      <c r="A1506" s="1" t="str">
        <f>T("1945192386586680804")</f>
        <v>1945192386586680804</v>
      </c>
      <c r="B1506" s="1" t="str">
        <f>T("249912416525")</f>
        <v>249912416525</v>
      </c>
      <c r="C1506" s="1" t="str">
        <f>T("1941094502915641196")</f>
        <v>1941094502915641196</v>
      </c>
      <c r="AC1506" s="1" t="s">
        <v>104</v>
      </c>
      <c r="AD1506" s="1" t="s">
        <v>151</v>
      </c>
      <c r="AE1506" s="1" t="s">
        <v>392</v>
      </c>
      <c r="AF1506" s="1" t="s">
        <v>107</v>
      </c>
      <c r="AG1506" s="1">
        <v>22</v>
      </c>
      <c r="AO1506" s="2">
        <v>46276</v>
      </c>
      <c r="AP1506" s="1" t="s">
        <v>226</v>
      </c>
      <c r="AS1506" s="1" t="s">
        <v>71</v>
      </c>
      <c r="AU1506" s="1" t="s">
        <v>72</v>
      </c>
      <c r="AV1506" s="1" t="s">
        <v>73</v>
      </c>
      <c r="AX1506" s="1">
        <v>0</v>
      </c>
      <c r="BA1506" s="1">
        <v>9</v>
      </c>
      <c r="BB1506" s="1">
        <v>0</v>
      </c>
      <c r="BC1506" s="1">
        <v>0</v>
      </c>
      <c r="BE1506" s="1">
        <v>27246367</v>
      </c>
    </row>
    <row r="1507" spans="1:57" x14ac:dyDescent="0.25">
      <c r="A1507" s="1" t="str">
        <f>T("1945192386632814892")</f>
        <v>1945192386632814892</v>
      </c>
      <c r="B1507" s="1" t="str">
        <f>T("249997430064")</f>
        <v>249997430064</v>
      </c>
      <c r="C1507" s="1" t="str">
        <f>T("1941094502919831904")</f>
        <v>1941094502919831904</v>
      </c>
      <c r="AC1507" s="1" t="s">
        <v>104</v>
      </c>
      <c r="AD1507" s="1" t="s">
        <v>151</v>
      </c>
      <c r="AE1507" s="1" t="s">
        <v>392</v>
      </c>
      <c r="AF1507" s="1" t="s">
        <v>107</v>
      </c>
      <c r="AG1507" s="1">
        <v>23</v>
      </c>
      <c r="AO1507" s="2">
        <v>46276</v>
      </c>
      <c r="AP1507" s="1" t="s">
        <v>226</v>
      </c>
      <c r="AS1507" s="1" t="s">
        <v>71</v>
      </c>
      <c r="AU1507" s="1" t="s">
        <v>72</v>
      </c>
      <c r="AV1507" s="1" t="s">
        <v>256</v>
      </c>
      <c r="AX1507" s="1">
        <v>0</v>
      </c>
      <c r="BA1507" s="1">
        <v>9</v>
      </c>
      <c r="BB1507" s="1">
        <v>0</v>
      </c>
      <c r="BC1507" s="1">
        <v>0</v>
      </c>
      <c r="BE1507" s="1">
        <v>27246367</v>
      </c>
    </row>
    <row r="1508" spans="1:57" x14ac:dyDescent="0.25">
      <c r="A1508" s="1" t="str">
        <f>T("1945192386632818292")</f>
        <v>1945192386632818292</v>
      </c>
      <c r="B1508" s="1" t="str">
        <f>T("249125117378")</f>
        <v>249125117378</v>
      </c>
      <c r="C1508" s="1" t="str">
        <f>T("1941094502919832204")</f>
        <v>1941094502919832204</v>
      </c>
      <c r="AC1508" s="1" t="s">
        <v>104</v>
      </c>
      <c r="AD1508" s="1" t="s">
        <v>151</v>
      </c>
      <c r="AE1508" s="1" t="s">
        <v>392</v>
      </c>
      <c r="AF1508" s="1" t="s">
        <v>107</v>
      </c>
      <c r="AG1508" s="1">
        <v>25</v>
      </c>
      <c r="AO1508" s="2">
        <v>46276</v>
      </c>
      <c r="AP1508" s="1" t="s">
        <v>226</v>
      </c>
      <c r="AS1508" s="1" t="s">
        <v>71</v>
      </c>
      <c r="AU1508" s="1" t="s">
        <v>72</v>
      </c>
      <c r="AV1508" s="1" t="s">
        <v>73</v>
      </c>
      <c r="AX1508" s="1">
        <v>0</v>
      </c>
      <c r="BA1508" s="1">
        <v>9</v>
      </c>
      <c r="BB1508" s="1">
        <v>0</v>
      </c>
      <c r="BC1508" s="1">
        <v>0</v>
      </c>
      <c r="BE1508" s="1">
        <v>27246367</v>
      </c>
    </row>
    <row r="1509" spans="1:57" x14ac:dyDescent="0.25">
      <c r="A1509" s="1" t="str">
        <f>T("1945192386645398716")</f>
        <v>1945192386645398716</v>
      </c>
      <c r="B1509" s="1" t="str">
        <f>T("249928964871")</f>
        <v>249928964871</v>
      </c>
      <c r="C1509" s="1" t="str">
        <f>T("1941094502919832704")</f>
        <v>1941094502919832704</v>
      </c>
      <c r="AC1509" s="1" t="s">
        <v>104</v>
      </c>
      <c r="AD1509" s="1" t="s">
        <v>151</v>
      </c>
      <c r="AE1509" s="1" t="s">
        <v>392</v>
      </c>
      <c r="AF1509" s="1" t="s">
        <v>107</v>
      </c>
      <c r="AG1509" s="1">
        <v>27</v>
      </c>
      <c r="AO1509" s="2">
        <v>46276</v>
      </c>
      <c r="AP1509" s="1" t="s">
        <v>226</v>
      </c>
      <c r="AS1509" s="1" t="s">
        <v>71</v>
      </c>
      <c r="AU1509" s="1" t="s">
        <v>72</v>
      </c>
      <c r="AV1509" s="1" t="s">
        <v>73</v>
      </c>
      <c r="AX1509" s="1">
        <v>0</v>
      </c>
      <c r="BA1509" s="1">
        <v>9</v>
      </c>
      <c r="BB1509" s="1">
        <v>0</v>
      </c>
      <c r="BC1509" s="1">
        <v>0</v>
      </c>
      <c r="BE1509" s="1">
        <v>27246367</v>
      </c>
    </row>
    <row r="1510" spans="1:57" x14ac:dyDescent="0.25">
      <c r="A1510" s="1" t="str">
        <f>T("1945192386678953480")</f>
        <v>1945192386678953480</v>
      </c>
      <c r="B1510" s="1" t="str">
        <f>T("249995502005")</f>
        <v>249995502005</v>
      </c>
      <c r="C1510" s="1" t="str">
        <f>T("1941094502919833304")</f>
        <v>1941094502919833304</v>
      </c>
      <c r="AA1510" s="1">
        <v>1</v>
      </c>
      <c r="AC1510" s="1" t="s">
        <v>104</v>
      </c>
      <c r="AD1510" s="1" t="s">
        <v>151</v>
      </c>
      <c r="AE1510" s="1" t="s">
        <v>392</v>
      </c>
      <c r="AF1510" s="1" t="s">
        <v>107</v>
      </c>
      <c r="AG1510" s="1">
        <v>29</v>
      </c>
      <c r="AO1510" s="2">
        <v>46276</v>
      </c>
      <c r="AP1510" s="1" t="s">
        <v>226</v>
      </c>
      <c r="AQ1510" s="2">
        <v>46276</v>
      </c>
      <c r="AR1510" s="1" t="s">
        <v>650</v>
      </c>
      <c r="AS1510" s="1" t="s">
        <v>71</v>
      </c>
      <c r="AU1510" s="1" t="s">
        <v>78</v>
      </c>
      <c r="AV1510" s="1" t="s">
        <v>80</v>
      </c>
      <c r="AW1510" s="1">
        <v>134.84</v>
      </c>
      <c r="AX1510" s="1">
        <v>0</v>
      </c>
      <c r="AZ1510" s="1" t="s">
        <v>81</v>
      </c>
      <c r="BA1510" s="1">
        <v>1</v>
      </c>
      <c r="BB1510" s="1">
        <v>0</v>
      </c>
      <c r="BC1510" s="1">
        <v>0</v>
      </c>
      <c r="BE1510" s="1">
        <v>27246367</v>
      </c>
    </row>
    <row r="1511" spans="1:57" x14ac:dyDescent="0.25">
      <c r="A1511" s="1" t="str">
        <f>T("1945192386716703452")</f>
        <v>1945192386716703452</v>
      </c>
      <c r="B1511" s="1" t="str">
        <f>T("249111677757")</f>
        <v>249111677757</v>
      </c>
      <c r="C1511" s="1" t="str">
        <f>T("1941094502919833704")</f>
        <v>1941094502919833704</v>
      </c>
      <c r="M1511" s="1" t="s">
        <v>59</v>
      </c>
      <c r="O1511" s="1" t="s">
        <v>65</v>
      </c>
      <c r="P1511" s="1" t="s">
        <v>83</v>
      </c>
      <c r="Q1511" s="1" t="s">
        <v>112</v>
      </c>
      <c r="R1511" s="1" t="s">
        <v>93</v>
      </c>
      <c r="T1511" s="1" t="s">
        <v>95</v>
      </c>
      <c r="U1511" s="1" t="s">
        <v>65</v>
      </c>
      <c r="V1511" s="1" t="s">
        <v>66</v>
      </c>
      <c r="W1511" s="1" t="s">
        <v>60</v>
      </c>
      <c r="AA1511" s="1">
        <v>1</v>
      </c>
      <c r="AC1511" s="1" t="s">
        <v>104</v>
      </c>
      <c r="AD1511" s="1" t="s">
        <v>151</v>
      </c>
      <c r="AE1511" s="1" t="s">
        <v>392</v>
      </c>
      <c r="AF1511" s="1" t="s">
        <v>107</v>
      </c>
      <c r="AG1511" s="1">
        <v>31</v>
      </c>
      <c r="AO1511" s="2">
        <v>46276</v>
      </c>
      <c r="AP1511" s="1" t="s">
        <v>226</v>
      </c>
      <c r="AQ1511" s="2">
        <v>46276</v>
      </c>
      <c r="AR1511" s="1" t="s">
        <v>651</v>
      </c>
      <c r="AS1511" s="1" t="s">
        <v>71</v>
      </c>
      <c r="AU1511" s="1" t="s">
        <v>79</v>
      </c>
      <c r="AV1511" s="1" t="s">
        <v>480</v>
      </c>
      <c r="AW1511" s="1">
        <v>262.72000000000003</v>
      </c>
      <c r="AX1511" s="1">
        <v>0</v>
      </c>
      <c r="AZ1511" s="1" t="s">
        <v>81</v>
      </c>
      <c r="BA1511" s="1">
        <v>1</v>
      </c>
      <c r="BB1511" s="1">
        <v>0</v>
      </c>
      <c r="BC1511" s="1">
        <v>0</v>
      </c>
      <c r="BE1511" s="1">
        <v>27246367</v>
      </c>
    </row>
    <row r="1512" spans="1:57" x14ac:dyDescent="0.25">
      <c r="A1512" s="1" t="str">
        <f>T("1945192386729287476")</f>
        <v>1945192386729287476</v>
      </c>
      <c r="B1512" s="1" t="str">
        <f>T("249118113316")</f>
        <v>249118113316</v>
      </c>
      <c r="C1512" s="1" t="str">
        <f>T("1941094502919834504")</f>
        <v>1941094502919834504</v>
      </c>
      <c r="AA1512" s="1">
        <v>1</v>
      </c>
      <c r="AC1512" s="1" t="s">
        <v>104</v>
      </c>
      <c r="AD1512" s="1" t="s">
        <v>151</v>
      </c>
      <c r="AE1512" s="1" t="s">
        <v>392</v>
      </c>
      <c r="AF1512" s="1" t="s">
        <v>107</v>
      </c>
      <c r="AG1512" s="1">
        <v>33</v>
      </c>
      <c r="AO1512" s="2">
        <v>46276</v>
      </c>
      <c r="AP1512" s="1" t="s">
        <v>226</v>
      </c>
      <c r="AQ1512" s="2">
        <v>46276</v>
      </c>
      <c r="AR1512" s="1" t="s">
        <v>652</v>
      </c>
      <c r="AS1512" s="1" t="s">
        <v>71</v>
      </c>
      <c r="AU1512" s="1" t="s">
        <v>79</v>
      </c>
      <c r="AV1512" s="1" t="s">
        <v>80</v>
      </c>
      <c r="AW1512" s="1">
        <v>44</v>
      </c>
      <c r="AX1512" s="1">
        <v>0</v>
      </c>
      <c r="AZ1512" s="1" t="s">
        <v>81</v>
      </c>
      <c r="BA1512" s="1">
        <v>1</v>
      </c>
      <c r="BB1512" s="1">
        <v>0</v>
      </c>
      <c r="BC1512" s="1">
        <v>0</v>
      </c>
      <c r="BE1512" s="1">
        <v>27246367</v>
      </c>
    </row>
    <row r="1513" spans="1:57" x14ac:dyDescent="0.25">
      <c r="A1513" s="1" t="str">
        <f>T("1945192386733478484")</f>
        <v>1945192386733478484</v>
      </c>
      <c r="B1513" s="1" t="str">
        <f>T("249924584055")</f>
        <v>249924584055</v>
      </c>
      <c r="C1513" s="1" t="str">
        <f>T("1941094502919835004")</f>
        <v>1941094502919835004</v>
      </c>
      <c r="AA1513" s="1">
        <v>1</v>
      </c>
      <c r="AC1513" s="1" t="s">
        <v>104</v>
      </c>
      <c r="AD1513" s="1" t="s">
        <v>151</v>
      </c>
      <c r="AE1513" s="1" t="s">
        <v>392</v>
      </c>
      <c r="AF1513" s="1" t="s">
        <v>107</v>
      </c>
      <c r="AG1513" s="1">
        <v>34</v>
      </c>
      <c r="AO1513" s="2">
        <v>46276</v>
      </c>
      <c r="AP1513" s="1" t="s">
        <v>226</v>
      </c>
      <c r="AQ1513" s="2">
        <v>46276</v>
      </c>
      <c r="AR1513" s="1" t="s">
        <v>653</v>
      </c>
      <c r="AS1513" s="1" t="s">
        <v>71</v>
      </c>
      <c r="AU1513" s="1" t="s">
        <v>79</v>
      </c>
      <c r="AV1513" s="1" t="s">
        <v>80</v>
      </c>
      <c r="AW1513" s="1">
        <v>66.52</v>
      </c>
      <c r="AX1513" s="1">
        <v>0</v>
      </c>
      <c r="AZ1513" s="1" t="s">
        <v>81</v>
      </c>
      <c r="BA1513" s="1">
        <v>1</v>
      </c>
      <c r="BB1513" s="1">
        <v>0</v>
      </c>
      <c r="BC1513" s="1">
        <v>0</v>
      </c>
      <c r="BE1513" s="1">
        <v>27246367</v>
      </c>
    </row>
    <row r="1514" spans="1:57" x14ac:dyDescent="0.25">
      <c r="A1514" s="1" t="str">
        <f>T("1945192386779618472")</f>
        <v>1945192386779618472</v>
      </c>
      <c r="B1514" s="1" t="str">
        <f>T("249929875728")</f>
        <v>249929875728</v>
      </c>
      <c r="C1514" s="1" t="str">
        <f>T("1941094502919835304")</f>
        <v>1941094502919835304</v>
      </c>
      <c r="AA1514" s="1">
        <v>1</v>
      </c>
      <c r="AC1514" s="1" t="s">
        <v>104</v>
      </c>
      <c r="AD1514" s="1" t="s">
        <v>151</v>
      </c>
      <c r="AE1514" s="1" t="s">
        <v>392</v>
      </c>
      <c r="AF1514" s="1" t="s">
        <v>107</v>
      </c>
      <c r="AG1514" s="1">
        <v>36</v>
      </c>
      <c r="AO1514" s="2">
        <v>46276</v>
      </c>
      <c r="AP1514" s="1" t="s">
        <v>226</v>
      </c>
      <c r="AQ1514" s="2">
        <v>46276</v>
      </c>
      <c r="AR1514" s="1" t="s">
        <v>654</v>
      </c>
      <c r="AS1514" s="1" t="s">
        <v>71</v>
      </c>
      <c r="AU1514" s="1" t="s">
        <v>79</v>
      </c>
      <c r="AV1514" s="1" t="s">
        <v>80</v>
      </c>
      <c r="AW1514" s="1">
        <v>45.02</v>
      </c>
      <c r="AX1514" s="1">
        <v>0</v>
      </c>
      <c r="AZ1514" s="1" t="s">
        <v>81</v>
      </c>
      <c r="BA1514" s="1">
        <v>1</v>
      </c>
      <c r="BB1514" s="1">
        <v>0</v>
      </c>
      <c r="BC1514" s="1">
        <v>0</v>
      </c>
      <c r="BE1514" s="1">
        <v>27246367</v>
      </c>
    </row>
    <row r="1515" spans="1:57" x14ac:dyDescent="0.25">
      <c r="A1515" s="1" t="str">
        <f>T("1945192386788004988")</f>
        <v>1945192386788004988</v>
      </c>
      <c r="B1515" s="1" t="str">
        <f>T("249925675728")</f>
        <v>249925675728</v>
      </c>
      <c r="C1515" s="1" t="str">
        <f>T("1941094502924026012")</f>
        <v>1941094502924026012</v>
      </c>
      <c r="AC1515" s="1" t="s">
        <v>104</v>
      </c>
      <c r="AD1515" s="1" t="s">
        <v>151</v>
      </c>
      <c r="AE1515" s="1" t="s">
        <v>392</v>
      </c>
      <c r="AF1515" s="1" t="s">
        <v>107</v>
      </c>
      <c r="AG1515" s="1">
        <v>38</v>
      </c>
      <c r="AO1515" s="2">
        <v>46276</v>
      </c>
      <c r="AP1515" s="1" t="s">
        <v>226</v>
      </c>
      <c r="AS1515" s="1" t="s">
        <v>71</v>
      </c>
      <c r="AU1515" s="1" t="s">
        <v>72</v>
      </c>
      <c r="AV1515" s="1" t="s">
        <v>73</v>
      </c>
      <c r="AX1515" s="1">
        <v>0</v>
      </c>
      <c r="BA1515" s="1">
        <v>9</v>
      </c>
      <c r="BB1515" s="1">
        <v>0</v>
      </c>
      <c r="BC1515" s="1">
        <v>0</v>
      </c>
      <c r="BE1515" s="1">
        <v>27246367</v>
      </c>
    </row>
    <row r="1516" spans="1:57" x14ac:dyDescent="0.25">
      <c r="A1516" s="1" t="str">
        <f>T("1945192386796393104")</f>
        <v>1945192386796393104</v>
      </c>
      <c r="B1516" s="1" t="str">
        <f>T("249920712921")</f>
        <v>249920712921</v>
      </c>
      <c r="C1516" s="1" t="str">
        <f>T("1941094502924026512")</f>
        <v>1941094502924026512</v>
      </c>
      <c r="AA1516" s="1">
        <v>1</v>
      </c>
      <c r="AC1516" s="1" t="s">
        <v>104</v>
      </c>
      <c r="AD1516" s="1" t="s">
        <v>151</v>
      </c>
      <c r="AE1516" s="1" t="s">
        <v>392</v>
      </c>
      <c r="AF1516" s="1" t="s">
        <v>107</v>
      </c>
      <c r="AG1516" s="1">
        <v>35</v>
      </c>
      <c r="AO1516" s="2">
        <v>46276</v>
      </c>
      <c r="AP1516" s="1" t="s">
        <v>226</v>
      </c>
      <c r="AQ1516" s="2">
        <v>46276</v>
      </c>
      <c r="AR1516" s="1" t="s">
        <v>416</v>
      </c>
      <c r="AS1516" s="1" t="s">
        <v>71</v>
      </c>
      <c r="AU1516" s="1" t="s">
        <v>78</v>
      </c>
      <c r="AV1516" s="1" t="s">
        <v>80</v>
      </c>
      <c r="AW1516" s="1">
        <v>134.94</v>
      </c>
      <c r="AX1516" s="1">
        <v>0</v>
      </c>
      <c r="AZ1516" s="1" t="s">
        <v>81</v>
      </c>
      <c r="BA1516" s="1">
        <v>1</v>
      </c>
      <c r="BB1516" s="1">
        <v>0</v>
      </c>
      <c r="BC1516" s="1">
        <v>0</v>
      </c>
      <c r="BE1516" s="1">
        <v>27246367</v>
      </c>
    </row>
    <row r="1517" spans="1:57" x14ac:dyDescent="0.25">
      <c r="A1517" s="1" t="str">
        <f>T("1945192386804782220")</f>
        <v>1945192386804782220</v>
      </c>
      <c r="B1517" s="1" t="str">
        <f>T("249912678362")</f>
        <v>249912678362</v>
      </c>
      <c r="C1517" s="1" t="str">
        <f>T("1941094502924026912")</f>
        <v>1941094502924026912</v>
      </c>
      <c r="AC1517" s="1" t="s">
        <v>104</v>
      </c>
      <c r="AD1517" s="1" t="s">
        <v>151</v>
      </c>
      <c r="AE1517" s="1" t="s">
        <v>392</v>
      </c>
      <c r="AF1517" s="1" t="s">
        <v>107</v>
      </c>
      <c r="AG1517" s="1">
        <v>32</v>
      </c>
      <c r="AO1517" s="2">
        <v>46276</v>
      </c>
      <c r="AP1517" s="1" t="s">
        <v>226</v>
      </c>
      <c r="AS1517" s="1" t="s">
        <v>71</v>
      </c>
      <c r="AU1517" s="1" t="s">
        <v>72</v>
      </c>
      <c r="AV1517" s="1" t="s">
        <v>73</v>
      </c>
      <c r="AX1517" s="1">
        <v>0</v>
      </c>
      <c r="BA1517" s="1">
        <v>9</v>
      </c>
      <c r="BB1517" s="1">
        <v>0</v>
      </c>
      <c r="BC1517" s="1">
        <v>0</v>
      </c>
      <c r="BE1517" s="1">
        <v>27246367</v>
      </c>
    </row>
    <row r="1518" spans="1:57" x14ac:dyDescent="0.25">
      <c r="A1518" s="1" t="str">
        <f>T("1945192386892862488")</f>
        <v>1945192386892862488</v>
      </c>
      <c r="B1518" s="1" t="str">
        <f>T("249927278932")</f>
        <v>249927278932</v>
      </c>
      <c r="C1518" s="1" t="str">
        <f>T("1941094502924029212")</f>
        <v>1941094502924029212</v>
      </c>
      <c r="AA1518" s="1">
        <v>1</v>
      </c>
      <c r="AC1518" s="1" t="s">
        <v>104</v>
      </c>
      <c r="AD1518" s="1" t="s">
        <v>151</v>
      </c>
      <c r="AE1518" s="1" t="s">
        <v>392</v>
      </c>
      <c r="AF1518" s="1" t="s">
        <v>107</v>
      </c>
      <c r="AG1518" s="1">
        <v>24</v>
      </c>
      <c r="AO1518" s="2">
        <v>46276</v>
      </c>
      <c r="AP1518" s="1" t="s">
        <v>226</v>
      </c>
      <c r="AQ1518" s="2">
        <v>46276</v>
      </c>
      <c r="AR1518" s="1" t="s">
        <v>655</v>
      </c>
      <c r="AS1518" s="1" t="s">
        <v>71</v>
      </c>
      <c r="AU1518" s="1" t="s">
        <v>79</v>
      </c>
      <c r="AV1518" s="1" t="s">
        <v>80</v>
      </c>
      <c r="AW1518" s="1">
        <v>52.62</v>
      </c>
      <c r="AX1518" s="1">
        <v>0</v>
      </c>
      <c r="AZ1518" s="1" t="s">
        <v>81</v>
      </c>
      <c r="BA1518" s="1">
        <v>1</v>
      </c>
      <c r="BB1518" s="1">
        <v>0</v>
      </c>
      <c r="BC1518" s="1">
        <v>0</v>
      </c>
      <c r="BE1518" s="1">
        <v>27246367</v>
      </c>
    </row>
    <row r="1519" spans="1:57" x14ac:dyDescent="0.25">
      <c r="A1519" s="1" t="str">
        <f>T("1945192386892862988")</f>
        <v>1945192386892862988</v>
      </c>
      <c r="B1519" s="1" t="str">
        <f>T("249923346778")</f>
        <v>249923346778</v>
      </c>
      <c r="C1519" s="1" t="str">
        <f>T("1941094502924028612")</f>
        <v>1941094502924028612</v>
      </c>
      <c r="AA1519" s="1">
        <v>1</v>
      </c>
      <c r="AC1519" s="1" t="s">
        <v>104</v>
      </c>
      <c r="AD1519" s="1" t="s">
        <v>151</v>
      </c>
      <c r="AE1519" s="1" t="s">
        <v>392</v>
      </c>
      <c r="AF1519" s="1" t="s">
        <v>107</v>
      </c>
      <c r="AG1519" s="1">
        <v>30</v>
      </c>
      <c r="AO1519" s="2">
        <v>46276</v>
      </c>
      <c r="AP1519" s="1" t="s">
        <v>226</v>
      </c>
      <c r="AQ1519" s="2">
        <v>46276</v>
      </c>
      <c r="AR1519" s="1" t="s">
        <v>652</v>
      </c>
      <c r="AS1519" s="1" t="s">
        <v>71</v>
      </c>
      <c r="AU1519" s="1" t="s">
        <v>79</v>
      </c>
      <c r="AV1519" s="1" t="s">
        <v>80</v>
      </c>
      <c r="AW1519" s="1">
        <v>82.58</v>
      </c>
      <c r="AX1519" s="1">
        <v>0</v>
      </c>
      <c r="AZ1519" s="1" t="s">
        <v>81</v>
      </c>
      <c r="BA1519" s="1">
        <v>1</v>
      </c>
      <c r="BB1519" s="1">
        <v>0</v>
      </c>
      <c r="BC1519" s="1">
        <v>0</v>
      </c>
      <c r="BE1519" s="1">
        <v>27246367</v>
      </c>
    </row>
    <row r="1520" spans="1:57" x14ac:dyDescent="0.25">
      <c r="A1520" s="1" t="str">
        <f>T("1945192386897059196")</f>
        <v>1945192386897059196</v>
      </c>
      <c r="B1520" s="1" t="str">
        <f>T("249129262120")</f>
        <v>249129262120</v>
      </c>
      <c r="C1520" s="1" t="str">
        <f>T("1941094502924029612")</f>
        <v>1941094502924029612</v>
      </c>
      <c r="AA1520" s="1">
        <v>1</v>
      </c>
      <c r="AC1520" s="1" t="s">
        <v>104</v>
      </c>
      <c r="AD1520" s="1" t="s">
        <v>151</v>
      </c>
      <c r="AE1520" s="1" t="s">
        <v>392</v>
      </c>
      <c r="AF1520" s="1" t="s">
        <v>107</v>
      </c>
      <c r="AG1520" s="1">
        <v>22</v>
      </c>
      <c r="AO1520" s="2">
        <v>46276</v>
      </c>
      <c r="AP1520" s="1" t="s">
        <v>226</v>
      </c>
      <c r="AQ1520" s="2">
        <v>46276</v>
      </c>
      <c r="AR1520" s="1" t="s">
        <v>652</v>
      </c>
      <c r="AS1520" s="1" t="s">
        <v>71</v>
      </c>
      <c r="AU1520" s="1" t="s">
        <v>79</v>
      </c>
      <c r="AV1520" s="1" t="s">
        <v>80</v>
      </c>
      <c r="AW1520" s="1">
        <v>39.22</v>
      </c>
      <c r="AX1520" s="1">
        <v>0</v>
      </c>
      <c r="AZ1520" s="1" t="s">
        <v>81</v>
      </c>
      <c r="BA1520" s="1">
        <v>1</v>
      </c>
      <c r="BB1520" s="1">
        <v>0</v>
      </c>
      <c r="BC1520" s="1">
        <v>0</v>
      </c>
      <c r="BE1520" s="1">
        <v>27246367</v>
      </c>
    </row>
    <row r="1521" spans="1:57" x14ac:dyDescent="0.25">
      <c r="A1521" s="1" t="str">
        <f>T("1945192386918031036")</f>
        <v>1945192386918031036</v>
      </c>
      <c r="B1521" s="1" t="str">
        <f>T("249909502821")</f>
        <v>249909502821</v>
      </c>
      <c r="C1521" s="1" t="str">
        <f>T("1941094502928220320")</f>
        <v>1941094502928220320</v>
      </c>
      <c r="AC1521" s="1" t="s">
        <v>104</v>
      </c>
      <c r="AD1521" s="1" t="s">
        <v>151</v>
      </c>
      <c r="AE1521" s="1" t="s">
        <v>392</v>
      </c>
      <c r="AF1521" s="1" t="s">
        <v>107</v>
      </c>
      <c r="AG1521" s="1">
        <v>19</v>
      </c>
      <c r="AO1521" s="2">
        <v>46276</v>
      </c>
      <c r="AP1521" s="1" t="s">
        <v>226</v>
      </c>
      <c r="AS1521" s="1" t="s">
        <v>71</v>
      </c>
      <c r="AU1521" s="1" t="s">
        <v>72</v>
      </c>
      <c r="AV1521" s="1" t="s">
        <v>437</v>
      </c>
      <c r="AX1521" s="1">
        <v>0</v>
      </c>
      <c r="BA1521" s="1">
        <v>9</v>
      </c>
      <c r="BB1521" s="1">
        <v>0</v>
      </c>
      <c r="BC1521" s="1">
        <v>0</v>
      </c>
      <c r="BE1521" s="1">
        <v>27246367</v>
      </c>
    </row>
    <row r="1522" spans="1:57" x14ac:dyDescent="0.25">
      <c r="A1522" s="1" t="str">
        <f>T("1945192387077411840")</f>
        <v>1945192387077411840</v>
      </c>
      <c r="B1522" s="1" t="str">
        <f>T("249994163548")</f>
        <v>249994163548</v>
      </c>
      <c r="C1522" s="1" t="str">
        <f>T("1941094502928220720")</f>
        <v>1941094502928220720</v>
      </c>
      <c r="AA1522" s="1">
        <v>1</v>
      </c>
      <c r="AC1522" s="1" t="s">
        <v>104</v>
      </c>
      <c r="AD1522" s="1" t="s">
        <v>151</v>
      </c>
      <c r="AE1522" s="1" t="s">
        <v>392</v>
      </c>
      <c r="AF1522" s="1" t="s">
        <v>107</v>
      </c>
      <c r="AG1522" s="1">
        <v>26</v>
      </c>
      <c r="AO1522" s="2">
        <v>46276</v>
      </c>
      <c r="AP1522" s="1" t="s">
        <v>226</v>
      </c>
      <c r="AQ1522" s="2">
        <v>46277</v>
      </c>
      <c r="AR1522" s="1" t="s">
        <v>656</v>
      </c>
      <c r="AS1522" s="1" t="s">
        <v>71</v>
      </c>
      <c r="AU1522" s="1" t="s">
        <v>78</v>
      </c>
      <c r="AV1522" s="1" t="s">
        <v>80</v>
      </c>
      <c r="AW1522" s="1">
        <v>134.66</v>
      </c>
      <c r="AX1522" s="1">
        <v>0</v>
      </c>
      <c r="AZ1522" s="1" t="s">
        <v>81</v>
      </c>
      <c r="BA1522" s="1">
        <v>4</v>
      </c>
      <c r="BB1522" s="1">
        <v>0</v>
      </c>
      <c r="BC1522" s="1">
        <v>0</v>
      </c>
      <c r="BE1522" s="1">
        <v>27246367</v>
      </c>
    </row>
    <row r="1523" spans="1:57" x14ac:dyDescent="0.25">
      <c r="A1523" s="1" t="str">
        <f>T("1945192387102579488")</f>
        <v>1945192387102579488</v>
      </c>
      <c r="B1523" s="1" t="str">
        <f>T("249925670372")</f>
        <v>249925670372</v>
      </c>
      <c r="C1523" s="1" t="str">
        <f>T("1941094502928221320")</f>
        <v>1941094502928221320</v>
      </c>
      <c r="AC1523" s="1" t="s">
        <v>104</v>
      </c>
      <c r="AD1523" s="1" t="s">
        <v>151</v>
      </c>
      <c r="AE1523" s="1" t="s">
        <v>392</v>
      </c>
      <c r="AF1523" s="1" t="s">
        <v>107</v>
      </c>
      <c r="AG1523" s="1">
        <v>24</v>
      </c>
      <c r="AO1523" s="2">
        <v>46276</v>
      </c>
      <c r="AP1523" s="1" t="s">
        <v>226</v>
      </c>
      <c r="AQ1523" s="2">
        <v>46276</v>
      </c>
      <c r="AR1523" s="1" t="s">
        <v>657</v>
      </c>
      <c r="AS1523" s="1" t="s">
        <v>71</v>
      </c>
      <c r="AU1523" s="1" t="s">
        <v>79</v>
      </c>
      <c r="AV1523" s="1" t="s">
        <v>80</v>
      </c>
      <c r="AW1523" s="1">
        <v>7.54</v>
      </c>
      <c r="AX1523" s="1">
        <v>0</v>
      </c>
      <c r="AZ1523" s="1" t="s">
        <v>81</v>
      </c>
      <c r="BA1523" s="1">
        <v>1</v>
      </c>
      <c r="BB1523" s="1">
        <v>0</v>
      </c>
      <c r="BC1523" s="1">
        <v>0</v>
      </c>
      <c r="BE1523" s="1">
        <v>27246367</v>
      </c>
    </row>
    <row r="1524" spans="1:57" x14ac:dyDescent="0.25">
      <c r="A1524" s="1" t="str">
        <f>T("1945403779751547368")</f>
        <v>1945403779751547368</v>
      </c>
      <c r="B1524" s="1" t="str">
        <f>T("249993471774")</f>
        <v>249993471774</v>
      </c>
      <c r="C1524" s="1" t="str">
        <f>T("1941094502928221920")</f>
        <v>1941094502928221920</v>
      </c>
      <c r="AA1524" s="1">
        <v>1</v>
      </c>
      <c r="AC1524" s="1" t="s">
        <v>104</v>
      </c>
      <c r="AD1524" s="1" t="s">
        <v>151</v>
      </c>
      <c r="AE1524" s="1" t="s">
        <v>392</v>
      </c>
      <c r="AF1524" s="1" t="s">
        <v>107</v>
      </c>
      <c r="AG1524" s="1">
        <v>22</v>
      </c>
      <c r="AO1524" s="2">
        <v>46277</v>
      </c>
      <c r="AP1524" s="1" t="s">
        <v>248</v>
      </c>
      <c r="AQ1524" s="2">
        <v>46277</v>
      </c>
      <c r="AR1524" s="1" t="s">
        <v>468</v>
      </c>
      <c r="AS1524" s="1" t="s">
        <v>71</v>
      </c>
      <c r="AU1524" s="1" t="s">
        <v>79</v>
      </c>
      <c r="AV1524" s="1" t="s">
        <v>80</v>
      </c>
      <c r="AW1524" s="1">
        <v>66.62</v>
      </c>
      <c r="AX1524" s="1">
        <v>0</v>
      </c>
      <c r="AZ1524" s="1" t="s">
        <v>81</v>
      </c>
      <c r="BA1524" s="1">
        <v>1</v>
      </c>
      <c r="BB1524" s="1">
        <v>0</v>
      </c>
      <c r="BC1524" s="1">
        <v>0</v>
      </c>
      <c r="BE1524" s="1">
        <v>27246400</v>
      </c>
    </row>
    <row r="1525" spans="1:57" x14ac:dyDescent="0.25">
      <c r="A1525" s="1" t="str">
        <f>T("1945403779759937884")</f>
        <v>1945403779759937884</v>
      </c>
      <c r="B1525" s="1" t="str">
        <f>T("249121621793")</f>
        <v>249121621793</v>
      </c>
      <c r="C1525" s="1" t="str">
        <f>T("1941094502953389268")</f>
        <v>1941094502953389268</v>
      </c>
      <c r="AC1525" s="1" t="s">
        <v>104</v>
      </c>
      <c r="AD1525" s="1" t="s">
        <v>151</v>
      </c>
      <c r="AE1525" s="1" t="s">
        <v>392</v>
      </c>
      <c r="AF1525" s="1" t="s">
        <v>107</v>
      </c>
      <c r="AG1525" s="1">
        <v>21</v>
      </c>
      <c r="AO1525" s="2">
        <v>46277</v>
      </c>
      <c r="AP1525" s="1" t="s">
        <v>248</v>
      </c>
      <c r="AS1525" s="1" t="s">
        <v>71</v>
      </c>
      <c r="AU1525" s="1" t="s">
        <v>72</v>
      </c>
      <c r="AV1525" s="1" t="s">
        <v>73</v>
      </c>
      <c r="AX1525" s="1">
        <v>0</v>
      </c>
      <c r="BA1525" s="1">
        <v>9</v>
      </c>
      <c r="BB1525" s="1">
        <v>0</v>
      </c>
      <c r="BC1525" s="1">
        <v>0</v>
      </c>
      <c r="BE1525" s="1">
        <v>27246400</v>
      </c>
    </row>
    <row r="1526" spans="1:57" x14ac:dyDescent="0.25">
      <c r="A1526" s="1" t="str">
        <f>T("1945403779789298840")</f>
        <v>1945403779789298840</v>
      </c>
      <c r="B1526" s="1" t="str">
        <f>T("249922793642")</f>
        <v>249922793642</v>
      </c>
      <c r="C1526" s="1" t="str">
        <f>T("1941094502953386668")</f>
        <v>1941094502953386668</v>
      </c>
      <c r="M1526" s="1" t="s">
        <v>59</v>
      </c>
      <c r="O1526" s="1" t="s">
        <v>65</v>
      </c>
      <c r="P1526" s="1" t="s">
        <v>83</v>
      </c>
      <c r="Q1526" s="1" t="s">
        <v>112</v>
      </c>
      <c r="R1526" s="1" t="s">
        <v>93</v>
      </c>
      <c r="T1526" s="1" t="s">
        <v>95</v>
      </c>
      <c r="U1526" s="1" t="s">
        <v>65</v>
      </c>
      <c r="V1526" s="1" t="s">
        <v>66</v>
      </c>
      <c r="W1526" s="1" t="s">
        <v>67</v>
      </c>
      <c r="X1526" s="1" t="s">
        <v>102</v>
      </c>
      <c r="Y1526" s="1" t="s">
        <v>85</v>
      </c>
      <c r="AA1526" s="1">
        <v>1</v>
      </c>
      <c r="AB1526" s="1">
        <v>1</v>
      </c>
      <c r="AC1526" s="1" t="s">
        <v>104</v>
      </c>
      <c r="AD1526" s="1" t="s">
        <v>151</v>
      </c>
      <c r="AE1526" s="1" t="s">
        <v>392</v>
      </c>
      <c r="AF1526" s="1" t="s">
        <v>107</v>
      </c>
      <c r="AG1526" s="1">
        <v>20</v>
      </c>
      <c r="AO1526" s="2">
        <v>46277</v>
      </c>
      <c r="AP1526" s="1" t="s">
        <v>248</v>
      </c>
      <c r="AQ1526" s="2">
        <v>46277</v>
      </c>
      <c r="AR1526" s="1" t="s">
        <v>658</v>
      </c>
      <c r="AS1526" s="1" t="s">
        <v>71</v>
      </c>
      <c r="AU1526" s="1" t="s">
        <v>78</v>
      </c>
      <c r="AV1526" s="1" t="s">
        <v>80</v>
      </c>
      <c r="AW1526" s="1">
        <v>262.5</v>
      </c>
      <c r="AX1526" s="1">
        <v>0</v>
      </c>
      <c r="AZ1526" s="1" t="s">
        <v>81</v>
      </c>
      <c r="BA1526" s="1">
        <v>1</v>
      </c>
      <c r="BB1526" s="1">
        <v>0</v>
      </c>
      <c r="BC1526" s="1">
        <v>0</v>
      </c>
      <c r="BE1526" s="1">
        <v>27246400</v>
      </c>
    </row>
    <row r="1527" spans="1:57" x14ac:dyDescent="0.25">
      <c r="A1527" s="1" t="str">
        <f>T("1945403779902543456")</f>
        <v>1945403779902543456</v>
      </c>
      <c r="B1527" s="1" t="str">
        <f>T("249997950128")</f>
        <v>249997950128</v>
      </c>
      <c r="C1527" s="1" t="str">
        <f>T("1941094502953389768")</f>
        <v>1941094502953389768</v>
      </c>
      <c r="M1527" s="1" t="s">
        <v>59</v>
      </c>
      <c r="O1527" s="1" t="s">
        <v>65</v>
      </c>
      <c r="P1527" s="1" t="s">
        <v>83</v>
      </c>
      <c r="Q1527" s="1" t="s">
        <v>112</v>
      </c>
      <c r="R1527" s="1" t="s">
        <v>93</v>
      </c>
      <c r="T1527" s="1" t="s">
        <v>95</v>
      </c>
      <c r="U1527" s="1" t="s">
        <v>65</v>
      </c>
      <c r="V1527" s="1" t="s">
        <v>102</v>
      </c>
      <c r="W1527" s="1" t="s">
        <v>60</v>
      </c>
      <c r="X1527" s="1" t="s">
        <v>103</v>
      </c>
      <c r="Y1527" s="1" t="s">
        <v>69</v>
      </c>
      <c r="AA1527" s="1">
        <v>1</v>
      </c>
      <c r="AB1527" s="1">
        <v>1</v>
      </c>
      <c r="AC1527" s="1" t="s">
        <v>104</v>
      </c>
      <c r="AD1527" s="1" t="s">
        <v>151</v>
      </c>
      <c r="AE1527" s="1" t="s">
        <v>392</v>
      </c>
      <c r="AF1527" s="1" t="s">
        <v>107</v>
      </c>
      <c r="AG1527" s="1">
        <v>19</v>
      </c>
      <c r="AO1527" s="2">
        <v>46277</v>
      </c>
      <c r="AP1527" s="1" t="s">
        <v>248</v>
      </c>
      <c r="AQ1527" s="2">
        <v>46277</v>
      </c>
      <c r="AR1527" s="1" t="s">
        <v>659</v>
      </c>
      <c r="AS1527" s="1" t="s">
        <v>71</v>
      </c>
      <c r="AU1527" s="1" t="s">
        <v>78</v>
      </c>
      <c r="AV1527" s="1" t="s">
        <v>80</v>
      </c>
      <c r="AW1527" s="1">
        <v>259.14</v>
      </c>
      <c r="AX1527" s="1">
        <v>0</v>
      </c>
      <c r="AZ1527" s="1" t="s">
        <v>81</v>
      </c>
      <c r="BA1527" s="1">
        <v>1</v>
      </c>
      <c r="BB1527" s="1">
        <v>0</v>
      </c>
      <c r="BC1527" s="1">
        <v>0</v>
      </c>
      <c r="BE1527" s="1">
        <v>27246400</v>
      </c>
    </row>
    <row r="1528" spans="1:57" x14ac:dyDescent="0.25">
      <c r="A1528" s="1" t="str">
        <f>T("1945403779961263768")</f>
        <v>1945403779961263768</v>
      </c>
      <c r="B1528" s="1" t="str">
        <f>T("249122906300")</f>
        <v>249122906300</v>
      </c>
      <c r="C1528" s="1" t="str">
        <f>T("1941094502957581976")</f>
        <v>1941094502957581976</v>
      </c>
      <c r="AA1528" s="1">
        <v>1</v>
      </c>
      <c r="AC1528" s="1" t="s">
        <v>104</v>
      </c>
      <c r="AD1528" s="1" t="s">
        <v>151</v>
      </c>
      <c r="AE1528" s="1" t="s">
        <v>392</v>
      </c>
      <c r="AF1528" s="1" t="s">
        <v>107</v>
      </c>
      <c r="AG1528" s="1">
        <v>25</v>
      </c>
      <c r="AO1528" s="2">
        <v>46277</v>
      </c>
      <c r="AP1528" s="1" t="s">
        <v>248</v>
      </c>
      <c r="AQ1528" s="2">
        <v>46277</v>
      </c>
      <c r="AR1528" s="1" t="s">
        <v>658</v>
      </c>
      <c r="AS1528" s="1" t="s">
        <v>71</v>
      </c>
      <c r="AU1528" s="1" t="s">
        <v>78</v>
      </c>
      <c r="AV1528" s="1" t="s">
        <v>80</v>
      </c>
      <c r="AW1528" s="1">
        <v>134.62</v>
      </c>
      <c r="AX1528" s="1">
        <v>0</v>
      </c>
      <c r="AZ1528" s="1" t="s">
        <v>81</v>
      </c>
      <c r="BA1528" s="1">
        <v>1</v>
      </c>
      <c r="BB1528" s="1">
        <v>0</v>
      </c>
      <c r="BC1528" s="1">
        <v>0</v>
      </c>
      <c r="BE1528" s="1">
        <v>27246400</v>
      </c>
    </row>
    <row r="1529" spans="1:57" x14ac:dyDescent="0.25">
      <c r="A1529" s="1" t="str">
        <f>T("1945403779965456776")</f>
        <v>1945403779965456776</v>
      </c>
      <c r="B1529" s="1" t="str">
        <f>T("249114677570")</f>
        <v>249114677570</v>
      </c>
      <c r="C1529" s="1" t="str">
        <f>T("1941094502957583976")</f>
        <v>1941094502957583976</v>
      </c>
      <c r="AC1529" s="1" t="s">
        <v>104</v>
      </c>
      <c r="AD1529" s="1" t="s">
        <v>151</v>
      </c>
      <c r="AE1529" s="1" t="s">
        <v>392</v>
      </c>
      <c r="AF1529" s="1" t="s">
        <v>107</v>
      </c>
      <c r="AG1529" s="1">
        <v>25</v>
      </c>
      <c r="AO1529" s="2">
        <v>46277</v>
      </c>
      <c r="AP1529" s="1" t="s">
        <v>248</v>
      </c>
      <c r="AS1529" s="1" t="s">
        <v>71</v>
      </c>
      <c r="AU1529" s="1" t="s">
        <v>72</v>
      </c>
      <c r="AV1529" s="1" t="s">
        <v>73</v>
      </c>
      <c r="AX1529" s="1">
        <v>0</v>
      </c>
      <c r="BA1529" s="1">
        <v>9</v>
      </c>
      <c r="BB1529" s="1">
        <v>0</v>
      </c>
      <c r="BC1529" s="1">
        <v>0</v>
      </c>
      <c r="BE1529" s="1">
        <v>27246400</v>
      </c>
    </row>
    <row r="1530" spans="1:57" x14ac:dyDescent="0.25">
      <c r="A1530" s="1" t="str">
        <f>T("1945403779990623524")</f>
        <v>1945403779990623524</v>
      </c>
      <c r="B1530" s="1" t="str">
        <f>T("249920380701")</f>
        <v>249920380701</v>
      </c>
      <c r="C1530" s="1" t="str">
        <f>T("1941094502961775084")</f>
        <v>1941094502961775084</v>
      </c>
      <c r="AA1530" s="1">
        <v>1</v>
      </c>
      <c r="AC1530" s="1" t="s">
        <v>104</v>
      </c>
      <c r="AD1530" s="1" t="s">
        <v>151</v>
      </c>
      <c r="AE1530" s="1" t="s">
        <v>392</v>
      </c>
      <c r="AF1530" s="1" t="s">
        <v>107</v>
      </c>
      <c r="AG1530" s="1">
        <v>26</v>
      </c>
      <c r="AO1530" s="2">
        <v>46277</v>
      </c>
      <c r="AP1530" s="1" t="s">
        <v>248</v>
      </c>
      <c r="AQ1530" s="2">
        <v>46277</v>
      </c>
      <c r="AR1530" s="1" t="s">
        <v>660</v>
      </c>
      <c r="AS1530" s="1" t="s">
        <v>71</v>
      </c>
      <c r="AU1530" s="1" t="s">
        <v>79</v>
      </c>
      <c r="AV1530" s="1" t="s">
        <v>80</v>
      </c>
      <c r="AW1530" s="1">
        <v>46.3</v>
      </c>
      <c r="AX1530" s="1">
        <v>0</v>
      </c>
      <c r="AZ1530" s="1" t="s">
        <v>81</v>
      </c>
      <c r="BA1530" s="1">
        <v>2</v>
      </c>
      <c r="BB1530" s="1">
        <v>0</v>
      </c>
      <c r="BC1530" s="1">
        <v>0</v>
      </c>
      <c r="BE1530" s="1">
        <v>27246400</v>
      </c>
    </row>
    <row r="1531" spans="1:57" x14ac:dyDescent="0.25">
      <c r="A1531" s="1" t="str">
        <f>T("1945403780032566504")</f>
        <v>1945403780032566504</v>
      </c>
      <c r="B1531" s="1" t="str">
        <f>T("249113941154")</f>
        <v>249113941154</v>
      </c>
      <c r="C1531" s="1" t="str">
        <f>T("1941094502961775784")</f>
        <v>1941094502961775784</v>
      </c>
      <c r="AA1531" s="1">
        <v>1</v>
      </c>
      <c r="AC1531" s="1" t="s">
        <v>104</v>
      </c>
      <c r="AD1531" s="1" t="s">
        <v>151</v>
      </c>
      <c r="AE1531" s="1" t="s">
        <v>392</v>
      </c>
      <c r="AF1531" s="1" t="s">
        <v>107</v>
      </c>
      <c r="AG1531" s="1">
        <v>27</v>
      </c>
      <c r="AO1531" s="2">
        <v>46277</v>
      </c>
      <c r="AP1531" s="1" t="s">
        <v>248</v>
      </c>
      <c r="AQ1531" s="2">
        <v>46277</v>
      </c>
      <c r="AR1531" s="1" t="s">
        <v>661</v>
      </c>
      <c r="AS1531" s="1" t="s">
        <v>71</v>
      </c>
      <c r="AU1531" s="1" t="s">
        <v>79</v>
      </c>
      <c r="AV1531" s="1" t="s">
        <v>480</v>
      </c>
      <c r="AW1531" s="1">
        <v>38.46</v>
      </c>
      <c r="AX1531" s="1">
        <v>0</v>
      </c>
      <c r="AZ1531" s="1" t="s">
        <v>81</v>
      </c>
      <c r="BA1531" s="1">
        <v>7</v>
      </c>
      <c r="BB1531" s="1">
        <v>0</v>
      </c>
      <c r="BC1531" s="1">
        <v>0</v>
      </c>
      <c r="BE1531" s="1">
        <v>27246400</v>
      </c>
    </row>
    <row r="1532" spans="1:57" x14ac:dyDescent="0.25">
      <c r="A1532" s="1" t="str">
        <f>T("1945403780045149528")</f>
        <v>1945403780045149528</v>
      </c>
      <c r="B1532" s="1" t="str">
        <f>T("249920664088")</f>
        <v>249920664088</v>
      </c>
      <c r="C1532" s="1" t="str">
        <f>T("1941094502965969292")</f>
        <v>1941094502965969292</v>
      </c>
      <c r="AC1532" s="1" t="s">
        <v>104</v>
      </c>
      <c r="AD1532" s="1" t="s">
        <v>151</v>
      </c>
      <c r="AE1532" s="1" t="s">
        <v>392</v>
      </c>
      <c r="AF1532" s="1" t="s">
        <v>107</v>
      </c>
      <c r="AG1532" s="1">
        <v>28</v>
      </c>
      <c r="AO1532" s="2">
        <v>46277</v>
      </c>
      <c r="AP1532" s="1" t="s">
        <v>248</v>
      </c>
      <c r="AS1532" s="1" t="s">
        <v>71</v>
      </c>
      <c r="AU1532" s="1" t="s">
        <v>72</v>
      </c>
      <c r="AV1532" s="1" t="s">
        <v>334</v>
      </c>
      <c r="AX1532" s="1">
        <v>0</v>
      </c>
      <c r="BA1532" s="1">
        <v>9</v>
      </c>
      <c r="BB1532" s="1">
        <v>0</v>
      </c>
      <c r="BC1532" s="1">
        <v>0</v>
      </c>
      <c r="BE1532" s="1">
        <v>27246400</v>
      </c>
    </row>
    <row r="1533" spans="1:57" x14ac:dyDescent="0.25">
      <c r="A1533" s="1" t="str">
        <f>T("1945403780057732552")</f>
        <v>1945403780057732552</v>
      </c>
      <c r="B1533" s="1" t="str">
        <f>T("249115391741")</f>
        <v>249115391741</v>
      </c>
      <c r="C1533" s="1" t="str">
        <f>T("1941094502965969892")</f>
        <v>1941094502965969892</v>
      </c>
      <c r="AA1533" s="1">
        <v>1</v>
      </c>
      <c r="AC1533" s="1" t="s">
        <v>104</v>
      </c>
      <c r="AD1533" s="1" t="s">
        <v>151</v>
      </c>
      <c r="AE1533" s="1" t="s">
        <v>392</v>
      </c>
      <c r="AF1533" s="1" t="s">
        <v>107</v>
      </c>
      <c r="AG1533" s="1">
        <v>29</v>
      </c>
      <c r="AO1533" s="2">
        <v>46277</v>
      </c>
      <c r="AP1533" s="1" t="s">
        <v>248</v>
      </c>
      <c r="AQ1533" s="2">
        <v>46277</v>
      </c>
      <c r="AR1533" s="1" t="s">
        <v>251</v>
      </c>
      <c r="AS1533" s="1" t="s">
        <v>71</v>
      </c>
      <c r="AU1533" s="1" t="s">
        <v>79</v>
      </c>
      <c r="AV1533" s="1" t="s">
        <v>80</v>
      </c>
      <c r="AW1533" s="1">
        <v>37.979999999999997</v>
      </c>
      <c r="AX1533" s="1">
        <v>0</v>
      </c>
      <c r="AZ1533" s="1" t="s">
        <v>81</v>
      </c>
      <c r="BA1533" s="1">
        <v>1</v>
      </c>
      <c r="BB1533" s="1">
        <v>0</v>
      </c>
      <c r="BC1533" s="1">
        <v>0</v>
      </c>
      <c r="BE1533" s="1">
        <v>27246400</v>
      </c>
    </row>
    <row r="1534" spans="1:57" x14ac:dyDescent="0.25">
      <c r="A1534" s="1" t="str">
        <f>T("1945403780095481924")</f>
        <v>1945403780095481924</v>
      </c>
      <c r="B1534" s="1" t="str">
        <f>T("249929528440")</f>
        <v>249929528440</v>
      </c>
      <c r="C1534" s="1" t="str">
        <f>T("1941094502965970592")</f>
        <v>1941094502965970592</v>
      </c>
      <c r="AC1534" s="1" t="s">
        <v>104</v>
      </c>
      <c r="AD1534" s="1" t="s">
        <v>151</v>
      </c>
      <c r="AE1534" s="1" t="s">
        <v>392</v>
      </c>
      <c r="AF1534" s="1" t="s">
        <v>107</v>
      </c>
      <c r="AG1534" s="1">
        <v>30</v>
      </c>
      <c r="AO1534" s="2">
        <v>46277</v>
      </c>
      <c r="AP1534" s="1" t="s">
        <v>248</v>
      </c>
      <c r="AQ1534" s="2">
        <v>46277</v>
      </c>
      <c r="AR1534" s="1" t="s">
        <v>662</v>
      </c>
      <c r="AS1534" s="1" t="s">
        <v>71</v>
      </c>
      <c r="AU1534" s="1" t="s">
        <v>79</v>
      </c>
      <c r="AV1534" s="1" t="s">
        <v>80</v>
      </c>
      <c r="AW1534" s="1">
        <v>9.76</v>
      </c>
      <c r="AX1534" s="1">
        <v>0</v>
      </c>
      <c r="AZ1534" s="1" t="s">
        <v>81</v>
      </c>
      <c r="BA1534" s="1">
        <v>2</v>
      </c>
      <c r="BB1534" s="1">
        <v>0</v>
      </c>
      <c r="BC1534" s="1">
        <v>0</v>
      </c>
      <c r="BE1534" s="1">
        <v>27246400</v>
      </c>
    </row>
    <row r="1535" spans="1:57" x14ac:dyDescent="0.25">
      <c r="A1535" s="1" t="str">
        <f>T("1945403780108064148")</f>
        <v>1945403780108064148</v>
      </c>
      <c r="B1535" s="1" t="str">
        <f>T("249995539097")</f>
        <v>249995539097</v>
      </c>
      <c r="C1535" s="1" t="str">
        <f>T("1941094502965971092")</f>
        <v>1941094502965971092</v>
      </c>
      <c r="M1535" s="1" t="s">
        <v>59</v>
      </c>
      <c r="O1535" s="1" t="s">
        <v>65</v>
      </c>
      <c r="P1535" s="1" t="s">
        <v>83</v>
      </c>
      <c r="Q1535" s="1" t="s">
        <v>112</v>
      </c>
      <c r="R1535" s="1" t="s">
        <v>93</v>
      </c>
      <c r="T1535" s="1" t="s">
        <v>95</v>
      </c>
      <c r="U1535" s="1" t="s">
        <v>65</v>
      </c>
      <c r="V1535" s="1" t="s">
        <v>102</v>
      </c>
      <c r="W1535" s="1" t="s">
        <v>60</v>
      </c>
      <c r="X1535" s="1" t="s">
        <v>103</v>
      </c>
      <c r="Y1535" s="1" t="s">
        <v>160</v>
      </c>
      <c r="AA1535" s="1">
        <v>1</v>
      </c>
      <c r="AB1535" s="1">
        <v>1</v>
      </c>
      <c r="AC1535" s="1" t="s">
        <v>104</v>
      </c>
      <c r="AD1535" s="1" t="s">
        <v>151</v>
      </c>
      <c r="AE1535" s="1" t="s">
        <v>392</v>
      </c>
      <c r="AF1535" s="1" t="s">
        <v>107</v>
      </c>
      <c r="AG1535" s="1">
        <v>30</v>
      </c>
      <c r="AO1535" s="2">
        <v>46277</v>
      </c>
      <c r="AP1535" s="1" t="s">
        <v>248</v>
      </c>
      <c r="AQ1535" s="2">
        <v>46277</v>
      </c>
      <c r="AR1535" s="1" t="s">
        <v>663</v>
      </c>
      <c r="AS1535" s="1" t="s">
        <v>71</v>
      </c>
      <c r="AU1535" s="1" t="s">
        <v>78</v>
      </c>
      <c r="AV1535" s="1" t="s">
        <v>80</v>
      </c>
      <c r="AW1535" s="1">
        <v>180.06</v>
      </c>
      <c r="AX1535" s="1">
        <v>0</v>
      </c>
      <c r="AZ1535" s="1" t="s">
        <v>81</v>
      </c>
      <c r="BA1535" s="1">
        <v>4</v>
      </c>
      <c r="BB1535" s="1">
        <v>0</v>
      </c>
      <c r="BC1535" s="1">
        <v>0</v>
      </c>
      <c r="BE1535" s="1">
        <v>27246400</v>
      </c>
    </row>
    <row r="1536" spans="1:57" x14ac:dyDescent="0.25">
      <c r="A1536" s="1" t="str">
        <f>T("1945403780112259056")</f>
        <v>1945403780112259056</v>
      </c>
      <c r="B1536" s="1" t="str">
        <f>T("249929877528")</f>
        <v>249929877528</v>
      </c>
      <c r="C1536" s="1" t="str">
        <f>T("1941094502965971892")</f>
        <v>1941094502965971892</v>
      </c>
      <c r="AC1536" s="1" t="s">
        <v>104</v>
      </c>
      <c r="AD1536" s="1" t="s">
        <v>151</v>
      </c>
      <c r="AE1536" s="1" t="s">
        <v>392</v>
      </c>
      <c r="AF1536" s="1" t="s">
        <v>107</v>
      </c>
      <c r="AG1536" s="1">
        <v>31</v>
      </c>
      <c r="AO1536" s="2">
        <v>46277</v>
      </c>
      <c r="AP1536" s="1" t="s">
        <v>248</v>
      </c>
      <c r="AS1536" s="1" t="s">
        <v>71</v>
      </c>
      <c r="AU1536" s="1" t="s">
        <v>72</v>
      </c>
      <c r="AV1536" s="1" t="s">
        <v>73</v>
      </c>
      <c r="AX1536" s="1">
        <v>0</v>
      </c>
      <c r="BA1536" s="1">
        <v>9</v>
      </c>
      <c r="BB1536" s="1">
        <v>0</v>
      </c>
      <c r="BC1536" s="1">
        <v>0</v>
      </c>
      <c r="BE1536" s="1">
        <v>27246400</v>
      </c>
    </row>
    <row r="1537" spans="1:57" x14ac:dyDescent="0.25">
      <c r="A1537" s="1" t="str">
        <f>T("1945403780154201536")</f>
        <v>1945403780154201536</v>
      </c>
      <c r="B1537" s="1" t="str">
        <f>T("249929180306")</f>
        <v>249929180306</v>
      </c>
      <c r="C1537" s="1" t="str">
        <f>T("1941094502974358308")</f>
        <v>1941094502974358308</v>
      </c>
      <c r="AA1537" s="1">
        <v>1</v>
      </c>
      <c r="AC1537" s="1" t="s">
        <v>104</v>
      </c>
      <c r="AD1537" s="1" t="s">
        <v>151</v>
      </c>
      <c r="AE1537" s="1" t="s">
        <v>392</v>
      </c>
      <c r="AF1537" s="1" t="s">
        <v>107</v>
      </c>
      <c r="AG1537" s="1">
        <v>29</v>
      </c>
      <c r="AO1537" s="2">
        <v>46277</v>
      </c>
      <c r="AP1537" s="1" t="s">
        <v>248</v>
      </c>
      <c r="AQ1537" s="2">
        <v>46277</v>
      </c>
      <c r="AR1537" s="1" t="s">
        <v>664</v>
      </c>
      <c r="AS1537" s="1" t="s">
        <v>71</v>
      </c>
      <c r="AU1537" s="1" t="s">
        <v>79</v>
      </c>
      <c r="AV1537" s="1" t="s">
        <v>80</v>
      </c>
      <c r="AW1537" s="1">
        <v>57.04</v>
      </c>
      <c r="AX1537" s="1">
        <v>0</v>
      </c>
      <c r="AZ1537" s="1" t="s">
        <v>81</v>
      </c>
      <c r="BA1537" s="1">
        <v>3</v>
      </c>
      <c r="BB1537" s="1">
        <v>0</v>
      </c>
      <c r="BC1537" s="1">
        <v>0</v>
      </c>
      <c r="BE1537" s="1">
        <v>27246400</v>
      </c>
    </row>
    <row r="1538" spans="1:57" x14ac:dyDescent="0.25">
      <c r="A1538" s="1" t="str">
        <f>T("1945403780162590752")</f>
        <v>1945403780162590752</v>
      </c>
      <c r="B1538" s="1" t="str">
        <f>T("249993250779")</f>
        <v>249993250779</v>
      </c>
      <c r="C1538" s="1" t="str">
        <f>T("1941094502974359708")</f>
        <v>1941094502974359708</v>
      </c>
      <c r="M1538" s="1" t="s">
        <v>59</v>
      </c>
      <c r="AA1538" s="1">
        <v>1</v>
      </c>
      <c r="AC1538" s="1" t="s">
        <v>104</v>
      </c>
      <c r="AD1538" s="1" t="s">
        <v>151</v>
      </c>
      <c r="AE1538" s="1" t="s">
        <v>392</v>
      </c>
      <c r="AF1538" s="1" t="s">
        <v>107</v>
      </c>
      <c r="AG1538" s="1">
        <v>27</v>
      </c>
      <c r="AO1538" s="2">
        <v>46277</v>
      </c>
      <c r="AP1538" s="1" t="s">
        <v>248</v>
      </c>
      <c r="AQ1538" s="2">
        <v>46277</v>
      </c>
      <c r="AR1538" s="1" t="s">
        <v>665</v>
      </c>
      <c r="AS1538" s="1" t="s">
        <v>71</v>
      </c>
      <c r="AU1538" s="1" t="s">
        <v>79</v>
      </c>
      <c r="AV1538" s="1" t="s">
        <v>80</v>
      </c>
      <c r="AW1538" s="1">
        <v>56.52</v>
      </c>
      <c r="AX1538" s="1">
        <v>0</v>
      </c>
      <c r="AZ1538" s="1" t="s">
        <v>81</v>
      </c>
      <c r="BA1538" s="1">
        <v>1</v>
      </c>
      <c r="BB1538" s="1">
        <v>0</v>
      </c>
      <c r="BC1538" s="1">
        <v>0</v>
      </c>
      <c r="BE1538" s="1">
        <v>27246400</v>
      </c>
    </row>
    <row r="1539" spans="1:57" x14ac:dyDescent="0.25">
      <c r="A1539" s="1" t="str">
        <f>T("1945403780162591852")</f>
        <v>1945403780162591852</v>
      </c>
      <c r="B1539" s="1" t="str">
        <f>T("249995377305")</f>
        <v>249995377305</v>
      </c>
      <c r="C1539" s="1" t="str">
        <f>T("1941094502978552916")</f>
        <v>1941094502978552916</v>
      </c>
      <c r="AC1539" s="1" t="s">
        <v>104</v>
      </c>
      <c r="AD1539" s="1" t="s">
        <v>151</v>
      </c>
      <c r="AE1539" s="1" t="s">
        <v>392</v>
      </c>
      <c r="AF1539" s="1" t="s">
        <v>107</v>
      </c>
      <c r="AG1539" s="1">
        <v>25</v>
      </c>
      <c r="AO1539" s="2">
        <v>46277</v>
      </c>
      <c r="AP1539" s="1" t="s">
        <v>248</v>
      </c>
      <c r="AQ1539" s="2">
        <v>46277</v>
      </c>
      <c r="AR1539" s="1" t="s">
        <v>249</v>
      </c>
      <c r="AS1539" s="1" t="s">
        <v>71</v>
      </c>
      <c r="AU1539" s="1" t="s">
        <v>79</v>
      </c>
      <c r="AV1539" s="1" t="s">
        <v>80</v>
      </c>
      <c r="AW1539" s="1">
        <v>15.02</v>
      </c>
      <c r="AX1539" s="1">
        <v>0</v>
      </c>
      <c r="AZ1539" s="1" t="s">
        <v>81</v>
      </c>
      <c r="BA1539" s="1">
        <v>1</v>
      </c>
      <c r="BB1539" s="1">
        <v>0</v>
      </c>
      <c r="BC1539" s="1">
        <v>0</v>
      </c>
      <c r="BE1539" s="1">
        <v>27246400</v>
      </c>
    </row>
    <row r="1540" spans="1:57" x14ac:dyDescent="0.25">
      <c r="A1540" s="1" t="str">
        <f>T("1945403780212923148")</f>
        <v>1945403780212923148</v>
      </c>
      <c r="B1540" s="1" t="str">
        <f>T("249992491780")</f>
        <v>249992491780</v>
      </c>
      <c r="C1540" s="1" t="str">
        <f>T("1941094502986940932")</f>
        <v>1941094502986940932</v>
      </c>
      <c r="AC1540" s="1" t="s">
        <v>104</v>
      </c>
      <c r="AD1540" s="1" t="s">
        <v>151</v>
      </c>
      <c r="AE1540" s="1" t="s">
        <v>392</v>
      </c>
      <c r="AF1540" s="1" t="s">
        <v>107</v>
      </c>
      <c r="AG1540" s="1">
        <v>18</v>
      </c>
      <c r="AO1540" s="2">
        <v>46277</v>
      </c>
      <c r="AP1540" s="1" t="s">
        <v>248</v>
      </c>
      <c r="AS1540" s="1" t="s">
        <v>71</v>
      </c>
      <c r="AU1540" s="1" t="s">
        <v>72</v>
      </c>
      <c r="AV1540" s="1" t="s">
        <v>334</v>
      </c>
      <c r="AX1540" s="1">
        <v>0</v>
      </c>
      <c r="BA1540" s="1">
        <v>9</v>
      </c>
      <c r="BB1540" s="1">
        <v>0</v>
      </c>
      <c r="BC1540" s="1">
        <v>0</v>
      </c>
      <c r="BE1540" s="1">
        <v>27246400</v>
      </c>
    </row>
    <row r="1541" spans="1:57" x14ac:dyDescent="0.25">
      <c r="A1541" s="1" t="str">
        <f>T("1945403780212923348")</f>
        <v>1945403780212923348</v>
      </c>
      <c r="B1541" s="1" t="str">
        <f>T("249999682220")</f>
        <v>249999682220</v>
      </c>
      <c r="C1541" s="1" t="str">
        <f>T("1941094502978555216")</f>
        <v>1941094502978555216</v>
      </c>
      <c r="AA1541" s="1">
        <v>1</v>
      </c>
      <c r="AC1541" s="1" t="s">
        <v>104</v>
      </c>
      <c r="AD1541" s="1" t="s">
        <v>151</v>
      </c>
      <c r="AE1541" s="1" t="s">
        <v>392</v>
      </c>
      <c r="AF1541" s="1" t="s">
        <v>107</v>
      </c>
      <c r="AG1541" s="1">
        <v>20</v>
      </c>
      <c r="AO1541" s="2">
        <v>46277</v>
      </c>
      <c r="AP1541" s="1" t="s">
        <v>248</v>
      </c>
      <c r="AQ1541" s="2">
        <v>46277</v>
      </c>
      <c r="AR1541" s="1" t="s">
        <v>260</v>
      </c>
      <c r="AS1541" s="1" t="s">
        <v>71</v>
      </c>
      <c r="AU1541" s="1" t="s">
        <v>79</v>
      </c>
      <c r="AV1541" s="1" t="s">
        <v>80</v>
      </c>
      <c r="AW1541" s="1">
        <v>92.52</v>
      </c>
      <c r="AX1541" s="1">
        <v>0</v>
      </c>
      <c r="AZ1541" s="1" t="s">
        <v>81</v>
      </c>
      <c r="BA1541" s="1">
        <v>1</v>
      </c>
      <c r="BB1541" s="1">
        <v>0</v>
      </c>
      <c r="BC1541" s="1">
        <v>0</v>
      </c>
      <c r="BE1541" s="1">
        <v>27246400</v>
      </c>
    </row>
    <row r="1542" spans="1:57" x14ac:dyDescent="0.25">
      <c r="A1542" s="1" t="str">
        <f>T("1945403780221310364")</f>
        <v>1945403780221310364</v>
      </c>
      <c r="B1542" s="1" t="str">
        <f>T("249111823232")</f>
        <v>249111823232</v>
      </c>
      <c r="C1542" s="1" t="str">
        <f>T("1941094502986942332")</f>
        <v>1941094502986942332</v>
      </c>
      <c r="AC1542" s="1" t="s">
        <v>104</v>
      </c>
      <c r="AD1542" s="1" t="s">
        <v>151</v>
      </c>
      <c r="AE1542" s="1" t="s">
        <v>392</v>
      </c>
      <c r="AF1542" s="1" t="s">
        <v>107</v>
      </c>
      <c r="AG1542" s="1">
        <v>18</v>
      </c>
      <c r="AO1542" s="2">
        <v>46277</v>
      </c>
      <c r="AP1542" s="1" t="s">
        <v>248</v>
      </c>
      <c r="AS1542" s="1" t="s">
        <v>71</v>
      </c>
      <c r="AU1542" s="1" t="s">
        <v>72</v>
      </c>
      <c r="AV1542" s="1" t="s">
        <v>73</v>
      </c>
      <c r="AX1542" s="1">
        <v>0</v>
      </c>
      <c r="BA1542" s="1">
        <v>9</v>
      </c>
      <c r="BB1542" s="1">
        <v>0</v>
      </c>
      <c r="BC1542" s="1">
        <v>0</v>
      </c>
      <c r="BE1542" s="1">
        <v>27246400</v>
      </c>
    </row>
    <row r="1543" spans="1:57" x14ac:dyDescent="0.25">
      <c r="A1543" s="1" t="str">
        <f>T("1945403780280029676")</f>
        <v>1945403780280029676</v>
      </c>
      <c r="B1543" s="1" t="str">
        <f>T("249929166601")</f>
        <v>249929166601</v>
      </c>
      <c r="C1543" s="1" t="str">
        <f>T("1941094502991135140")</f>
        <v>1941094502991135140</v>
      </c>
      <c r="AC1543" s="1" t="s">
        <v>104</v>
      </c>
      <c r="AD1543" s="1" t="s">
        <v>151</v>
      </c>
      <c r="AE1543" s="1" t="s">
        <v>392</v>
      </c>
      <c r="AF1543" s="1" t="s">
        <v>107</v>
      </c>
      <c r="AG1543" s="1">
        <v>28</v>
      </c>
      <c r="AO1543" s="2">
        <v>46277</v>
      </c>
      <c r="AP1543" s="1" t="s">
        <v>248</v>
      </c>
      <c r="AQ1543" s="2">
        <v>46277</v>
      </c>
      <c r="AR1543" s="1" t="s">
        <v>666</v>
      </c>
      <c r="AS1543" s="1" t="s">
        <v>71</v>
      </c>
      <c r="AU1543" s="1" t="s">
        <v>79</v>
      </c>
      <c r="AV1543" s="1" t="s">
        <v>80</v>
      </c>
      <c r="AW1543" s="1">
        <v>31.86</v>
      </c>
      <c r="AX1543" s="1">
        <v>0</v>
      </c>
      <c r="AZ1543" s="1" t="s">
        <v>81</v>
      </c>
      <c r="BA1543" s="1">
        <v>1</v>
      </c>
      <c r="BB1543" s="1">
        <v>0</v>
      </c>
      <c r="BC1543" s="1">
        <v>0</v>
      </c>
      <c r="BE1543" s="1">
        <v>27246400</v>
      </c>
    </row>
    <row r="1544" spans="1:57" x14ac:dyDescent="0.25">
      <c r="A1544" s="1" t="str">
        <f>T("1945403780280031576")</f>
        <v>1945403780280031576</v>
      </c>
      <c r="B1544" s="1" t="str">
        <f>T("249990741811")</f>
        <v>249990741811</v>
      </c>
      <c r="C1544" s="1" t="str">
        <f>T("1941094502991136640")</f>
        <v>1941094502991136640</v>
      </c>
      <c r="AA1544" s="1">
        <v>1</v>
      </c>
      <c r="AC1544" s="1" t="s">
        <v>104</v>
      </c>
      <c r="AD1544" s="1" t="s">
        <v>151</v>
      </c>
      <c r="AE1544" s="1" t="s">
        <v>392</v>
      </c>
      <c r="AF1544" s="1" t="s">
        <v>107</v>
      </c>
      <c r="AG1544" s="1">
        <v>24</v>
      </c>
      <c r="AO1544" s="2">
        <v>46277</v>
      </c>
      <c r="AP1544" s="1" t="s">
        <v>248</v>
      </c>
      <c r="AQ1544" s="2">
        <v>46277</v>
      </c>
      <c r="AR1544" s="1" t="s">
        <v>252</v>
      </c>
      <c r="AS1544" s="1" t="s">
        <v>71</v>
      </c>
      <c r="AU1544" s="1" t="s">
        <v>79</v>
      </c>
      <c r="AV1544" s="1" t="s">
        <v>80</v>
      </c>
      <c r="AW1544" s="1">
        <v>44.96</v>
      </c>
      <c r="AX1544" s="1">
        <v>0</v>
      </c>
      <c r="AZ1544" s="1" t="s">
        <v>81</v>
      </c>
      <c r="BA1544" s="1">
        <v>1</v>
      </c>
      <c r="BB1544" s="1">
        <v>0</v>
      </c>
      <c r="BC1544" s="1">
        <v>0</v>
      </c>
      <c r="BE1544" s="1">
        <v>27246400</v>
      </c>
    </row>
    <row r="1545" spans="1:57" x14ac:dyDescent="0.25">
      <c r="A1545" s="1" t="str">
        <f>T("1945403780284226484")</f>
        <v>1945403780284226484</v>
      </c>
      <c r="B1545" s="1" t="str">
        <f>T("249930784256")</f>
        <v>249930784256</v>
      </c>
      <c r="C1545" s="1" t="str">
        <f>T("1941094502991137240")</f>
        <v>1941094502991137240</v>
      </c>
      <c r="AC1545" s="1" t="s">
        <v>104</v>
      </c>
      <c r="AD1545" s="1" t="s">
        <v>151</v>
      </c>
      <c r="AE1545" s="1" t="s">
        <v>392</v>
      </c>
      <c r="AF1545" s="1" t="s">
        <v>107</v>
      </c>
      <c r="AG1545" s="1">
        <v>21</v>
      </c>
      <c r="AO1545" s="2">
        <v>46277</v>
      </c>
      <c r="AP1545" s="1" t="s">
        <v>248</v>
      </c>
      <c r="AQ1545" s="2">
        <v>46277</v>
      </c>
      <c r="AR1545" s="1" t="s">
        <v>468</v>
      </c>
      <c r="AS1545" s="1" t="s">
        <v>71</v>
      </c>
      <c r="AU1545" s="1" t="s">
        <v>79</v>
      </c>
      <c r="AV1545" s="1" t="s">
        <v>80</v>
      </c>
      <c r="AW1545" s="1">
        <v>24.58</v>
      </c>
      <c r="AX1545" s="1">
        <v>0</v>
      </c>
      <c r="AZ1545" s="1" t="s">
        <v>81</v>
      </c>
      <c r="BA1545" s="1">
        <v>1</v>
      </c>
      <c r="BB1545" s="1">
        <v>0</v>
      </c>
      <c r="BC1545" s="1">
        <v>0</v>
      </c>
      <c r="BE1545" s="1">
        <v>27246400</v>
      </c>
    </row>
    <row r="1546" spans="1:57" x14ac:dyDescent="0.25">
      <c r="A1546" s="1" t="str">
        <f>T("1945403780338750488")</f>
        <v>1945403780338750488</v>
      </c>
      <c r="B1546" s="1" t="str">
        <f>T("249118743244")</f>
        <v>249118743244</v>
      </c>
      <c r="C1546" s="1" t="str">
        <f>T("1941094502991138240")</f>
        <v>1941094502991138240</v>
      </c>
      <c r="AC1546" s="1" t="s">
        <v>104</v>
      </c>
      <c r="AD1546" s="1" t="s">
        <v>151</v>
      </c>
      <c r="AE1546" s="1" t="s">
        <v>392</v>
      </c>
      <c r="AF1546" s="1" t="s">
        <v>107</v>
      </c>
      <c r="AG1546" s="1">
        <v>25</v>
      </c>
      <c r="AO1546" s="2">
        <v>46277</v>
      </c>
      <c r="AP1546" s="1" t="s">
        <v>248</v>
      </c>
      <c r="AS1546" s="1" t="s">
        <v>71</v>
      </c>
      <c r="AU1546" s="1" t="s">
        <v>72</v>
      </c>
      <c r="AV1546" s="1" t="s">
        <v>73</v>
      </c>
      <c r="AX1546" s="1">
        <v>0</v>
      </c>
      <c r="BA1546" s="1">
        <v>9</v>
      </c>
      <c r="BB1546" s="1">
        <v>0</v>
      </c>
      <c r="BC1546" s="1">
        <v>0</v>
      </c>
      <c r="BE1546" s="1">
        <v>27246400</v>
      </c>
    </row>
    <row r="1547" spans="1:57" x14ac:dyDescent="0.25">
      <c r="A1547" s="1" t="str">
        <f>T("1945403780347141704")</f>
        <v>1945403780347141704</v>
      </c>
      <c r="B1547" s="1" t="str">
        <f>T("249123147303")</f>
        <v>249123147303</v>
      </c>
      <c r="C1547" s="1" t="str">
        <f>T("1941094502995329448")</f>
        <v>1941094502995329448</v>
      </c>
      <c r="M1547" s="1" t="s">
        <v>59</v>
      </c>
      <c r="O1547" s="1" t="s">
        <v>60</v>
      </c>
      <c r="P1547" s="1" t="s">
        <v>83</v>
      </c>
      <c r="Q1547" s="1" t="s">
        <v>112</v>
      </c>
      <c r="R1547" s="1" t="s">
        <v>63</v>
      </c>
      <c r="S1547" s="1" t="s">
        <v>94</v>
      </c>
      <c r="U1547" s="1" t="s">
        <v>65</v>
      </c>
      <c r="V1547" s="1" t="s">
        <v>66</v>
      </c>
      <c r="W1547" s="1" t="s">
        <v>60</v>
      </c>
      <c r="X1547" s="1" t="s">
        <v>103</v>
      </c>
      <c r="Y1547" s="1" t="s">
        <v>69</v>
      </c>
      <c r="AA1547" s="1">
        <v>1</v>
      </c>
      <c r="AB1547" s="1">
        <v>1</v>
      </c>
      <c r="AC1547" s="1" t="s">
        <v>104</v>
      </c>
      <c r="AD1547" s="1" t="s">
        <v>151</v>
      </c>
      <c r="AE1547" s="1" t="s">
        <v>392</v>
      </c>
      <c r="AF1547" s="1" t="s">
        <v>107</v>
      </c>
      <c r="AG1547" s="1">
        <v>22</v>
      </c>
      <c r="AO1547" s="2">
        <v>46277</v>
      </c>
      <c r="AP1547" s="1" t="s">
        <v>248</v>
      </c>
      <c r="AQ1547" s="2">
        <v>46277</v>
      </c>
      <c r="AR1547" s="1" t="s">
        <v>667</v>
      </c>
      <c r="AS1547" s="1" t="s">
        <v>71</v>
      </c>
      <c r="AU1547" s="1" t="s">
        <v>78</v>
      </c>
      <c r="AV1547" s="1" t="s">
        <v>80</v>
      </c>
      <c r="AW1547" s="1">
        <v>202.68</v>
      </c>
      <c r="AX1547" s="1">
        <v>0</v>
      </c>
      <c r="AZ1547" s="1" t="s">
        <v>81</v>
      </c>
      <c r="BA1547" s="1">
        <v>1</v>
      </c>
      <c r="BB1547" s="1">
        <v>0</v>
      </c>
      <c r="BC1547" s="1">
        <v>0</v>
      </c>
      <c r="BE1547" s="1">
        <v>27246400</v>
      </c>
    </row>
    <row r="1548" spans="1:57" x14ac:dyDescent="0.25">
      <c r="A1548" s="1" t="str">
        <f>T("1945403780351334612")</f>
        <v>1945403780351334612</v>
      </c>
      <c r="B1548" s="1" t="str">
        <f>T("249990153130")</f>
        <v>249990153130</v>
      </c>
      <c r="C1548" s="1" t="str">
        <f>T("1941094502995329048")</f>
        <v>1941094502995329048</v>
      </c>
      <c r="AA1548" s="1">
        <v>1</v>
      </c>
      <c r="AC1548" s="1" t="s">
        <v>104</v>
      </c>
      <c r="AD1548" s="1" t="s">
        <v>151</v>
      </c>
      <c r="AE1548" s="1" t="s">
        <v>392</v>
      </c>
      <c r="AF1548" s="1" t="s">
        <v>107</v>
      </c>
      <c r="AG1548" s="1">
        <v>24</v>
      </c>
      <c r="AO1548" s="2">
        <v>46277</v>
      </c>
      <c r="AP1548" s="1" t="s">
        <v>248</v>
      </c>
      <c r="AQ1548" s="2">
        <v>46277</v>
      </c>
      <c r="AR1548" s="1" t="s">
        <v>468</v>
      </c>
      <c r="AS1548" s="1" t="s">
        <v>71</v>
      </c>
      <c r="AU1548" s="1" t="s">
        <v>79</v>
      </c>
      <c r="AV1548" s="1" t="s">
        <v>80</v>
      </c>
      <c r="AW1548" s="1">
        <v>50.08</v>
      </c>
      <c r="AX1548" s="1">
        <v>0</v>
      </c>
      <c r="AZ1548" s="1" t="s">
        <v>81</v>
      </c>
      <c r="BA1548" s="1">
        <v>1</v>
      </c>
      <c r="BB1548" s="1">
        <v>0</v>
      </c>
      <c r="BC1548" s="1">
        <v>0</v>
      </c>
      <c r="BE1548" s="1">
        <v>27246400</v>
      </c>
    </row>
    <row r="1549" spans="1:57" x14ac:dyDescent="0.25">
      <c r="A1549" s="1" t="str">
        <f>T("1945403780410053124")</f>
        <v>1945403780410053124</v>
      </c>
      <c r="B1549" s="1" t="str">
        <f>T("249912983068")</f>
        <v>249912983068</v>
      </c>
      <c r="C1549" s="1" t="str">
        <f>T("1941094502995330048")</f>
        <v>1941094502995330048</v>
      </c>
      <c r="AC1549" s="1" t="s">
        <v>104</v>
      </c>
      <c r="AD1549" s="1" t="s">
        <v>151</v>
      </c>
      <c r="AE1549" s="1" t="s">
        <v>392</v>
      </c>
      <c r="AF1549" s="1" t="s">
        <v>107</v>
      </c>
      <c r="AG1549" s="1">
        <v>20</v>
      </c>
      <c r="AO1549" s="2">
        <v>46277</v>
      </c>
      <c r="AP1549" s="1" t="s">
        <v>248</v>
      </c>
      <c r="AS1549" s="1" t="s">
        <v>71</v>
      </c>
      <c r="AU1549" s="1" t="s">
        <v>72</v>
      </c>
      <c r="AV1549" s="1" t="s">
        <v>437</v>
      </c>
      <c r="AX1549" s="1">
        <v>0</v>
      </c>
      <c r="BA1549" s="1">
        <v>9</v>
      </c>
      <c r="BB1549" s="1">
        <v>0</v>
      </c>
      <c r="BC1549" s="1">
        <v>0</v>
      </c>
      <c r="BE1549" s="1">
        <v>27246400</v>
      </c>
    </row>
    <row r="1550" spans="1:57" x14ac:dyDescent="0.25">
      <c r="A1550" s="1" t="str">
        <f>T("1945403780418443140")</f>
        <v>1945403780418443140</v>
      </c>
      <c r="B1550" s="1" t="str">
        <f>T("249117225530")</f>
        <v>249117225530</v>
      </c>
      <c r="C1550" s="1" t="str">
        <f>T("1941094502995332448")</f>
        <v>1941094502995332448</v>
      </c>
      <c r="AA1550" s="1">
        <v>1</v>
      </c>
      <c r="AC1550" s="1" t="s">
        <v>104</v>
      </c>
      <c r="AD1550" s="1" t="s">
        <v>151</v>
      </c>
      <c r="AE1550" s="1" t="s">
        <v>392</v>
      </c>
      <c r="AF1550" s="1" t="s">
        <v>107</v>
      </c>
      <c r="AG1550" s="1">
        <v>19</v>
      </c>
      <c r="AO1550" s="2">
        <v>46277</v>
      </c>
      <c r="AP1550" s="1" t="s">
        <v>248</v>
      </c>
      <c r="AQ1550" s="2">
        <v>46277</v>
      </c>
      <c r="AR1550" s="1" t="s">
        <v>252</v>
      </c>
      <c r="AS1550" s="1" t="s">
        <v>71</v>
      </c>
      <c r="AU1550" s="1" t="s">
        <v>79</v>
      </c>
      <c r="AV1550" s="1" t="s">
        <v>80</v>
      </c>
      <c r="AW1550" s="1">
        <v>48.5</v>
      </c>
      <c r="AX1550" s="1">
        <v>0</v>
      </c>
      <c r="AZ1550" s="1" t="s">
        <v>81</v>
      </c>
      <c r="BA1550" s="1">
        <v>1</v>
      </c>
      <c r="BB1550" s="1">
        <v>0</v>
      </c>
      <c r="BC1550" s="1">
        <v>0</v>
      </c>
      <c r="BE1550" s="1">
        <v>27246400</v>
      </c>
    </row>
    <row r="1551" spans="1:57" x14ac:dyDescent="0.25">
      <c r="A1551" s="1" t="str">
        <f>T("1945403780451996404")</f>
        <v>1945403780451996404</v>
      </c>
      <c r="B1551" s="1" t="str">
        <f>T("249114291267")</f>
        <v>249114291267</v>
      </c>
      <c r="C1551" s="1" t="str">
        <f>T("1941094502999523456")</f>
        <v>1941094502999523456</v>
      </c>
      <c r="AC1551" s="1" t="s">
        <v>104</v>
      </c>
      <c r="AD1551" s="1" t="s">
        <v>151</v>
      </c>
      <c r="AE1551" s="1" t="s">
        <v>392</v>
      </c>
      <c r="AF1551" s="1" t="s">
        <v>107</v>
      </c>
      <c r="AG1551" s="1">
        <v>21</v>
      </c>
      <c r="AO1551" s="2">
        <v>46277</v>
      </c>
      <c r="AP1551" s="1" t="s">
        <v>248</v>
      </c>
      <c r="AQ1551" s="2">
        <v>46277</v>
      </c>
      <c r="AR1551" s="1" t="s">
        <v>468</v>
      </c>
      <c r="AS1551" s="1" t="s">
        <v>71</v>
      </c>
      <c r="AU1551" s="1" t="s">
        <v>79</v>
      </c>
      <c r="AV1551" s="1" t="s">
        <v>80</v>
      </c>
      <c r="AW1551" s="1">
        <v>12.1</v>
      </c>
      <c r="AX1551" s="1">
        <v>0</v>
      </c>
      <c r="AZ1551" s="1" t="s">
        <v>81</v>
      </c>
      <c r="BA1551" s="1">
        <v>1</v>
      </c>
      <c r="BB1551" s="1">
        <v>0</v>
      </c>
      <c r="BC1551" s="1">
        <v>0</v>
      </c>
      <c r="BE1551" s="1">
        <v>27246400</v>
      </c>
    </row>
    <row r="1552" spans="1:57" x14ac:dyDescent="0.25">
      <c r="A1552" s="1" t="str">
        <f>T("1945403780472970344")</f>
        <v>1945403780472970344</v>
      </c>
      <c r="B1552" s="1" t="str">
        <f>T("249113171119")</f>
        <v>249113171119</v>
      </c>
      <c r="C1552" s="1" t="str">
        <f>T("1941094502999523856")</f>
        <v>1941094502999523856</v>
      </c>
      <c r="AC1552" s="1" t="s">
        <v>104</v>
      </c>
      <c r="AD1552" s="1" t="s">
        <v>151</v>
      </c>
      <c r="AE1552" s="1" t="s">
        <v>392</v>
      </c>
      <c r="AF1552" s="1" t="s">
        <v>107</v>
      </c>
      <c r="AG1552" s="1">
        <v>24</v>
      </c>
      <c r="AO1552" s="2">
        <v>46277</v>
      </c>
      <c r="AP1552" s="1" t="s">
        <v>248</v>
      </c>
      <c r="AS1552" s="1" t="s">
        <v>71</v>
      </c>
      <c r="AU1552" s="1" t="s">
        <v>72</v>
      </c>
      <c r="AV1552" s="1" t="s">
        <v>73</v>
      </c>
      <c r="AX1552" s="1">
        <v>0</v>
      </c>
      <c r="BA1552" s="1">
        <v>9</v>
      </c>
      <c r="BB1552" s="1">
        <v>0</v>
      </c>
      <c r="BC1552" s="1">
        <v>0</v>
      </c>
      <c r="BE1552" s="1">
        <v>27246400</v>
      </c>
    </row>
    <row r="1553" spans="1:57" x14ac:dyDescent="0.25">
      <c r="A1553" s="1" t="str">
        <f>T("1945403780485552968")</f>
        <v>1945403780485552968</v>
      </c>
      <c r="B1553" s="1" t="str">
        <f>T("249113116105")</f>
        <v>249113116105</v>
      </c>
      <c r="C1553" s="1" t="str">
        <f>T("1941094502999524356")</f>
        <v>1941094502999524356</v>
      </c>
      <c r="AC1553" s="1" t="s">
        <v>104</v>
      </c>
      <c r="AD1553" s="1" t="s">
        <v>151</v>
      </c>
      <c r="AE1553" s="1" t="s">
        <v>392</v>
      </c>
      <c r="AF1553" s="1" t="s">
        <v>107</v>
      </c>
      <c r="AG1553" s="1">
        <v>25</v>
      </c>
      <c r="AO1553" s="2">
        <v>46277</v>
      </c>
      <c r="AP1553" s="1" t="s">
        <v>248</v>
      </c>
      <c r="AS1553" s="1" t="s">
        <v>71</v>
      </c>
      <c r="AU1553" s="1" t="s">
        <v>72</v>
      </c>
      <c r="AV1553" s="1" t="s">
        <v>73</v>
      </c>
      <c r="AX1553" s="1">
        <v>0</v>
      </c>
      <c r="BA1553" s="1">
        <v>9</v>
      </c>
      <c r="BB1553" s="1">
        <v>0</v>
      </c>
      <c r="BC1553" s="1">
        <v>0</v>
      </c>
      <c r="BE1553" s="1">
        <v>27246400</v>
      </c>
    </row>
    <row r="1554" spans="1:57" x14ac:dyDescent="0.25">
      <c r="A1554" s="1" t="str">
        <f>T("1945403780506524108")</f>
        <v>1945403780506524108</v>
      </c>
      <c r="B1554" s="1" t="str">
        <f>T("249120933632")</f>
        <v>249120933632</v>
      </c>
      <c r="C1554" s="1" t="str">
        <f>T("1941094502999524756")</f>
        <v>1941094502999524756</v>
      </c>
      <c r="AA1554" s="1">
        <v>1</v>
      </c>
      <c r="AC1554" s="1" t="s">
        <v>104</v>
      </c>
      <c r="AD1554" s="1" t="s">
        <v>151</v>
      </c>
      <c r="AE1554" s="1" t="s">
        <v>392</v>
      </c>
      <c r="AF1554" s="1" t="s">
        <v>107</v>
      </c>
      <c r="AG1554" s="1">
        <v>26</v>
      </c>
      <c r="AO1554" s="2">
        <v>46277</v>
      </c>
      <c r="AP1554" s="1" t="s">
        <v>248</v>
      </c>
      <c r="AQ1554" s="2">
        <v>46277</v>
      </c>
      <c r="AR1554" s="1" t="s">
        <v>668</v>
      </c>
      <c r="AS1554" s="1" t="s">
        <v>71</v>
      </c>
      <c r="AU1554" s="1" t="s">
        <v>79</v>
      </c>
      <c r="AV1554" s="1" t="s">
        <v>80</v>
      </c>
      <c r="AW1554" s="1">
        <v>46.08</v>
      </c>
      <c r="AX1554" s="1">
        <v>0</v>
      </c>
      <c r="AZ1554" s="1" t="s">
        <v>81</v>
      </c>
      <c r="BA1554" s="1">
        <v>1</v>
      </c>
      <c r="BB1554" s="1">
        <v>0</v>
      </c>
      <c r="BC1554" s="1">
        <v>0</v>
      </c>
      <c r="BE1554" s="1">
        <v>27246400</v>
      </c>
    </row>
    <row r="1555" spans="1:57" x14ac:dyDescent="0.25">
      <c r="A1555" s="1" t="str">
        <f>T("1945403780535882964")</f>
        <v>1945403780535882964</v>
      </c>
      <c r="B1555" s="1" t="str">
        <f>T("249126676939")</f>
        <v>249126676939</v>
      </c>
      <c r="C1555" s="1" t="str">
        <f>T("1941094503003719864")</f>
        <v>1941094503003719864</v>
      </c>
      <c r="AC1555" s="1" t="s">
        <v>104</v>
      </c>
      <c r="AD1555" s="1" t="s">
        <v>151</v>
      </c>
      <c r="AE1555" s="1" t="s">
        <v>392</v>
      </c>
      <c r="AF1555" s="1" t="s">
        <v>107</v>
      </c>
      <c r="AG1555" s="1">
        <v>31</v>
      </c>
      <c r="AO1555" s="2">
        <v>46277</v>
      </c>
      <c r="AP1555" s="1" t="s">
        <v>248</v>
      </c>
      <c r="AQ1555" s="2">
        <v>46277</v>
      </c>
      <c r="AR1555" s="1" t="s">
        <v>254</v>
      </c>
      <c r="AS1555" s="1" t="s">
        <v>71</v>
      </c>
      <c r="AU1555" s="1" t="s">
        <v>79</v>
      </c>
      <c r="AV1555" s="1" t="s">
        <v>80</v>
      </c>
      <c r="AW1555" s="1">
        <v>27.78</v>
      </c>
      <c r="AX1555" s="1">
        <v>0</v>
      </c>
      <c r="AZ1555" s="1" t="s">
        <v>81</v>
      </c>
      <c r="BA1555" s="1">
        <v>1</v>
      </c>
      <c r="BB1555" s="1">
        <v>0</v>
      </c>
      <c r="BC1555" s="1">
        <v>0</v>
      </c>
      <c r="BE1555" s="1">
        <v>27246400</v>
      </c>
    </row>
    <row r="1556" spans="1:57" x14ac:dyDescent="0.25">
      <c r="A1556" s="1" t="str">
        <f>T("1945403780535885564")</f>
        <v>1945403780535885564</v>
      </c>
      <c r="B1556" s="1" t="str">
        <f>T("249123504080")</f>
        <v>249123504080</v>
      </c>
      <c r="C1556" s="1" t="str">
        <f>T("1941094503007914372")</f>
        <v>1941094503007914372</v>
      </c>
      <c r="AC1556" s="1" t="s">
        <v>104</v>
      </c>
      <c r="AD1556" s="1" t="s">
        <v>151</v>
      </c>
      <c r="AE1556" s="1" t="s">
        <v>392</v>
      </c>
      <c r="AF1556" s="1" t="s">
        <v>107</v>
      </c>
      <c r="AG1556" s="1">
        <v>36</v>
      </c>
      <c r="AO1556" s="2">
        <v>46277</v>
      </c>
      <c r="AP1556" s="1" t="s">
        <v>248</v>
      </c>
      <c r="AS1556" s="1" t="s">
        <v>71</v>
      </c>
      <c r="AU1556" s="1" t="s">
        <v>72</v>
      </c>
      <c r="AV1556" s="1" t="s">
        <v>73</v>
      </c>
      <c r="AX1556" s="1">
        <v>0</v>
      </c>
      <c r="BA1556" s="1">
        <v>9</v>
      </c>
      <c r="BB1556" s="1">
        <v>0</v>
      </c>
      <c r="BC1556" s="1">
        <v>0</v>
      </c>
      <c r="BE1556" s="1">
        <v>27246400</v>
      </c>
    </row>
    <row r="1557" spans="1:57" x14ac:dyDescent="0.25">
      <c r="A1557" s="1" t="str">
        <f>T("1945403780565244120")</f>
        <v>1945403780565244120</v>
      </c>
      <c r="B1557" s="1" t="str">
        <f>T("249113117119")</f>
        <v>249113117119</v>
      </c>
      <c r="C1557" s="1" t="str">
        <f>T("1941094503007915272")</f>
        <v>1941094503007915272</v>
      </c>
      <c r="AA1557" s="1">
        <v>1</v>
      </c>
      <c r="AC1557" s="1" t="s">
        <v>104</v>
      </c>
      <c r="AD1557" s="1" t="s">
        <v>151</v>
      </c>
      <c r="AE1557" s="1" t="s">
        <v>392</v>
      </c>
      <c r="AF1557" s="1" t="s">
        <v>107</v>
      </c>
      <c r="AG1557" s="1">
        <v>32</v>
      </c>
      <c r="AO1557" s="2">
        <v>46277</v>
      </c>
      <c r="AP1557" s="1" t="s">
        <v>248</v>
      </c>
      <c r="AQ1557" s="2">
        <v>46277</v>
      </c>
      <c r="AR1557" s="1" t="s">
        <v>669</v>
      </c>
      <c r="AS1557" s="1" t="s">
        <v>71</v>
      </c>
      <c r="AU1557" s="1" t="s">
        <v>79</v>
      </c>
      <c r="AV1557" s="1" t="s">
        <v>80</v>
      </c>
      <c r="AW1557" s="1">
        <v>93.58</v>
      </c>
      <c r="AX1557" s="1">
        <v>0</v>
      </c>
      <c r="AZ1557" s="1" t="s">
        <v>81</v>
      </c>
      <c r="BA1557" s="1">
        <v>1</v>
      </c>
      <c r="BB1557" s="1">
        <v>0</v>
      </c>
      <c r="BC1557" s="1">
        <v>0</v>
      </c>
      <c r="BE1557" s="1">
        <v>27246400</v>
      </c>
    </row>
    <row r="1558" spans="1:57" x14ac:dyDescent="0.25">
      <c r="A1558" s="1" t="str">
        <f>T("1945403780586214760")</f>
        <v>1945403780586214760</v>
      </c>
      <c r="B1558" s="1" t="str">
        <f>T("24913116105")</f>
        <v>24913116105</v>
      </c>
      <c r="C1558" s="1" t="str">
        <f>T("1941094503012106380")</f>
        <v>1941094503012106380</v>
      </c>
      <c r="AC1558" s="1" t="s">
        <v>104</v>
      </c>
      <c r="AD1558" s="1" t="s">
        <v>151</v>
      </c>
      <c r="AE1558" s="1" t="s">
        <v>392</v>
      </c>
      <c r="AF1558" s="1" t="s">
        <v>107</v>
      </c>
      <c r="AG1558" s="1">
        <v>28</v>
      </c>
      <c r="AO1558" s="2">
        <v>46277</v>
      </c>
      <c r="AP1558" s="1" t="s">
        <v>248</v>
      </c>
      <c r="AS1558" s="1" t="s">
        <v>71</v>
      </c>
      <c r="AU1558" s="1" t="s">
        <v>72</v>
      </c>
      <c r="AV1558" s="1" t="s">
        <v>73</v>
      </c>
      <c r="AX1558" s="1">
        <v>0</v>
      </c>
      <c r="BA1558" s="1">
        <v>9</v>
      </c>
      <c r="BB1558" s="1">
        <v>0</v>
      </c>
      <c r="BC1558" s="1">
        <v>0</v>
      </c>
      <c r="BE1558" s="1">
        <v>27246400</v>
      </c>
    </row>
    <row r="1559" spans="1:57" x14ac:dyDescent="0.25">
      <c r="A1559" s="1" t="str">
        <f>T("1945403780594604476")</f>
        <v>1945403780594604476</v>
      </c>
      <c r="B1559" s="1" t="str">
        <f>T("249123891630")</f>
        <v>249123891630</v>
      </c>
      <c r="C1559" s="1" t="str">
        <f>T("1941094503012106980")</f>
        <v>1941094503012106980</v>
      </c>
      <c r="AC1559" s="1" t="s">
        <v>104</v>
      </c>
      <c r="AD1559" s="1" t="s">
        <v>151</v>
      </c>
      <c r="AE1559" s="1" t="s">
        <v>392</v>
      </c>
      <c r="AF1559" s="1" t="s">
        <v>107</v>
      </c>
      <c r="AG1559" s="1">
        <v>25</v>
      </c>
      <c r="AO1559" s="2">
        <v>46277</v>
      </c>
      <c r="AP1559" s="1" t="s">
        <v>248</v>
      </c>
      <c r="AQ1559" s="2">
        <v>46277</v>
      </c>
      <c r="AR1559" s="1" t="s">
        <v>670</v>
      </c>
      <c r="AS1559" s="1" t="s">
        <v>71</v>
      </c>
      <c r="AU1559" s="1" t="s">
        <v>79</v>
      </c>
      <c r="AV1559" s="1" t="s">
        <v>80</v>
      </c>
      <c r="AW1559" s="1">
        <v>36.479999999999997</v>
      </c>
      <c r="AX1559" s="1">
        <v>0</v>
      </c>
      <c r="AZ1559" s="1" t="s">
        <v>81</v>
      </c>
      <c r="BA1559" s="1">
        <v>1</v>
      </c>
      <c r="BB1559" s="1">
        <v>0</v>
      </c>
      <c r="BC1559" s="1">
        <v>0</v>
      </c>
      <c r="BE1559" s="1">
        <v>27246400</v>
      </c>
    </row>
    <row r="1560" spans="1:57" x14ac:dyDescent="0.25">
      <c r="A1560" s="1" t="str">
        <f>T("1945403780623963032")</f>
        <v>1945403780623963032</v>
      </c>
      <c r="B1560" s="1" t="str">
        <f>T("249123861409")</f>
        <v>249123861409</v>
      </c>
      <c r="C1560" s="1" t="str">
        <f>T("1941094503012107580")</f>
        <v>1941094503012107580</v>
      </c>
      <c r="AC1560" s="1" t="s">
        <v>104</v>
      </c>
      <c r="AD1560" s="1" t="s">
        <v>151</v>
      </c>
      <c r="AE1560" s="1" t="s">
        <v>392</v>
      </c>
      <c r="AF1560" s="1" t="s">
        <v>107</v>
      </c>
      <c r="AG1560" s="1">
        <v>23</v>
      </c>
      <c r="AO1560" s="2">
        <v>46277</v>
      </c>
      <c r="AP1560" s="1" t="s">
        <v>248</v>
      </c>
      <c r="AQ1560" s="2">
        <v>46277</v>
      </c>
      <c r="AR1560" s="1" t="s">
        <v>477</v>
      </c>
      <c r="AS1560" s="1" t="s">
        <v>71</v>
      </c>
      <c r="AU1560" s="1" t="s">
        <v>79</v>
      </c>
      <c r="AV1560" s="1" t="s">
        <v>80</v>
      </c>
      <c r="AW1560" s="1">
        <v>13.88</v>
      </c>
      <c r="AX1560" s="1">
        <v>0</v>
      </c>
      <c r="AZ1560" s="1" t="s">
        <v>81</v>
      </c>
      <c r="BA1560" s="1">
        <v>1</v>
      </c>
      <c r="BB1560" s="1">
        <v>0</v>
      </c>
      <c r="BC1560" s="1">
        <v>0</v>
      </c>
      <c r="BE1560" s="1">
        <v>27246400</v>
      </c>
    </row>
    <row r="1561" spans="1:57" x14ac:dyDescent="0.25">
      <c r="A1561" s="1" t="str">
        <f>T("1945403780657518496")</f>
        <v>1945403780657518496</v>
      </c>
      <c r="B1561" s="1" t="str">
        <f>T("249117892766")</f>
        <v>249117892766</v>
      </c>
      <c r="C1561" s="1" t="str">
        <f>T("1941094503016300688")</f>
        <v>1941094503016300688</v>
      </c>
      <c r="AC1561" s="1" t="s">
        <v>104</v>
      </c>
      <c r="AD1561" s="1" t="s">
        <v>151</v>
      </c>
      <c r="AE1561" s="1" t="s">
        <v>392</v>
      </c>
      <c r="AF1561" s="1" t="s">
        <v>107</v>
      </c>
      <c r="AG1561" s="1">
        <v>21</v>
      </c>
      <c r="AO1561" s="2">
        <v>46277</v>
      </c>
      <c r="AP1561" s="1" t="s">
        <v>248</v>
      </c>
      <c r="AQ1561" s="2">
        <v>46277</v>
      </c>
      <c r="AR1561" s="1" t="s">
        <v>262</v>
      </c>
      <c r="AS1561" s="1" t="s">
        <v>71</v>
      </c>
      <c r="AU1561" s="1" t="s">
        <v>79</v>
      </c>
      <c r="AV1561" s="1" t="s">
        <v>80</v>
      </c>
      <c r="AW1561" s="1">
        <v>8.6999999999999993</v>
      </c>
      <c r="AX1561" s="1">
        <v>0</v>
      </c>
      <c r="AZ1561" s="1" t="s">
        <v>81</v>
      </c>
      <c r="BA1561" s="1">
        <v>1</v>
      </c>
      <c r="BB1561" s="1">
        <v>0</v>
      </c>
      <c r="BC1561" s="1">
        <v>0</v>
      </c>
      <c r="BE1561" s="1">
        <v>27246400</v>
      </c>
    </row>
    <row r="1562" spans="1:57" x14ac:dyDescent="0.25">
      <c r="A1562" s="1" t="str">
        <f>T("1945403780657520496")</f>
        <v>1945403780657520496</v>
      </c>
      <c r="B1562" s="1" t="str">
        <f>T("249128828260")</f>
        <v>249128828260</v>
      </c>
      <c r="C1562" s="1" t="str">
        <f>T("1941094503016301488")</f>
        <v>1941094503016301488</v>
      </c>
      <c r="AC1562" s="1" t="s">
        <v>104</v>
      </c>
      <c r="AD1562" s="1" t="s">
        <v>151</v>
      </c>
      <c r="AE1562" s="1" t="s">
        <v>392</v>
      </c>
      <c r="AF1562" s="1" t="s">
        <v>107</v>
      </c>
      <c r="AG1562" s="1">
        <v>18</v>
      </c>
      <c r="AO1562" s="2">
        <v>46277</v>
      </c>
      <c r="AP1562" s="1" t="s">
        <v>248</v>
      </c>
      <c r="AQ1562" s="2">
        <v>46277</v>
      </c>
      <c r="AR1562" s="1" t="s">
        <v>671</v>
      </c>
      <c r="AS1562" s="1" t="s">
        <v>71</v>
      </c>
      <c r="AU1562" s="1" t="s">
        <v>79</v>
      </c>
      <c r="AV1562" s="1" t="s">
        <v>80</v>
      </c>
      <c r="AW1562" s="1">
        <v>27.88</v>
      </c>
      <c r="AX1562" s="1">
        <v>0</v>
      </c>
      <c r="AZ1562" s="1" t="s">
        <v>81</v>
      </c>
      <c r="BA1562" s="1">
        <v>4</v>
      </c>
      <c r="BB1562" s="1">
        <v>0</v>
      </c>
      <c r="BC1562" s="1">
        <v>0</v>
      </c>
      <c r="BE1562" s="1">
        <v>27246400</v>
      </c>
    </row>
    <row r="1563" spans="1:57" x14ac:dyDescent="0.25">
      <c r="A1563" s="1" t="str">
        <f>T("1945403780686876952")</f>
        <v>1945403780686876952</v>
      </c>
      <c r="B1563" s="1" t="str">
        <f>T("249111285625")</f>
        <v>249111285625</v>
      </c>
      <c r="C1563" s="1" t="str">
        <f>T("1941094503016303988")</f>
        <v>1941094503016303988</v>
      </c>
      <c r="M1563" s="1" t="s">
        <v>59</v>
      </c>
      <c r="AA1563" s="1">
        <v>1</v>
      </c>
      <c r="AC1563" s="1" t="s">
        <v>104</v>
      </c>
      <c r="AD1563" s="1" t="s">
        <v>151</v>
      </c>
      <c r="AE1563" s="1" t="s">
        <v>392</v>
      </c>
      <c r="AF1563" s="1" t="s">
        <v>107</v>
      </c>
      <c r="AG1563" s="1">
        <v>23</v>
      </c>
      <c r="AO1563" s="2">
        <v>46277</v>
      </c>
      <c r="AP1563" s="1" t="s">
        <v>248</v>
      </c>
      <c r="AQ1563" s="2">
        <v>46277</v>
      </c>
      <c r="AR1563" s="1" t="s">
        <v>672</v>
      </c>
      <c r="AS1563" s="1" t="s">
        <v>71</v>
      </c>
      <c r="AU1563" s="1" t="s">
        <v>78</v>
      </c>
      <c r="AV1563" s="1" t="s">
        <v>80</v>
      </c>
      <c r="AW1563" s="1">
        <v>155.74</v>
      </c>
      <c r="AX1563" s="1">
        <v>0</v>
      </c>
      <c r="AZ1563" s="1" t="s">
        <v>81</v>
      </c>
      <c r="BA1563" s="1">
        <v>1</v>
      </c>
      <c r="BB1563" s="1">
        <v>0</v>
      </c>
      <c r="BC1563" s="1">
        <v>0</v>
      </c>
      <c r="BE1563" s="1">
        <v>27246400</v>
      </c>
    </row>
    <row r="1564" spans="1:57" x14ac:dyDescent="0.25">
      <c r="A1564" s="1" t="str">
        <f>T("1945403780728821332")</f>
        <v>1945403780728821332</v>
      </c>
      <c r="B1564" s="1" t="str">
        <f>T("249113116101")</f>
        <v>249113116101</v>
      </c>
      <c r="C1564" s="1" t="str">
        <f>T("1941094503020495196")</f>
        <v>1941094503020495196</v>
      </c>
      <c r="AA1564" s="1">
        <v>1</v>
      </c>
      <c r="AC1564" s="1" t="s">
        <v>104</v>
      </c>
      <c r="AD1564" s="1" t="s">
        <v>151</v>
      </c>
      <c r="AE1564" s="1" t="s">
        <v>392</v>
      </c>
      <c r="AF1564" s="1" t="s">
        <v>107</v>
      </c>
      <c r="AG1564" s="1">
        <v>24</v>
      </c>
      <c r="AO1564" s="2">
        <v>46277</v>
      </c>
      <c r="AP1564" s="1" t="s">
        <v>248</v>
      </c>
      <c r="AQ1564" s="2">
        <v>46277</v>
      </c>
      <c r="AR1564" s="1" t="s">
        <v>673</v>
      </c>
      <c r="AS1564" s="1" t="s">
        <v>71</v>
      </c>
      <c r="AU1564" s="1" t="s">
        <v>79</v>
      </c>
      <c r="AV1564" s="1" t="s">
        <v>80</v>
      </c>
      <c r="AW1564" s="1">
        <v>47.62</v>
      </c>
      <c r="AX1564" s="1">
        <v>0</v>
      </c>
      <c r="AZ1564" s="1" t="s">
        <v>81</v>
      </c>
      <c r="BA1564" s="1">
        <v>1</v>
      </c>
      <c r="BB1564" s="1">
        <v>0</v>
      </c>
      <c r="BC1564" s="1">
        <v>0</v>
      </c>
      <c r="BE1564" s="1">
        <v>27246400</v>
      </c>
    </row>
    <row r="1565" spans="1:57" x14ac:dyDescent="0.25">
      <c r="A1565" s="1" t="str">
        <f>T("1945403780733014940")</f>
        <v>1945403780733014940</v>
      </c>
      <c r="B1565" s="1" t="str">
        <f>T("249111285645")</f>
        <v>249111285645</v>
      </c>
      <c r="C1565" s="1" t="str">
        <f>T("1941094503028886212")</f>
        <v>1941094503028886212</v>
      </c>
      <c r="AC1565" s="1" t="s">
        <v>104</v>
      </c>
      <c r="AD1565" s="1" t="s">
        <v>151</v>
      </c>
      <c r="AE1565" s="1" t="s">
        <v>392</v>
      </c>
      <c r="AF1565" s="1" t="s">
        <v>107</v>
      </c>
      <c r="AG1565" s="1">
        <v>25</v>
      </c>
      <c r="AO1565" s="2">
        <v>46277</v>
      </c>
      <c r="AP1565" s="1" t="s">
        <v>248</v>
      </c>
      <c r="AQ1565" s="2">
        <v>46277</v>
      </c>
      <c r="AR1565" s="1" t="s">
        <v>674</v>
      </c>
      <c r="AS1565" s="1" t="s">
        <v>71</v>
      </c>
      <c r="AU1565" s="1" t="s">
        <v>79</v>
      </c>
      <c r="AV1565" s="1" t="s">
        <v>80</v>
      </c>
      <c r="AW1565" s="1">
        <v>17.28</v>
      </c>
      <c r="AX1565" s="1">
        <v>0</v>
      </c>
      <c r="AZ1565" s="1" t="s">
        <v>81</v>
      </c>
      <c r="BA1565" s="1">
        <v>3</v>
      </c>
      <c r="BB1565" s="1">
        <v>0</v>
      </c>
      <c r="BC1565" s="1">
        <v>0</v>
      </c>
      <c r="BE1565" s="1">
        <v>27246400</v>
      </c>
    </row>
    <row r="1566" spans="1:57" x14ac:dyDescent="0.25">
      <c r="A1566" s="1" t="str">
        <f>T("1945403780753986980")</f>
        <v>1945403780753986980</v>
      </c>
      <c r="B1566" s="1" t="str">
        <f>T("249122161738")</f>
        <v>249122161738</v>
      </c>
      <c r="C1566" s="1" t="str">
        <f>T("1941094503033080220")</f>
        <v>1941094503033080220</v>
      </c>
      <c r="AC1566" s="1" t="s">
        <v>104</v>
      </c>
      <c r="AD1566" s="1" t="s">
        <v>151</v>
      </c>
      <c r="AE1566" s="1" t="s">
        <v>392</v>
      </c>
      <c r="AF1566" s="1" t="s">
        <v>107</v>
      </c>
      <c r="AG1566" s="1">
        <v>27</v>
      </c>
      <c r="AO1566" s="2">
        <v>46277</v>
      </c>
      <c r="AP1566" s="1" t="s">
        <v>248</v>
      </c>
      <c r="AQ1566" s="2">
        <v>46277</v>
      </c>
      <c r="AR1566" s="1" t="s">
        <v>675</v>
      </c>
      <c r="AS1566" s="1" t="s">
        <v>71</v>
      </c>
      <c r="AU1566" s="1" t="s">
        <v>79</v>
      </c>
      <c r="AV1566" s="1" t="s">
        <v>80</v>
      </c>
      <c r="AW1566" s="1">
        <v>37.26</v>
      </c>
      <c r="AX1566" s="1">
        <v>0</v>
      </c>
      <c r="AZ1566" s="1" t="s">
        <v>81</v>
      </c>
      <c r="BA1566" s="1">
        <v>1</v>
      </c>
      <c r="BB1566" s="1">
        <v>0</v>
      </c>
      <c r="BC1566" s="1">
        <v>0</v>
      </c>
      <c r="BE1566" s="1">
        <v>27246400</v>
      </c>
    </row>
    <row r="1567" spans="1:57" x14ac:dyDescent="0.25">
      <c r="A1567" s="1" t="str">
        <f>T("1945403780783349036")</f>
        <v>1945403780783349036</v>
      </c>
      <c r="B1567" s="1" t="str">
        <f>T("249121241333")</f>
        <v>249121241333</v>
      </c>
      <c r="C1567" s="1" t="str">
        <f>T("1941094503033081420")</f>
        <v>1941094503033081420</v>
      </c>
      <c r="AC1567" s="1" t="s">
        <v>104</v>
      </c>
      <c r="AD1567" s="1" t="s">
        <v>151</v>
      </c>
      <c r="AE1567" s="1" t="s">
        <v>392</v>
      </c>
      <c r="AF1567" s="1" t="s">
        <v>107</v>
      </c>
      <c r="AG1567" s="1">
        <v>29</v>
      </c>
      <c r="AO1567" s="2">
        <v>46277</v>
      </c>
      <c r="AP1567" s="1" t="s">
        <v>248</v>
      </c>
      <c r="AQ1567" s="2">
        <v>46277</v>
      </c>
      <c r="AR1567" s="1" t="s">
        <v>676</v>
      </c>
      <c r="AS1567" s="1" t="s">
        <v>71</v>
      </c>
      <c r="AU1567" s="1" t="s">
        <v>79</v>
      </c>
      <c r="AV1567" s="1" t="s">
        <v>80</v>
      </c>
      <c r="AW1567" s="1">
        <v>8.16</v>
      </c>
      <c r="AX1567" s="1">
        <v>0</v>
      </c>
      <c r="AZ1567" s="1" t="s">
        <v>81</v>
      </c>
      <c r="BA1567" s="1">
        <v>2</v>
      </c>
      <c r="BB1567" s="1">
        <v>0</v>
      </c>
      <c r="BC1567" s="1">
        <v>0</v>
      </c>
      <c r="BE1567" s="1">
        <v>27246400</v>
      </c>
    </row>
    <row r="1568" spans="1:57" x14ac:dyDescent="0.25">
      <c r="A1568" s="1" t="str">
        <f>T("1945403780795930460")</f>
        <v>1945403780795930460</v>
      </c>
      <c r="B1568" s="1" t="str">
        <f>T("249125882760")</f>
        <v>249125882760</v>
      </c>
      <c r="C1568" s="1" t="str">
        <f>T("1941094503037274328")</f>
        <v>1941094503037274328</v>
      </c>
      <c r="AA1568" s="1">
        <v>1</v>
      </c>
      <c r="AC1568" s="1" t="s">
        <v>104</v>
      </c>
      <c r="AD1568" s="1" t="s">
        <v>151</v>
      </c>
      <c r="AE1568" s="1" t="s">
        <v>392</v>
      </c>
      <c r="AF1568" s="1" t="s">
        <v>107</v>
      </c>
      <c r="AG1568" s="1">
        <v>30</v>
      </c>
      <c r="AO1568" s="2">
        <v>46277</v>
      </c>
      <c r="AP1568" s="1" t="s">
        <v>248</v>
      </c>
      <c r="AQ1568" s="2">
        <v>46277</v>
      </c>
      <c r="AR1568" s="1" t="s">
        <v>254</v>
      </c>
      <c r="AS1568" s="1" t="s">
        <v>71</v>
      </c>
      <c r="AU1568" s="1" t="s">
        <v>79</v>
      </c>
      <c r="AV1568" s="1" t="s">
        <v>80</v>
      </c>
      <c r="AW1568" s="1">
        <v>38.86</v>
      </c>
      <c r="AX1568" s="1">
        <v>0</v>
      </c>
      <c r="AZ1568" s="1" t="s">
        <v>81</v>
      </c>
      <c r="BA1568" s="1">
        <v>1</v>
      </c>
      <c r="BB1568" s="1">
        <v>0</v>
      </c>
      <c r="BC1568" s="1">
        <v>0</v>
      </c>
      <c r="BE1568" s="1">
        <v>27246400</v>
      </c>
    </row>
    <row r="1569" spans="1:57" x14ac:dyDescent="0.25">
      <c r="A1569" s="1" t="str">
        <f>T("1945403780816901100")</f>
        <v>1945403780816901100</v>
      </c>
      <c r="B1569" s="1" t="str">
        <f>T("249125530555")</f>
        <v>249125530555</v>
      </c>
      <c r="C1569" s="1" t="str">
        <f>T("1941094503037274728")</f>
        <v>1941094503037274728</v>
      </c>
      <c r="M1569" s="1" t="s">
        <v>133</v>
      </c>
      <c r="N1569" s="1" t="s">
        <v>65</v>
      </c>
      <c r="O1569" s="1" t="s">
        <v>65</v>
      </c>
      <c r="P1569" s="1" t="s">
        <v>61</v>
      </c>
      <c r="Q1569" s="1" t="s">
        <v>101</v>
      </c>
      <c r="R1569" s="1" t="s">
        <v>93</v>
      </c>
      <c r="T1569" s="1" t="s">
        <v>95</v>
      </c>
      <c r="U1569" s="1" t="s">
        <v>65</v>
      </c>
      <c r="V1569" s="1" t="s">
        <v>68</v>
      </c>
      <c r="W1569" s="1" t="s">
        <v>60</v>
      </c>
      <c r="X1569" s="1" t="s">
        <v>66</v>
      </c>
      <c r="Y1569" s="1" t="s">
        <v>69</v>
      </c>
      <c r="AA1569" s="1">
        <v>1</v>
      </c>
      <c r="AB1569" s="1">
        <v>1</v>
      </c>
      <c r="AC1569" s="1" t="s">
        <v>104</v>
      </c>
      <c r="AD1569" s="1" t="s">
        <v>151</v>
      </c>
      <c r="AE1569" s="1" t="s">
        <v>392</v>
      </c>
      <c r="AF1569" s="1" t="s">
        <v>107</v>
      </c>
      <c r="AG1569" s="1">
        <v>32</v>
      </c>
      <c r="AO1569" s="2">
        <v>46277</v>
      </c>
      <c r="AP1569" s="1" t="s">
        <v>248</v>
      </c>
      <c r="AQ1569" s="2">
        <v>46277</v>
      </c>
      <c r="AR1569" s="1" t="s">
        <v>677</v>
      </c>
      <c r="AS1569" s="1" t="s">
        <v>71</v>
      </c>
      <c r="AU1569" s="1" t="s">
        <v>78</v>
      </c>
      <c r="AV1569" s="1" t="s">
        <v>80</v>
      </c>
      <c r="AW1569" s="1">
        <v>241.18</v>
      </c>
      <c r="AX1569" s="1">
        <v>0</v>
      </c>
      <c r="AZ1569" s="1" t="s">
        <v>81</v>
      </c>
      <c r="BA1569" s="1">
        <v>1</v>
      </c>
      <c r="BB1569" s="1">
        <v>0</v>
      </c>
      <c r="BC1569" s="1">
        <v>0</v>
      </c>
      <c r="BE1569" s="1">
        <v>27246400</v>
      </c>
    </row>
    <row r="1570" spans="1:57" x14ac:dyDescent="0.25">
      <c r="A1570" s="1" t="str">
        <f>T("1945403780842069148")</f>
        <v>1945403780842069148</v>
      </c>
      <c r="B1570" s="1" t="str">
        <f>T("249123504087")</f>
        <v>249123504087</v>
      </c>
      <c r="C1570" s="1" t="str">
        <f>T("1941094503037275328")</f>
        <v>1941094503037275328</v>
      </c>
      <c r="AC1570" s="1" t="s">
        <v>104</v>
      </c>
      <c r="AD1570" s="1" t="s">
        <v>151</v>
      </c>
      <c r="AE1570" s="1" t="s">
        <v>392</v>
      </c>
      <c r="AF1570" s="1" t="s">
        <v>107</v>
      </c>
      <c r="AG1570" s="1">
        <v>33</v>
      </c>
      <c r="AO1570" s="2">
        <v>46277</v>
      </c>
      <c r="AP1570" s="1" t="s">
        <v>248</v>
      </c>
      <c r="AS1570" s="1" t="s">
        <v>71</v>
      </c>
      <c r="AU1570" s="1" t="s">
        <v>72</v>
      </c>
      <c r="AV1570" s="1" t="s">
        <v>334</v>
      </c>
      <c r="AX1570" s="1">
        <v>0</v>
      </c>
      <c r="BA1570" s="1">
        <v>9</v>
      </c>
      <c r="BB1570" s="1">
        <v>0</v>
      </c>
      <c r="BC1570" s="1">
        <v>0</v>
      </c>
      <c r="BE1570" s="1">
        <v>27246400</v>
      </c>
    </row>
    <row r="1571" spans="1:57" x14ac:dyDescent="0.25">
      <c r="A1571" s="1" t="str">
        <f>T("1945403780917563392")</f>
        <v>1945403780917563392</v>
      </c>
      <c r="B1571" s="1" t="str">
        <f>T("249112113850")</f>
        <v>249112113850</v>
      </c>
      <c r="C1571" s="1" t="str">
        <f>T("1941094503037275728")</f>
        <v>1941094503037275728</v>
      </c>
      <c r="AC1571" s="1" t="s">
        <v>104</v>
      </c>
      <c r="AD1571" s="1" t="s">
        <v>151</v>
      </c>
      <c r="AE1571" s="1" t="s">
        <v>392</v>
      </c>
      <c r="AF1571" s="1" t="s">
        <v>107</v>
      </c>
      <c r="AG1571" s="1">
        <v>35</v>
      </c>
      <c r="AO1571" s="2">
        <v>46277</v>
      </c>
      <c r="AP1571" s="1" t="s">
        <v>248</v>
      </c>
      <c r="AS1571" s="1" t="s">
        <v>71</v>
      </c>
      <c r="AU1571" s="1" t="s">
        <v>72</v>
      </c>
      <c r="AV1571" s="1" t="s">
        <v>73</v>
      </c>
      <c r="AX1571" s="1">
        <v>0</v>
      </c>
      <c r="BA1571" s="1">
        <v>9</v>
      </c>
      <c r="BB1571" s="1">
        <v>0</v>
      </c>
      <c r="BC1571" s="1">
        <v>0</v>
      </c>
      <c r="BE1571" s="1">
        <v>27246400</v>
      </c>
    </row>
    <row r="1572" spans="1:57" x14ac:dyDescent="0.25">
      <c r="A1572" s="1" t="str">
        <f>T("1945403780917564392")</f>
        <v>1945403780917564392</v>
      </c>
      <c r="B1572" s="1" t="str">
        <f>T("249123907505")</f>
        <v>249123907505</v>
      </c>
      <c r="C1572" s="1" t="str">
        <f>T("1941094503041466536")</f>
        <v>1941094503041466536</v>
      </c>
      <c r="AC1572" s="1" t="s">
        <v>104</v>
      </c>
      <c r="AD1572" s="1" t="s">
        <v>151</v>
      </c>
      <c r="AE1572" s="1" t="s">
        <v>392</v>
      </c>
      <c r="AF1572" s="1" t="s">
        <v>107</v>
      </c>
      <c r="AG1572" s="1">
        <v>37</v>
      </c>
      <c r="AO1572" s="2">
        <v>46277</v>
      </c>
      <c r="AP1572" s="1" t="s">
        <v>248</v>
      </c>
      <c r="AS1572" s="1" t="s">
        <v>71</v>
      </c>
      <c r="AU1572" s="1" t="s">
        <v>72</v>
      </c>
      <c r="AV1572" s="1" t="s">
        <v>73</v>
      </c>
      <c r="AX1572" s="1">
        <v>0</v>
      </c>
      <c r="BA1572" s="1">
        <v>9</v>
      </c>
      <c r="BB1572" s="1">
        <v>0</v>
      </c>
      <c r="BC1572" s="1">
        <v>0</v>
      </c>
      <c r="BE1572" s="1">
        <v>27246400</v>
      </c>
    </row>
    <row r="1573" spans="1:57" x14ac:dyDescent="0.25">
      <c r="A1573" s="1" t="str">
        <f>T("1945403780951120356")</f>
        <v>1945403780951120356</v>
      </c>
      <c r="B1573" s="1" t="str">
        <f>T("249123555936")</f>
        <v>249123555936</v>
      </c>
      <c r="C1573" s="1" t="str">
        <f>T("1941094503041467036")</f>
        <v>1941094503041467036</v>
      </c>
      <c r="M1573" s="1" t="s">
        <v>59</v>
      </c>
      <c r="AA1573" s="1">
        <v>1</v>
      </c>
      <c r="AC1573" s="1" t="s">
        <v>104</v>
      </c>
      <c r="AD1573" s="1" t="s">
        <v>151</v>
      </c>
      <c r="AE1573" s="1" t="s">
        <v>392</v>
      </c>
      <c r="AF1573" s="1" t="s">
        <v>107</v>
      </c>
      <c r="AG1573" s="1">
        <v>38</v>
      </c>
      <c r="AO1573" s="2">
        <v>46277</v>
      </c>
      <c r="AP1573" s="1" t="s">
        <v>248</v>
      </c>
      <c r="AQ1573" s="2">
        <v>46277</v>
      </c>
      <c r="AR1573" s="1" t="s">
        <v>678</v>
      </c>
      <c r="AS1573" s="1" t="s">
        <v>71</v>
      </c>
      <c r="AU1573" s="1" t="s">
        <v>79</v>
      </c>
      <c r="AV1573" s="1" t="s">
        <v>80</v>
      </c>
      <c r="AW1573" s="1">
        <v>79.88</v>
      </c>
      <c r="AX1573" s="1">
        <v>0</v>
      </c>
      <c r="AZ1573" s="1" t="s">
        <v>81</v>
      </c>
      <c r="BA1573" s="1">
        <v>1</v>
      </c>
      <c r="BB1573" s="1">
        <v>0</v>
      </c>
      <c r="BC1573" s="1">
        <v>0</v>
      </c>
      <c r="BE1573" s="1">
        <v>27246400</v>
      </c>
    </row>
    <row r="1574" spans="1:57" x14ac:dyDescent="0.25">
      <c r="A1574" s="1" t="str">
        <f>T("1945403780972093296")</f>
        <v>1945403780972093296</v>
      </c>
      <c r="B1574" s="1" t="str">
        <f>T("249119351010")</f>
        <v>249119351010</v>
      </c>
      <c r="C1574" s="1" t="str">
        <f>T("1941094503041467736")</f>
        <v>1941094503041467736</v>
      </c>
      <c r="AC1574" s="1" t="s">
        <v>104</v>
      </c>
      <c r="AD1574" s="1" t="s">
        <v>151</v>
      </c>
      <c r="AE1574" s="1" t="s">
        <v>392</v>
      </c>
      <c r="AF1574" s="1" t="s">
        <v>107</v>
      </c>
      <c r="AG1574" s="1">
        <v>26</v>
      </c>
      <c r="AO1574" s="2">
        <v>46277</v>
      </c>
      <c r="AP1574" s="1" t="s">
        <v>248</v>
      </c>
      <c r="AQ1574" s="2">
        <v>46277</v>
      </c>
      <c r="AR1574" s="1" t="s">
        <v>679</v>
      </c>
      <c r="AS1574" s="1" t="s">
        <v>71</v>
      </c>
      <c r="AU1574" s="1" t="s">
        <v>79</v>
      </c>
      <c r="AV1574" s="1" t="s">
        <v>80</v>
      </c>
      <c r="AW1574" s="1">
        <v>6.86</v>
      </c>
      <c r="AX1574" s="1">
        <v>0</v>
      </c>
      <c r="AZ1574" s="1" t="s">
        <v>81</v>
      </c>
      <c r="BA1574" s="1">
        <v>1</v>
      </c>
      <c r="BB1574" s="1">
        <v>0</v>
      </c>
      <c r="BC1574" s="1">
        <v>0</v>
      </c>
      <c r="BE1574" s="1">
        <v>27246400</v>
      </c>
    </row>
    <row r="1575" spans="1:57" x14ac:dyDescent="0.25">
      <c r="A1575" s="1" t="str">
        <f>T("1945403780993061836")</f>
        <v>1945403780993061836</v>
      </c>
      <c r="B1575" s="1" t="str">
        <f>T("249119351001")</f>
        <v>249119351001</v>
      </c>
      <c r="C1575" s="1" t="str">
        <f>T("1941094503041468236")</f>
        <v>1941094503041468236</v>
      </c>
      <c r="AA1575" s="1">
        <v>1</v>
      </c>
      <c r="AC1575" s="1" t="s">
        <v>104</v>
      </c>
      <c r="AD1575" s="1" t="s">
        <v>151</v>
      </c>
      <c r="AE1575" s="1" t="s">
        <v>392</v>
      </c>
      <c r="AF1575" s="1" t="s">
        <v>107</v>
      </c>
      <c r="AG1575" s="1">
        <v>28</v>
      </c>
      <c r="AO1575" s="2">
        <v>46277</v>
      </c>
      <c r="AP1575" s="1" t="s">
        <v>248</v>
      </c>
      <c r="AQ1575" s="2">
        <v>46277</v>
      </c>
      <c r="AR1575" s="1" t="s">
        <v>680</v>
      </c>
      <c r="AS1575" s="1" t="s">
        <v>71</v>
      </c>
      <c r="AU1575" s="1" t="s">
        <v>79</v>
      </c>
      <c r="AV1575" s="1" t="s">
        <v>80</v>
      </c>
      <c r="AW1575" s="1">
        <v>56.84</v>
      </c>
      <c r="AX1575" s="1">
        <v>0</v>
      </c>
      <c r="AZ1575" s="1" t="s">
        <v>81</v>
      </c>
      <c r="BA1575" s="1">
        <v>1</v>
      </c>
      <c r="BB1575" s="1">
        <v>0</v>
      </c>
      <c r="BC1575" s="1">
        <v>0</v>
      </c>
      <c r="BE1575" s="1">
        <v>27246400</v>
      </c>
    </row>
    <row r="1576" spans="1:57" x14ac:dyDescent="0.25">
      <c r="A1576" s="1" t="str">
        <f>T("1945403781009839968")</f>
        <v>1945403781009839968</v>
      </c>
      <c r="B1576" s="1" t="str">
        <f>T("249127873021")</f>
        <v>249127873021</v>
      </c>
      <c r="C1576" s="1" t="str">
        <f>T("1941094503041468636")</f>
        <v>1941094503041468636</v>
      </c>
      <c r="AA1576" s="1">
        <v>1</v>
      </c>
      <c r="AC1576" s="1" t="s">
        <v>104</v>
      </c>
      <c r="AD1576" s="1" t="s">
        <v>151</v>
      </c>
      <c r="AE1576" s="1" t="s">
        <v>392</v>
      </c>
      <c r="AF1576" s="1" t="s">
        <v>107</v>
      </c>
      <c r="AG1576" s="1">
        <v>29</v>
      </c>
      <c r="AO1576" s="2">
        <v>46277</v>
      </c>
      <c r="AP1576" s="1" t="s">
        <v>248</v>
      </c>
      <c r="AQ1576" s="2">
        <v>46277</v>
      </c>
      <c r="AR1576" s="1" t="s">
        <v>681</v>
      </c>
      <c r="AS1576" s="1" t="s">
        <v>71</v>
      </c>
      <c r="AU1576" s="1" t="s">
        <v>79</v>
      </c>
      <c r="AV1576" s="1" t="s">
        <v>80</v>
      </c>
      <c r="AW1576" s="1">
        <v>49.38</v>
      </c>
      <c r="AX1576" s="1">
        <v>0</v>
      </c>
      <c r="AZ1576" s="1" t="s">
        <v>81</v>
      </c>
      <c r="BA1576" s="1">
        <v>1</v>
      </c>
      <c r="BB1576" s="1">
        <v>0</v>
      </c>
      <c r="BC1576" s="1">
        <v>0</v>
      </c>
      <c r="BE1576" s="1">
        <v>27246400</v>
      </c>
    </row>
    <row r="1577" spans="1:57" x14ac:dyDescent="0.25">
      <c r="A1577" s="1" t="str">
        <f>T("1945403781039200924")</f>
        <v>1945403781039200924</v>
      </c>
      <c r="B1577" s="1" t="str">
        <f>T("249127823021")</f>
        <v>249127823021</v>
      </c>
      <c r="C1577" s="1" t="str">
        <f>T("1941094503041469236")</f>
        <v>1941094503041469236</v>
      </c>
      <c r="AC1577" s="1" t="s">
        <v>104</v>
      </c>
      <c r="AD1577" s="1" t="s">
        <v>151</v>
      </c>
      <c r="AE1577" s="1" t="s">
        <v>392</v>
      </c>
      <c r="AF1577" s="1" t="s">
        <v>107</v>
      </c>
      <c r="AG1577" s="1">
        <v>30</v>
      </c>
      <c r="AO1577" s="2">
        <v>46277</v>
      </c>
      <c r="AP1577" s="1" t="s">
        <v>248</v>
      </c>
      <c r="AQ1577" s="2">
        <v>46277</v>
      </c>
      <c r="AR1577" s="1" t="s">
        <v>682</v>
      </c>
      <c r="AS1577" s="1" t="s">
        <v>71</v>
      </c>
      <c r="AU1577" s="1" t="s">
        <v>79</v>
      </c>
      <c r="AV1577" s="1" t="s">
        <v>80</v>
      </c>
      <c r="AW1577" s="1">
        <v>29.34</v>
      </c>
      <c r="AX1577" s="1">
        <v>0</v>
      </c>
      <c r="AZ1577" s="1" t="s">
        <v>81</v>
      </c>
      <c r="BA1577" s="1">
        <v>2</v>
      </c>
      <c r="BB1577" s="1">
        <v>0</v>
      </c>
      <c r="BC1577" s="1">
        <v>0</v>
      </c>
      <c r="BE1577" s="1">
        <v>27246400</v>
      </c>
    </row>
    <row r="1578" spans="1:57" x14ac:dyDescent="0.25">
      <c r="A1578" s="1" t="str">
        <f>T("1945403781055979056")</f>
        <v>1945403781055979056</v>
      </c>
      <c r="B1578" s="1" t="str">
        <f>T("249123775191")</f>
        <v>249123775191</v>
      </c>
      <c r="C1578" s="1" t="str">
        <f>T("1941094503041470036")</f>
        <v>1941094503041470036</v>
      </c>
      <c r="AC1578" s="1" t="s">
        <v>104</v>
      </c>
      <c r="AD1578" s="1" t="s">
        <v>151</v>
      </c>
      <c r="AE1578" s="1" t="s">
        <v>392</v>
      </c>
      <c r="AF1578" s="1" t="s">
        <v>107</v>
      </c>
      <c r="AG1578" s="1">
        <v>33</v>
      </c>
      <c r="AO1578" s="2">
        <v>46277</v>
      </c>
      <c r="AP1578" s="1" t="s">
        <v>248</v>
      </c>
      <c r="AS1578" s="1" t="s">
        <v>71</v>
      </c>
      <c r="AU1578" s="1" t="s">
        <v>72</v>
      </c>
      <c r="AV1578" s="1" t="s">
        <v>73</v>
      </c>
      <c r="AX1578" s="1">
        <v>0</v>
      </c>
      <c r="BA1578" s="1">
        <v>9</v>
      </c>
      <c r="BB1578" s="1">
        <v>0</v>
      </c>
      <c r="BC1578" s="1">
        <v>0</v>
      </c>
      <c r="BE1578" s="1">
        <v>27246400</v>
      </c>
    </row>
    <row r="1579" spans="1:57" x14ac:dyDescent="0.25">
      <c r="A1579" s="1" t="str">
        <f>T("1945403781085339612")</f>
        <v>1945403781085339612</v>
      </c>
      <c r="B1579" s="1" t="str">
        <f>T("249912823291")</f>
        <v>249912823291</v>
      </c>
      <c r="C1579" s="1" t="str">
        <f>T("1941094503045660844")</f>
        <v>1941094503045660844</v>
      </c>
      <c r="AC1579" s="1" t="s">
        <v>104</v>
      </c>
      <c r="AD1579" s="1" t="s">
        <v>151</v>
      </c>
      <c r="AE1579" s="1" t="s">
        <v>392</v>
      </c>
      <c r="AF1579" s="1" t="s">
        <v>107</v>
      </c>
      <c r="AG1579" s="1">
        <v>37</v>
      </c>
      <c r="AO1579" s="2">
        <v>46277</v>
      </c>
      <c r="AP1579" s="1" t="s">
        <v>248</v>
      </c>
      <c r="AS1579" s="1" t="s">
        <v>71</v>
      </c>
      <c r="AU1579" s="1" t="s">
        <v>72</v>
      </c>
      <c r="AV1579" s="1" t="s">
        <v>73</v>
      </c>
      <c r="AX1579" s="1">
        <v>0</v>
      </c>
      <c r="BA1579" s="1">
        <v>9</v>
      </c>
      <c r="BB1579" s="1">
        <v>0</v>
      </c>
      <c r="BC1579" s="1">
        <v>0</v>
      </c>
      <c r="BE1579" s="1">
        <v>27246400</v>
      </c>
    </row>
    <row r="1580" spans="1:57" x14ac:dyDescent="0.25">
      <c r="A1580" s="1" t="str">
        <f>T("1945403781097921636")</f>
        <v>1945403781097921636</v>
      </c>
      <c r="B1580" s="1" t="str">
        <f>T("249122121121")</f>
        <v>249122121121</v>
      </c>
      <c r="C1580" s="1" t="str">
        <f>T("1941094503045661244")</f>
        <v>1941094503045661244</v>
      </c>
      <c r="AA1580" s="1">
        <v>1</v>
      </c>
      <c r="AC1580" s="1" t="s">
        <v>104</v>
      </c>
      <c r="AD1580" s="1" t="s">
        <v>151</v>
      </c>
      <c r="AE1580" s="1" t="s">
        <v>392</v>
      </c>
      <c r="AF1580" s="1" t="s">
        <v>107</v>
      </c>
      <c r="AG1580" s="1">
        <v>34</v>
      </c>
      <c r="AO1580" s="2">
        <v>46277</v>
      </c>
      <c r="AP1580" s="1" t="s">
        <v>248</v>
      </c>
      <c r="AQ1580" s="2">
        <v>46277</v>
      </c>
      <c r="AR1580" s="1" t="s">
        <v>266</v>
      </c>
      <c r="AS1580" s="1" t="s">
        <v>71</v>
      </c>
      <c r="AU1580" s="1" t="s">
        <v>79</v>
      </c>
      <c r="AV1580" s="1" t="s">
        <v>80</v>
      </c>
      <c r="AW1580" s="1">
        <v>59.5</v>
      </c>
      <c r="AX1580" s="1">
        <v>0</v>
      </c>
      <c r="AZ1580" s="1" t="s">
        <v>81</v>
      </c>
      <c r="BA1580" s="1">
        <v>1</v>
      </c>
      <c r="BB1580" s="1">
        <v>0</v>
      </c>
      <c r="BC1580" s="1">
        <v>0</v>
      </c>
      <c r="BE1580" s="1">
        <v>27246400</v>
      </c>
    </row>
    <row r="1581" spans="1:57" x14ac:dyDescent="0.25">
      <c r="A1581" s="1" t="str">
        <f>T("1945403781118890376")</f>
        <v>1945403781118890376</v>
      </c>
      <c r="B1581" s="1" t="str">
        <f>T("249122088358")</f>
        <v>249122088358</v>
      </c>
      <c r="C1581" s="1" t="str">
        <f>T("1941094503045661644")</f>
        <v>1941094503045661644</v>
      </c>
      <c r="AC1581" s="1" t="s">
        <v>104</v>
      </c>
      <c r="AD1581" s="1" t="s">
        <v>151</v>
      </c>
      <c r="AE1581" s="1" t="s">
        <v>392</v>
      </c>
      <c r="AF1581" s="1" t="s">
        <v>107</v>
      </c>
      <c r="AG1581" s="1">
        <v>21</v>
      </c>
      <c r="AO1581" s="2">
        <v>46277</v>
      </c>
      <c r="AP1581" s="1" t="s">
        <v>248</v>
      </c>
      <c r="AQ1581" s="2">
        <v>46277</v>
      </c>
      <c r="AR1581" s="1" t="s">
        <v>683</v>
      </c>
      <c r="AS1581" s="1" t="s">
        <v>71</v>
      </c>
      <c r="AU1581" s="1" t="s">
        <v>79</v>
      </c>
      <c r="AV1581" s="1" t="s">
        <v>80</v>
      </c>
      <c r="AW1581" s="1">
        <v>37.32</v>
      </c>
      <c r="AX1581" s="1">
        <v>0</v>
      </c>
      <c r="AZ1581" s="1" t="s">
        <v>81</v>
      </c>
      <c r="BA1581" s="1">
        <v>1</v>
      </c>
      <c r="BB1581" s="1">
        <v>0</v>
      </c>
      <c r="BC1581" s="1">
        <v>0</v>
      </c>
      <c r="BE1581" s="1">
        <v>27246400</v>
      </c>
    </row>
    <row r="1582" spans="1:57" x14ac:dyDescent="0.25">
      <c r="A1582" s="1" t="str">
        <f>T("1945403781148250132")</f>
        <v>1945403781148250132</v>
      </c>
      <c r="B1582" s="1" t="str">
        <f>T("249121459250")</f>
        <v>249121459250</v>
      </c>
      <c r="C1582" s="1" t="str">
        <f>T("1941094503045662144")</f>
        <v>1941094503045662144</v>
      </c>
      <c r="AC1582" s="1" t="s">
        <v>104</v>
      </c>
      <c r="AD1582" s="1" t="s">
        <v>151</v>
      </c>
      <c r="AE1582" s="1" t="s">
        <v>392</v>
      </c>
      <c r="AF1582" s="1" t="s">
        <v>107</v>
      </c>
      <c r="AG1582" s="1">
        <v>25</v>
      </c>
      <c r="AO1582" s="2">
        <v>46277</v>
      </c>
      <c r="AP1582" s="1" t="s">
        <v>248</v>
      </c>
      <c r="AS1582" s="1" t="s">
        <v>71</v>
      </c>
      <c r="AU1582" s="1" t="s">
        <v>72</v>
      </c>
      <c r="AV1582" s="1" t="s">
        <v>73</v>
      </c>
      <c r="AX1582" s="1">
        <v>0</v>
      </c>
      <c r="BA1582" s="1">
        <v>9</v>
      </c>
      <c r="BB1582" s="1">
        <v>0</v>
      </c>
      <c r="BC1582" s="1">
        <v>0</v>
      </c>
      <c r="BE1582" s="1">
        <v>27246400</v>
      </c>
    </row>
    <row r="1583" spans="1:57" x14ac:dyDescent="0.25">
      <c r="A1583" s="1" t="str">
        <f>T("1945403781152447540")</f>
        <v>1945403781152447540</v>
      </c>
      <c r="B1583" s="1" t="str">
        <f>T("249125210710")</f>
        <v>249125210710</v>
      </c>
      <c r="C1583" s="1" t="str">
        <f>T("1941094503045662544")</f>
        <v>1941094503045662544</v>
      </c>
      <c r="AC1583" s="1" t="s">
        <v>104</v>
      </c>
      <c r="AD1583" s="1" t="s">
        <v>151</v>
      </c>
      <c r="AE1583" s="1" t="s">
        <v>392</v>
      </c>
      <c r="AF1583" s="1" t="s">
        <v>107</v>
      </c>
      <c r="AG1583" s="1">
        <v>20</v>
      </c>
      <c r="AO1583" s="2">
        <v>46277</v>
      </c>
      <c r="AP1583" s="1" t="s">
        <v>248</v>
      </c>
      <c r="AQ1583" s="2">
        <v>46277</v>
      </c>
      <c r="AR1583" s="1" t="s">
        <v>684</v>
      </c>
      <c r="AS1583" s="1" t="s">
        <v>71</v>
      </c>
      <c r="AU1583" s="1" t="s">
        <v>79</v>
      </c>
      <c r="AV1583" s="1" t="s">
        <v>80</v>
      </c>
      <c r="AW1583" s="1">
        <v>34.6</v>
      </c>
      <c r="AX1583" s="1">
        <v>0</v>
      </c>
      <c r="AZ1583" s="1" t="s">
        <v>81</v>
      </c>
      <c r="BA1583" s="1">
        <v>3</v>
      </c>
      <c r="BB1583" s="1">
        <v>0</v>
      </c>
      <c r="BC1583" s="1">
        <v>0</v>
      </c>
      <c r="BE1583" s="1">
        <v>27246400</v>
      </c>
    </row>
    <row r="1584" spans="1:57" x14ac:dyDescent="0.25">
      <c r="A1584" s="1" t="str">
        <f>T("1945403781181807696")</f>
        <v>1945403781181807696</v>
      </c>
      <c r="B1584" s="1" t="str">
        <f>T("249123879260")</f>
        <v>249123879260</v>
      </c>
      <c r="C1584" s="1" t="str">
        <f>T("1941094503049855452")</f>
        <v>1941094503049855452</v>
      </c>
      <c r="AC1584" s="1" t="s">
        <v>104</v>
      </c>
      <c r="AD1584" s="1" t="s">
        <v>151</v>
      </c>
      <c r="AE1584" s="1" t="s">
        <v>392</v>
      </c>
      <c r="AF1584" s="1" t="s">
        <v>107</v>
      </c>
      <c r="AG1584" s="1">
        <v>35</v>
      </c>
      <c r="AO1584" s="2">
        <v>46277</v>
      </c>
      <c r="AP1584" s="1" t="s">
        <v>248</v>
      </c>
      <c r="AQ1584" s="2">
        <v>46277</v>
      </c>
      <c r="AR1584" s="1" t="s">
        <v>685</v>
      </c>
      <c r="AS1584" s="1" t="s">
        <v>71</v>
      </c>
      <c r="AU1584" s="1" t="s">
        <v>79</v>
      </c>
      <c r="AV1584" s="1" t="s">
        <v>80</v>
      </c>
      <c r="AW1584" s="1">
        <v>7.62</v>
      </c>
      <c r="AX1584" s="1">
        <v>0</v>
      </c>
      <c r="AZ1584" s="1" t="s">
        <v>81</v>
      </c>
      <c r="BA1584" s="1">
        <v>7</v>
      </c>
      <c r="BB1584" s="1">
        <v>0</v>
      </c>
      <c r="BC1584" s="1">
        <v>0</v>
      </c>
      <c r="BE1584" s="1">
        <v>27246400</v>
      </c>
    </row>
    <row r="1585" spans="1:57" x14ac:dyDescent="0.25">
      <c r="A1585" s="1" t="str">
        <f>T("1945403781211167652")</f>
        <v>1945403781211167652</v>
      </c>
      <c r="B1585" s="1" t="str">
        <f>T("249912956430")</f>
        <v>249912956430</v>
      </c>
      <c r="C1585" s="1" t="str">
        <f>T("1941094503049857852")</f>
        <v>1941094503049857852</v>
      </c>
      <c r="AC1585" s="1" t="s">
        <v>104</v>
      </c>
      <c r="AD1585" s="1" t="s">
        <v>151</v>
      </c>
      <c r="AE1585" s="1" t="s">
        <v>392</v>
      </c>
      <c r="AF1585" s="1" t="s">
        <v>107</v>
      </c>
      <c r="AG1585" s="1">
        <v>34</v>
      </c>
      <c r="AO1585" s="2">
        <v>46277</v>
      </c>
      <c r="AP1585" s="1" t="s">
        <v>248</v>
      </c>
      <c r="AS1585" s="1" t="s">
        <v>71</v>
      </c>
      <c r="AU1585" s="1" t="s">
        <v>72</v>
      </c>
      <c r="AV1585" s="1" t="s">
        <v>73</v>
      </c>
      <c r="AX1585" s="1">
        <v>0</v>
      </c>
      <c r="BA1585" s="1">
        <v>9</v>
      </c>
      <c r="BB1585" s="1">
        <v>0</v>
      </c>
      <c r="BC1585" s="1">
        <v>0</v>
      </c>
      <c r="BE1585" s="1">
        <v>27246400</v>
      </c>
    </row>
    <row r="1586" spans="1:57" x14ac:dyDescent="0.25">
      <c r="A1586" s="1" t="str">
        <f>T("1945403781215361460")</f>
        <v>1945403781215361460</v>
      </c>
      <c r="B1586" s="1" t="str">
        <f>T("249111110697")</f>
        <v>249111110697</v>
      </c>
      <c r="C1586" s="1" t="str">
        <f>T("1941094503049858452")</f>
        <v>1941094503049858452</v>
      </c>
      <c r="M1586" s="1" t="s">
        <v>59</v>
      </c>
      <c r="O1586" s="1" t="s">
        <v>60</v>
      </c>
      <c r="P1586" s="1" t="s">
        <v>61</v>
      </c>
      <c r="Q1586" s="1" t="s">
        <v>112</v>
      </c>
      <c r="R1586" s="1" t="s">
        <v>84</v>
      </c>
      <c r="S1586" s="1" t="s">
        <v>61</v>
      </c>
      <c r="U1586" s="1" t="s">
        <v>65</v>
      </c>
      <c r="V1586" s="1" t="s">
        <v>102</v>
      </c>
      <c r="W1586" s="1" t="s">
        <v>60</v>
      </c>
      <c r="X1586" s="1" t="s">
        <v>103</v>
      </c>
      <c r="Y1586" s="1" t="s">
        <v>160</v>
      </c>
      <c r="AA1586" s="1">
        <v>1</v>
      </c>
      <c r="AB1586" s="1">
        <v>1</v>
      </c>
      <c r="AC1586" s="1" t="s">
        <v>104</v>
      </c>
      <c r="AD1586" s="1" t="s">
        <v>151</v>
      </c>
      <c r="AE1586" s="1" t="s">
        <v>392</v>
      </c>
      <c r="AF1586" s="1" t="s">
        <v>107</v>
      </c>
      <c r="AG1586" s="1">
        <v>33</v>
      </c>
      <c r="AO1586" s="2">
        <v>46277</v>
      </c>
      <c r="AP1586" s="1" t="s">
        <v>248</v>
      </c>
      <c r="AQ1586" s="2">
        <v>46277</v>
      </c>
      <c r="AR1586" s="1" t="s">
        <v>686</v>
      </c>
      <c r="AS1586" s="1" t="s">
        <v>71</v>
      </c>
      <c r="AU1586" s="1" t="s">
        <v>78</v>
      </c>
      <c r="AV1586" s="1" t="s">
        <v>80</v>
      </c>
      <c r="AW1586" s="1">
        <v>230.7</v>
      </c>
      <c r="AX1586" s="1">
        <v>0</v>
      </c>
      <c r="AZ1586" s="1" t="s">
        <v>81</v>
      </c>
      <c r="BA1586" s="1">
        <v>4</v>
      </c>
      <c r="BB1586" s="1">
        <v>0</v>
      </c>
      <c r="BC1586" s="1">
        <v>0</v>
      </c>
      <c r="BE1586" s="1">
        <v>27246400</v>
      </c>
    </row>
    <row r="1587" spans="1:57" x14ac:dyDescent="0.25">
      <c r="A1587" s="1" t="str">
        <f>T("1945403781244719616")</f>
        <v>1945403781244719616</v>
      </c>
      <c r="B1587" s="1" t="str">
        <f>T("249911494799")</f>
        <v>249911494799</v>
      </c>
      <c r="C1587" s="1" t="str">
        <f>T("1941094503054049360")</f>
        <v>1941094503054049360</v>
      </c>
      <c r="AC1587" s="1" t="s">
        <v>104</v>
      </c>
      <c r="AD1587" s="1" t="s">
        <v>151</v>
      </c>
      <c r="AE1587" s="1" t="s">
        <v>392</v>
      </c>
      <c r="AF1587" s="1" t="s">
        <v>107</v>
      </c>
      <c r="AG1587" s="1">
        <v>32</v>
      </c>
      <c r="AO1587" s="2">
        <v>46277</v>
      </c>
      <c r="AP1587" s="1" t="s">
        <v>248</v>
      </c>
      <c r="AS1587" s="1" t="s">
        <v>71</v>
      </c>
      <c r="AU1587" s="1" t="s">
        <v>72</v>
      </c>
      <c r="AV1587" s="1" t="s">
        <v>73</v>
      </c>
      <c r="AX1587" s="1">
        <v>0</v>
      </c>
      <c r="BA1587" s="1">
        <v>9</v>
      </c>
      <c r="BB1587" s="1">
        <v>0</v>
      </c>
      <c r="BC1587" s="1">
        <v>0</v>
      </c>
      <c r="BE1587" s="1">
        <v>27246400</v>
      </c>
    </row>
    <row r="1588" spans="1:57" x14ac:dyDescent="0.25">
      <c r="A1588" s="1" t="str">
        <f>T("1945403781286665796")</f>
        <v>1945403781286665796</v>
      </c>
      <c r="B1588" s="1" t="str">
        <f>T("249119462470")</f>
        <v>249119462470</v>
      </c>
      <c r="C1588" s="1" t="str">
        <f>T("1941094503054049860")</f>
        <v>1941094503054049860</v>
      </c>
      <c r="M1588" s="1" t="s">
        <v>59</v>
      </c>
      <c r="O1588" s="1" t="s">
        <v>60</v>
      </c>
      <c r="P1588" s="1" t="s">
        <v>83</v>
      </c>
      <c r="Q1588" s="1" t="s">
        <v>112</v>
      </c>
      <c r="R1588" s="1" t="s">
        <v>84</v>
      </c>
      <c r="S1588" s="1" t="s">
        <v>159</v>
      </c>
      <c r="U1588" s="1" t="s">
        <v>65</v>
      </c>
      <c r="V1588" s="1" t="s">
        <v>102</v>
      </c>
      <c r="W1588" s="1" t="s">
        <v>67</v>
      </c>
      <c r="X1588" s="1" t="s">
        <v>102</v>
      </c>
      <c r="Y1588" s="1" t="s">
        <v>160</v>
      </c>
      <c r="AA1588" s="1">
        <v>1</v>
      </c>
      <c r="AB1588" s="1">
        <v>1</v>
      </c>
      <c r="AC1588" s="1" t="s">
        <v>104</v>
      </c>
      <c r="AD1588" s="1" t="s">
        <v>151</v>
      </c>
      <c r="AE1588" s="1" t="s">
        <v>392</v>
      </c>
      <c r="AF1588" s="1" t="s">
        <v>107</v>
      </c>
      <c r="AG1588" s="1">
        <v>31</v>
      </c>
      <c r="AO1588" s="2">
        <v>46277</v>
      </c>
      <c r="AP1588" s="1" t="s">
        <v>248</v>
      </c>
      <c r="AQ1588" s="2">
        <v>46277</v>
      </c>
      <c r="AR1588" s="1" t="s">
        <v>687</v>
      </c>
      <c r="AS1588" s="1" t="s">
        <v>71</v>
      </c>
      <c r="AU1588" s="1" t="s">
        <v>78</v>
      </c>
      <c r="AV1588" s="1" t="s">
        <v>80</v>
      </c>
      <c r="AW1588" s="1">
        <v>174.46</v>
      </c>
      <c r="AX1588" s="1">
        <v>0</v>
      </c>
      <c r="AZ1588" s="1" t="s">
        <v>81</v>
      </c>
      <c r="BA1588" s="1">
        <v>7</v>
      </c>
      <c r="BB1588" s="1">
        <v>0</v>
      </c>
      <c r="BC1588" s="1">
        <v>0</v>
      </c>
      <c r="BE1588" s="1">
        <v>27246400</v>
      </c>
    </row>
    <row r="1589" spans="1:57" x14ac:dyDescent="0.25">
      <c r="A1589" s="1" t="str">
        <f>T("1945403781290859304")</f>
        <v>1945403781290859304</v>
      </c>
      <c r="B1589" s="1" t="str">
        <f>T("249115558645")</f>
        <v>249115558645</v>
      </c>
      <c r="C1589" s="1" t="str">
        <f>T("1941094503054050360")</f>
        <v>1941094503054050360</v>
      </c>
      <c r="AC1589" s="1" t="s">
        <v>104</v>
      </c>
      <c r="AD1589" s="1" t="s">
        <v>151</v>
      </c>
      <c r="AE1589" s="1" t="s">
        <v>392</v>
      </c>
      <c r="AF1589" s="1" t="s">
        <v>107</v>
      </c>
      <c r="AG1589" s="1">
        <v>30</v>
      </c>
      <c r="AO1589" s="2">
        <v>46277</v>
      </c>
      <c r="AP1589" s="1" t="s">
        <v>248</v>
      </c>
      <c r="AQ1589" s="2">
        <v>46277</v>
      </c>
      <c r="AR1589" s="1" t="s">
        <v>688</v>
      </c>
      <c r="AS1589" s="1" t="s">
        <v>71</v>
      </c>
      <c r="AU1589" s="1" t="s">
        <v>79</v>
      </c>
      <c r="AV1589" s="1" t="s">
        <v>80</v>
      </c>
      <c r="AW1589" s="1">
        <v>22.12</v>
      </c>
      <c r="AX1589" s="1">
        <v>0</v>
      </c>
      <c r="AZ1589" s="1" t="s">
        <v>81</v>
      </c>
      <c r="BA1589" s="1">
        <v>2</v>
      </c>
      <c r="BB1589" s="1">
        <v>0</v>
      </c>
      <c r="BC1589" s="1">
        <v>0</v>
      </c>
      <c r="BE1589" s="1">
        <v>27246400</v>
      </c>
    </row>
    <row r="1590" spans="1:57" x14ac:dyDescent="0.25">
      <c r="A1590" s="1" t="str">
        <f>T("1945403781299248820")</f>
        <v>1945403781299248820</v>
      </c>
      <c r="B1590" s="1" t="str">
        <f>T("249121056011")</f>
        <v>249121056011</v>
      </c>
      <c r="C1590" s="1" t="str">
        <f>T("1941094503062440676")</f>
        <v>1941094503062440676</v>
      </c>
      <c r="AA1590" s="1">
        <v>1</v>
      </c>
      <c r="AC1590" s="1" t="s">
        <v>104</v>
      </c>
      <c r="AD1590" s="1" t="s">
        <v>151</v>
      </c>
      <c r="AE1590" s="1" t="s">
        <v>392</v>
      </c>
      <c r="AF1590" s="1" t="s">
        <v>107</v>
      </c>
      <c r="AG1590" s="1">
        <v>29</v>
      </c>
      <c r="AO1590" s="2">
        <v>46277</v>
      </c>
      <c r="AP1590" s="1" t="s">
        <v>248</v>
      </c>
      <c r="AQ1590" s="2">
        <v>46277</v>
      </c>
      <c r="AR1590" s="1" t="s">
        <v>689</v>
      </c>
      <c r="AS1590" s="1" t="s">
        <v>71</v>
      </c>
      <c r="AU1590" s="1" t="s">
        <v>79</v>
      </c>
      <c r="AV1590" s="1" t="s">
        <v>80</v>
      </c>
      <c r="AW1590" s="1">
        <v>113.02</v>
      </c>
      <c r="AX1590" s="1">
        <v>0</v>
      </c>
      <c r="AZ1590" s="1" t="s">
        <v>81</v>
      </c>
      <c r="BA1590" s="1">
        <v>2</v>
      </c>
      <c r="BB1590" s="1">
        <v>0</v>
      </c>
      <c r="BC1590" s="1">
        <v>0</v>
      </c>
      <c r="BE1590" s="1">
        <v>27246400</v>
      </c>
    </row>
    <row r="1591" spans="1:57" x14ac:dyDescent="0.25">
      <c r="A1591" s="1" t="str">
        <f>T("1945403781353772124")</f>
        <v>1945403781353772124</v>
      </c>
      <c r="B1591" s="1" t="str">
        <f>T("249116565270")</f>
        <v>249116565270</v>
      </c>
      <c r="C1591" s="1" t="str">
        <f>T("1941094503062441476")</f>
        <v>1941094503062441476</v>
      </c>
      <c r="AC1591" s="1" t="s">
        <v>104</v>
      </c>
      <c r="AD1591" s="1" t="s">
        <v>151</v>
      </c>
      <c r="AE1591" s="1" t="s">
        <v>392</v>
      </c>
      <c r="AF1591" s="1" t="s">
        <v>107</v>
      </c>
      <c r="AG1591" s="1">
        <v>28</v>
      </c>
      <c r="AO1591" s="2">
        <v>46277</v>
      </c>
      <c r="AP1591" s="1" t="s">
        <v>248</v>
      </c>
      <c r="AQ1591" s="2">
        <v>46277</v>
      </c>
      <c r="AR1591" s="1" t="s">
        <v>688</v>
      </c>
      <c r="AS1591" s="1" t="s">
        <v>71</v>
      </c>
      <c r="AU1591" s="1" t="s">
        <v>79</v>
      </c>
      <c r="AV1591" s="1" t="s">
        <v>80</v>
      </c>
      <c r="AW1591" s="1">
        <v>31.66</v>
      </c>
      <c r="AX1591" s="1">
        <v>0</v>
      </c>
      <c r="AZ1591" s="1" t="s">
        <v>81</v>
      </c>
      <c r="BA1591" s="1">
        <v>2</v>
      </c>
      <c r="BB1591" s="1">
        <v>0</v>
      </c>
      <c r="BC1591" s="1">
        <v>0</v>
      </c>
      <c r="BE1591" s="1">
        <v>27246400</v>
      </c>
    </row>
    <row r="1592" spans="1:57" x14ac:dyDescent="0.25">
      <c r="A1592" s="1" t="str">
        <f>T("1945403781353773424")</f>
        <v>1945403781353773424</v>
      </c>
      <c r="B1592" s="1" t="str">
        <f>T("249912060419")</f>
        <v>249912060419</v>
      </c>
      <c r="C1592" s="1" t="str">
        <f>T("1941094503066632384")</f>
        <v>1941094503066632384</v>
      </c>
      <c r="AC1592" s="1" t="s">
        <v>104</v>
      </c>
      <c r="AD1592" s="1" t="s">
        <v>151</v>
      </c>
      <c r="AE1592" s="1" t="s">
        <v>392</v>
      </c>
      <c r="AF1592" s="1" t="s">
        <v>107</v>
      </c>
      <c r="AG1592" s="1">
        <v>28</v>
      </c>
      <c r="AO1592" s="2">
        <v>46277</v>
      </c>
      <c r="AP1592" s="1" t="s">
        <v>248</v>
      </c>
      <c r="AS1592" s="1" t="s">
        <v>71</v>
      </c>
      <c r="AU1592" s="1" t="s">
        <v>72</v>
      </c>
      <c r="AV1592" s="1" t="s">
        <v>437</v>
      </c>
      <c r="AX1592" s="1">
        <v>0</v>
      </c>
      <c r="BA1592" s="1">
        <v>9</v>
      </c>
      <c r="BB1592" s="1">
        <v>0</v>
      </c>
      <c r="BC1592" s="1">
        <v>0</v>
      </c>
      <c r="BE1592" s="1">
        <v>27246400</v>
      </c>
    </row>
    <row r="1593" spans="1:57" x14ac:dyDescent="0.25">
      <c r="A1593" s="1" t="str">
        <f>T("1945403781353774024")</f>
        <v>1945403781353774024</v>
      </c>
      <c r="B1593" s="1" t="str">
        <f>T("249912260419")</f>
        <v>249912260419</v>
      </c>
      <c r="C1593" s="1" t="str">
        <f>T("1941094503066632884")</f>
        <v>1941094503066632884</v>
      </c>
      <c r="AC1593" s="1" t="s">
        <v>104</v>
      </c>
      <c r="AD1593" s="1" t="s">
        <v>151</v>
      </c>
      <c r="AE1593" s="1" t="s">
        <v>392</v>
      </c>
      <c r="AF1593" s="1" t="s">
        <v>107</v>
      </c>
      <c r="AG1593" s="1">
        <v>27</v>
      </c>
      <c r="AO1593" s="2">
        <v>46277</v>
      </c>
      <c r="AP1593" s="1" t="s">
        <v>248</v>
      </c>
      <c r="AS1593" s="1" t="s">
        <v>71</v>
      </c>
      <c r="AU1593" s="1" t="s">
        <v>72</v>
      </c>
      <c r="AV1593" s="1" t="s">
        <v>73</v>
      </c>
      <c r="AX1593" s="1">
        <v>0</v>
      </c>
      <c r="BA1593" s="1">
        <v>9</v>
      </c>
      <c r="BB1593" s="1">
        <v>0</v>
      </c>
      <c r="BC1593" s="1">
        <v>0</v>
      </c>
      <c r="BE1593" s="1">
        <v>27246400</v>
      </c>
    </row>
    <row r="1594" spans="1:57" x14ac:dyDescent="0.25">
      <c r="A1594" s="1" t="str">
        <f>T("1945403781412492036")</f>
        <v>1945403781412492036</v>
      </c>
      <c r="B1594" s="1" t="str">
        <f>T("249999724151")</f>
        <v>249999724151</v>
      </c>
      <c r="C1594" s="1" t="str">
        <f>T("1941094503066633784")</f>
        <v>1941094503066633784</v>
      </c>
      <c r="AC1594" s="1" t="s">
        <v>104</v>
      </c>
      <c r="AD1594" s="1" t="s">
        <v>151</v>
      </c>
      <c r="AE1594" s="1" t="s">
        <v>392</v>
      </c>
      <c r="AF1594" s="1" t="s">
        <v>107</v>
      </c>
      <c r="AG1594" s="1">
        <v>26</v>
      </c>
      <c r="AO1594" s="2">
        <v>46277</v>
      </c>
      <c r="AP1594" s="1" t="s">
        <v>248</v>
      </c>
      <c r="AS1594" s="1" t="s">
        <v>71</v>
      </c>
      <c r="AU1594" s="1" t="s">
        <v>72</v>
      </c>
      <c r="AV1594" s="1" t="s">
        <v>73</v>
      </c>
      <c r="AX1594" s="1">
        <v>0</v>
      </c>
      <c r="BA1594" s="1">
        <v>9</v>
      </c>
      <c r="BB1594" s="1">
        <v>0</v>
      </c>
      <c r="BC1594" s="1">
        <v>0</v>
      </c>
      <c r="BE1594" s="1">
        <v>27246400</v>
      </c>
    </row>
    <row r="1595" spans="1:57" x14ac:dyDescent="0.25">
      <c r="A1595" s="1" t="str">
        <f>T("1945403781412493336")</f>
        <v>1945403781412493336</v>
      </c>
      <c r="B1595" s="1" t="str">
        <f>T("249123555717")</f>
        <v>249123555717</v>
      </c>
      <c r="C1595" s="1" t="str">
        <f>T("1941094503066634184")</f>
        <v>1941094503066634184</v>
      </c>
      <c r="M1595" s="1" t="s">
        <v>133</v>
      </c>
      <c r="N1595" s="1" t="s">
        <v>65</v>
      </c>
      <c r="O1595" s="1" t="s">
        <v>65</v>
      </c>
      <c r="P1595" s="1" t="s">
        <v>61</v>
      </c>
      <c r="Q1595" s="1" t="s">
        <v>101</v>
      </c>
      <c r="R1595" s="1" t="s">
        <v>84</v>
      </c>
      <c r="S1595" s="1" t="s">
        <v>61</v>
      </c>
      <c r="U1595" s="1" t="s">
        <v>65</v>
      </c>
      <c r="V1595" s="1" t="s">
        <v>102</v>
      </c>
      <c r="AA1595" s="1">
        <v>1</v>
      </c>
      <c r="AC1595" s="1" t="s">
        <v>104</v>
      </c>
      <c r="AD1595" s="1" t="s">
        <v>151</v>
      </c>
      <c r="AE1595" s="1" t="s">
        <v>392</v>
      </c>
      <c r="AF1595" s="1" t="s">
        <v>107</v>
      </c>
      <c r="AG1595" s="1">
        <v>26</v>
      </c>
      <c r="AO1595" s="2">
        <v>46277</v>
      </c>
      <c r="AP1595" s="1" t="s">
        <v>248</v>
      </c>
      <c r="AQ1595" s="2">
        <v>46277</v>
      </c>
      <c r="AR1595" s="1" t="s">
        <v>690</v>
      </c>
      <c r="AS1595" s="1" t="s">
        <v>71</v>
      </c>
      <c r="AU1595" s="1" t="s">
        <v>79</v>
      </c>
      <c r="AV1595" s="1" t="s">
        <v>80</v>
      </c>
      <c r="AW1595" s="1">
        <v>179.06</v>
      </c>
      <c r="AX1595" s="1">
        <v>0</v>
      </c>
      <c r="AZ1595" s="1" t="s">
        <v>81</v>
      </c>
      <c r="BA1595" s="1">
        <v>2</v>
      </c>
      <c r="BB1595" s="1">
        <v>0</v>
      </c>
      <c r="BC1595" s="1">
        <v>0</v>
      </c>
      <c r="BE1595" s="1">
        <v>27246400</v>
      </c>
    </row>
    <row r="1596" spans="1:57" x14ac:dyDescent="0.25">
      <c r="A1596" s="1" t="str">
        <f>T("1945403781433466676")</f>
        <v>1945403781433466676</v>
      </c>
      <c r="B1596" s="1" t="str">
        <f>T("249129593409")</f>
        <v>249129593409</v>
      </c>
      <c r="C1596" s="1" t="str">
        <f>T("1941094503066634584")</f>
        <v>1941094503066634584</v>
      </c>
      <c r="AC1596" s="1" t="s">
        <v>104</v>
      </c>
      <c r="AD1596" s="1" t="s">
        <v>151</v>
      </c>
      <c r="AE1596" s="1" t="s">
        <v>392</v>
      </c>
      <c r="AF1596" s="1" t="s">
        <v>107</v>
      </c>
      <c r="AG1596" s="1">
        <v>25</v>
      </c>
      <c r="AO1596" s="2">
        <v>46277</v>
      </c>
      <c r="AP1596" s="1" t="s">
        <v>248</v>
      </c>
      <c r="AS1596" s="1" t="s">
        <v>71</v>
      </c>
      <c r="AU1596" s="1" t="s">
        <v>72</v>
      </c>
      <c r="AV1596" s="1" t="s">
        <v>73</v>
      </c>
      <c r="AX1596" s="1">
        <v>0</v>
      </c>
      <c r="BA1596" s="1">
        <v>9</v>
      </c>
      <c r="BB1596" s="1">
        <v>0</v>
      </c>
      <c r="BC1596" s="1">
        <v>0</v>
      </c>
      <c r="BE1596" s="1">
        <v>27246400</v>
      </c>
    </row>
    <row r="1597" spans="1:57" x14ac:dyDescent="0.25">
      <c r="A1597" s="1" t="str">
        <f>T("1945403781471215448")</f>
        <v>1945403781471215448</v>
      </c>
      <c r="B1597" s="1" t="str">
        <f>T("249115580665")</f>
        <v>249115580665</v>
      </c>
      <c r="C1597" s="1" t="str">
        <f>T("1941094503066634984")</f>
        <v>1941094503066634984</v>
      </c>
      <c r="AC1597" s="1" t="s">
        <v>104</v>
      </c>
      <c r="AD1597" s="1" t="s">
        <v>151</v>
      </c>
      <c r="AE1597" s="1" t="s">
        <v>392</v>
      </c>
      <c r="AF1597" s="1" t="s">
        <v>107</v>
      </c>
      <c r="AG1597" s="1">
        <v>24</v>
      </c>
      <c r="AO1597" s="2">
        <v>46277</v>
      </c>
      <c r="AP1597" s="1" t="s">
        <v>248</v>
      </c>
      <c r="AS1597" s="1" t="s">
        <v>71</v>
      </c>
      <c r="AU1597" s="1" t="s">
        <v>72</v>
      </c>
      <c r="AV1597" s="1" t="s">
        <v>73</v>
      </c>
      <c r="AX1597" s="1">
        <v>0</v>
      </c>
      <c r="BA1597" s="1">
        <v>9</v>
      </c>
      <c r="BB1597" s="1">
        <v>0</v>
      </c>
      <c r="BC1597" s="1">
        <v>0</v>
      </c>
      <c r="BE1597" s="1">
        <v>27246400</v>
      </c>
    </row>
    <row r="1598" spans="1:57" x14ac:dyDescent="0.25">
      <c r="A1598" s="1" t="str">
        <f>T("1945403781475408356")</f>
        <v>1945403781475408356</v>
      </c>
      <c r="B1598" s="1" t="str">
        <f>T("249115880665")</f>
        <v>249115880665</v>
      </c>
      <c r="C1598" s="1" t="str">
        <f>T("1941094503066635684")</f>
        <v>1941094503066635684</v>
      </c>
      <c r="AA1598" s="1">
        <v>1</v>
      </c>
      <c r="AC1598" s="1" t="s">
        <v>104</v>
      </c>
      <c r="AD1598" s="1" t="s">
        <v>151</v>
      </c>
      <c r="AE1598" s="1" t="s">
        <v>392</v>
      </c>
      <c r="AF1598" s="1" t="s">
        <v>107</v>
      </c>
      <c r="AG1598" s="1">
        <v>23</v>
      </c>
      <c r="AO1598" s="2">
        <v>46277</v>
      </c>
      <c r="AP1598" s="1" t="s">
        <v>248</v>
      </c>
      <c r="AQ1598" s="2">
        <v>46277</v>
      </c>
      <c r="AR1598" s="1" t="s">
        <v>691</v>
      </c>
      <c r="AS1598" s="1" t="s">
        <v>71</v>
      </c>
      <c r="AU1598" s="1" t="s">
        <v>78</v>
      </c>
      <c r="AV1598" s="1" t="s">
        <v>80</v>
      </c>
      <c r="AW1598" s="1">
        <v>134.54</v>
      </c>
      <c r="AX1598" s="1">
        <v>0</v>
      </c>
      <c r="AZ1598" s="1" t="s">
        <v>81</v>
      </c>
      <c r="BA1598" s="1">
        <v>1</v>
      </c>
      <c r="BB1598" s="1">
        <v>0</v>
      </c>
      <c r="BC1598" s="1">
        <v>0</v>
      </c>
      <c r="BE1598" s="1">
        <v>27246400</v>
      </c>
    </row>
    <row r="1599" spans="1:57" x14ac:dyDescent="0.25">
      <c r="A1599" s="1" t="str">
        <f>T("1945403781492186488")</f>
        <v>1945403781492186488</v>
      </c>
      <c r="B1599" s="1" t="str">
        <f>T("249994608954")</f>
        <v>249994608954</v>
      </c>
      <c r="C1599" s="1" t="str">
        <f>T("1941094503066636084")</f>
        <v>1941094503066636084</v>
      </c>
      <c r="AC1599" s="1" t="s">
        <v>104</v>
      </c>
      <c r="AD1599" s="1" t="s">
        <v>151</v>
      </c>
      <c r="AE1599" s="1" t="s">
        <v>392</v>
      </c>
      <c r="AF1599" s="1" t="s">
        <v>107</v>
      </c>
      <c r="AG1599" s="1">
        <v>23</v>
      </c>
      <c r="AO1599" s="2">
        <v>46277</v>
      </c>
      <c r="AP1599" s="1" t="s">
        <v>248</v>
      </c>
      <c r="AS1599" s="1" t="s">
        <v>71</v>
      </c>
      <c r="AU1599" s="1" t="s">
        <v>72</v>
      </c>
      <c r="AV1599" s="1" t="s">
        <v>334</v>
      </c>
      <c r="AX1599" s="1">
        <v>0</v>
      </c>
      <c r="BA1599" s="1">
        <v>9</v>
      </c>
      <c r="BB1599" s="1">
        <v>0</v>
      </c>
      <c r="BC1599" s="1">
        <v>0</v>
      </c>
      <c r="BE1599" s="1">
        <v>27246400</v>
      </c>
    </row>
    <row r="1600" spans="1:57" x14ac:dyDescent="0.25">
      <c r="A1600" s="1" t="str">
        <f>T("1945403781521545444")</f>
        <v>1945403781521545444</v>
      </c>
      <c r="B1600" s="1" t="str">
        <f>T("249920913320")</f>
        <v>249920913320</v>
      </c>
      <c r="C1600" s="1" t="str">
        <f>T("1941094503070826792")</f>
        <v>1941094503070826792</v>
      </c>
      <c r="AC1600" s="1" t="s">
        <v>104</v>
      </c>
      <c r="AD1600" s="1" t="s">
        <v>151</v>
      </c>
      <c r="AE1600" s="1" t="s">
        <v>392</v>
      </c>
      <c r="AF1600" s="1" t="s">
        <v>107</v>
      </c>
      <c r="AG1600" s="1">
        <v>21</v>
      </c>
      <c r="AO1600" s="2">
        <v>46277</v>
      </c>
      <c r="AP1600" s="1" t="s">
        <v>248</v>
      </c>
      <c r="AQ1600" s="2">
        <v>46277</v>
      </c>
      <c r="AR1600" s="1" t="s">
        <v>692</v>
      </c>
      <c r="AS1600" s="1" t="s">
        <v>71</v>
      </c>
      <c r="AU1600" s="1" t="s">
        <v>79</v>
      </c>
      <c r="AV1600" s="1" t="s">
        <v>80</v>
      </c>
      <c r="AW1600" s="1">
        <v>20.8</v>
      </c>
      <c r="AX1600" s="1">
        <v>0</v>
      </c>
      <c r="AZ1600" s="1" t="s">
        <v>81</v>
      </c>
      <c r="BA1600" s="1">
        <v>1</v>
      </c>
      <c r="BB1600" s="1">
        <v>0</v>
      </c>
      <c r="BC1600" s="1">
        <v>0</v>
      </c>
      <c r="BE1600" s="1">
        <v>27246400</v>
      </c>
    </row>
    <row r="1601" spans="1:57" x14ac:dyDescent="0.25">
      <c r="A1601" s="1" t="str">
        <f>T("1945403781529932560")</f>
        <v>1945403781529932560</v>
      </c>
      <c r="B1601" s="1" t="str">
        <f>T("249100078067")</f>
        <v>249100078067</v>
      </c>
      <c r="C1601" s="1" t="str">
        <f>T("1941094503070827192")</f>
        <v>1941094503070827192</v>
      </c>
      <c r="AC1601" s="1" t="s">
        <v>104</v>
      </c>
      <c r="AD1601" s="1" t="s">
        <v>151</v>
      </c>
      <c r="AE1601" s="1" t="s">
        <v>392</v>
      </c>
      <c r="AF1601" s="1" t="s">
        <v>107</v>
      </c>
      <c r="AG1601" s="1">
        <v>21</v>
      </c>
      <c r="AO1601" s="2">
        <v>46277</v>
      </c>
      <c r="AP1601" s="1" t="s">
        <v>248</v>
      </c>
      <c r="AS1601" s="1" t="s">
        <v>71</v>
      </c>
      <c r="AU1601" s="1" t="s">
        <v>72</v>
      </c>
      <c r="AV1601" s="1" t="s">
        <v>73</v>
      </c>
      <c r="AX1601" s="1">
        <v>0</v>
      </c>
      <c r="BA1601" s="1">
        <v>9</v>
      </c>
      <c r="BB1601" s="1">
        <v>0</v>
      </c>
      <c r="BC1601" s="1">
        <v>0</v>
      </c>
      <c r="BE1601" s="1">
        <v>27246400</v>
      </c>
    </row>
    <row r="1602" spans="1:57" x14ac:dyDescent="0.25">
      <c r="A1602" s="1" t="str">
        <f>T("1945403781546709192")</f>
        <v>1945403781546709192</v>
      </c>
      <c r="B1602" s="1" t="str">
        <f>T("249991335020")</f>
        <v>249991335020</v>
      </c>
      <c r="C1602" s="1" t="str">
        <f>T("1941094503070827992")</f>
        <v>1941094503070827992</v>
      </c>
      <c r="AC1602" s="1" t="s">
        <v>104</v>
      </c>
      <c r="AD1602" s="1" t="s">
        <v>151</v>
      </c>
      <c r="AE1602" s="1" t="s">
        <v>392</v>
      </c>
      <c r="AF1602" s="1" t="s">
        <v>107</v>
      </c>
      <c r="AG1602" s="1">
        <v>20</v>
      </c>
      <c r="AO1602" s="2">
        <v>46277</v>
      </c>
      <c r="AP1602" s="1" t="s">
        <v>248</v>
      </c>
      <c r="AS1602" s="1" t="s">
        <v>71</v>
      </c>
      <c r="AU1602" s="1" t="s">
        <v>72</v>
      </c>
      <c r="AV1602" s="1" t="s">
        <v>73</v>
      </c>
      <c r="AX1602" s="1">
        <v>0</v>
      </c>
      <c r="BA1602" s="1">
        <v>9</v>
      </c>
      <c r="BB1602" s="1">
        <v>0</v>
      </c>
      <c r="BC1602" s="1">
        <v>0</v>
      </c>
      <c r="BE1602" s="1">
        <v>27246400</v>
      </c>
    </row>
    <row r="1603" spans="1:57" x14ac:dyDescent="0.25">
      <c r="A1603" s="1" t="str">
        <f>T("1945403781576072348")</f>
        <v>1945403781576072348</v>
      </c>
      <c r="B1603" s="1" t="str">
        <f>T("249928709706")</f>
        <v>249928709706</v>
      </c>
      <c r="C1603" s="1" t="str">
        <f>T("1941094503070828492")</f>
        <v>1941094503070828492</v>
      </c>
      <c r="M1603" s="1" t="s">
        <v>59</v>
      </c>
      <c r="O1603" s="1" t="s">
        <v>65</v>
      </c>
      <c r="P1603" s="1" t="s">
        <v>91</v>
      </c>
      <c r="Q1603" s="1" t="s">
        <v>101</v>
      </c>
      <c r="R1603" s="1" t="s">
        <v>93</v>
      </c>
      <c r="T1603" s="1" t="s">
        <v>464</v>
      </c>
      <c r="U1603" s="1" t="s">
        <v>65</v>
      </c>
      <c r="V1603" s="1" t="s">
        <v>102</v>
      </c>
      <c r="W1603" s="1" t="s">
        <v>67</v>
      </c>
      <c r="X1603" s="1" t="s">
        <v>66</v>
      </c>
      <c r="Y1603" s="1" t="s">
        <v>69</v>
      </c>
      <c r="AA1603" s="1">
        <v>1</v>
      </c>
      <c r="AB1603" s="1">
        <v>1</v>
      </c>
      <c r="AC1603" s="1" t="s">
        <v>104</v>
      </c>
      <c r="AD1603" s="1" t="s">
        <v>151</v>
      </c>
      <c r="AE1603" s="1" t="s">
        <v>392</v>
      </c>
      <c r="AF1603" s="1" t="s">
        <v>107</v>
      </c>
      <c r="AG1603" s="1">
        <v>19</v>
      </c>
      <c r="AO1603" s="2">
        <v>46277</v>
      </c>
      <c r="AP1603" s="1" t="s">
        <v>248</v>
      </c>
      <c r="AQ1603" s="2">
        <v>46277</v>
      </c>
      <c r="AR1603" s="1" t="s">
        <v>693</v>
      </c>
      <c r="AS1603" s="1" t="s">
        <v>71</v>
      </c>
      <c r="AU1603" s="1" t="s">
        <v>78</v>
      </c>
      <c r="AV1603" s="1" t="s">
        <v>80</v>
      </c>
      <c r="AW1603" s="1">
        <v>175.16</v>
      </c>
      <c r="AX1603" s="1">
        <v>0</v>
      </c>
      <c r="AZ1603" s="1" t="s">
        <v>81</v>
      </c>
      <c r="BA1603" s="1">
        <v>4</v>
      </c>
      <c r="BB1603" s="1">
        <v>0</v>
      </c>
      <c r="BC1603" s="1">
        <v>0</v>
      </c>
      <c r="BE1603" s="1">
        <v>27246400</v>
      </c>
    </row>
    <row r="1604" spans="1:57" x14ac:dyDescent="0.25">
      <c r="A1604" s="1" t="str">
        <f>T("1945403781601237096")</f>
        <v>1945403781601237096</v>
      </c>
      <c r="B1604" s="1" t="str">
        <f>T("249918382666")</f>
        <v>249918382666</v>
      </c>
      <c r="C1604" s="1" t="str">
        <f>T("1941094503070829392")</f>
        <v>1941094503070829392</v>
      </c>
      <c r="AC1604" s="1" t="s">
        <v>104</v>
      </c>
      <c r="AD1604" s="1" t="s">
        <v>151</v>
      </c>
      <c r="AE1604" s="1" t="s">
        <v>392</v>
      </c>
      <c r="AF1604" s="1" t="s">
        <v>107</v>
      </c>
      <c r="AG1604" s="1">
        <v>18</v>
      </c>
      <c r="AO1604" s="2">
        <v>46277</v>
      </c>
      <c r="AP1604" s="1" t="s">
        <v>248</v>
      </c>
      <c r="AS1604" s="1" t="s">
        <v>71</v>
      </c>
      <c r="AU1604" s="1" t="s">
        <v>72</v>
      </c>
      <c r="AV1604" s="1" t="s">
        <v>437</v>
      </c>
      <c r="AX1604" s="1">
        <v>0</v>
      </c>
      <c r="BA1604" s="1">
        <v>9</v>
      </c>
      <c r="BB1604" s="1">
        <v>0</v>
      </c>
      <c r="BC1604" s="1">
        <v>0</v>
      </c>
      <c r="BE1604" s="1">
        <v>27246400</v>
      </c>
    </row>
    <row r="1605" spans="1:57" x14ac:dyDescent="0.25">
      <c r="A1605" s="1" t="str">
        <f>T("1945403781613819620")</f>
        <v>1945403781613819620</v>
      </c>
      <c r="B1605" s="1" t="str">
        <f>T("249925819743")</f>
        <v>249925819743</v>
      </c>
      <c r="C1605" s="1" t="str">
        <f>T("1941094503070830092")</f>
        <v>1941094503070830092</v>
      </c>
      <c r="M1605" s="1" t="s">
        <v>133</v>
      </c>
      <c r="AA1605" s="1">
        <v>1</v>
      </c>
      <c r="AC1605" s="1" t="s">
        <v>104</v>
      </c>
      <c r="AD1605" s="1" t="s">
        <v>105</v>
      </c>
      <c r="AE1605" s="1" t="s">
        <v>401</v>
      </c>
      <c r="AF1605" s="1" t="s">
        <v>107</v>
      </c>
      <c r="AG1605" s="1">
        <v>20</v>
      </c>
      <c r="AO1605" s="2">
        <v>46277</v>
      </c>
      <c r="AP1605" s="1" t="s">
        <v>248</v>
      </c>
      <c r="AQ1605" s="2">
        <v>46277</v>
      </c>
      <c r="AR1605" s="1" t="s">
        <v>694</v>
      </c>
      <c r="AS1605" s="1" t="s">
        <v>71</v>
      </c>
      <c r="AU1605" s="1" t="s">
        <v>79</v>
      </c>
      <c r="AV1605" s="1" t="s">
        <v>80</v>
      </c>
      <c r="AW1605" s="1">
        <v>109.52</v>
      </c>
      <c r="AX1605" s="1">
        <v>0</v>
      </c>
      <c r="AZ1605" s="1" t="s">
        <v>81</v>
      </c>
      <c r="BA1605" s="1">
        <v>1</v>
      </c>
      <c r="BB1605" s="1">
        <v>0</v>
      </c>
      <c r="BC1605" s="1">
        <v>0</v>
      </c>
      <c r="BE1605" s="1">
        <v>27246400</v>
      </c>
    </row>
    <row r="1606" spans="1:57" x14ac:dyDescent="0.25">
      <c r="A1606" s="1" t="str">
        <f>T("1945403781643179876")</f>
        <v>1945403781643179876</v>
      </c>
      <c r="B1606" s="1" t="str">
        <f>T("249928954302")</f>
        <v>249928954302</v>
      </c>
      <c r="C1606" s="1" t="str">
        <f>T("1941094503075020900")</f>
        <v>1941094503075020900</v>
      </c>
      <c r="M1606" s="1" t="s">
        <v>59</v>
      </c>
      <c r="O1606" s="1" t="s">
        <v>60</v>
      </c>
      <c r="P1606" s="1" t="s">
        <v>111</v>
      </c>
      <c r="Q1606" s="1" t="s">
        <v>101</v>
      </c>
      <c r="AA1606" s="1">
        <v>1</v>
      </c>
      <c r="AC1606" s="1" t="s">
        <v>104</v>
      </c>
      <c r="AD1606" s="1" t="s">
        <v>105</v>
      </c>
      <c r="AE1606" s="1" t="s">
        <v>401</v>
      </c>
      <c r="AF1606" s="1" t="s">
        <v>107</v>
      </c>
      <c r="AG1606" s="1">
        <v>32</v>
      </c>
      <c r="AO1606" s="2">
        <v>46277</v>
      </c>
      <c r="AP1606" s="1" t="s">
        <v>248</v>
      </c>
      <c r="AQ1606" s="2">
        <v>46277</v>
      </c>
      <c r="AR1606" s="1" t="s">
        <v>694</v>
      </c>
      <c r="AS1606" s="1" t="s">
        <v>71</v>
      </c>
      <c r="AU1606" s="1" t="s">
        <v>78</v>
      </c>
      <c r="AV1606" s="1" t="s">
        <v>80</v>
      </c>
      <c r="AW1606" s="1">
        <v>183.44</v>
      </c>
      <c r="AX1606" s="1">
        <v>0</v>
      </c>
      <c r="AZ1606" s="1" t="s">
        <v>81</v>
      </c>
      <c r="BA1606" s="1">
        <v>1</v>
      </c>
      <c r="BB1606" s="1">
        <v>0</v>
      </c>
      <c r="BC1606" s="1">
        <v>0</v>
      </c>
      <c r="BE1606" s="1">
        <v>27246400</v>
      </c>
    </row>
    <row r="1607" spans="1:57" x14ac:dyDescent="0.25">
      <c r="A1607" s="1" t="str">
        <f>T("1945403781680929448")</f>
        <v>1945403781680929448</v>
      </c>
      <c r="B1607" s="1" t="str">
        <f>T("249928815917")</f>
        <v>249928815917</v>
      </c>
      <c r="C1607" s="1" t="str">
        <f>T("1941094503075021500")</f>
        <v>1941094503075021500</v>
      </c>
      <c r="AC1607" s="1" t="s">
        <v>104</v>
      </c>
      <c r="AD1607" s="1" t="s">
        <v>105</v>
      </c>
      <c r="AE1607" s="1" t="s">
        <v>401</v>
      </c>
      <c r="AF1607" s="1" t="s">
        <v>107</v>
      </c>
      <c r="AG1607" s="1">
        <v>49</v>
      </c>
      <c r="AO1607" s="2">
        <v>46277</v>
      </c>
      <c r="AP1607" s="1" t="s">
        <v>248</v>
      </c>
      <c r="AS1607" s="1" t="s">
        <v>71</v>
      </c>
      <c r="AU1607" s="1" t="s">
        <v>72</v>
      </c>
      <c r="AV1607" s="1" t="s">
        <v>73</v>
      </c>
      <c r="AX1607" s="1">
        <v>0</v>
      </c>
      <c r="BA1607" s="1">
        <v>9</v>
      </c>
      <c r="BB1607" s="1">
        <v>0</v>
      </c>
      <c r="BC1607" s="1">
        <v>0</v>
      </c>
      <c r="BE1607" s="1">
        <v>27246400</v>
      </c>
    </row>
    <row r="1608" spans="1:57" x14ac:dyDescent="0.25">
      <c r="A1608" s="1" t="str">
        <f>T("1945403781680929748")</f>
        <v>1945403781680929748</v>
      </c>
      <c r="B1608" s="1" t="str">
        <f>T("249969498570")</f>
        <v>249969498570</v>
      </c>
      <c r="C1608" s="1" t="str">
        <f>T("1941094503079215108")</f>
        <v>1941094503079215108</v>
      </c>
      <c r="AC1608" s="1" t="s">
        <v>104</v>
      </c>
      <c r="AD1608" s="1" t="s">
        <v>105</v>
      </c>
      <c r="AE1608" s="1" t="s">
        <v>401</v>
      </c>
      <c r="AF1608" s="1" t="s">
        <v>107</v>
      </c>
      <c r="AG1608" s="1">
        <v>38</v>
      </c>
      <c r="AO1608" s="2">
        <v>46277</v>
      </c>
      <c r="AP1608" s="1" t="s">
        <v>248</v>
      </c>
      <c r="AS1608" s="1" t="s">
        <v>71</v>
      </c>
      <c r="AU1608" s="1" t="s">
        <v>72</v>
      </c>
      <c r="AV1608" s="1" t="s">
        <v>73</v>
      </c>
      <c r="AX1608" s="1">
        <v>0</v>
      </c>
      <c r="BA1608" s="1">
        <v>9</v>
      </c>
      <c r="BB1608" s="1">
        <v>0</v>
      </c>
      <c r="BC1608" s="1">
        <v>0</v>
      </c>
      <c r="BE1608" s="1">
        <v>27246400</v>
      </c>
    </row>
    <row r="1609" spans="1:57" x14ac:dyDescent="0.25">
      <c r="A1609" s="1" t="str">
        <f>T("1945403781697706380")</f>
        <v>1945403781697706380</v>
      </c>
      <c r="B1609" s="1" t="str">
        <f>T("249902690016")</f>
        <v>249902690016</v>
      </c>
      <c r="C1609" s="1" t="str">
        <f>T("1941094503079215908")</f>
        <v>1941094503079215908</v>
      </c>
      <c r="AC1609" s="1" t="s">
        <v>104</v>
      </c>
      <c r="AD1609" s="1" t="s">
        <v>105</v>
      </c>
      <c r="AE1609" s="1" t="s">
        <v>401</v>
      </c>
      <c r="AF1609" s="1" t="s">
        <v>107</v>
      </c>
      <c r="AG1609" s="1">
        <v>34</v>
      </c>
      <c r="AO1609" s="2">
        <v>46277</v>
      </c>
      <c r="AP1609" s="1" t="s">
        <v>248</v>
      </c>
      <c r="AS1609" s="1" t="s">
        <v>71</v>
      </c>
      <c r="AU1609" s="1" t="s">
        <v>72</v>
      </c>
      <c r="AV1609" s="1" t="s">
        <v>73</v>
      </c>
      <c r="AX1609" s="1">
        <v>0</v>
      </c>
      <c r="BA1609" s="1">
        <v>9</v>
      </c>
      <c r="BB1609" s="1">
        <v>0</v>
      </c>
      <c r="BC1609" s="1">
        <v>0</v>
      </c>
      <c r="BE1609" s="1">
        <v>27246400</v>
      </c>
    </row>
    <row r="1610" spans="1:57" x14ac:dyDescent="0.25">
      <c r="A1610" s="1" t="str">
        <f>T("1945403781739649360")</f>
        <v>1945403781739649360</v>
      </c>
      <c r="B1610" s="1" t="str">
        <f>T("249920710182")</f>
        <v>249920710182</v>
      </c>
      <c r="C1610" s="1" t="str">
        <f>T("1941094503079216408")</f>
        <v>1941094503079216408</v>
      </c>
      <c r="AC1610" s="1" t="s">
        <v>104</v>
      </c>
      <c r="AD1610" s="1" t="s">
        <v>105</v>
      </c>
      <c r="AE1610" s="1" t="s">
        <v>401</v>
      </c>
      <c r="AF1610" s="1" t="s">
        <v>107</v>
      </c>
      <c r="AG1610" s="1">
        <v>35</v>
      </c>
      <c r="AO1610" s="2">
        <v>46277</v>
      </c>
      <c r="AP1610" s="1" t="s">
        <v>248</v>
      </c>
      <c r="AQ1610" s="2">
        <v>46277</v>
      </c>
      <c r="AR1610" s="1" t="s">
        <v>695</v>
      </c>
      <c r="AS1610" s="1" t="s">
        <v>71</v>
      </c>
      <c r="AU1610" s="1" t="s">
        <v>79</v>
      </c>
      <c r="AV1610" s="1" t="s">
        <v>80</v>
      </c>
      <c r="AW1610" s="1">
        <v>31.64</v>
      </c>
      <c r="AX1610" s="1">
        <v>0</v>
      </c>
      <c r="AZ1610" s="1" t="s">
        <v>81</v>
      </c>
      <c r="BA1610" s="1">
        <v>1</v>
      </c>
      <c r="BB1610" s="1">
        <v>0</v>
      </c>
      <c r="BC1610" s="1">
        <v>0</v>
      </c>
      <c r="BE1610" s="1">
        <v>27246400</v>
      </c>
    </row>
    <row r="1611" spans="1:57" x14ac:dyDescent="0.25">
      <c r="A1611" s="1" t="str">
        <f>T("1945403781756426692")</f>
        <v>1945403781756426692</v>
      </c>
      <c r="B1611" s="1" t="str">
        <f>T("249960759274")</f>
        <v>249960759274</v>
      </c>
      <c r="C1611" s="1" t="str">
        <f>T("1941094503079216908")</f>
        <v>1941094503079216908</v>
      </c>
      <c r="AC1611" s="1" t="s">
        <v>104</v>
      </c>
      <c r="AD1611" s="1" t="s">
        <v>105</v>
      </c>
      <c r="AE1611" s="1" t="s">
        <v>401</v>
      </c>
      <c r="AF1611" s="1" t="s">
        <v>107</v>
      </c>
      <c r="AG1611" s="1">
        <v>39</v>
      </c>
      <c r="AO1611" s="2">
        <v>46277</v>
      </c>
      <c r="AP1611" s="1" t="s">
        <v>248</v>
      </c>
      <c r="AS1611" s="1" t="s">
        <v>71</v>
      </c>
      <c r="AU1611" s="1" t="s">
        <v>72</v>
      </c>
      <c r="AV1611" s="1" t="s">
        <v>437</v>
      </c>
      <c r="AX1611" s="1">
        <v>0</v>
      </c>
      <c r="BA1611" s="1">
        <v>9</v>
      </c>
      <c r="BB1611" s="1">
        <v>0</v>
      </c>
      <c r="BC1611" s="1">
        <v>0</v>
      </c>
      <c r="BE1611" s="1">
        <v>27246400</v>
      </c>
    </row>
    <row r="1612" spans="1:57" x14ac:dyDescent="0.25">
      <c r="A1612" s="1" t="str">
        <f>T("1945403781764814708")</f>
        <v>1945403781764814708</v>
      </c>
      <c r="B1612" s="1" t="str">
        <f>T("249907383330")</f>
        <v>249907383330</v>
      </c>
      <c r="C1612" s="1" t="str">
        <f>T("1941094503079218508")</f>
        <v>1941094503079218508</v>
      </c>
      <c r="AC1612" s="1" t="s">
        <v>104</v>
      </c>
      <c r="AD1612" s="1" t="s">
        <v>105</v>
      </c>
      <c r="AE1612" s="1" t="s">
        <v>401</v>
      </c>
      <c r="AF1612" s="1" t="s">
        <v>107</v>
      </c>
      <c r="AG1612" s="1">
        <v>32</v>
      </c>
      <c r="AO1612" s="2">
        <v>46277</v>
      </c>
      <c r="AP1612" s="1" t="s">
        <v>248</v>
      </c>
      <c r="AS1612" s="1" t="s">
        <v>71</v>
      </c>
      <c r="AU1612" s="1" t="s">
        <v>72</v>
      </c>
      <c r="AV1612" s="1" t="s">
        <v>437</v>
      </c>
      <c r="AX1612" s="1">
        <v>0</v>
      </c>
      <c r="BA1612" s="1">
        <v>9</v>
      </c>
      <c r="BB1612" s="1">
        <v>0</v>
      </c>
      <c r="BC1612" s="1">
        <v>0</v>
      </c>
      <c r="BE1612" s="1">
        <v>27246400</v>
      </c>
    </row>
    <row r="1613" spans="1:57" x14ac:dyDescent="0.25">
      <c r="A1613" s="1" t="str">
        <f>T("1945403781789981856")</f>
        <v>1945403781789981856</v>
      </c>
      <c r="B1613" s="1" t="str">
        <f>T("249926188323")</f>
        <v>249926188323</v>
      </c>
      <c r="C1613" s="1" t="str">
        <f>T("1941094503083411616")</f>
        <v>1941094503083411616</v>
      </c>
      <c r="AC1613" s="1" t="s">
        <v>104</v>
      </c>
      <c r="AD1613" s="1" t="s">
        <v>105</v>
      </c>
      <c r="AE1613" s="1" t="s">
        <v>401</v>
      </c>
      <c r="AF1613" s="1" t="s">
        <v>107</v>
      </c>
      <c r="AG1613" s="1">
        <v>19</v>
      </c>
      <c r="AO1613" s="2">
        <v>46277</v>
      </c>
      <c r="AP1613" s="1" t="s">
        <v>248</v>
      </c>
      <c r="AQ1613" s="2">
        <v>46277</v>
      </c>
      <c r="AR1613" s="1" t="s">
        <v>279</v>
      </c>
      <c r="AS1613" s="1" t="s">
        <v>71</v>
      </c>
      <c r="AU1613" s="1" t="s">
        <v>79</v>
      </c>
      <c r="AV1613" s="1" t="s">
        <v>80</v>
      </c>
      <c r="AW1613" s="1">
        <v>22.1</v>
      </c>
      <c r="AX1613" s="1">
        <v>0</v>
      </c>
      <c r="AZ1613" s="1" t="s">
        <v>81</v>
      </c>
      <c r="BA1613" s="1">
        <v>1</v>
      </c>
      <c r="BB1613" s="1">
        <v>0</v>
      </c>
      <c r="BC1613" s="1">
        <v>0</v>
      </c>
      <c r="BE1613" s="1">
        <v>27246400</v>
      </c>
    </row>
    <row r="1614" spans="1:57" x14ac:dyDescent="0.25">
      <c r="A1614" s="1" t="str">
        <f>T("1945403781823537120")</f>
        <v>1945403781823537120</v>
      </c>
      <c r="B1614" s="1" t="str">
        <f>T("249998931017")</f>
        <v>249998931017</v>
      </c>
      <c r="C1614" s="1" t="str">
        <f>T("1941094503083412416")</f>
        <v>1941094503083412416</v>
      </c>
      <c r="AA1614" s="1">
        <v>1</v>
      </c>
      <c r="AC1614" s="1" t="s">
        <v>104</v>
      </c>
      <c r="AD1614" s="1" t="s">
        <v>105</v>
      </c>
      <c r="AE1614" s="1" t="s">
        <v>401</v>
      </c>
      <c r="AF1614" s="1" t="s">
        <v>107</v>
      </c>
      <c r="AG1614" s="1">
        <v>26</v>
      </c>
      <c r="AO1614" s="2">
        <v>46277</v>
      </c>
      <c r="AP1614" s="1" t="s">
        <v>248</v>
      </c>
      <c r="AQ1614" s="2">
        <v>46277</v>
      </c>
      <c r="AR1614" s="1" t="s">
        <v>696</v>
      </c>
      <c r="AS1614" s="1" t="s">
        <v>71</v>
      </c>
      <c r="AU1614" s="1" t="s">
        <v>79</v>
      </c>
      <c r="AV1614" s="1" t="s">
        <v>80</v>
      </c>
      <c r="AW1614" s="1">
        <v>38.819000000000003</v>
      </c>
      <c r="AX1614" s="1">
        <v>0</v>
      </c>
      <c r="AZ1614" s="1" t="s">
        <v>81</v>
      </c>
      <c r="BA1614" s="1">
        <v>2</v>
      </c>
      <c r="BB1614" s="1">
        <v>0</v>
      </c>
      <c r="BC1614" s="1">
        <v>0</v>
      </c>
      <c r="BE1614" s="1">
        <v>27246400</v>
      </c>
    </row>
    <row r="1615" spans="1:57" x14ac:dyDescent="0.25">
      <c r="A1615" s="1" t="str">
        <f>T("1945403781836119144")</f>
        <v>1945403781836119144</v>
      </c>
      <c r="B1615" s="1" t="str">
        <f>T("249929954459")</f>
        <v>249929954459</v>
      </c>
      <c r="C1615" s="1" t="str">
        <f>T("1941094503083413116")</f>
        <v>1941094503083413116</v>
      </c>
      <c r="AC1615" s="1" t="s">
        <v>104</v>
      </c>
      <c r="AD1615" s="1" t="s">
        <v>105</v>
      </c>
      <c r="AE1615" s="1" t="s">
        <v>401</v>
      </c>
      <c r="AF1615" s="1" t="s">
        <v>107</v>
      </c>
      <c r="AG1615" s="1">
        <v>39</v>
      </c>
      <c r="AO1615" s="2">
        <v>46277</v>
      </c>
      <c r="AP1615" s="1" t="s">
        <v>248</v>
      </c>
      <c r="AQ1615" s="2">
        <v>46277</v>
      </c>
      <c r="AR1615" s="1" t="s">
        <v>697</v>
      </c>
      <c r="AS1615" s="1" t="s">
        <v>71</v>
      </c>
      <c r="AU1615" s="1" t="s">
        <v>79</v>
      </c>
      <c r="AV1615" s="1" t="s">
        <v>80</v>
      </c>
      <c r="AW1615" s="1">
        <v>22</v>
      </c>
      <c r="AX1615" s="1">
        <v>0</v>
      </c>
      <c r="AZ1615" s="1" t="s">
        <v>81</v>
      </c>
      <c r="BA1615" s="1">
        <v>7</v>
      </c>
      <c r="BB1615" s="1">
        <v>0</v>
      </c>
      <c r="BC1615" s="1">
        <v>0</v>
      </c>
      <c r="BE1615" s="1">
        <v>27246400</v>
      </c>
    </row>
    <row r="1616" spans="1:57" x14ac:dyDescent="0.25">
      <c r="A1616" s="1" t="str">
        <f>T("1945403781852896776")</f>
        <v>1945403781852896776</v>
      </c>
      <c r="B1616" s="1" t="str">
        <f>T("249923998958")</f>
        <v>249923998958</v>
      </c>
      <c r="C1616" s="1" t="str">
        <f>T("1941094503087604024")</f>
        <v>1941094503087604024</v>
      </c>
      <c r="AC1616" s="1" t="s">
        <v>104</v>
      </c>
      <c r="AD1616" s="1" t="s">
        <v>105</v>
      </c>
      <c r="AE1616" s="1" t="s">
        <v>401</v>
      </c>
      <c r="AF1616" s="1" t="s">
        <v>107</v>
      </c>
      <c r="AG1616" s="1">
        <v>25</v>
      </c>
      <c r="AO1616" s="2">
        <v>46277</v>
      </c>
      <c r="AP1616" s="1" t="s">
        <v>248</v>
      </c>
      <c r="AS1616" s="1" t="s">
        <v>71</v>
      </c>
      <c r="AU1616" s="1" t="s">
        <v>72</v>
      </c>
      <c r="AV1616" s="1" t="s">
        <v>73</v>
      </c>
      <c r="AX1616" s="1">
        <v>0</v>
      </c>
      <c r="BA1616" s="1">
        <v>9</v>
      </c>
      <c r="BB1616" s="1">
        <v>0</v>
      </c>
      <c r="BC1616" s="1">
        <v>0</v>
      </c>
      <c r="BE1616" s="1">
        <v>27246400</v>
      </c>
    </row>
    <row r="1617" spans="1:57" x14ac:dyDescent="0.25">
      <c r="A1617" s="1" t="str">
        <f>T("1945403781886451440")</f>
        <v>1945403781886451440</v>
      </c>
      <c r="B1617" s="1" t="str">
        <f>T("249920751360")</f>
        <v>249920751360</v>
      </c>
      <c r="C1617" s="1" t="str">
        <f>T("1941094503091800332")</f>
        <v>1941094503091800332</v>
      </c>
      <c r="AA1617" s="1">
        <v>1</v>
      </c>
      <c r="AC1617" s="1" t="s">
        <v>104</v>
      </c>
      <c r="AD1617" s="1" t="s">
        <v>105</v>
      </c>
      <c r="AE1617" s="1" t="s">
        <v>401</v>
      </c>
      <c r="AF1617" s="1" t="s">
        <v>107</v>
      </c>
      <c r="AG1617" s="1">
        <v>27</v>
      </c>
      <c r="AO1617" s="2">
        <v>46277</v>
      </c>
      <c r="AP1617" s="1" t="s">
        <v>248</v>
      </c>
      <c r="AQ1617" s="2">
        <v>46277</v>
      </c>
      <c r="AR1617" s="1" t="s">
        <v>698</v>
      </c>
      <c r="AS1617" s="1" t="s">
        <v>71</v>
      </c>
      <c r="AU1617" s="1" t="s">
        <v>79</v>
      </c>
      <c r="AV1617" s="1" t="s">
        <v>80</v>
      </c>
      <c r="AW1617" s="1">
        <v>60.06</v>
      </c>
      <c r="AX1617" s="1">
        <v>0</v>
      </c>
      <c r="AZ1617" s="1" t="s">
        <v>81</v>
      </c>
      <c r="BA1617" s="1">
        <v>4</v>
      </c>
      <c r="BB1617" s="1">
        <v>0</v>
      </c>
      <c r="BC1617" s="1">
        <v>0</v>
      </c>
      <c r="BE1617" s="1">
        <v>27246400</v>
      </c>
    </row>
    <row r="1618" spans="1:57" x14ac:dyDescent="0.25">
      <c r="A1618" s="1" t="str">
        <f>T("1945403781899033864")</f>
        <v>1945403781899033864</v>
      </c>
      <c r="B1618" s="1" t="str">
        <f>T("249910709348")</f>
        <v>249910709348</v>
      </c>
      <c r="C1618" s="1" t="str">
        <f>T("1941094503091801332")</f>
        <v>1941094503091801332</v>
      </c>
      <c r="AC1618" s="1" t="s">
        <v>104</v>
      </c>
      <c r="AD1618" s="1" t="s">
        <v>105</v>
      </c>
      <c r="AE1618" s="1" t="s">
        <v>401</v>
      </c>
      <c r="AF1618" s="1" t="s">
        <v>107</v>
      </c>
      <c r="AG1618" s="1">
        <v>21</v>
      </c>
      <c r="AO1618" s="2">
        <v>46277</v>
      </c>
      <c r="AP1618" s="1" t="s">
        <v>248</v>
      </c>
      <c r="AS1618" s="1" t="s">
        <v>71</v>
      </c>
      <c r="AU1618" s="1" t="s">
        <v>72</v>
      </c>
      <c r="AV1618" s="1" t="s">
        <v>437</v>
      </c>
      <c r="AX1618" s="1">
        <v>0</v>
      </c>
      <c r="BA1618" s="1">
        <v>9</v>
      </c>
      <c r="BB1618" s="1">
        <v>0</v>
      </c>
      <c r="BC1618" s="1">
        <v>0</v>
      </c>
      <c r="BE1618" s="1">
        <v>27246400</v>
      </c>
    </row>
    <row r="1619" spans="1:57" x14ac:dyDescent="0.25">
      <c r="A1619" s="1" t="str">
        <f>T("1945403781907422280")</f>
        <v>1945403781907422280</v>
      </c>
      <c r="B1619" s="1" t="str">
        <f>T("249994041291")</f>
        <v>249994041291</v>
      </c>
      <c r="C1619" s="1" t="str">
        <f>T("1941094503091801732")</f>
        <v>1941094503091801732</v>
      </c>
      <c r="AC1619" s="1" t="s">
        <v>104</v>
      </c>
      <c r="AD1619" s="1" t="s">
        <v>105</v>
      </c>
      <c r="AE1619" s="1" t="s">
        <v>401</v>
      </c>
      <c r="AF1619" s="1" t="s">
        <v>107</v>
      </c>
      <c r="AG1619" s="1">
        <v>35</v>
      </c>
      <c r="AO1619" s="2">
        <v>46277</v>
      </c>
      <c r="AP1619" s="1" t="s">
        <v>248</v>
      </c>
      <c r="AS1619" s="1" t="s">
        <v>71</v>
      </c>
      <c r="AU1619" s="1" t="s">
        <v>72</v>
      </c>
      <c r="AV1619" s="1" t="s">
        <v>73</v>
      </c>
      <c r="AX1619" s="1">
        <v>0</v>
      </c>
      <c r="BA1619" s="1">
        <v>9</v>
      </c>
      <c r="BB1619" s="1">
        <v>0</v>
      </c>
      <c r="BC1619" s="1">
        <v>0</v>
      </c>
      <c r="BE1619" s="1">
        <v>27246400</v>
      </c>
    </row>
    <row r="1620" spans="1:57" x14ac:dyDescent="0.25">
      <c r="A1620" s="1" t="str">
        <f>T("1945403781940977344")</f>
        <v>1945403781940977344</v>
      </c>
      <c r="B1620" s="1" t="str">
        <f>T("249968676019")</f>
        <v>249968676019</v>
      </c>
      <c r="C1620" s="1" t="str">
        <f>T("1941094503095992740")</f>
        <v>1941094503095992740</v>
      </c>
      <c r="AC1620" s="1" t="s">
        <v>104</v>
      </c>
      <c r="AD1620" s="1" t="s">
        <v>105</v>
      </c>
      <c r="AE1620" s="1" t="s">
        <v>401</v>
      </c>
      <c r="AF1620" s="1" t="s">
        <v>107</v>
      </c>
      <c r="AG1620" s="1">
        <v>31</v>
      </c>
      <c r="AO1620" s="2">
        <v>46277</v>
      </c>
      <c r="AP1620" s="1" t="s">
        <v>248</v>
      </c>
      <c r="AS1620" s="1" t="s">
        <v>71</v>
      </c>
      <c r="AU1620" s="1" t="s">
        <v>72</v>
      </c>
      <c r="AV1620" s="1" t="s">
        <v>73</v>
      </c>
      <c r="AX1620" s="1">
        <v>0</v>
      </c>
      <c r="BA1620" s="1">
        <v>9</v>
      </c>
      <c r="BB1620" s="1">
        <v>0</v>
      </c>
      <c r="BC1620" s="1">
        <v>0</v>
      </c>
      <c r="BE1620" s="1">
        <v>27246400</v>
      </c>
    </row>
    <row r="1621" spans="1:57" x14ac:dyDescent="0.25">
      <c r="A1621" s="1" t="str">
        <f>T("1945403781961946884")</f>
        <v>1945403781961946884</v>
      </c>
      <c r="B1621" s="1" t="str">
        <f>T("249927463294")</f>
        <v>249927463294</v>
      </c>
      <c r="C1621" s="1" t="str">
        <f>T("1941094503095993740")</f>
        <v>1941094503095993740</v>
      </c>
      <c r="AC1621" s="1" t="s">
        <v>104</v>
      </c>
      <c r="AD1621" s="1" t="s">
        <v>105</v>
      </c>
      <c r="AE1621" s="1" t="s">
        <v>401</v>
      </c>
      <c r="AF1621" s="1" t="s">
        <v>107</v>
      </c>
      <c r="AG1621" s="1">
        <v>39</v>
      </c>
      <c r="AO1621" s="2">
        <v>46277</v>
      </c>
      <c r="AP1621" s="1" t="s">
        <v>248</v>
      </c>
      <c r="AS1621" s="1" t="s">
        <v>71</v>
      </c>
      <c r="AU1621" s="1" t="s">
        <v>72</v>
      </c>
      <c r="AV1621" s="1" t="s">
        <v>73</v>
      </c>
      <c r="AX1621" s="1">
        <v>0</v>
      </c>
      <c r="BA1621" s="1">
        <v>9</v>
      </c>
      <c r="BB1621" s="1">
        <v>0</v>
      </c>
      <c r="BC1621" s="1">
        <v>0</v>
      </c>
      <c r="BE1621" s="1">
        <v>27246400</v>
      </c>
    </row>
    <row r="1622" spans="1:57" x14ac:dyDescent="0.25">
      <c r="A1622" s="1" t="str">
        <f>T("1945403781961947884")</f>
        <v>1945403781961947884</v>
      </c>
      <c r="B1622" s="1" t="str">
        <f>T("249902072025")</f>
        <v>249902072025</v>
      </c>
      <c r="C1622" s="1" t="str">
        <f>T("1941094503095994140")</f>
        <v>1941094503095994140</v>
      </c>
      <c r="AC1622" s="1" t="s">
        <v>104</v>
      </c>
      <c r="AD1622" s="1" t="s">
        <v>105</v>
      </c>
      <c r="AE1622" s="1" t="s">
        <v>401</v>
      </c>
      <c r="AF1622" s="1" t="s">
        <v>107</v>
      </c>
      <c r="AG1622" s="1">
        <v>20</v>
      </c>
      <c r="AO1622" s="2">
        <v>46277</v>
      </c>
      <c r="AP1622" s="1" t="s">
        <v>248</v>
      </c>
      <c r="AS1622" s="1" t="s">
        <v>71</v>
      </c>
      <c r="AU1622" s="1" t="s">
        <v>72</v>
      </c>
      <c r="AV1622" s="1" t="s">
        <v>73</v>
      </c>
      <c r="AX1622" s="1">
        <v>0</v>
      </c>
      <c r="BA1622" s="1">
        <v>9</v>
      </c>
      <c r="BB1622" s="1">
        <v>0</v>
      </c>
      <c r="BC1622" s="1">
        <v>0</v>
      </c>
      <c r="BE1622" s="1">
        <v>27246400</v>
      </c>
    </row>
    <row r="1623" spans="1:57" x14ac:dyDescent="0.25">
      <c r="A1623" s="1" t="str">
        <f>T("1945403781991306440")</f>
        <v>1945403781991306440</v>
      </c>
      <c r="B1623" s="1" t="str">
        <f>T("249926002492")</f>
        <v>249926002492</v>
      </c>
      <c r="C1623" s="1" t="str">
        <f>T("1941094503095994740")</f>
        <v>1941094503095994740</v>
      </c>
      <c r="AC1623" s="1" t="s">
        <v>104</v>
      </c>
      <c r="AD1623" s="1" t="s">
        <v>105</v>
      </c>
      <c r="AE1623" s="1" t="s">
        <v>401</v>
      </c>
      <c r="AF1623" s="1" t="s">
        <v>107</v>
      </c>
      <c r="AG1623" s="1">
        <v>21</v>
      </c>
      <c r="AO1623" s="2">
        <v>46277</v>
      </c>
      <c r="AP1623" s="1" t="s">
        <v>248</v>
      </c>
      <c r="AQ1623" s="2">
        <v>46277</v>
      </c>
      <c r="AR1623" s="1" t="s">
        <v>699</v>
      </c>
      <c r="AS1623" s="1" t="s">
        <v>71</v>
      </c>
      <c r="AU1623" s="1" t="s">
        <v>79</v>
      </c>
      <c r="AV1623" s="1" t="s">
        <v>80</v>
      </c>
      <c r="AW1623" s="1">
        <v>9.2799999999999994</v>
      </c>
      <c r="AX1623" s="1">
        <v>0</v>
      </c>
      <c r="AZ1623" s="1" t="s">
        <v>81</v>
      </c>
      <c r="BA1623" s="1">
        <v>1</v>
      </c>
      <c r="BB1623" s="1">
        <v>0</v>
      </c>
      <c r="BC1623" s="1">
        <v>0</v>
      </c>
      <c r="BE1623" s="1">
        <v>27246400</v>
      </c>
    </row>
    <row r="1624" spans="1:57" x14ac:dyDescent="0.25">
      <c r="A1624" s="1" t="str">
        <f>T("1945464182317719020")</f>
        <v>1945464182317719020</v>
      </c>
      <c r="B1624" s="1" t="str">
        <f>T("249925631349")</f>
        <v>249925631349</v>
      </c>
      <c r="C1624" s="1" t="str">
        <f>T("1941094503095995140")</f>
        <v>1941094503095995140</v>
      </c>
      <c r="M1624" s="1" t="s">
        <v>59</v>
      </c>
      <c r="O1624" s="1" t="s">
        <v>65</v>
      </c>
      <c r="P1624" s="1" t="s">
        <v>61</v>
      </c>
      <c r="AA1624" s="1">
        <v>1</v>
      </c>
      <c r="AC1624" s="1" t="s">
        <v>104</v>
      </c>
      <c r="AD1624" s="1" t="s">
        <v>105</v>
      </c>
      <c r="AE1624" s="1" t="s">
        <v>401</v>
      </c>
      <c r="AF1624" s="1" t="s">
        <v>107</v>
      </c>
      <c r="AG1624" s="1">
        <v>26</v>
      </c>
      <c r="AO1624" s="2">
        <v>46277</v>
      </c>
      <c r="AP1624" s="1" t="s">
        <v>301</v>
      </c>
      <c r="AQ1624" s="2">
        <v>46277</v>
      </c>
      <c r="AR1624" s="1" t="s">
        <v>308</v>
      </c>
      <c r="AS1624" s="1" t="s">
        <v>71</v>
      </c>
      <c r="AU1624" s="1" t="s">
        <v>79</v>
      </c>
      <c r="AV1624" s="1" t="s">
        <v>80</v>
      </c>
      <c r="AW1624" s="1">
        <v>149.82</v>
      </c>
      <c r="AX1624" s="1">
        <v>0</v>
      </c>
      <c r="AZ1624" s="1" t="s">
        <v>81</v>
      </c>
      <c r="BA1624" s="1">
        <v>1</v>
      </c>
      <c r="BB1624" s="1">
        <v>0</v>
      </c>
      <c r="BC1624" s="1">
        <v>0</v>
      </c>
      <c r="BE1624" s="1">
        <v>27246422</v>
      </c>
    </row>
    <row r="1625" spans="1:57" x14ac:dyDescent="0.25">
      <c r="A1625" s="1" t="str">
        <f>T("1945464182573568208")</f>
        <v>1945464182573568208</v>
      </c>
      <c r="B1625" s="1" t="str">
        <f>T("249995296932")</f>
        <v>249995296932</v>
      </c>
      <c r="C1625" s="1" t="str">
        <f>T("1941094503095995640")</f>
        <v>1941094503095995640</v>
      </c>
      <c r="AC1625" s="1" t="s">
        <v>104</v>
      </c>
      <c r="AD1625" s="1" t="s">
        <v>105</v>
      </c>
      <c r="AE1625" s="1" t="s">
        <v>401</v>
      </c>
      <c r="AF1625" s="1" t="s">
        <v>107</v>
      </c>
      <c r="AG1625" s="1">
        <v>36</v>
      </c>
      <c r="AO1625" s="2">
        <v>46277</v>
      </c>
      <c r="AP1625" s="1" t="s">
        <v>301</v>
      </c>
      <c r="AQ1625" s="2">
        <v>46277</v>
      </c>
      <c r="AR1625" s="1" t="s">
        <v>700</v>
      </c>
      <c r="AS1625" s="1" t="s">
        <v>71</v>
      </c>
      <c r="AU1625" s="1" t="s">
        <v>79</v>
      </c>
      <c r="AV1625" s="1" t="s">
        <v>80</v>
      </c>
      <c r="AW1625" s="1">
        <v>10.62</v>
      </c>
      <c r="AX1625" s="1">
        <v>0</v>
      </c>
      <c r="AZ1625" s="1" t="s">
        <v>81</v>
      </c>
      <c r="BA1625" s="1">
        <v>1</v>
      </c>
      <c r="BB1625" s="1">
        <v>0</v>
      </c>
      <c r="BC1625" s="1">
        <v>0</v>
      </c>
      <c r="BE1625" s="1">
        <v>27246422</v>
      </c>
    </row>
    <row r="1626" spans="1:57" x14ac:dyDescent="0.25">
      <c r="A1626" s="1" t="str">
        <f>T("1945464182686817224")</f>
        <v>1945464182686817224</v>
      </c>
      <c r="B1626" s="1" t="str">
        <f>T("249910089208")</f>
        <v>249910089208</v>
      </c>
      <c r="C1626" s="1" t="str">
        <f>T("1941094503095996140")</f>
        <v>1941094503095996140</v>
      </c>
      <c r="AC1626" s="1" t="s">
        <v>104</v>
      </c>
      <c r="AD1626" s="1" t="s">
        <v>105</v>
      </c>
      <c r="AE1626" s="1" t="s">
        <v>401</v>
      </c>
      <c r="AF1626" s="1" t="s">
        <v>107</v>
      </c>
      <c r="AG1626" s="1">
        <v>34</v>
      </c>
      <c r="AO1626" s="2">
        <v>46277</v>
      </c>
      <c r="AP1626" s="1" t="s">
        <v>301</v>
      </c>
      <c r="AS1626" s="1" t="s">
        <v>71</v>
      </c>
      <c r="AU1626" s="1" t="s">
        <v>72</v>
      </c>
      <c r="AV1626" s="1" t="s">
        <v>73</v>
      </c>
      <c r="AX1626" s="1">
        <v>0</v>
      </c>
      <c r="BA1626" s="1">
        <v>9</v>
      </c>
      <c r="BB1626" s="1">
        <v>0</v>
      </c>
      <c r="BC1626" s="1">
        <v>0</v>
      </c>
      <c r="BE1626" s="1">
        <v>27246422</v>
      </c>
    </row>
    <row r="1627" spans="1:57" x14ac:dyDescent="0.25">
      <c r="A1627" s="1" t="str">
        <f>T("1945464182774895992")</f>
        <v>1945464182774895992</v>
      </c>
      <c r="B1627" s="1" t="str">
        <f>T("249920721814")</f>
        <v>249920721814</v>
      </c>
      <c r="C1627" s="1" t="str">
        <f>T("1941094503100186748")</f>
        <v>1941094503100186748</v>
      </c>
      <c r="AC1627" s="1" t="s">
        <v>104</v>
      </c>
      <c r="AD1627" s="1" t="s">
        <v>105</v>
      </c>
      <c r="AE1627" s="1" t="s">
        <v>401</v>
      </c>
      <c r="AF1627" s="1" t="s">
        <v>107</v>
      </c>
      <c r="AG1627" s="1">
        <v>20</v>
      </c>
      <c r="AO1627" s="2">
        <v>46277</v>
      </c>
      <c r="AP1627" s="1" t="s">
        <v>301</v>
      </c>
      <c r="AS1627" s="1" t="s">
        <v>71</v>
      </c>
      <c r="AU1627" s="1" t="s">
        <v>72</v>
      </c>
      <c r="AV1627" s="1" t="s">
        <v>73</v>
      </c>
      <c r="AX1627" s="1">
        <v>0</v>
      </c>
      <c r="BA1627" s="1">
        <v>9</v>
      </c>
      <c r="BB1627" s="1">
        <v>0</v>
      </c>
      <c r="BC1627" s="1">
        <v>0</v>
      </c>
      <c r="BE1627" s="1">
        <v>27246422</v>
      </c>
    </row>
    <row r="1628" spans="1:57" x14ac:dyDescent="0.25">
      <c r="A1628" s="1" t="str">
        <f>T("1945464182862975560")</f>
        <v>1945464182862975560</v>
      </c>
      <c r="B1628" s="1" t="str">
        <f>T("249964528877")</f>
        <v>249964528877</v>
      </c>
      <c r="C1628" s="1" t="str">
        <f>T("1941094503100187248")</f>
        <v>1941094503100187248</v>
      </c>
      <c r="AC1628" s="1" t="s">
        <v>104</v>
      </c>
      <c r="AD1628" s="1" t="s">
        <v>105</v>
      </c>
      <c r="AE1628" s="1" t="s">
        <v>401</v>
      </c>
      <c r="AF1628" s="1" t="s">
        <v>107</v>
      </c>
      <c r="AG1628" s="1">
        <v>28</v>
      </c>
      <c r="AO1628" s="2">
        <v>46277</v>
      </c>
      <c r="AP1628" s="1" t="s">
        <v>301</v>
      </c>
      <c r="AS1628" s="1" t="s">
        <v>71</v>
      </c>
      <c r="AU1628" s="1" t="s">
        <v>72</v>
      </c>
      <c r="AV1628" s="1" t="s">
        <v>73</v>
      </c>
      <c r="AX1628" s="1">
        <v>0</v>
      </c>
      <c r="BA1628" s="1">
        <v>9</v>
      </c>
      <c r="BB1628" s="1">
        <v>0</v>
      </c>
      <c r="BC1628" s="1">
        <v>0</v>
      </c>
      <c r="BE1628" s="1">
        <v>27246422</v>
      </c>
    </row>
    <row r="1629" spans="1:57" x14ac:dyDescent="0.25">
      <c r="A1629" s="1" t="str">
        <f>T("1945464182980418984")</f>
        <v>1945464182980418984</v>
      </c>
      <c r="B1629" s="1" t="str">
        <f>T("249920910427")</f>
        <v>249920910427</v>
      </c>
      <c r="C1629" s="1" t="str">
        <f>T("1941094503100187548")</f>
        <v>1941094503100187548</v>
      </c>
      <c r="AC1629" s="1" t="s">
        <v>104</v>
      </c>
      <c r="AD1629" s="1" t="s">
        <v>105</v>
      </c>
      <c r="AE1629" s="1" t="s">
        <v>401</v>
      </c>
      <c r="AF1629" s="1" t="s">
        <v>107</v>
      </c>
      <c r="AG1629" s="1">
        <v>20</v>
      </c>
      <c r="AO1629" s="2">
        <v>46277</v>
      </c>
      <c r="AP1629" s="1" t="s">
        <v>301</v>
      </c>
      <c r="AS1629" s="1" t="s">
        <v>71</v>
      </c>
      <c r="AU1629" s="1" t="s">
        <v>72</v>
      </c>
      <c r="AV1629" s="1" t="s">
        <v>73</v>
      </c>
      <c r="AX1629" s="1">
        <v>0</v>
      </c>
      <c r="BA1629" s="1">
        <v>9</v>
      </c>
      <c r="BB1629" s="1">
        <v>0</v>
      </c>
      <c r="BC1629" s="1">
        <v>0</v>
      </c>
      <c r="BE1629" s="1">
        <v>27246422</v>
      </c>
    </row>
    <row r="1630" spans="1:57" x14ac:dyDescent="0.25">
      <c r="A1630" s="1" t="str">
        <f>T("1945464183106244624")</f>
        <v>1945464183106244624</v>
      </c>
      <c r="B1630" s="1" t="str">
        <f>T("249203599206")</f>
        <v>249203599206</v>
      </c>
      <c r="C1630" s="1" t="str">
        <f>T("1941094503100187848")</f>
        <v>1941094503100187848</v>
      </c>
      <c r="AC1630" s="1" t="s">
        <v>104</v>
      </c>
      <c r="AD1630" s="1" t="s">
        <v>105</v>
      </c>
      <c r="AE1630" s="1" t="s">
        <v>401</v>
      </c>
      <c r="AF1630" s="1" t="s">
        <v>107</v>
      </c>
      <c r="AG1630" s="1">
        <v>33</v>
      </c>
      <c r="AO1630" s="2">
        <v>46277</v>
      </c>
      <c r="AP1630" s="1" t="s">
        <v>301</v>
      </c>
      <c r="AS1630" s="1" t="s">
        <v>71</v>
      </c>
      <c r="AU1630" s="1" t="s">
        <v>72</v>
      </c>
      <c r="AV1630" s="1" t="s">
        <v>73</v>
      </c>
      <c r="AX1630" s="1">
        <v>0</v>
      </c>
      <c r="BA1630" s="1">
        <v>9</v>
      </c>
      <c r="BB1630" s="1">
        <v>0</v>
      </c>
      <c r="BC1630" s="1">
        <v>0</v>
      </c>
      <c r="BE1630" s="1">
        <v>27246422</v>
      </c>
    </row>
    <row r="1631" spans="1:57" x14ac:dyDescent="0.25">
      <c r="A1631" s="1" t="str">
        <f>T("1945464183219493640")</f>
        <v>1945464183219493640</v>
      </c>
      <c r="B1631" s="1" t="str">
        <f>T("249991033194")</f>
        <v>249991033194</v>
      </c>
      <c r="C1631" s="1" t="str">
        <f>T("1941094503100188248")</f>
        <v>1941094503100188248</v>
      </c>
      <c r="AC1631" s="1" t="s">
        <v>104</v>
      </c>
      <c r="AD1631" s="1" t="s">
        <v>105</v>
      </c>
      <c r="AE1631" s="1" t="s">
        <v>401</v>
      </c>
      <c r="AF1631" s="1" t="s">
        <v>107</v>
      </c>
      <c r="AG1631" s="1">
        <v>31</v>
      </c>
      <c r="AO1631" s="2">
        <v>46277</v>
      </c>
      <c r="AP1631" s="1" t="s">
        <v>301</v>
      </c>
      <c r="AQ1631" s="2">
        <v>46277</v>
      </c>
      <c r="AR1631" s="1" t="s">
        <v>701</v>
      </c>
      <c r="AS1631" s="1" t="s">
        <v>71</v>
      </c>
      <c r="AU1631" s="1" t="s">
        <v>79</v>
      </c>
      <c r="AV1631" s="1" t="s">
        <v>80</v>
      </c>
      <c r="AW1631" s="1">
        <v>24</v>
      </c>
      <c r="AX1631" s="1">
        <v>0</v>
      </c>
      <c r="AZ1631" s="1" t="s">
        <v>81</v>
      </c>
      <c r="BA1631" s="1">
        <v>1</v>
      </c>
      <c r="BB1631" s="1">
        <v>0</v>
      </c>
      <c r="BC1631" s="1">
        <v>0</v>
      </c>
      <c r="BE1631" s="1">
        <v>27246422</v>
      </c>
    </row>
    <row r="1632" spans="1:57" x14ac:dyDescent="0.25">
      <c r="A1632" s="1" t="str">
        <f>T("1945464183265630728")</f>
        <v>1945464183265630728</v>
      </c>
      <c r="B1632" s="1" t="str">
        <f>T("249920510214")</f>
        <v>249920510214</v>
      </c>
      <c r="C1632" s="1" t="str">
        <f>T("1941094503100188648")</f>
        <v>1941094503100188648</v>
      </c>
      <c r="AC1632" s="1" t="s">
        <v>104</v>
      </c>
      <c r="AD1632" s="1" t="s">
        <v>105</v>
      </c>
      <c r="AE1632" s="1" t="s">
        <v>401</v>
      </c>
      <c r="AF1632" s="1" t="s">
        <v>107</v>
      </c>
      <c r="AG1632" s="1">
        <v>38</v>
      </c>
      <c r="AO1632" s="2">
        <v>46277</v>
      </c>
      <c r="AP1632" s="1" t="s">
        <v>301</v>
      </c>
      <c r="AS1632" s="1" t="s">
        <v>71</v>
      </c>
      <c r="AU1632" s="1" t="s">
        <v>72</v>
      </c>
      <c r="AV1632" s="1" t="s">
        <v>73</v>
      </c>
      <c r="AX1632" s="1">
        <v>0</v>
      </c>
      <c r="BA1632" s="1">
        <v>9</v>
      </c>
      <c r="BB1632" s="1">
        <v>0</v>
      </c>
      <c r="BC1632" s="1">
        <v>0</v>
      </c>
      <c r="BE1632" s="1">
        <v>27246422</v>
      </c>
    </row>
    <row r="1633" spans="1:57" x14ac:dyDescent="0.25">
      <c r="A1633" s="1" t="str">
        <f>T("1945464183311768416")</f>
        <v>1945464183311768416</v>
      </c>
      <c r="B1633" s="1" t="str">
        <f>T("249126386906")</f>
        <v>249126386906</v>
      </c>
      <c r="C1633" s="1" t="str">
        <f>T("1941094503100188948")</f>
        <v>1941094503100188948</v>
      </c>
      <c r="AA1633" s="1">
        <v>1</v>
      </c>
      <c r="AC1633" s="1" t="s">
        <v>104</v>
      </c>
      <c r="AD1633" s="1" t="s">
        <v>105</v>
      </c>
      <c r="AE1633" s="1" t="s">
        <v>401</v>
      </c>
      <c r="AF1633" s="1" t="s">
        <v>107</v>
      </c>
      <c r="AG1633" s="1">
        <v>39</v>
      </c>
      <c r="AO1633" s="2">
        <v>46277</v>
      </c>
      <c r="AP1633" s="1" t="s">
        <v>301</v>
      </c>
      <c r="AQ1633" s="2">
        <v>46277</v>
      </c>
      <c r="AR1633" s="1" t="s">
        <v>702</v>
      </c>
      <c r="AS1633" s="1" t="s">
        <v>71</v>
      </c>
      <c r="AU1633" s="1" t="s">
        <v>79</v>
      </c>
      <c r="AV1633" s="1" t="s">
        <v>80</v>
      </c>
      <c r="AW1633" s="1">
        <v>59.22</v>
      </c>
      <c r="AX1633" s="1">
        <v>0</v>
      </c>
      <c r="AZ1633" s="1" t="s">
        <v>81</v>
      </c>
      <c r="BA1633" s="1">
        <v>1</v>
      </c>
      <c r="BB1633" s="1">
        <v>0</v>
      </c>
      <c r="BC1633" s="1">
        <v>0</v>
      </c>
      <c r="BE1633" s="1">
        <v>27246422</v>
      </c>
    </row>
    <row r="1634" spans="1:57" x14ac:dyDescent="0.25">
      <c r="A1634" s="1" t="str">
        <f>T("1945464183420818924")</f>
        <v>1945464183420818924</v>
      </c>
      <c r="B1634" s="1" t="str">
        <f>T("249996212230")</f>
        <v>249996212230</v>
      </c>
      <c r="C1634" s="1" t="str">
        <f>T("1941094503100189548")</f>
        <v>1941094503100189548</v>
      </c>
      <c r="AA1634" s="1">
        <v>1</v>
      </c>
      <c r="AC1634" s="1" t="s">
        <v>104</v>
      </c>
      <c r="AD1634" s="1" t="s">
        <v>105</v>
      </c>
      <c r="AE1634" s="1" t="s">
        <v>401</v>
      </c>
      <c r="AF1634" s="1" t="s">
        <v>107</v>
      </c>
      <c r="AG1634" s="1">
        <v>22</v>
      </c>
      <c r="AO1634" s="2">
        <v>46277</v>
      </c>
      <c r="AP1634" s="1" t="s">
        <v>301</v>
      </c>
      <c r="AQ1634" s="2">
        <v>46277</v>
      </c>
      <c r="AR1634" s="1" t="s">
        <v>703</v>
      </c>
      <c r="AS1634" s="1" t="s">
        <v>71</v>
      </c>
      <c r="AU1634" s="1" t="s">
        <v>78</v>
      </c>
      <c r="AV1634" s="1" t="s">
        <v>80</v>
      </c>
      <c r="AW1634" s="1">
        <v>134.58000000000001</v>
      </c>
      <c r="AX1634" s="1">
        <v>0</v>
      </c>
      <c r="AZ1634" s="1" t="s">
        <v>81</v>
      </c>
      <c r="BA1634" s="1">
        <v>1</v>
      </c>
      <c r="BB1634" s="1">
        <v>0</v>
      </c>
      <c r="BC1634" s="1">
        <v>0</v>
      </c>
      <c r="BE1634" s="1">
        <v>27246422</v>
      </c>
    </row>
    <row r="1635" spans="1:57" x14ac:dyDescent="0.25">
      <c r="A1635" s="1" t="str">
        <f>T("1945464183433401548")</f>
        <v>1945464183433401548</v>
      </c>
      <c r="B1635" s="1" t="str">
        <f>T("249923555149")</f>
        <v>249923555149</v>
      </c>
      <c r="C1635" s="1" t="str">
        <f>T("1941094503104382356")</f>
        <v>1941094503104382356</v>
      </c>
      <c r="AA1635" s="1">
        <v>1</v>
      </c>
      <c r="AC1635" s="1" t="s">
        <v>104</v>
      </c>
      <c r="AD1635" s="1" t="s">
        <v>105</v>
      </c>
      <c r="AE1635" s="1" t="s">
        <v>401</v>
      </c>
      <c r="AF1635" s="1" t="s">
        <v>107</v>
      </c>
      <c r="AG1635" s="1">
        <v>34</v>
      </c>
      <c r="AO1635" s="2">
        <v>46277</v>
      </c>
      <c r="AP1635" s="1" t="s">
        <v>301</v>
      </c>
      <c r="AQ1635" s="2">
        <v>46277</v>
      </c>
      <c r="AR1635" s="1" t="s">
        <v>704</v>
      </c>
      <c r="AS1635" s="1" t="s">
        <v>71</v>
      </c>
      <c r="AU1635" s="1" t="s">
        <v>79</v>
      </c>
      <c r="AV1635" s="1" t="s">
        <v>80</v>
      </c>
      <c r="AW1635" s="1">
        <v>99.52</v>
      </c>
      <c r="AX1635" s="1">
        <v>0</v>
      </c>
      <c r="AZ1635" s="1" t="s">
        <v>81</v>
      </c>
      <c r="BA1635" s="1">
        <v>1</v>
      </c>
      <c r="BB1635" s="1">
        <v>0</v>
      </c>
      <c r="BC1635" s="1">
        <v>0</v>
      </c>
      <c r="BE1635" s="1">
        <v>27246422</v>
      </c>
    </row>
    <row r="1636" spans="1:57" x14ac:dyDescent="0.25">
      <c r="A1636" s="1" t="str">
        <f>T("1945464183517287608")</f>
        <v>1945464183517287608</v>
      </c>
      <c r="B1636" s="1" t="str">
        <f>T("249914520450")</f>
        <v>249914520450</v>
      </c>
      <c r="C1636" s="1" t="str">
        <f>T("1941094503112769572")</f>
        <v>1941094503112769572</v>
      </c>
      <c r="AC1636" s="1" t="s">
        <v>104</v>
      </c>
      <c r="AD1636" s="1" t="s">
        <v>105</v>
      </c>
      <c r="AE1636" s="1" t="s">
        <v>401</v>
      </c>
      <c r="AF1636" s="1" t="s">
        <v>107</v>
      </c>
      <c r="AG1636" s="1">
        <v>30</v>
      </c>
      <c r="AO1636" s="2">
        <v>46277</v>
      </c>
      <c r="AP1636" s="1" t="s">
        <v>301</v>
      </c>
      <c r="AS1636" s="1" t="s">
        <v>71</v>
      </c>
      <c r="AU1636" s="1" t="s">
        <v>72</v>
      </c>
      <c r="AV1636" s="1" t="s">
        <v>73</v>
      </c>
      <c r="AX1636" s="1">
        <v>0</v>
      </c>
      <c r="BA1636" s="1">
        <v>9</v>
      </c>
      <c r="BB1636" s="1">
        <v>0</v>
      </c>
      <c r="BC1636" s="1">
        <v>0</v>
      </c>
      <c r="BE1636" s="1">
        <v>27246422</v>
      </c>
    </row>
    <row r="1637" spans="1:57" x14ac:dyDescent="0.25">
      <c r="A1637" s="1" t="str">
        <f>T("1945464183538261548")</f>
        <v>1945464183538261548</v>
      </c>
      <c r="B1637" s="1" t="str">
        <f>T("249996407667")</f>
        <v>249996407667</v>
      </c>
      <c r="C1637" s="1" t="str">
        <f>T("1941094503112770372")</f>
        <v>1941094503112770372</v>
      </c>
      <c r="AC1637" s="1" t="s">
        <v>104</v>
      </c>
      <c r="AD1637" s="1" t="s">
        <v>105</v>
      </c>
      <c r="AE1637" s="1" t="s">
        <v>401</v>
      </c>
      <c r="AF1637" s="1" t="s">
        <v>107</v>
      </c>
      <c r="AG1637" s="1">
        <v>37</v>
      </c>
      <c r="AO1637" s="2">
        <v>46277</v>
      </c>
      <c r="AP1637" s="1" t="s">
        <v>301</v>
      </c>
      <c r="AS1637" s="1" t="s">
        <v>71</v>
      </c>
      <c r="AU1637" s="1" t="s">
        <v>72</v>
      </c>
      <c r="AV1637" s="1" t="s">
        <v>73</v>
      </c>
      <c r="AX1637" s="1">
        <v>0</v>
      </c>
      <c r="BA1637" s="1">
        <v>9</v>
      </c>
      <c r="BB1637" s="1">
        <v>0</v>
      </c>
      <c r="BC1637" s="1">
        <v>0</v>
      </c>
      <c r="BE1637" s="1">
        <v>27246422</v>
      </c>
    </row>
    <row r="1638" spans="1:57" x14ac:dyDescent="0.25">
      <c r="A1638" s="1" t="str">
        <f>T("1945464183601174368")</f>
        <v>1945464183601174368</v>
      </c>
      <c r="B1638" s="1" t="str">
        <f>T("249121286117")</f>
        <v>249121286117</v>
      </c>
      <c r="C1638" s="1" t="str">
        <f>T("1941094503112770672")</f>
        <v>1941094503112770672</v>
      </c>
      <c r="AA1638" s="1">
        <v>1</v>
      </c>
      <c r="AC1638" s="1" t="s">
        <v>104</v>
      </c>
      <c r="AD1638" s="1" t="s">
        <v>105</v>
      </c>
      <c r="AE1638" s="1" t="s">
        <v>401</v>
      </c>
      <c r="AF1638" s="1" t="s">
        <v>107</v>
      </c>
      <c r="AG1638" s="1">
        <v>33</v>
      </c>
      <c r="AO1638" s="2">
        <v>46277</v>
      </c>
      <c r="AP1638" s="1" t="s">
        <v>301</v>
      </c>
      <c r="AQ1638" s="2">
        <v>46277</v>
      </c>
      <c r="AR1638" s="1" t="s">
        <v>315</v>
      </c>
      <c r="AS1638" s="1" t="s">
        <v>71</v>
      </c>
      <c r="AU1638" s="1" t="s">
        <v>79</v>
      </c>
      <c r="AV1638" s="1" t="s">
        <v>80</v>
      </c>
      <c r="AW1638" s="1">
        <v>45.156999999999996</v>
      </c>
      <c r="AX1638" s="1">
        <v>0</v>
      </c>
      <c r="AZ1638" s="1" t="s">
        <v>81</v>
      </c>
      <c r="BA1638" s="1">
        <v>1</v>
      </c>
      <c r="BB1638" s="1">
        <v>0</v>
      </c>
      <c r="BC1638" s="1">
        <v>0</v>
      </c>
      <c r="BE1638" s="1">
        <v>27246422</v>
      </c>
    </row>
    <row r="1639" spans="1:57" x14ac:dyDescent="0.25">
      <c r="A1639" s="1" t="str">
        <f>T("1945464183609564284")</f>
        <v>1945464183609564284</v>
      </c>
      <c r="B1639" s="1" t="str">
        <f>T("249996190929")</f>
        <v>249996190929</v>
      </c>
      <c r="C1639" s="1" t="str">
        <f>T("1941094503112771272")</f>
        <v>1941094503112771272</v>
      </c>
      <c r="AC1639" s="1" t="s">
        <v>104</v>
      </c>
      <c r="AD1639" s="1" t="s">
        <v>105</v>
      </c>
      <c r="AE1639" s="1" t="s">
        <v>401</v>
      </c>
      <c r="AF1639" s="1" t="s">
        <v>107</v>
      </c>
      <c r="AG1639" s="1">
        <v>35</v>
      </c>
      <c r="AO1639" s="2">
        <v>46277</v>
      </c>
      <c r="AP1639" s="1" t="s">
        <v>301</v>
      </c>
      <c r="AS1639" s="1" t="s">
        <v>71</v>
      </c>
      <c r="AU1639" s="1" t="s">
        <v>72</v>
      </c>
      <c r="AV1639" s="1" t="s">
        <v>73</v>
      </c>
      <c r="AX1639" s="1">
        <v>0</v>
      </c>
      <c r="BA1639" s="1">
        <v>9</v>
      </c>
      <c r="BB1639" s="1">
        <v>0</v>
      </c>
      <c r="BC1639" s="1">
        <v>0</v>
      </c>
      <c r="BE1639" s="1">
        <v>27246422</v>
      </c>
    </row>
    <row r="1640" spans="1:57" x14ac:dyDescent="0.25">
      <c r="A1640" s="1" t="str">
        <f>T("1945464183630535124")</f>
        <v>1945464183630535124</v>
      </c>
      <c r="B1640" s="1" t="str">
        <f>T("249924618525")</f>
        <v>249924618525</v>
      </c>
      <c r="C1640" s="1" t="str">
        <f>T("1941094503112771572")</f>
        <v>1941094503112771572</v>
      </c>
      <c r="AA1640" s="1">
        <v>1</v>
      </c>
      <c r="AC1640" s="1" t="s">
        <v>104</v>
      </c>
      <c r="AD1640" s="1" t="s">
        <v>105</v>
      </c>
      <c r="AE1640" s="1" t="s">
        <v>401</v>
      </c>
      <c r="AF1640" s="1" t="s">
        <v>107</v>
      </c>
      <c r="AG1640" s="1">
        <v>39</v>
      </c>
      <c r="AO1640" s="2">
        <v>46277</v>
      </c>
      <c r="AP1640" s="1" t="s">
        <v>301</v>
      </c>
      <c r="AQ1640" s="2">
        <v>46277</v>
      </c>
      <c r="AR1640" s="1" t="s">
        <v>705</v>
      </c>
      <c r="AS1640" s="1" t="s">
        <v>71</v>
      </c>
      <c r="AU1640" s="1" t="s">
        <v>79</v>
      </c>
      <c r="AV1640" s="1" t="s">
        <v>80</v>
      </c>
      <c r="AW1640" s="1">
        <v>38.380000000000003</v>
      </c>
      <c r="AX1640" s="1">
        <v>0</v>
      </c>
      <c r="AZ1640" s="1" t="s">
        <v>81</v>
      </c>
      <c r="BA1640" s="1">
        <v>2</v>
      </c>
      <c r="BB1640" s="1">
        <v>0</v>
      </c>
      <c r="BC1640" s="1">
        <v>0</v>
      </c>
      <c r="BE1640" s="1">
        <v>27246422</v>
      </c>
    </row>
    <row r="1641" spans="1:57" x14ac:dyDescent="0.25">
      <c r="A1641" s="1" t="str">
        <f>T("1945464183722809700")</f>
        <v>1945464183722809700</v>
      </c>
      <c r="B1641" s="1" t="str">
        <f>T("249912451167")</f>
        <v>249912451167</v>
      </c>
      <c r="C1641" s="1" t="str">
        <f>T("1941094503137936920")</f>
        <v>1941094503137936920</v>
      </c>
      <c r="AC1641" s="1" t="s">
        <v>104</v>
      </c>
      <c r="AD1641" s="1" t="s">
        <v>105</v>
      </c>
      <c r="AE1641" s="1" t="s">
        <v>401</v>
      </c>
      <c r="AF1641" s="1" t="s">
        <v>107</v>
      </c>
      <c r="AG1641" s="1">
        <v>25</v>
      </c>
      <c r="AO1641" s="2">
        <v>46277</v>
      </c>
      <c r="AP1641" s="1" t="s">
        <v>301</v>
      </c>
      <c r="AS1641" s="1" t="s">
        <v>71</v>
      </c>
      <c r="AU1641" s="1" t="s">
        <v>72</v>
      </c>
      <c r="AV1641" s="1" t="s">
        <v>73</v>
      </c>
      <c r="AX1641" s="1">
        <v>0</v>
      </c>
      <c r="BA1641" s="1">
        <v>9</v>
      </c>
      <c r="BB1641" s="1">
        <v>0</v>
      </c>
      <c r="BC1641" s="1">
        <v>0</v>
      </c>
      <c r="BE1641" s="1">
        <v>27246422</v>
      </c>
    </row>
    <row r="1642" spans="1:57" x14ac:dyDescent="0.25">
      <c r="A1642" s="1" t="str">
        <f>T("1945464183727002408")</f>
        <v>1945464183727002408</v>
      </c>
      <c r="B1642" s="1" t="str">
        <f>T("249927374976")</f>
        <v>249927374976</v>
      </c>
      <c r="C1642" s="1" t="str">
        <f>T("1941094503116967680")</f>
        <v>1941094503116967680</v>
      </c>
      <c r="AA1642" s="1">
        <v>1</v>
      </c>
      <c r="AC1642" s="1" t="s">
        <v>104</v>
      </c>
      <c r="AD1642" s="1" t="s">
        <v>105</v>
      </c>
      <c r="AE1642" s="1" t="s">
        <v>401</v>
      </c>
      <c r="AF1642" s="1" t="s">
        <v>107</v>
      </c>
      <c r="AG1642" s="1">
        <v>32</v>
      </c>
      <c r="AO1642" s="2">
        <v>46277</v>
      </c>
      <c r="AP1642" s="1" t="s">
        <v>301</v>
      </c>
      <c r="AQ1642" s="2">
        <v>46277</v>
      </c>
      <c r="AR1642" s="1" t="s">
        <v>306</v>
      </c>
      <c r="AS1642" s="1" t="s">
        <v>71</v>
      </c>
      <c r="AU1642" s="1" t="s">
        <v>79</v>
      </c>
      <c r="AV1642" s="1" t="s">
        <v>80</v>
      </c>
      <c r="AW1642" s="1">
        <v>104.62</v>
      </c>
      <c r="AX1642" s="1">
        <v>0</v>
      </c>
      <c r="AZ1642" s="1" t="s">
        <v>81</v>
      </c>
      <c r="BA1642" s="1">
        <v>1</v>
      </c>
      <c r="BB1642" s="1">
        <v>0</v>
      </c>
      <c r="BC1642" s="1">
        <v>0</v>
      </c>
      <c r="BE1642" s="1">
        <v>27246422</v>
      </c>
    </row>
    <row r="1643" spans="1:57" x14ac:dyDescent="0.25">
      <c r="A1643" s="1" t="str">
        <f>T("1945464183731198716")</f>
        <v>1945464183731198716</v>
      </c>
      <c r="B1643" s="1" t="str">
        <f>T("249925822576")</f>
        <v>249925822576</v>
      </c>
      <c r="C1643" s="1" t="str">
        <f>T("1941094503112772172")</f>
        <v>1941094503112772172</v>
      </c>
      <c r="AC1643" s="1" t="s">
        <v>104</v>
      </c>
      <c r="AD1643" s="1" t="s">
        <v>105</v>
      </c>
      <c r="AE1643" s="1" t="s">
        <v>401</v>
      </c>
      <c r="AF1643" s="1" t="s">
        <v>107</v>
      </c>
      <c r="AG1643" s="1">
        <v>31</v>
      </c>
      <c r="AO1643" s="2">
        <v>46277</v>
      </c>
      <c r="AP1643" s="1" t="s">
        <v>301</v>
      </c>
      <c r="AS1643" s="1" t="s">
        <v>71</v>
      </c>
      <c r="AU1643" s="1" t="s">
        <v>72</v>
      </c>
      <c r="AV1643" s="1" t="s">
        <v>73</v>
      </c>
      <c r="AX1643" s="1">
        <v>0</v>
      </c>
      <c r="BA1643" s="1">
        <v>9</v>
      </c>
      <c r="BB1643" s="1">
        <v>0</v>
      </c>
      <c r="BC1643" s="1">
        <v>0</v>
      </c>
      <c r="BE1643" s="1">
        <v>27246422</v>
      </c>
    </row>
    <row r="1644" spans="1:57" x14ac:dyDescent="0.25">
      <c r="A1644" s="1" t="str">
        <f>T("1945464183743780740")</f>
        <v>1945464183743780740</v>
      </c>
      <c r="B1644" s="1" t="str">
        <f>T("249912885374")</f>
        <v>249912885374</v>
      </c>
      <c r="C1644" s="1" t="str">
        <f>T("1941094503125354296")</f>
        <v>1941094503125354296</v>
      </c>
      <c r="AC1644" s="1" t="s">
        <v>104</v>
      </c>
      <c r="AD1644" s="1" t="s">
        <v>105</v>
      </c>
      <c r="AE1644" s="1" t="s">
        <v>401</v>
      </c>
      <c r="AF1644" s="1" t="s">
        <v>107</v>
      </c>
      <c r="AG1644" s="1">
        <v>31</v>
      </c>
      <c r="AO1644" s="2">
        <v>46277</v>
      </c>
      <c r="AP1644" s="1" t="s">
        <v>301</v>
      </c>
      <c r="AS1644" s="1" t="s">
        <v>71</v>
      </c>
      <c r="AU1644" s="1" t="s">
        <v>72</v>
      </c>
      <c r="AV1644" s="1" t="s">
        <v>437</v>
      </c>
      <c r="AX1644" s="1">
        <v>0</v>
      </c>
      <c r="BA1644" s="1">
        <v>9</v>
      </c>
      <c r="BB1644" s="1">
        <v>0</v>
      </c>
      <c r="BC1644" s="1">
        <v>0</v>
      </c>
      <c r="BE1644" s="1">
        <v>27246422</v>
      </c>
    </row>
    <row r="1645" spans="1:57" x14ac:dyDescent="0.25">
      <c r="A1645" s="1" t="str">
        <f>T("1945464183777337304")</f>
        <v>1945464183777337304</v>
      </c>
      <c r="B1645" s="1" t="str">
        <f>T("249995046872")</f>
        <v>249995046872</v>
      </c>
      <c r="C1645" s="1" t="str">
        <f>T("1941094503116965780")</f>
        <v>1941094503116965780</v>
      </c>
      <c r="AA1645" s="1">
        <v>1</v>
      </c>
      <c r="AC1645" s="1" t="s">
        <v>104</v>
      </c>
      <c r="AD1645" s="1" t="s">
        <v>105</v>
      </c>
      <c r="AE1645" s="1" t="s">
        <v>401</v>
      </c>
      <c r="AF1645" s="1" t="s">
        <v>107</v>
      </c>
      <c r="AG1645" s="1">
        <v>21</v>
      </c>
      <c r="AO1645" s="2">
        <v>46277</v>
      </c>
      <c r="AP1645" s="1" t="s">
        <v>301</v>
      </c>
      <c r="AQ1645" s="2">
        <v>46277</v>
      </c>
      <c r="AR1645" s="1" t="s">
        <v>706</v>
      </c>
      <c r="AS1645" s="1" t="s">
        <v>71</v>
      </c>
      <c r="AU1645" s="1" t="s">
        <v>79</v>
      </c>
      <c r="AV1645" s="1" t="s">
        <v>80</v>
      </c>
      <c r="AW1645" s="1">
        <v>77.680000000000007</v>
      </c>
      <c r="AX1645" s="1">
        <v>0</v>
      </c>
      <c r="AZ1645" s="1" t="s">
        <v>81</v>
      </c>
      <c r="BA1645" s="1">
        <v>3</v>
      </c>
      <c r="BB1645" s="1">
        <v>0</v>
      </c>
      <c r="BC1645" s="1">
        <v>0</v>
      </c>
      <c r="BE1645" s="1">
        <v>27246422</v>
      </c>
    </row>
    <row r="1646" spans="1:57" x14ac:dyDescent="0.25">
      <c r="A1646" s="1" t="str">
        <f>T("1945464183785725320")</f>
        <v>1945464183785725320</v>
      </c>
      <c r="B1646" s="1" t="str">
        <f>T("249916216415")</f>
        <v>249916216415</v>
      </c>
      <c r="C1646" s="1" t="str">
        <f>T("1941094503142130828")</f>
        <v>1941094503142130828</v>
      </c>
      <c r="AC1646" s="1" t="s">
        <v>104</v>
      </c>
      <c r="AD1646" s="1" t="s">
        <v>105</v>
      </c>
      <c r="AE1646" s="1" t="s">
        <v>401</v>
      </c>
      <c r="AF1646" s="1" t="s">
        <v>107</v>
      </c>
      <c r="AG1646" s="1">
        <v>18</v>
      </c>
      <c r="AO1646" s="2">
        <v>46277</v>
      </c>
      <c r="AP1646" s="1" t="s">
        <v>301</v>
      </c>
      <c r="AS1646" s="1" t="s">
        <v>71</v>
      </c>
      <c r="AU1646" s="1" t="s">
        <v>72</v>
      </c>
      <c r="AV1646" s="1" t="s">
        <v>73</v>
      </c>
      <c r="AX1646" s="1">
        <v>0</v>
      </c>
      <c r="BA1646" s="1">
        <v>9</v>
      </c>
      <c r="BB1646" s="1">
        <v>0</v>
      </c>
      <c r="BC1646" s="1">
        <v>0</v>
      </c>
      <c r="BE1646" s="1">
        <v>27246422</v>
      </c>
    </row>
    <row r="1647" spans="1:57" x14ac:dyDescent="0.25">
      <c r="A1647" s="1" t="str">
        <f>T("1945464183869610980")</f>
        <v>1945464183869610980</v>
      </c>
      <c r="B1647" s="1" t="str">
        <f>T("249963515599")</f>
        <v>249963515599</v>
      </c>
      <c r="C1647" s="1" t="str">
        <f>T("1941094503142131228")</f>
        <v>1941094503142131228</v>
      </c>
      <c r="AC1647" s="1" t="s">
        <v>104</v>
      </c>
      <c r="AD1647" s="1" t="s">
        <v>105</v>
      </c>
      <c r="AE1647" s="1" t="s">
        <v>401</v>
      </c>
      <c r="AF1647" s="1" t="s">
        <v>107</v>
      </c>
      <c r="AG1647" s="1">
        <v>26</v>
      </c>
      <c r="AO1647" s="2">
        <v>46277</v>
      </c>
      <c r="AP1647" s="1" t="s">
        <v>301</v>
      </c>
      <c r="AS1647" s="1" t="s">
        <v>71</v>
      </c>
      <c r="AU1647" s="1" t="s">
        <v>72</v>
      </c>
      <c r="AV1647" s="1" t="s">
        <v>437</v>
      </c>
      <c r="AX1647" s="1">
        <v>0</v>
      </c>
      <c r="BA1647" s="1">
        <v>9</v>
      </c>
      <c r="BB1647" s="1">
        <v>0</v>
      </c>
      <c r="BC1647" s="1">
        <v>0</v>
      </c>
      <c r="BE1647" s="1">
        <v>27246422</v>
      </c>
    </row>
    <row r="1648" spans="1:57" x14ac:dyDescent="0.25">
      <c r="A1648" s="1" t="str">
        <f>T("1945464183911552860")</f>
        <v>1945464183911552860</v>
      </c>
      <c r="B1648" s="1" t="str">
        <f>T("249128069678")</f>
        <v>249128069678</v>
      </c>
      <c r="C1648" s="1" t="str">
        <f>T("1941094503142131928")</f>
        <v>1941094503142131928</v>
      </c>
      <c r="AA1648" s="1">
        <v>1</v>
      </c>
      <c r="AC1648" s="1" t="s">
        <v>104</v>
      </c>
      <c r="AD1648" s="1" t="s">
        <v>105</v>
      </c>
      <c r="AE1648" s="1" t="s">
        <v>401</v>
      </c>
      <c r="AF1648" s="1" t="s">
        <v>107</v>
      </c>
      <c r="AG1648" s="1">
        <v>20</v>
      </c>
      <c r="AO1648" s="2">
        <v>46277</v>
      </c>
      <c r="AP1648" s="1" t="s">
        <v>301</v>
      </c>
      <c r="AQ1648" s="2">
        <v>46277</v>
      </c>
      <c r="AR1648" s="1" t="s">
        <v>309</v>
      </c>
      <c r="AS1648" s="1" t="s">
        <v>71</v>
      </c>
      <c r="AU1648" s="1" t="s">
        <v>79</v>
      </c>
      <c r="AV1648" s="1" t="s">
        <v>80</v>
      </c>
      <c r="AW1648" s="1">
        <v>95.218000000000004</v>
      </c>
      <c r="AX1648" s="1">
        <v>0</v>
      </c>
      <c r="AZ1648" s="1" t="s">
        <v>81</v>
      </c>
      <c r="BA1648" s="1">
        <v>1</v>
      </c>
      <c r="BB1648" s="1">
        <v>0</v>
      </c>
      <c r="BC1648" s="1">
        <v>0</v>
      </c>
      <c r="BE1648" s="1">
        <v>27246422</v>
      </c>
    </row>
    <row r="1649" spans="1:57" x14ac:dyDescent="0.25">
      <c r="A1649" s="1" t="str">
        <f>T("1945464183928331092")</f>
        <v>1945464183928331092</v>
      </c>
      <c r="B1649" s="1" t="str">
        <f>T("249123505082")</f>
        <v>249123505082</v>
      </c>
      <c r="C1649" s="1" t="str">
        <f>T("1941094503142133228")</f>
        <v>1941094503142133228</v>
      </c>
      <c r="AA1649" s="1">
        <v>1</v>
      </c>
      <c r="AC1649" s="1" t="s">
        <v>104</v>
      </c>
      <c r="AD1649" s="1" t="s">
        <v>105</v>
      </c>
      <c r="AE1649" s="1" t="s">
        <v>401</v>
      </c>
      <c r="AF1649" s="1" t="s">
        <v>107</v>
      </c>
      <c r="AG1649" s="1">
        <v>57</v>
      </c>
      <c r="AO1649" s="2">
        <v>46277</v>
      </c>
      <c r="AP1649" s="1" t="s">
        <v>301</v>
      </c>
      <c r="AQ1649" s="2">
        <v>46277</v>
      </c>
      <c r="AR1649" s="1" t="s">
        <v>525</v>
      </c>
      <c r="AS1649" s="1" t="s">
        <v>71</v>
      </c>
      <c r="AU1649" s="1" t="s">
        <v>79</v>
      </c>
      <c r="AV1649" s="1" t="s">
        <v>80</v>
      </c>
      <c r="AW1649" s="1">
        <v>68.3</v>
      </c>
      <c r="AX1649" s="1">
        <v>0</v>
      </c>
      <c r="AZ1649" s="1" t="s">
        <v>81</v>
      </c>
      <c r="BA1649" s="1">
        <v>1</v>
      </c>
      <c r="BB1649" s="1">
        <v>0</v>
      </c>
      <c r="BC1649" s="1">
        <v>0</v>
      </c>
      <c r="BE1649" s="1">
        <v>27246422</v>
      </c>
    </row>
    <row r="1650" spans="1:57" x14ac:dyDescent="0.25">
      <c r="A1650" s="1" t="str">
        <f>T("1945464183928331592")</f>
        <v>1945464183928331592</v>
      </c>
      <c r="B1650" s="1" t="str">
        <f>T("249121025738")</f>
        <v>249121025738</v>
      </c>
      <c r="C1650" s="1" t="str">
        <f>T("1941094503146324136")</f>
        <v>1941094503146324136</v>
      </c>
      <c r="AA1650" s="1">
        <v>1</v>
      </c>
      <c r="AC1650" s="1" t="s">
        <v>104</v>
      </c>
      <c r="AD1650" s="1" t="s">
        <v>105</v>
      </c>
      <c r="AE1650" s="1" t="s">
        <v>401</v>
      </c>
      <c r="AF1650" s="1" t="s">
        <v>107</v>
      </c>
      <c r="AG1650" s="1">
        <v>40</v>
      </c>
      <c r="AO1650" s="2">
        <v>46277</v>
      </c>
      <c r="AP1650" s="1" t="s">
        <v>301</v>
      </c>
      <c r="AQ1650" s="2">
        <v>46277</v>
      </c>
      <c r="AR1650" s="1" t="s">
        <v>707</v>
      </c>
      <c r="AS1650" s="1" t="s">
        <v>71</v>
      </c>
      <c r="AU1650" s="1" t="s">
        <v>79</v>
      </c>
      <c r="AV1650" s="1" t="s">
        <v>80</v>
      </c>
      <c r="AW1650" s="1">
        <v>40.98</v>
      </c>
      <c r="AX1650" s="1">
        <v>0</v>
      </c>
      <c r="AZ1650" s="1" t="s">
        <v>81</v>
      </c>
      <c r="BA1650" s="1">
        <v>4</v>
      </c>
      <c r="BB1650" s="1">
        <v>0</v>
      </c>
      <c r="BC1650" s="1">
        <v>0</v>
      </c>
      <c r="BE1650" s="1">
        <v>27246422</v>
      </c>
    </row>
    <row r="1651" spans="1:57" x14ac:dyDescent="0.25">
      <c r="A1651" s="1" t="str">
        <f>T("1945464183932525000")</f>
        <v>1945464183932525000</v>
      </c>
      <c r="B1651" s="1" t="str">
        <f>T("249901627966")</f>
        <v>249901627966</v>
      </c>
      <c r="C1651" s="1" t="str">
        <f>T("1941094503142132428")</f>
        <v>1941094503142132428</v>
      </c>
      <c r="AC1651" s="1" t="s">
        <v>104</v>
      </c>
      <c r="AD1651" s="1" t="s">
        <v>105</v>
      </c>
      <c r="AE1651" s="1" t="s">
        <v>401</v>
      </c>
      <c r="AF1651" s="1" t="s">
        <v>107</v>
      </c>
      <c r="AG1651" s="1">
        <v>31</v>
      </c>
      <c r="AO1651" s="2">
        <v>46277</v>
      </c>
      <c r="AP1651" s="1" t="s">
        <v>301</v>
      </c>
      <c r="AS1651" s="1" t="s">
        <v>71</v>
      </c>
      <c r="AU1651" s="1" t="s">
        <v>72</v>
      </c>
      <c r="AV1651" s="1" t="s">
        <v>437</v>
      </c>
      <c r="AX1651" s="1">
        <v>0</v>
      </c>
      <c r="BA1651" s="1">
        <v>9</v>
      </c>
      <c r="BB1651" s="1">
        <v>0</v>
      </c>
      <c r="BC1651" s="1">
        <v>0</v>
      </c>
      <c r="BE1651" s="1">
        <v>27246422</v>
      </c>
    </row>
    <row r="1652" spans="1:57" x14ac:dyDescent="0.25">
      <c r="A1652" s="1" t="str">
        <f>T("1945464183945108024")</f>
        <v>1945464183945108024</v>
      </c>
      <c r="B1652" s="1" t="str">
        <f>T("249122922757")</f>
        <v>249122922757</v>
      </c>
      <c r="C1652" s="1" t="str">
        <f>T("1941094503137938220")</f>
        <v>1941094503137938220</v>
      </c>
      <c r="AC1652" s="1" t="s">
        <v>104</v>
      </c>
      <c r="AD1652" s="1" t="s">
        <v>105</v>
      </c>
      <c r="AE1652" s="1" t="s">
        <v>401</v>
      </c>
      <c r="AF1652" s="1" t="s">
        <v>107</v>
      </c>
      <c r="AG1652" s="1">
        <v>41</v>
      </c>
      <c r="AO1652" s="2">
        <v>46277</v>
      </c>
      <c r="AP1652" s="1" t="s">
        <v>301</v>
      </c>
      <c r="AQ1652" s="2">
        <v>46277</v>
      </c>
      <c r="AR1652" s="1" t="s">
        <v>708</v>
      </c>
      <c r="AS1652" s="1" t="s">
        <v>71</v>
      </c>
      <c r="AU1652" s="1" t="s">
        <v>79</v>
      </c>
      <c r="AV1652" s="1" t="s">
        <v>80</v>
      </c>
      <c r="AW1652" s="1">
        <v>27.82</v>
      </c>
      <c r="AX1652" s="1">
        <v>0</v>
      </c>
      <c r="AZ1652" s="1" t="s">
        <v>81</v>
      </c>
      <c r="BA1652" s="1">
        <v>2</v>
      </c>
      <c r="BB1652" s="1">
        <v>0</v>
      </c>
      <c r="BC1652" s="1">
        <v>0</v>
      </c>
      <c r="BE1652" s="1">
        <v>27246422</v>
      </c>
    </row>
    <row r="1653" spans="1:57" x14ac:dyDescent="0.25">
      <c r="A1653" s="1" t="str">
        <f>T("1945464183966078364")</f>
        <v>1945464183966078364</v>
      </c>
      <c r="B1653" s="1" t="str">
        <f>T("249116952241")</f>
        <v>249116952241</v>
      </c>
      <c r="C1653" s="1" t="str">
        <f>T("1941094503146324736")</f>
        <v>1941094503146324736</v>
      </c>
      <c r="AC1653" s="1" t="s">
        <v>104</v>
      </c>
      <c r="AD1653" s="1" t="s">
        <v>105</v>
      </c>
      <c r="AE1653" s="1" t="s">
        <v>401</v>
      </c>
      <c r="AF1653" s="1" t="s">
        <v>107</v>
      </c>
      <c r="AG1653" s="1">
        <v>21</v>
      </c>
      <c r="AO1653" s="2">
        <v>46277</v>
      </c>
      <c r="AP1653" s="1" t="s">
        <v>301</v>
      </c>
      <c r="AS1653" s="1" t="s">
        <v>71</v>
      </c>
      <c r="AU1653" s="1" t="s">
        <v>72</v>
      </c>
      <c r="AV1653" s="1" t="s">
        <v>115</v>
      </c>
      <c r="AX1653" s="1">
        <v>0</v>
      </c>
      <c r="BA1653" s="1">
        <v>9</v>
      </c>
      <c r="BB1653" s="1">
        <v>0</v>
      </c>
      <c r="BC1653" s="1">
        <v>0</v>
      </c>
      <c r="BE1653" s="1">
        <v>27246422</v>
      </c>
    </row>
    <row r="1654" spans="1:57" x14ac:dyDescent="0.25">
      <c r="A1654" s="1" t="str">
        <f>T("1945464184012216152")</f>
        <v>1945464184012216152</v>
      </c>
      <c r="B1654" s="1" t="str">
        <f>T("249117264489")</f>
        <v>249117264489</v>
      </c>
      <c r="C1654" s="1" t="str">
        <f>T("1941094503146325436")</f>
        <v>1941094503146325436</v>
      </c>
      <c r="AC1654" s="1" t="s">
        <v>104</v>
      </c>
      <c r="AD1654" s="1" t="s">
        <v>105</v>
      </c>
      <c r="AE1654" s="1" t="s">
        <v>401</v>
      </c>
      <c r="AF1654" s="1" t="s">
        <v>107</v>
      </c>
      <c r="AG1654" s="1">
        <v>20</v>
      </c>
      <c r="AO1654" s="2">
        <v>46277</v>
      </c>
      <c r="AP1654" s="1" t="s">
        <v>301</v>
      </c>
      <c r="AQ1654" s="2">
        <v>46277</v>
      </c>
      <c r="AR1654" s="1" t="s">
        <v>709</v>
      </c>
      <c r="AS1654" s="1" t="s">
        <v>71</v>
      </c>
      <c r="AU1654" s="1" t="s">
        <v>79</v>
      </c>
      <c r="AV1654" s="1" t="s">
        <v>80</v>
      </c>
      <c r="AW1654" s="1">
        <v>13.439</v>
      </c>
      <c r="AX1654" s="1">
        <v>0</v>
      </c>
      <c r="AZ1654" s="1" t="s">
        <v>81</v>
      </c>
      <c r="BA1654" s="1">
        <v>4</v>
      </c>
      <c r="BB1654" s="1">
        <v>0</v>
      </c>
      <c r="BC1654" s="1">
        <v>0</v>
      </c>
      <c r="BE1654" s="1">
        <v>27246422</v>
      </c>
    </row>
    <row r="1655" spans="1:57" x14ac:dyDescent="0.25">
      <c r="A1655" s="1" t="str">
        <f>T("1945464184016411060")</f>
        <v>1945464184016411060</v>
      </c>
      <c r="B1655" s="1" t="str">
        <f>T("249116270953")</f>
        <v>249116270953</v>
      </c>
      <c r="C1655" s="1" t="str">
        <f>T("1941094503146326136")</f>
        <v>1941094503146326136</v>
      </c>
      <c r="AC1655" s="1" t="s">
        <v>104</v>
      </c>
      <c r="AD1655" s="1" t="s">
        <v>105</v>
      </c>
      <c r="AE1655" s="1" t="s">
        <v>401</v>
      </c>
      <c r="AF1655" s="1" t="s">
        <v>107</v>
      </c>
      <c r="AG1655" s="1">
        <v>39</v>
      </c>
      <c r="AO1655" s="2">
        <v>46277</v>
      </c>
      <c r="AP1655" s="1" t="s">
        <v>301</v>
      </c>
      <c r="AS1655" s="1" t="s">
        <v>71</v>
      </c>
      <c r="AU1655" s="1" t="s">
        <v>72</v>
      </c>
      <c r="AV1655" s="1" t="s">
        <v>115</v>
      </c>
      <c r="AX1655" s="1">
        <v>0</v>
      </c>
      <c r="BA1655" s="1">
        <v>9</v>
      </c>
      <c r="BB1655" s="1">
        <v>0</v>
      </c>
      <c r="BC1655" s="1">
        <v>0</v>
      </c>
      <c r="BE1655" s="1">
        <v>27246422</v>
      </c>
    </row>
    <row r="1656" spans="1:57" x14ac:dyDescent="0.25">
      <c r="A1656" s="1" t="str">
        <f>T("1945464184049965824")</f>
        <v>1945464184049965824</v>
      </c>
      <c r="B1656" s="1" t="str">
        <f>T("249126327898")</f>
        <v>249126327898</v>
      </c>
      <c r="C1656" s="1" t="str">
        <f>T("1941094503146326836")</f>
        <v>1941094503146326836</v>
      </c>
      <c r="AC1656" s="1" t="s">
        <v>104</v>
      </c>
      <c r="AD1656" s="1" t="s">
        <v>105</v>
      </c>
      <c r="AE1656" s="1" t="s">
        <v>401</v>
      </c>
      <c r="AF1656" s="1" t="s">
        <v>107</v>
      </c>
      <c r="AG1656" s="1">
        <v>32</v>
      </c>
      <c r="AO1656" s="2">
        <v>46277</v>
      </c>
      <c r="AP1656" s="1" t="s">
        <v>301</v>
      </c>
      <c r="AS1656" s="1" t="s">
        <v>71</v>
      </c>
      <c r="AU1656" s="1" t="s">
        <v>72</v>
      </c>
      <c r="AV1656" s="1" t="s">
        <v>73</v>
      </c>
      <c r="AX1656" s="1">
        <v>0</v>
      </c>
      <c r="BA1656" s="1">
        <v>9</v>
      </c>
      <c r="BB1656" s="1">
        <v>0</v>
      </c>
      <c r="BC1656" s="1">
        <v>0</v>
      </c>
      <c r="BE1656" s="1">
        <v>27246422</v>
      </c>
    </row>
    <row r="1657" spans="1:57" x14ac:dyDescent="0.25">
      <c r="A1657" s="1" t="str">
        <f>T("1945464184075132372")</f>
        <v>1945464184075132372</v>
      </c>
      <c r="B1657" s="1" t="str">
        <f>T("249926396971")</f>
        <v>249926396971</v>
      </c>
      <c r="C1657" s="1" t="str">
        <f>T("1941094503150518744")</f>
        <v>1941094503150518744</v>
      </c>
      <c r="AA1657" s="1">
        <v>1</v>
      </c>
      <c r="AC1657" s="1" t="s">
        <v>104</v>
      </c>
      <c r="AD1657" s="1" t="s">
        <v>105</v>
      </c>
      <c r="AE1657" s="1" t="s">
        <v>401</v>
      </c>
      <c r="AF1657" s="1" t="s">
        <v>107</v>
      </c>
      <c r="AG1657" s="1">
        <v>28</v>
      </c>
      <c r="AO1657" s="2">
        <v>46277</v>
      </c>
      <c r="AP1657" s="1" t="s">
        <v>301</v>
      </c>
      <c r="AQ1657" s="2">
        <v>46277</v>
      </c>
      <c r="AR1657" s="1" t="s">
        <v>710</v>
      </c>
      <c r="AS1657" s="1" t="s">
        <v>71</v>
      </c>
      <c r="AU1657" s="1" t="s">
        <v>79</v>
      </c>
      <c r="AV1657" s="1" t="s">
        <v>80</v>
      </c>
      <c r="AW1657" s="1">
        <v>57.48</v>
      </c>
      <c r="AX1657" s="1">
        <v>0</v>
      </c>
      <c r="AZ1657" s="1" t="s">
        <v>81</v>
      </c>
      <c r="BA1657" s="1">
        <v>4</v>
      </c>
      <c r="BB1657" s="1">
        <v>0</v>
      </c>
      <c r="BC1657" s="1">
        <v>0</v>
      </c>
      <c r="BE1657" s="1">
        <v>27246422</v>
      </c>
    </row>
    <row r="1658" spans="1:57" x14ac:dyDescent="0.25">
      <c r="A1658" s="1" t="str">
        <f>T("1945464184079325180")</f>
        <v>1945464184079325180</v>
      </c>
      <c r="B1658" s="1" t="str">
        <f>T("249925970253")</f>
        <v>249925970253</v>
      </c>
      <c r="C1658" s="1" t="str">
        <f>T("1941094503150519844")</f>
        <v>1941094503150519844</v>
      </c>
      <c r="AA1658" s="1">
        <v>1</v>
      </c>
      <c r="AC1658" s="1" t="s">
        <v>104</v>
      </c>
      <c r="AD1658" s="1" t="s">
        <v>105</v>
      </c>
      <c r="AE1658" s="1" t="s">
        <v>401</v>
      </c>
      <c r="AF1658" s="1" t="s">
        <v>107</v>
      </c>
      <c r="AG1658" s="1">
        <v>37</v>
      </c>
      <c r="AO1658" s="2">
        <v>46277</v>
      </c>
      <c r="AP1658" s="1" t="s">
        <v>301</v>
      </c>
      <c r="AQ1658" s="2">
        <v>46277</v>
      </c>
      <c r="AR1658" s="1" t="s">
        <v>711</v>
      </c>
      <c r="AS1658" s="1" t="s">
        <v>71</v>
      </c>
      <c r="AU1658" s="1" t="s">
        <v>79</v>
      </c>
      <c r="AV1658" s="1" t="s">
        <v>80</v>
      </c>
      <c r="AW1658" s="1">
        <v>38.82</v>
      </c>
      <c r="AX1658" s="1">
        <v>0</v>
      </c>
      <c r="AZ1658" s="1" t="s">
        <v>81</v>
      </c>
      <c r="BA1658" s="1">
        <v>1</v>
      </c>
      <c r="BB1658" s="1">
        <v>0</v>
      </c>
      <c r="BC1658" s="1">
        <v>0</v>
      </c>
      <c r="BE1658" s="1">
        <v>27246422</v>
      </c>
    </row>
    <row r="1659" spans="1:57" x14ac:dyDescent="0.25">
      <c r="A1659" s="1" t="str">
        <f>T("1945464184100297620")</f>
        <v>1945464184100297620</v>
      </c>
      <c r="B1659" s="1" t="str">
        <f>T("249124088382")</f>
        <v>249124088382</v>
      </c>
      <c r="C1659" s="1" t="str">
        <f>T("1941094503150520944")</f>
        <v>1941094503150520944</v>
      </c>
      <c r="AC1659" s="1" t="s">
        <v>104</v>
      </c>
      <c r="AD1659" s="1" t="s">
        <v>105</v>
      </c>
      <c r="AE1659" s="1" t="s">
        <v>401</v>
      </c>
      <c r="AF1659" s="1" t="s">
        <v>107</v>
      </c>
      <c r="AG1659" s="1">
        <v>22</v>
      </c>
      <c r="AO1659" s="2">
        <v>46277</v>
      </c>
      <c r="AP1659" s="1" t="s">
        <v>301</v>
      </c>
      <c r="AS1659" s="1" t="s">
        <v>71</v>
      </c>
      <c r="AU1659" s="1" t="s">
        <v>72</v>
      </c>
      <c r="AV1659" s="1" t="s">
        <v>73</v>
      </c>
      <c r="AX1659" s="1">
        <v>0</v>
      </c>
      <c r="BA1659" s="1">
        <v>9</v>
      </c>
      <c r="BB1659" s="1">
        <v>0</v>
      </c>
      <c r="BC1659" s="1">
        <v>0</v>
      </c>
      <c r="BE1659" s="1">
        <v>27246422</v>
      </c>
    </row>
    <row r="1660" spans="1:57" x14ac:dyDescent="0.25">
      <c r="A1660" s="1" t="str">
        <f>T("1945464184108686136")</f>
        <v>1945464184108686136</v>
      </c>
      <c r="B1660" s="1" t="str">
        <f>T("249920488382")</f>
        <v>249920488382</v>
      </c>
      <c r="C1660" s="1" t="str">
        <f>T("1941094503150520444")</f>
        <v>1941094503150520444</v>
      </c>
      <c r="AA1660" s="1">
        <v>1</v>
      </c>
      <c r="AC1660" s="1" t="s">
        <v>104</v>
      </c>
      <c r="AD1660" s="1" t="s">
        <v>105</v>
      </c>
      <c r="AE1660" s="1" t="s">
        <v>401</v>
      </c>
      <c r="AF1660" s="1" t="s">
        <v>107</v>
      </c>
      <c r="AG1660" s="1">
        <v>39</v>
      </c>
      <c r="AO1660" s="2">
        <v>46277</v>
      </c>
      <c r="AP1660" s="1" t="s">
        <v>301</v>
      </c>
      <c r="AQ1660" s="2">
        <v>46277</v>
      </c>
      <c r="AR1660" s="1" t="s">
        <v>700</v>
      </c>
      <c r="AS1660" s="1" t="s">
        <v>71</v>
      </c>
      <c r="AU1660" s="1" t="s">
        <v>78</v>
      </c>
      <c r="AV1660" s="1" t="s">
        <v>80</v>
      </c>
      <c r="AW1660" s="1">
        <v>134.68</v>
      </c>
      <c r="AX1660" s="1">
        <v>0</v>
      </c>
      <c r="AZ1660" s="1" t="s">
        <v>81</v>
      </c>
      <c r="BA1660" s="1">
        <v>1</v>
      </c>
      <c r="BB1660" s="1">
        <v>0</v>
      </c>
      <c r="BC1660" s="1">
        <v>0</v>
      </c>
      <c r="BE1660" s="1">
        <v>27246422</v>
      </c>
    </row>
    <row r="1661" spans="1:57" x14ac:dyDescent="0.25">
      <c r="A1661" s="1" t="str">
        <f>T("1945464184121266760")</f>
        <v>1945464184121266760</v>
      </c>
      <c r="B1661" s="1" t="str">
        <f>T("249119132283")</f>
        <v>249119132283</v>
      </c>
      <c r="C1661" s="1" t="str">
        <f>T("1941094503150521444")</f>
        <v>1941094503150521444</v>
      </c>
      <c r="AC1661" s="1" t="s">
        <v>104</v>
      </c>
      <c r="AD1661" s="1" t="s">
        <v>105</v>
      </c>
      <c r="AE1661" s="1" t="s">
        <v>401</v>
      </c>
      <c r="AF1661" s="1" t="s">
        <v>107</v>
      </c>
      <c r="AG1661" s="1">
        <v>21</v>
      </c>
      <c r="AO1661" s="2">
        <v>46277</v>
      </c>
      <c r="AP1661" s="1" t="s">
        <v>301</v>
      </c>
      <c r="AS1661" s="1" t="s">
        <v>71</v>
      </c>
      <c r="AU1661" s="1" t="s">
        <v>72</v>
      </c>
      <c r="AV1661" s="1" t="s">
        <v>73</v>
      </c>
      <c r="AX1661" s="1">
        <v>0</v>
      </c>
      <c r="BA1661" s="1">
        <v>9</v>
      </c>
      <c r="BB1661" s="1">
        <v>0</v>
      </c>
      <c r="BC1661" s="1">
        <v>0</v>
      </c>
      <c r="BE1661" s="1">
        <v>27246422</v>
      </c>
    </row>
    <row r="1662" spans="1:57" x14ac:dyDescent="0.25">
      <c r="A1662" s="1" t="str">
        <f>T("1945464184129658476")</f>
        <v>1945464184129658476</v>
      </c>
      <c r="B1662" s="1" t="str">
        <f>T("249927957005")</f>
        <v>249927957005</v>
      </c>
      <c r="C1662" s="1" t="str">
        <f>T("1941094503150521944")</f>
        <v>1941094503150521944</v>
      </c>
      <c r="AA1662" s="1">
        <v>1</v>
      </c>
      <c r="AC1662" s="1" t="s">
        <v>104</v>
      </c>
      <c r="AD1662" s="1" t="s">
        <v>105</v>
      </c>
      <c r="AE1662" s="1" t="s">
        <v>401</v>
      </c>
      <c r="AF1662" s="1" t="s">
        <v>107</v>
      </c>
      <c r="AG1662" s="1">
        <v>39</v>
      </c>
      <c r="AO1662" s="2">
        <v>46277</v>
      </c>
      <c r="AP1662" s="1" t="s">
        <v>301</v>
      </c>
      <c r="AQ1662" s="2">
        <v>46277</v>
      </c>
      <c r="AR1662" s="1" t="s">
        <v>712</v>
      </c>
      <c r="AS1662" s="1" t="s">
        <v>71</v>
      </c>
      <c r="AU1662" s="1" t="s">
        <v>79</v>
      </c>
      <c r="AV1662" s="1" t="s">
        <v>80</v>
      </c>
      <c r="AW1662" s="1">
        <v>92.88</v>
      </c>
      <c r="AX1662" s="1">
        <v>0</v>
      </c>
      <c r="AZ1662" s="1" t="s">
        <v>81</v>
      </c>
      <c r="BA1662" s="1">
        <v>2</v>
      </c>
      <c r="BB1662" s="1">
        <v>0</v>
      </c>
      <c r="BC1662" s="1">
        <v>0</v>
      </c>
      <c r="BE1662" s="1">
        <v>27246422</v>
      </c>
    </row>
    <row r="1663" spans="1:57" x14ac:dyDescent="0.25">
      <c r="A1663" s="1" t="str">
        <f>T("1945464184150627116")</f>
        <v>1945464184150627116</v>
      </c>
      <c r="B1663" s="1" t="str">
        <f>T("249928841595")</f>
        <v>249928841595</v>
      </c>
      <c r="C1663" s="1" t="str">
        <f>T("1941094503154713252")</f>
        <v>1941094503154713252</v>
      </c>
      <c r="AA1663" s="1">
        <v>1</v>
      </c>
      <c r="AC1663" s="1" t="s">
        <v>104</v>
      </c>
      <c r="AD1663" s="1" t="s">
        <v>105</v>
      </c>
      <c r="AE1663" s="1" t="s">
        <v>401</v>
      </c>
      <c r="AF1663" s="1" t="s">
        <v>107</v>
      </c>
      <c r="AG1663" s="1">
        <v>29</v>
      </c>
      <c r="AO1663" s="2">
        <v>46277</v>
      </c>
      <c r="AP1663" s="1" t="s">
        <v>301</v>
      </c>
      <c r="AQ1663" s="2">
        <v>46277</v>
      </c>
      <c r="AR1663" s="1" t="s">
        <v>315</v>
      </c>
      <c r="AS1663" s="1" t="s">
        <v>71</v>
      </c>
      <c r="AU1663" s="1" t="s">
        <v>78</v>
      </c>
      <c r="AV1663" s="1" t="s">
        <v>80</v>
      </c>
      <c r="AW1663" s="1">
        <v>134.68</v>
      </c>
      <c r="AX1663" s="1">
        <v>0</v>
      </c>
      <c r="AZ1663" s="1" t="s">
        <v>81</v>
      </c>
      <c r="BA1663" s="1">
        <v>1</v>
      </c>
      <c r="BB1663" s="1">
        <v>0</v>
      </c>
      <c r="BC1663" s="1">
        <v>0</v>
      </c>
      <c r="BE1663" s="1">
        <v>27246422</v>
      </c>
    </row>
    <row r="1664" spans="1:57" x14ac:dyDescent="0.25">
      <c r="A1664" s="1" t="str">
        <f>T("1945464184154821324")</f>
        <v>1945464184154821324</v>
      </c>
      <c r="B1664" s="1" t="str">
        <f>T("249921776130")</f>
        <v>249921776130</v>
      </c>
      <c r="C1664" s="1" t="str">
        <f>T("1941094503154712852")</f>
        <v>1941094503154712852</v>
      </c>
      <c r="AA1664" s="1">
        <v>1</v>
      </c>
      <c r="AC1664" s="1" t="s">
        <v>104</v>
      </c>
      <c r="AD1664" s="1" t="s">
        <v>105</v>
      </c>
      <c r="AE1664" s="1" t="s">
        <v>401</v>
      </c>
      <c r="AF1664" s="1" t="s">
        <v>107</v>
      </c>
      <c r="AG1664" s="1">
        <v>24</v>
      </c>
      <c r="AO1664" s="2">
        <v>46277</v>
      </c>
      <c r="AP1664" s="1" t="s">
        <v>301</v>
      </c>
      <c r="AQ1664" s="2">
        <v>46277</v>
      </c>
      <c r="AR1664" s="1" t="s">
        <v>703</v>
      </c>
      <c r="AS1664" s="1" t="s">
        <v>71</v>
      </c>
      <c r="AU1664" s="1" t="s">
        <v>79</v>
      </c>
      <c r="AV1664" s="1" t="s">
        <v>80</v>
      </c>
      <c r="AW1664" s="1">
        <v>64.98</v>
      </c>
      <c r="AX1664" s="1">
        <v>0</v>
      </c>
      <c r="AZ1664" s="1" t="s">
        <v>81</v>
      </c>
      <c r="BA1664" s="1">
        <v>1</v>
      </c>
      <c r="BB1664" s="1">
        <v>0</v>
      </c>
      <c r="BC1664" s="1">
        <v>0</v>
      </c>
      <c r="BE1664" s="1">
        <v>27246422</v>
      </c>
    </row>
    <row r="1665" spans="1:57" x14ac:dyDescent="0.25">
      <c r="A1665" s="1" t="str">
        <f>T("1945464184167407348")</f>
        <v>1945464184167407348</v>
      </c>
      <c r="B1665" s="1" t="str">
        <f>T("249923452033")</f>
        <v>249923452033</v>
      </c>
      <c r="C1665" s="1" t="str">
        <f>T("1941094503154714252")</f>
        <v>1941094503154714252</v>
      </c>
      <c r="AA1665" s="1">
        <v>1</v>
      </c>
      <c r="AC1665" s="1" t="s">
        <v>104</v>
      </c>
      <c r="AD1665" s="1" t="s">
        <v>105</v>
      </c>
      <c r="AE1665" s="1" t="s">
        <v>401</v>
      </c>
      <c r="AF1665" s="1" t="s">
        <v>107</v>
      </c>
      <c r="AG1665" s="1">
        <v>39</v>
      </c>
      <c r="AO1665" s="2">
        <v>46277</v>
      </c>
      <c r="AP1665" s="1" t="s">
        <v>301</v>
      </c>
      <c r="AQ1665" s="2">
        <v>46277</v>
      </c>
      <c r="AR1665" s="1" t="s">
        <v>713</v>
      </c>
      <c r="AS1665" s="1" t="s">
        <v>71</v>
      </c>
      <c r="AU1665" s="1" t="s">
        <v>79</v>
      </c>
      <c r="AV1665" s="1" t="s">
        <v>80</v>
      </c>
      <c r="AW1665" s="1">
        <v>92.22</v>
      </c>
      <c r="AX1665" s="1">
        <v>0</v>
      </c>
      <c r="AZ1665" s="1" t="s">
        <v>81</v>
      </c>
      <c r="BA1665" s="1">
        <v>7</v>
      </c>
      <c r="BB1665" s="1">
        <v>0</v>
      </c>
      <c r="BC1665" s="1">
        <v>0</v>
      </c>
      <c r="BE1665" s="1">
        <v>27246422</v>
      </c>
    </row>
    <row r="1666" spans="1:57" x14ac:dyDescent="0.25">
      <c r="A1666" s="1" t="str">
        <f>T("1945464184184181080")</f>
        <v>1945464184184181080</v>
      </c>
      <c r="B1666" s="1" t="str">
        <f>T("249122494081")</f>
        <v>249122494081</v>
      </c>
      <c r="C1666" s="1" t="str">
        <f>T("1941094503154715452")</f>
        <v>1941094503154715452</v>
      </c>
      <c r="AC1666" s="1" t="s">
        <v>104</v>
      </c>
      <c r="AD1666" s="1" t="s">
        <v>105</v>
      </c>
      <c r="AE1666" s="1" t="s">
        <v>401</v>
      </c>
      <c r="AF1666" s="1" t="s">
        <v>107</v>
      </c>
      <c r="AG1666" s="1">
        <v>32</v>
      </c>
      <c r="AO1666" s="2">
        <v>46277</v>
      </c>
      <c r="AP1666" s="1" t="s">
        <v>301</v>
      </c>
      <c r="AQ1666" s="2">
        <v>46277</v>
      </c>
      <c r="AR1666" s="1" t="s">
        <v>714</v>
      </c>
      <c r="AS1666" s="1" t="s">
        <v>71</v>
      </c>
      <c r="AU1666" s="1" t="s">
        <v>79</v>
      </c>
      <c r="AV1666" s="1" t="s">
        <v>80</v>
      </c>
      <c r="AW1666" s="1">
        <v>17.86</v>
      </c>
      <c r="AX1666" s="1">
        <v>0</v>
      </c>
      <c r="AZ1666" s="1" t="s">
        <v>81</v>
      </c>
      <c r="BA1666" s="1">
        <v>1</v>
      </c>
      <c r="BB1666" s="1">
        <v>0</v>
      </c>
      <c r="BC1666" s="1">
        <v>0</v>
      </c>
      <c r="BE1666" s="1">
        <v>27246422</v>
      </c>
    </row>
    <row r="1667" spans="1:57" x14ac:dyDescent="0.25">
      <c r="A1667" s="1" t="str">
        <f>T("1945464184188377388")</f>
        <v>1945464184188377388</v>
      </c>
      <c r="B1667" s="1" t="str">
        <f>T("249100390223")</f>
        <v>249100390223</v>
      </c>
      <c r="C1667" s="1" t="str">
        <f>T("1941094503154714752")</f>
        <v>1941094503154714752</v>
      </c>
      <c r="AC1667" s="1" t="s">
        <v>104</v>
      </c>
      <c r="AD1667" s="1" t="s">
        <v>105</v>
      </c>
      <c r="AE1667" s="1" t="s">
        <v>401</v>
      </c>
      <c r="AF1667" s="1" t="s">
        <v>107</v>
      </c>
      <c r="AG1667" s="1">
        <v>36</v>
      </c>
      <c r="AO1667" s="2">
        <v>46277</v>
      </c>
      <c r="AP1667" s="1" t="s">
        <v>301</v>
      </c>
      <c r="AS1667" s="1" t="s">
        <v>71</v>
      </c>
      <c r="AU1667" s="1" t="s">
        <v>72</v>
      </c>
      <c r="AV1667" s="1" t="s">
        <v>73</v>
      </c>
      <c r="AX1667" s="1">
        <v>0</v>
      </c>
      <c r="BA1667" s="1">
        <v>9</v>
      </c>
      <c r="BB1667" s="1">
        <v>0</v>
      </c>
      <c r="BC1667" s="1">
        <v>0</v>
      </c>
      <c r="BE1667" s="1">
        <v>27246422</v>
      </c>
    </row>
    <row r="1668" spans="1:57" x14ac:dyDescent="0.25">
      <c r="A1668" s="1" t="str">
        <f>T("1945464184217737744")</f>
        <v>1945464184217737744</v>
      </c>
      <c r="B1668" s="1" t="str">
        <f>T("249119271181")</f>
        <v>249119271181</v>
      </c>
      <c r="C1668" s="1" t="str">
        <f>T("1941094503154716152")</f>
        <v>1941094503154716152</v>
      </c>
      <c r="AC1668" s="1" t="s">
        <v>104</v>
      </c>
      <c r="AD1668" s="1" t="s">
        <v>105</v>
      </c>
      <c r="AE1668" s="1" t="s">
        <v>401</v>
      </c>
      <c r="AF1668" s="1" t="s">
        <v>107</v>
      </c>
      <c r="AG1668" s="1">
        <v>52</v>
      </c>
      <c r="AO1668" s="2">
        <v>46277</v>
      </c>
      <c r="AP1668" s="1" t="s">
        <v>301</v>
      </c>
      <c r="AQ1668" s="2">
        <v>46277</v>
      </c>
      <c r="AR1668" s="1" t="s">
        <v>715</v>
      </c>
      <c r="AS1668" s="1" t="s">
        <v>71</v>
      </c>
      <c r="AU1668" s="1" t="s">
        <v>79</v>
      </c>
      <c r="AV1668" s="1" t="s">
        <v>80</v>
      </c>
      <c r="AW1668" s="1">
        <v>15.5</v>
      </c>
      <c r="AX1668" s="1">
        <v>0</v>
      </c>
      <c r="AZ1668" s="1" t="s">
        <v>81</v>
      </c>
      <c r="BA1668" s="1">
        <v>2</v>
      </c>
      <c r="BB1668" s="1">
        <v>0</v>
      </c>
      <c r="BC1668" s="1">
        <v>0</v>
      </c>
      <c r="BE1668" s="1">
        <v>27246422</v>
      </c>
    </row>
    <row r="1669" spans="1:57" x14ac:dyDescent="0.25">
      <c r="A1669" s="1" t="str">
        <f>T("1945464184221931452")</f>
        <v>1945464184221931452</v>
      </c>
      <c r="B1669" s="1" t="str">
        <f>T("249923325481")</f>
        <v>249923325481</v>
      </c>
      <c r="C1669" s="1" t="str">
        <f>T("1941094503158907560")</f>
        <v>1941094503158907560</v>
      </c>
      <c r="AC1669" s="1" t="s">
        <v>104</v>
      </c>
      <c r="AD1669" s="1" t="s">
        <v>105</v>
      </c>
      <c r="AE1669" s="1" t="s">
        <v>401</v>
      </c>
      <c r="AF1669" s="1" t="s">
        <v>107</v>
      </c>
      <c r="AG1669" s="1">
        <v>29</v>
      </c>
      <c r="AO1669" s="2">
        <v>46277</v>
      </c>
      <c r="AP1669" s="1" t="s">
        <v>301</v>
      </c>
      <c r="AS1669" s="1" t="s">
        <v>71</v>
      </c>
      <c r="AU1669" s="1" t="s">
        <v>72</v>
      </c>
      <c r="AV1669" s="1" t="s">
        <v>73</v>
      </c>
      <c r="AX1669" s="1">
        <v>0</v>
      </c>
      <c r="BA1669" s="1">
        <v>9</v>
      </c>
      <c r="BB1669" s="1">
        <v>0</v>
      </c>
      <c r="BC1669" s="1">
        <v>0</v>
      </c>
      <c r="BE1669" s="1">
        <v>27246422</v>
      </c>
    </row>
    <row r="1670" spans="1:57" x14ac:dyDescent="0.25">
      <c r="A1670" s="1" t="str">
        <f>T("1945464184221932452")</f>
        <v>1945464184221932452</v>
      </c>
      <c r="B1670" s="1" t="str">
        <f>T("249994960443")</f>
        <v>249994960443</v>
      </c>
      <c r="C1670" s="1" t="str">
        <f>T("1941094503158907060")</f>
        <v>1941094503158907060</v>
      </c>
      <c r="AA1670" s="1">
        <v>1</v>
      </c>
      <c r="AC1670" s="1" t="s">
        <v>104</v>
      </c>
      <c r="AD1670" s="1" t="s">
        <v>105</v>
      </c>
      <c r="AE1670" s="1" t="s">
        <v>401</v>
      </c>
      <c r="AF1670" s="1" t="s">
        <v>107</v>
      </c>
      <c r="AG1670" s="1">
        <v>36</v>
      </c>
      <c r="AO1670" s="2">
        <v>46277</v>
      </c>
      <c r="AP1670" s="1" t="s">
        <v>301</v>
      </c>
      <c r="AQ1670" s="2">
        <v>46277</v>
      </c>
      <c r="AR1670" s="1" t="s">
        <v>533</v>
      </c>
      <c r="AS1670" s="1" t="s">
        <v>71</v>
      </c>
      <c r="AU1670" s="1" t="s">
        <v>79</v>
      </c>
      <c r="AV1670" s="1" t="s">
        <v>80</v>
      </c>
      <c r="AW1670" s="1">
        <v>75.56</v>
      </c>
      <c r="AX1670" s="1">
        <v>0</v>
      </c>
      <c r="AZ1670" s="1" t="s">
        <v>81</v>
      </c>
      <c r="BA1670" s="1">
        <v>1</v>
      </c>
      <c r="BB1670" s="1">
        <v>0</v>
      </c>
      <c r="BC1670" s="1">
        <v>0</v>
      </c>
      <c r="BE1670" s="1">
        <v>27246422</v>
      </c>
    </row>
    <row r="1671" spans="1:57" x14ac:dyDescent="0.25">
      <c r="A1671" s="1" t="str">
        <f>T("1945464184242903392")</f>
        <v>1945464184242903392</v>
      </c>
      <c r="B1671" s="1" t="str">
        <f>T("249927956674")</f>
        <v>249927956674</v>
      </c>
      <c r="C1671" s="1" t="str">
        <f>T("1941094503158908060")</f>
        <v>1941094503158908060</v>
      </c>
      <c r="AC1671" s="1" t="s">
        <v>104</v>
      </c>
      <c r="AD1671" s="1" t="s">
        <v>105</v>
      </c>
      <c r="AE1671" s="1" t="s">
        <v>401</v>
      </c>
      <c r="AF1671" s="1" t="s">
        <v>107</v>
      </c>
      <c r="AG1671" s="1">
        <v>32</v>
      </c>
      <c r="AO1671" s="2">
        <v>46277</v>
      </c>
      <c r="AP1671" s="1" t="s">
        <v>301</v>
      </c>
      <c r="AS1671" s="1" t="s">
        <v>71</v>
      </c>
      <c r="AU1671" s="1" t="s">
        <v>72</v>
      </c>
      <c r="AV1671" s="1" t="s">
        <v>73</v>
      </c>
      <c r="AX1671" s="1">
        <v>0</v>
      </c>
      <c r="BA1671" s="1">
        <v>9</v>
      </c>
      <c r="BB1671" s="1">
        <v>0</v>
      </c>
      <c r="BC1671" s="1">
        <v>0</v>
      </c>
      <c r="BE1671" s="1">
        <v>27246422</v>
      </c>
    </row>
    <row r="1672" spans="1:57" x14ac:dyDescent="0.25">
      <c r="A1672" s="1" t="str">
        <f>T("1945464184259680424")</f>
        <v>1945464184259680424</v>
      </c>
      <c r="B1672" s="1" t="str">
        <f>T("249923214350")</f>
        <v>249923214350</v>
      </c>
      <c r="C1672" s="1" t="str">
        <f>T("1941094503158910760")</f>
        <v>1941094503158910760</v>
      </c>
      <c r="AC1672" s="1" t="s">
        <v>104</v>
      </c>
      <c r="AD1672" s="1" t="s">
        <v>105</v>
      </c>
      <c r="AE1672" s="1" t="s">
        <v>401</v>
      </c>
      <c r="AF1672" s="1" t="s">
        <v>107</v>
      </c>
      <c r="AG1672" s="1">
        <v>21</v>
      </c>
      <c r="AO1672" s="2">
        <v>46277</v>
      </c>
      <c r="AP1672" s="1" t="s">
        <v>301</v>
      </c>
      <c r="AS1672" s="1" t="s">
        <v>71</v>
      </c>
      <c r="AU1672" s="1" t="s">
        <v>72</v>
      </c>
      <c r="AV1672" s="1" t="s">
        <v>73</v>
      </c>
      <c r="AX1672" s="1">
        <v>0</v>
      </c>
      <c r="BA1672" s="1">
        <v>9</v>
      </c>
      <c r="BB1672" s="1">
        <v>0</v>
      </c>
      <c r="BC1672" s="1">
        <v>0</v>
      </c>
      <c r="BE1672" s="1">
        <v>27246422</v>
      </c>
    </row>
    <row r="1673" spans="1:57" x14ac:dyDescent="0.25">
      <c r="A1673" s="1" t="str">
        <f>T("1945464184263876432")</f>
        <v>1945464184263876432</v>
      </c>
      <c r="B1673" s="1" t="str">
        <f>T("249922152757")</f>
        <v>249922152757</v>
      </c>
      <c r="C1673" s="1" t="str">
        <f>T("1941094503163101668")</f>
        <v>1941094503163101668</v>
      </c>
      <c r="AC1673" s="1" t="s">
        <v>104</v>
      </c>
      <c r="AD1673" s="1" t="s">
        <v>105</v>
      </c>
      <c r="AE1673" s="1" t="s">
        <v>401</v>
      </c>
      <c r="AF1673" s="1" t="s">
        <v>107</v>
      </c>
      <c r="AG1673" s="1">
        <v>39</v>
      </c>
      <c r="AO1673" s="2">
        <v>46277</v>
      </c>
      <c r="AP1673" s="1" t="s">
        <v>301</v>
      </c>
      <c r="AQ1673" s="2">
        <v>46277</v>
      </c>
      <c r="AR1673" s="1" t="s">
        <v>716</v>
      </c>
      <c r="AS1673" s="1" t="s">
        <v>71</v>
      </c>
      <c r="AU1673" s="1" t="s">
        <v>79</v>
      </c>
      <c r="AV1673" s="1" t="s">
        <v>80</v>
      </c>
      <c r="AW1673" s="1">
        <v>21.06</v>
      </c>
      <c r="AX1673" s="1">
        <v>0</v>
      </c>
      <c r="AZ1673" s="1" t="s">
        <v>81</v>
      </c>
      <c r="BA1673" s="1">
        <v>2</v>
      </c>
      <c r="BB1673" s="1">
        <v>0</v>
      </c>
      <c r="BC1673" s="1">
        <v>0</v>
      </c>
      <c r="BE1673" s="1">
        <v>27246422</v>
      </c>
    </row>
    <row r="1674" spans="1:57" x14ac:dyDescent="0.25">
      <c r="A1674" s="1" t="str">
        <f>T("1945464184276455656")</f>
        <v>1945464184276455656</v>
      </c>
      <c r="B1674" s="1" t="str">
        <f>T("249924085237")</f>
        <v>249924085237</v>
      </c>
      <c r="C1674" s="1" t="str">
        <f>T("1941094503167296276")</f>
        <v>1941094503167296276</v>
      </c>
      <c r="AC1674" s="1" t="s">
        <v>104</v>
      </c>
      <c r="AD1674" s="1" t="s">
        <v>105</v>
      </c>
      <c r="AE1674" s="1" t="s">
        <v>401</v>
      </c>
      <c r="AF1674" s="1" t="s">
        <v>107</v>
      </c>
      <c r="AG1674" s="1">
        <v>38</v>
      </c>
      <c r="AO1674" s="2">
        <v>46277</v>
      </c>
      <c r="AP1674" s="1" t="s">
        <v>301</v>
      </c>
      <c r="AS1674" s="1" t="s">
        <v>71</v>
      </c>
      <c r="AU1674" s="1" t="s">
        <v>72</v>
      </c>
      <c r="AV1674" s="1" t="s">
        <v>73</v>
      </c>
      <c r="AX1674" s="1">
        <v>0</v>
      </c>
      <c r="BA1674" s="1">
        <v>9</v>
      </c>
      <c r="BB1674" s="1">
        <v>0</v>
      </c>
      <c r="BC1674" s="1">
        <v>0</v>
      </c>
      <c r="BE1674" s="1">
        <v>27246422</v>
      </c>
    </row>
    <row r="1675" spans="1:57" x14ac:dyDescent="0.25">
      <c r="A1675" s="1" t="str">
        <f>T("1945464184301623604")</f>
        <v>1945464184301623604</v>
      </c>
      <c r="B1675" s="1" t="str">
        <f>T("249922387819")</f>
        <v>249922387819</v>
      </c>
      <c r="C1675" s="1" t="str">
        <f>T("1941094503167296876")</f>
        <v>1941094503167296876</v>
      </c>
      <c r="AC1675" s="1" t="s">
        <v>104</v>
      </c>
      <c r="AD1675" s="1" t="s">
        <v>105</v>
      </c>
      <c r="AE1675" s="1" t="s">
        <v>401</v>
      </c>
      <c r="AF1675" s="1" t="s">
        <v>107</v>
      </c>
      <c r="AG1675" s="1">
        <v>32</v>
      </c>
      <c r="AO1675" s="2">
        <v>46277</v>
      </c>
      <c r="AP1675" s="1" t="s">
        <v>301</v>
      </c>
      <c r="AS1675" s="1" t="s">
        <v>71</v>
      </c>
      <c r="AU1675" s="1" t="s">
        <v>72</v>
      </c>
      <c r="AV1675" s="1" t="s">
        <v>73</v>
      </c>
      <c r="AX1675" s="1">
        <v>0</v>
      </c>
      <c r="BA1675" s="1">
        <v>9</v>
      </c>
      <c r="BB1675" s="1">
        <v>0</v>
      </c>
      <c r="BC1675" s="1">
        <v>0</v>
      </c>
      <c r="BE1675" s="1">
        <v>27246422</v>
      </c>
    </row>
    <row r="1676" spans="1:57" x14ac:dyDescent="0.25">
      <c r="A1676" s="1" t="str">
        <f>T("1945464184301625104")</f>
        <v>1945464184301625104</v>
      </c>
      <c r="B1676" s="1" t="str">
        <f>T("249923990081")</f>
        <v>249923990081</v>
      </c>
      <c r="C1676" s="1" t="str">
        <f>T("1941094503167297376")</f>
        <v>1941094503167297376</v>
      </c>
      <c r="AA1676" s="1">
        <v>1</v>
      </c>
      <c r="AC1676" s="1" t="s">
        <v>104</v>
      </c>
      <c r="AD1676" s="1" t="s">
        <v>105</v>
      </c>
      <c r="AE1676" s="1" t="s">
        <v>401</v>
      </c>
      <c r="AF1676" s="1" t="s">
        <v>107</v>
      </c>
      <c r="AG1676" s="1">
        <v>25</v>
      </c>
      <c r="AO1676" s="2">
        <v>46277</v>
      </c>
      <c r="AP1676" s="1" t="s">
        <v>301</v>
      </c>
      <c r="AQ1676" s="2">
        <v>46277</v>
      </c>
      <c r="AR1676" s="1" t="s">
        <v>717</v>
      </c>
      <c r="AS1676" s="1" t="s">
        <v>71</v>
      </c>
      <c r="AU1676" s="1" t="s">
        <v>79</v>
      </c>
      <c r="AV1676" s="1" t="s">
        <v>80</v>
      </c>
      <c r="AW1676" s="1">
        <v>63.74</v>
      </c>
      <c r="AX1676" s="1">
        <v>0</v>
      </c>
      <c r="AZ1676" s="1" t="s">
        <v>81</v>
      </c>
      <c r="BA1676" s="1">
        <v>1</v>
      </c>
      <c r="BB1676" s="1">
        <v>0</v>
      </c>
      <c r="BC1676" s="1">
        <v>0</v>
      </c>
      <c r="BE1676" s="1">
        <v>27246422</v>
      </c>
    </row>
    <row r="1677" spans="1:57" x14ac:dyDescent="0.25">
      <c r="A1677" s="1" t="str">
        <f>T("1945464184326790852")</f>
        <v>1945464184326790852</v>
      </c>
      <c r="B1677" s="1" t="str">
        <f>T("249922554798")</f>
        <v>249922554798</v>
      </c>
      <c r="C1677" s="1" t="str">
        <f>T("1941094503167297876")</f>
        <v>1941094503167297876</v>
      </c>
      <c r="AA1677" s="1">
        <v>1</v>
      </c>
      <c r="AC1677" s="1" t="s">
        <v>104</v>
      </c>
      <c r="AD1677" s="1" t="s">
        <v>105</v>
      </c>
      <c r="AE1677" s="1" t="s">
        <v>401</v>
      </c>
      <c r="AF1677" s="1" t="s">
        <v>107</v>
      </c>
      <c r="AG1677" s="1">
        <v>69</v>
      </c>
      <c r="AO1677" s="2">
        <v>46277</v>
      </c>
      <c r="AP1677" s="1" t="s">
        <v>301</v>
      </c>
      <c r="AQ1677" s="2">
        <v>46277</v>
      </c>
      <c r="AR1677" s="1" t="s">
        <v>718</v>
      </c>
      <c r="AS1677" s="1" t="s">
        <v>71</v>
      </c>
      <c r="AU1677" s="1" t="s">
        <v>79</v>
      </c>
      <c r="AV1677" s="1" t="s">
        <v>80</v>
      </c>
      <c r="AW1677" s="1">
        <v>103.32</v>
      </c>
      <c r="AX1677" s="1">
        <v>0</v>
      </c>
      <c r="AZ1677" s="1" t="s">
        <v>81</v>
      </c>
      <c r="BA1677" s="1">
        <v>1</v>
      </c>
      <c r="BB1677" s="1">
        <v>0</v>
      </c>
      <c r="BC1677" s="1">
        <v>0</v>
      </c>
      <c r="BE1677" s="1">
        <v>27246422</v>
      </c>
    </row>
    <row r="1678" spans="1:57" x14ac:dyDescent="0.25">
      <c r="A1678" s="1" t="str">
        <f>T("1945464184335175968")</f>
        <v>1945464184335175968</v>
      </c>
      <c r="B1678" s="1" t="str">
        <f>T("249965290007")</f>
        <v>249965290007</v>
      </c>
      <c r="C1678" s="1" t="str">
        <f>T("1941094503167298476")</f>
        <v>1941094503167298476</v>
      </c>
      <c r="AC1678" s="1" t="s">
        <v>104</v>
      </c>
      <c r="AD1678" s="1" t="s">
        <v>105</v>
      </c>
      <c r="AE1678" s="1" t="s">
        <v>401</v>
      </c>
      <c r="AF1678" s="1" t="s">
        <v>107</v>
      </c>
      <c r="AG1678" s="1">
        <v>25</v>
      </c>
      <c r="AO1678" s="2">
        <v>46277</v>
      </c>
      <c r="AP1678" s="1" t="s">
        <v>301</v>
      </c>
      <c r="AS1678" s="1" t="s">
        <v>71</v>
      </c>
      <c r="AU1678" s="1" t="s">
        <v>72</v>
      </c>
      <c r="AV1678" s="1" t="s">
        <v>437</v>
      </c>
      <c r="AX1678" s="1">
        <v>0</v>
      </c>
      <c r="BA1678" s="1">
        <v>9</v>
      </c>
      <c r="BB1678" s="1">
        <v>0</v>
      </c>
      <c r="BC1678" s="1">
        <v>0</v>
      </c>
      <c r="BE1678" s="1">
        <v>27246422</v>
      </c>
    </row>
    <row r="1679" spans="1:57" x14ac:dyDescent="0.25">
      <c r="A1679" s="1" t="str">
        <f>T("1945464184351952900")</f>
        <v>1945464184351952900</v>
      </c>
      <c r="B1679" s="1" t="str">
        <f>T("249924640393")</f>
        <v>249924640393</v>
      </c>
      <c r="C1679" s="1" t="str">
        <f>T("1941094503171491384")</f>
        <v>1941094503171491384</v>
      </c>
      <c r="AC1679" s="1" t="s">
        <v>104</v>
      </c>
      <c r="AD1679" s="1" t="s">
        <v>105</v>
      </c>
      <c r="AE1679" s="1" t="s">
        <v>401</v>
      </c>
      <c r="AF1679" s="1" t="s">
        <v>107</v>
      </c>
      <c r="AG1679" s="1">
        <v>23</v>
      </c>
      <c r="AO1679" s="2">
        <v>46277</v>
      </c>
      <c r="AP1679" s="1" t="s">
        <v>301</v>
      </c>
      <c r="AS1679" s="1" t="s">
        <v>71</v>
      </c>
      <c r="AU1679" s="1" t="s">
        <v>72</v>
      </c>
      <c r="AV1679" s="1" t="s">
        <v>73</v>
      </c>
      <c r="AX1679" s="1">
        <v>0</v>
      </c>
      <c r="BA1679" s="1">
        <v>9</v>
      </c>
      <c r="BB1679" s="1">
        <v>0</v>
      </c>
      <c r="BC1679" s="1">
        <v>0</v>
      </c>
      <c r="BE1679" s="1">
        <v>27246422</v>
      </c>
    </row>
    <row r="1680" spans="1:57" x14ac:dyDescent="0.25">
      <c r="A1680" s="1" t="str">
        <f>T("1945464184351955000")</f>
        <v>1945464184351955000</v>
      </c>
      <c r="B1680" s="1" t="str">
        <f>T("249993051969")</f>
        <v>249993051969</v>
      </c>
      <c r="C1680" s="1" t="str">
        <f>T("1941094503171492184")</f>
        <v>1941094503171492184</v>
      </c>
      <c r="AC1680" s="1" t="s">
        <v>104</v>
      </c>
      <c r="AD1680" s="1" t="s">
        <v>105</v>
      </c>
      <c r="AE1680" s="1" t="s">
        <v>401</v>
      </c>
      <c r="AF1680" s="1" t="s">
        <v>107</v>
      </c>
      <c r="AG1680" s="1">
        <v>22</v>
      </c>
      <c r="AO1680" s="2">
        <v>46277</v>
      </c>
      <c r="AP1680" s="1" t="s">
        <v>301</v>
      </c>
      <c r="AS1680" s="1" t="s">
        <v>71</v>
      </c>
      <c r="AU1680" s="1" t="s">
        <v>72</v>
      </c>
      <c r="AV1680" s="1" t="s">
        <v>73</v>
      </c>
      <c r="AX1680" s="1">
        <v>0</v>
      </c>
      <c r="BA1680" s="1">
        <v>9</v>
      </c>
      <c r="BB1680" s="1">
        <v>0</v>
      </c>
      <c r="BC1680" s="1">
        <v>0</v>
      </c>
      <c r="BE1680" s="1">
        <v>27246422</v>
      </c>
    </row>
    <row r="1681" spans="1:57" x14ac:dyDescent="0.25">
      <c r="A1681" s="1" t="str">
        <f>T("1945464184402284696")</f>
        <v>1945464184402284696</v>
      </c>
      <c r="B1681" s="1" t="str">
        <f>T("249999946206")</f>
        <v>249999946206</v>
      </c>
      <c r="C1681" s="1" t="str">
        <f>T("1941094503171492684")</f>
        <v>1941094503171492684</v>
      </c>
      <c r="M1681" s="1" t="s">
        <v>59</v>
      </c>
      <c r="O1681" s="1" t="s">
        <v>65</v>
      </c>
      <c r="AA1681" s="1">
        <v>1</v>
      </c>
      <c r="AC1681" s="1" t="s">
        <v>104</v>
      </c>
      <c r="AD1681" s="1" t="s">
        <v>105</v>
      </c>
      <c r="AE1681" s="1" t="s">
        <v>401</v>
      </c>
      <c r="AF1681" s="1" t="s">
        <v>107</v>
      </c>
      <c r="AG1681" s="1">
        <v>51</v>
      </c>
      <c r="AO1681" s="2">
        <v>46277</v>
      </c>
      <c r="AP1681" s="1" t="s">
        <v>301</v>
      </c>
      <c r="AQ1681" s="2">
        <v>46277</v>
      </c>
      <c r="AR1681" s="1" t="s">
        <v>328</v>
      </c>
      <c r="AS1681" s="1" t="s">
        <v>71</v>
      </c>
      <c r="AU1681" s="1" t="s">
        <v>78</v>
      </c>
      <c r="AV1681" s="1" t="s">
        <v>80</v>
      </c>
      <c r="AW1681" s="1">
        <v>160.38</v>
      </c>
      <c r="AX1681" s="1">
        <v>0</v>
      </c>
      <c r="AZ1681" s="1" t="s">
        <v>81</v>
      </c>
      <c r="BA1681" s="1">
        <v>1</v>
      </c>
      <c r="BB1681" s="1">
        <v>0</v>
      </c>
      <c r="BC1681" s="1">
        <v>0</v>
      </c>
      <c r="BE1681" s="1">
        <v>27246422</v>
      </c>
    </row>
    <row r="1682" spans="1:57" x14ac:dyDescent="0.25">
      <c r="A1682" s="1" t="str">
        <f>T("1945464184410674612")</f>
        <v>1945464184410674612</v>
      </c>
      <c r="B1682" s="1" t="str">
        <f>T("249119415716")</f>
        <v>249119415716</v>
      </c>
      <c r="C1682" s="1" t="str">
        <f>T("1941094503171493284")</f>
        <v>1941094503171493284</v>
      </c>
      <c r="M1682" s="1" t="s">
        <v>59</v>
      </c>
      <c r="O1682" s="1" t="s">
        <v>60</v>
      </c>
      <c r="P1682" s="1" t="s">
        <v>83</v>
      </c>
      <c r="Q1682" s="1" t="s">
        <v>112</v>
      </c>
      <c r="R1682" s="1" t="s">
        <v>93</v>
      </c>
      <c r="T1682" s="1" t="s">
        <v>95</v>
      </c>
      <c r="U1682" s="1" t="s">
        <v>65</v>
      </c>
      <c r="V1682" s="1" t="s">
        <v>103</v>
      </c>
      <c r="W1682" s="1" t="s">
        <v>60</v>
      </c>
      <c r="X1682" s="1" t="s">
        <v>68</v>
      </c>
      <c r="Y1682" s="1" t="s">
        <v>160</v>
      </c>
      <c r="AA1682" s="1">
        <v>1</v>
      </c>
      <c r="AB1682" s="1">
        <v>1</v>
      </c>
      <c r="AC1682" s="1" t="s">
        <v>104</v>
      </c>
      <c r="AD1682" s="1" t="s">
        <v>105</v>
      </c>
      <c r="AE1682" s="1" t="s">
        <v>401</v>
      </c>
      <c r="AF1682" s="1" t="s">
        <v>107</v>
      </c>
      <c r="AG1682" s="1">
        <v>35</v>
      </c>
      <c r="AO1682" s="2">
        <v>46277</v>
      </c>
      <c r="AP1682" s="1" t="s">
        <v>301</v>
      </c>
      <c r="AQ1682" s="2">
        <v>46277</v>
      </c>
      <c r="AR1682" s="1" t="s">
        <v>718</v>
      </c>
      <c r="AS1682" s="1" t="s">
        <v>71</v>
      </c>
      <c r="AU1682" s="1" t="s">
        <v>78</v>
      </c>
      <c r="AV1682" s="1" t="s">
        <v>80</v>
      </c>
      <c r="AW1682" s="1">
        <v>338.32</v>
      </c>
      <c r="AX1682" s="1">
        <v>0</v>
      </c>
      <c r="AZ1682" s="1" t="s">
        <v>81</v>
      </c>
      <c r="BA1682" s="1">
        <v>1</v>
      </c>
      <c r="BB1682" s="1">
        <v>0</v>
      </c>
      <c r="BC1682" s="1">
        <v>0</v>
      </c>
      <c r="BE1682" s="1">
        <v>27246422</v>
      </c>
    </row>
    <row r="1683" spans="1:57" x14ac:dyDescent="0.25">
      <c r="A1683" s="1" t="str">
        <f>T("1945464184448422784")</f>
        <v>1945464184448422784</v>
      </c>
      <c r="B1683" s="1" t="str">
        <f>T("249903556180")</f>
        <v>249903556180</v>
      </c>
      <c r="C1683" s="1" t="str">
        <f>T("1941094503175686592")</f>
        <v>1941094503175686592</v>
      </c>
      <c r="AC1683" s="1" t="s">
        <v>104</v>
      </c>
      <c r="AD1683" s="1" t="s">
        <v>105</v>
      </c>
      <c r="AE1683" s="1" t="s">
        <v>401</v>
      </c>
      <c r="AF1683" s="1" t="s">
        <v>107</v>
      </c>
      <c r="AG1683" s="1">
        <v>31</v>
      </c>
      <c r="AO1683" s="2">
        <v>46277</v>
      </c>
      <c r="AP1683" s="1" t="s">
        <v>301</v>
      </c>
      <c r="AS1683" s="1" t="s">
        <v>71</v>
      </c>
      <c r="AU1683" s="1" t="s">
        <v>72</v>
      </c>
      <c r="AV1683" s="1" t="s">
        <v>437</v>
      </c>
      <c r="AX1683" s="1">
        <v>0</v>
      </c>
      <c r="BA1683" s="1">
        <v>9</v>
      </c>
      <c r="BB1683" s="1">
        <v>0</v>
      </c>
      <c r="BC1683" s="1">
        <v>0</v>
      </c>
      <c r="BE1683" s="1">
        <v>27246422</v>
      </c>
    </row>
    <row r="1684" spans="1:57" x14ac:dyDescent="0.25">
      <c r="A1684" s="1" t="str">
        <f>T("1945464184456810500")</f>
        <v>1945464184456810500</v>
      </c>
      <c r="B1684" s="1" t="str">
        <f>T("249999911169")</f>
        <v>249999911169</v>
      </c>
      <c r="C1684" s="1" t="str">
        <f>T("1941094503179878500")</f>
        <v>1941094503179878500</v>
      </c>
      <c r="AC1684" s="1" t="s">
        <v>104</v>
      </c>
      <c r="AD1684" s="1" t="s">
        <v>105</v>
      </c>
      <c r="AE1684" s="1" t="s">
        <v>401</v>
      </c>
      <c r="AF1684" s="1" t="s">
        <v>107</v>
      </c>
      <c r="AG1684" s="1">
        <v>38</v>
      </c>
      <c r="AO1684" s="2">
        <v>46277</v>
      </c>
      <c r="AP1684" s="1" t="s">
        <v>301</v>
      </c>
      <c r="AS1684" s="1" t="s">
        <v>71</v>
      </c>
      <c r="AU1684" s="1" t="s">
        <v>72</v>
      </c>
      <c r="AV1684" s="1" t="s">
        <v>131</v>
      </c>
      <c r="AX1684" s="1">
        <v>0</v>
      </c>
      <c r="BA1684" s="1">
        <v>9</v>
      </c>
      <c r="BB1684" s="1">
        <v>0</v>
      </c>
      <c r="BC1684" s="1">
        <v>0</v>
      </c>
      <c r="BE1684" s="1">
        <v>27246422</v>
      </c>
    </row>
    <row r="1685" spans="1:57" x14ac:dyDescent="0.25">
      <c r="A1685" s="1" t="str">
        <f>T("1945464184456811000")</f>
        <v>1945464184456811000</v>
      </c>
      <c r="B1685" s="1" t="str">
        <f>T("249123157659")</f>
        <v>249123157659</v>
      </c>
      <c r="C1685" s="1" t="str">
        <f>T("1941094503175687192")</f>
        <v>1941094503175687192</v>
      </c>
      <c r="AC1685" s="1" t="s">
        <v>104</v>
      </c>
      <c r="AD1685" s="1" t="s">
        <v>105</v>
      </c>
      <c r="AE1685" s="1" t="s">
        <v>401</v>
      </c>
      <c r="AF1685" s="1" t="s">
        <v>107</v>
      </c>
      <c r="AG1685" s="1">
        <v>20</v>
      </c>
      <c r="AO1685" s="2">
        <v>46277</v>
      </c>
      <c r="AP1685" s="1" t="s">
        <v>301</v>
      </c>
      <c r="AQ1685" s="2">
        <v>46277</v>
      </c>
      <c r="AR1685" s="1" t="s">
        <v>719</v>
      </c>
      <c r="AS1685" s="1" t="s">
        <v>71</v>
      </c>
      <c r="AU1685" s="1" t="s">
        <v>79</v>
      </c>
      <c r="AV1685" s="1" t="s">
        <v>80</v>
      </c>
      <c r="AW1685" s="1">
        <v>36.04</v>
      </c>
      <c r="AX1685" s="1">
        <v>0</v>
      </c>
      <c r="AZ1685" s="1" t="s">
        <v>81</v>
      </c>
      <c r="BA1685" s="1">
        <v>3</v>
      </c>
      <c r="BB1685" s="1">
        <v>0</v>
      </c>
      <c r="BC1685" s="1">
        <v>0</v>
      </c>
      <c r="BE1685" s="1">
        <v>27246422</v>
      </c>
    </row>
    <row r="1686" spans="1:57" x14ac:dyDescent="0.25">
      <c r="A1686" s="1" t="str">
        <f>T("1945464184473591432")</f>
        <v>1945464184473591432</v>
      </c>
      <c r="B1686" s="1" t="str">
        <f>T("249992413233")</f>
        <v>249992413233</v>
      </c>
      <c r="C1686" s="1" t="str">
        <f>T("1941094503179882200")</f>
        <v>1941094503179882200</v>
      </c>
      <c r="AC1686" s="1" t="s">
        <v>104</v>
      </c>
      <c r="AD1686" s="1" t="s">
        <v>105</v>
      </c>
      <c r="AE1686" s="1" t="s">
        <v>401</v>
      </c>
      <c r="AF1686" s="1" t="s">
        <v>107</v>
      </c>
      <c r="AG1686" s="1">
        <v>39</v>
      </c>
      <c r="AO1686" s="2">
        <v>46277</v>
      </c>
      <c r="AP1686" s="1" t="s">
        <v>301</v>
      </c>
      <c r="AS1686" s="1" t="s">
        <v>71</v>
      </c>
      <c r="AU1686" s="1" t="s">
        <v>72</v>
      </c>
      <c r="AV1686" s="1" t="s">
        <v>73</v>
      </c>
      <c r="AX1686" s="1">
        <v>0</v>
      </c>
      <c r="BA1686" s="1">
        <v>9</v>
      </c>
      <c r="BB1686" s="1">
        <v>0</v>
      </c>
      <c r="BC1686" s="1">
        <v>0</v>
      </c>
      <c r="BE1686" s="1">
        <v>27246422</v>
      </c>
    </row>
    <row r="1687" spans="1:57" x14ac:dyDescent="0.25">
      <c r="A1687" s="1" t="str">
        <f>T("1945464184490366564")</f>
        <v>1945464184490366564</v>
      </c>
      <c r="B1687" s="1" t="str">
        <f>T("249906480473")</f>
        <v>249906480473</v>
      </c>
      <c r="C1687" s="1" t="str">
        <f>T("1941094503184073008")</f>
        <v>1941094503184073008</v>
      </c>
      <c r="AC1687" s="1" t="s">
        <v>104</v>
      </c>
      <c r="AD1687" s="1" t="s">
        <v>105</v>
      </c>
      <c r="AE1687" s="1" t="s">
        <v>401</v>
      </c>
      <c r="AF1687" s="1" t="s">
        <v>107</v>
      </c>
      <c r="AG1687" s="1">
        <v>19</v>
      </c>
      <c r="AO1687" s="2">
        <v>46277</v>
      </c>
      <c r="AP1687" s="1" t="s">
        <v>301</v>
      </c>
      <c r="AS1687" s="1" t="s">
        <v>71</v>
      </c>
      <c r="AU1687" s="1" t="s">
        <v>72</v>
      </c>
      <c r="AV1687" s="1" t="s">
        <v>73</v>
      </c>
      <c r="AX1687" s="1">
        <v>0</v>
      </c>
      <c r="BA1687" s="1">
        <v>9</v>
      </c>
      <c r="BB1687" s="1">
        <v>0</v>
      </c>
      <c r="BC1687" s="1">
        <v>0</v>
      </c>
      <c r="BE1687" s="1">
        <v>27246422</v>
      </c>
    </row>
    <row r="1688" spans="1:57" x14ac:dyDescent="0.25">
      <c r="A1688" s="1" t="str">
        <f>T("1945464184536504552")</f>
        <v>1945464184536504552</v>
      </c>
      <c r="B1688" s="1" t="str">
        <f>T("249992718817")</f>
        <v>249992718817</v>
      </c>
      <c r="C1688" s="1" t="str">
        <f>T("1941094503184073608")</f>
        <v>1941094503184073608</v>
      </c>
      <c r="AC1688" s="1" t="s">
        <v>104</v>
      </c>
      <c r="AD1688" s="1" t="s">
        <v>105</v>
      </c>
      <c r="AE1688" s="1" t="s">
        <v>401</v>
      </c>
      <c r="AF1688" s="1" t="s">
        <v>107</v>
      </c>
      <c r="AG1688" s="1">
        <v>20</v>
      </c>
      <c r="AO1688" s="2">
        <v>46277</v>
      </c>
      <c r="AP1688" s="1" t="s">
        <v>301</v>
      </c>
      <c r="AS1688" s="1" t="s">
        <v>71</v>
      </c>
      <c r="AU1688" s="1" t="s">
        <v>72</v>
      </c>
      <c r="AV1688" s="1" t="s">
        <v>131</v>
      </c>
      <c r="AX1688" s="1">
        <v>0</v>
      </c>
      <c r="BA1688" s="1">
        <v>9</v>
      </c>
      <c r="BB1688" s="1">
        <v>0</v>
      </c>
      <c r="BC1688" s="1">
        <v>0</v>
      </c>
      <c r="BE1688" s="1">
        <v>27246422</v>
      </c>
    </row>
    <row r="1689" spans="1:57" x14ac:dyDescent="0.25">
      <c r="A1689" s="1" t="str">
        <f>T("1945464184540698360")</f>
        <v>1945464184540698360</v>
      </c>
      <c r="B1689" s="1" t="str">
        <f>T("249912262563")</f>
        <v>249912262563</v>
      </c>
      <c r="C1689" s="1" t="str">
        <f>T("1941094503184073908")</f>
        <v>1941094503184073908</v>
      </c>
      <c r="AC1689" s="1" t="s">
        <v>104</v>
      </c>
      <c r="AD1689" s="1" t="s">
        <v>105</v>
      </c>
      <c r="AE1689" s="1" t="s">
        <v>401</v>
      </c>
      <c r="AF1689" s="1" t="s">
        <v>107</v>
      </c>
      <c r="AG1689" s="1">
        <v>38</v>
      </c>
      <c r="AO1689" s="2">
        <v>46277</v>
      </c>
      <c r="AP1689" s="1" t="s">
        <v>301</v>
      </c>
      <c r="AS1689" s="1" t="s">
        <v>71</v>
      </c>
      <c r="AU1689" s="1" t="s">
        <v>72</v>
      </c>
      <c r="AV1689" s="1" t="s">
        <v>73</v>
      </c>
      <c r="AX1689" s="1">
        <v>0</v>
      </c>
      <c r="BA1689" s="1">
        <v>9</v>
      </c>
      <c r="BB1689" s="1">
        <v>0</v>
      </c>
      <c r="BC1689" s="1">
        <v>0</v>
      </c>
      <c r="BE1689" s="1">
        <v>27246422</v>
      </c>
    </row>
    <row r="1690" spans="1:57" x14ac:dyDescent="0.25">
      <c r="A1690" s="1" t="str">
        <f>T("1945464184553282084")</f>
        <v>1945464184553282084</v>
      </c>
      <c r="B1690" s="1" t="str">
        <f>T("249923208706")</f>
        <v>249923208706</v>
      </c>
      <c r="C1690" s="1" t="str">
        <f>T("1941094503184074408")</f>
        <v>1941094503184074408</v>
      </c>
      <c r="AA1690" s="1">
        <v>1</v>
      </c>
      <c r="AC1690" s="1" t="s">
        <v>104</v>
      </c>
      <c r="AD1690" s="1" t="s">
        <v>105</v>
      </c>
      <c r="AE1690" s="1" t="s">
        <v>401</v>
      </c>
      <c r="AF1690" s="1" t="s">
        <v>107</v>
      </c>
      <c r="AG1690" s="1">
        <v>31</v>
      </c>
      <c r="AO1690" s="2">
        <v>46277</v>
      </c>
      <c r="AP1690" s="1" t="s">
        <v>301</v>
      </c>
      <c r="AQ1690" s="2">
        <v>46277</v>
      </c>
      <c r="AR1690" s="1" t="s">
        <v>720</v>
      </c>
      <c r="AS1690" s="1" t="s">
        <v>71</v>
      </c>
      <c r="AU1690" s="1" t="s">
        <v>79</v>
      </c>
      <c r="AV1690" s="1" t="s">
        <v>80</v>
      </c>
      <c r="AW1690" s="1">
        <v>47.64</v>
      </c>
      <c r="AX1690" s="1">
        <v>0</v>
      </c>
      <c r="AZ1690" s="1" t="s">
        <v>81</v>
      </c>
      <c r="BA1690" s="1">
        <v>4</v>
      </c>
      <c r="BB1690" s="1">
        <v>0</v>
      </c>
      <c r="BC1690" s="1">
        <v>0</v>
      </c>
      <c r="BE1690" s="1">
        <v>27246422</v>
      </c>
    </row>
    <row r="1691" spans="1:57" x14ac:dyDescent="0.25">
      <c r="A1691" s="1" t="str">
        <f>T("1945464184578445832")</f>
        <v>1945464184578445832</v>
      </c>
      <c r="B1691" s="1" t="str">
        <f>T("249992899173")</f>
        <v>249992899173</v>
      </c>
      <c r="C1691" s="1" t="str">
        <f>T("1941094503188267316")</f>
        <v>1941094503188267316</v>
      </c>
      <c r="AC1691" s="1" t="s">
        <v>104</v>
      </c>
      <c r="AD1691" s="1" t="s">
        <v>105</v>
      </c>
      <c r="AE1691" s="1" t="s">
        <v>401</v>
      </c>
      <c r="AF1691" s="1" t="s">
        <v>107</v>
      </c>
      <c r="AG1691" s="1">
        <v>36</v>
      </c>
      <c r="AO1691" s="2">
        <v>46277</v>
      </c>
      <c r="AP1691" s="1" t="s">
        <v>301</v>
      </c>
      <c r="AQ1691" s="2">
        <v>46277</v>
      </c>
      <c r="AR1691" s="1" t="s">
        <v>721</v>
      </c>
      <c r="AS1691" s="1" t="s">
        <v>71</v>
      </c>
      <c r="AU1691" s="1" t="s">
        <v>79</v>
      </c>
      <c r="AV1691" s="1" t="s">
        <v>80</v>
      </c>
      <c r="AW1691" s="1">
        <v>9.9600000000000009</v>
      </c>
      <c r="AX1691" s="1">
        <v>0</v>
      </c>
      <c r="AZ1691" s="1" t="s">
        <v>81</v>
      </c>
      <c r="BA1691" s="1">
        <v>1</v>
      </c>
      <c r="BB1691" s="1">
        <v>0</v>
      </c>
      <c r="BC1691" s="1">
        <v>0</v>
      </c>
      <c r="BE1691" s="1">
        <v>27246422</v>
      </c>
    </row>
    <row r="1692" spans="1:57" x14ac:dyDescent="0.25">
      <c r="A1692" s="1" t="str">
        <f>T("1945464184586836548")</f>
        <v>1945464184586836548</v>
      </c>
      <c r="B1692" s="1" t="str">
        <f>T("249923582102")</f>
        <v>249923582102</v>
      </c>
      <c r="C1692" s="1" t="str">
        <f>T("1941094503184076008")</f>
        <v>1941094503184076008</v>
      </c>
      <c r="M1692" s="1" t="s">
        <v>133</v>
      </c>
      <c r="N1692" s="1" t="s">
        <v>60</v>
      </c>
      <c r="AA1692" s="1">
        <v>1</v>
      </c>
      <c r="AC1692" s="1" t="s">
        <v>104</v>
      </c>
      <c r="AD1692" s="1" t="s">
        <v>105</v>
      </c>
      <c r="AE1692" s="1" t="s">
        <v>401</v>
      </c>
      <c r="AF1692" s="1" t="s">
        <v>107</v>
      </c>
      <c r="AG1692" s="1">
        <v>20</v>
      </c>
      <c r="AO1692" s="2">
        <v>46277</v>
      </c>
      <c r="AP1692" s="1" t="s">
        <v>301</v>
      </c>
      <c r="AQ1692" s="2">
        <v>46277</v>
      </c>
      <c r="AR1692" s="1" t="s">
        <v>722</v>
      </c>
      <c r="AS1692" s="1" t="s">
        <v>71</v>
      </c>
      <c r="AU1692" s="1" t="s">
        <v>79</v>
      </c>
      <c r="AV1692" s="1" t="s">
        <v>80</v>
      </c>
      <c r="AW1692" s="1">
        <v>85.7</v>
      </c>
      <c r="AX1692" s="1">
        <v>0</v>
      </c>
      <c r="AZ1692" s="1" t="s">
        <v>81</v>
      </c>
      <c r="BA1692" s="1">
        <v>1</v>
      </c>
      <c r="BB1692" s="1">
        <v>0</v>
      </c>
      <c r="BC1692" s="1">
        <v>0</v>
      </c>
      <c r="BE1692" s="1">
        <v>27246422</v>
      </c>
    </row>
    <row r="1693" spans="1:57" x14ac:dyDescent="0.25">
      <c r="A1693" s="1" t="str">
        <f>T("1945464184612001796")</f>
        <v>1945464184612001796</v>
      </c>
      <c r="B1693" s="1" t="str">
        <f>T("249925529946")</f>
        <v>249925529946</v>
      </c>
      <c r="C1693" s="1" t="str">
        <f>T("1941094503188269916")</f>
        <v>1941094503188269916</v>
      </c>
      <c r="AC1693" s="1" t="s">
        <v>104</v>
      </c>
      <c r="AD1693" s="1" t="s">
        <v>105</v>
      </c>
      <c r="AE1693" s="1" t="s">
        <v>401</v>
      </c>
      <c r="AF1693" s="1" t="s">
        <v>107</v>
      </c>
      <c r="AG1693" s="1">
        <v>41</v>
      </c>
      <c r="AO1693" s="2">
        <v>46277</v>
      </c>
      <c r="AP1693" s="1" t="s">
        <v>301</v>
      </c>
      <c r="AS1693" s="1" t="s">
        <v>71</v>
      </c>
      <c r="AU1693" s="1" t="s">
        <v>72</v>
      </c>
      <c r="AV1693" s="1" t="s">
        <v>73</v>
      </c>
      <c r="AX1693" s="1">
        <v>0</v>
      </c>
      <c r="BA1693" s="1">
        <v>9</v>
      </c>
      <c r="BB1693" s="1">
        <v>0</v>
      </c>
      <c r="BC1693" s="1">
        <v>0</v>
      </c>
      <c r="BE1693" s="1">
        <v>27246422</v>
      </c>
    </row>
    <row r="1694" spans="1:57" x14ac:dyDescent="0.25">
      <c r="A1694" s="1" t="str">
        <f>T("1945464184620391912")</f>
        <v>1945464184620391912</v>
      </c>
      <c r="B1694" s="1" t="str">
        <f>T("249928188525")</f>
        <v>249928188525</v>
      </c>
      <c r="C1694" s="1" t="str">
        <f>T("1941094503192462624")</f>
        <v>1941094503192462624</v>
      </c>
      <c r="AC1694" s="1" t="s">
        <v>104</v>
      </c>
      <c r="AD1694" s="1" t="s">
        <v>105</v>
      </c>
      <c r="AE1694" s="1" t="s">
        <v>401</v>
      </c>
      <c r="AF1694" s="1" t="s">
        <v>107</v>
      </c>
      <c r="AG1694" s="1">
        <v>54</v>
      </c>
      <c r="AO1694" s="2">
        <v>46277</v>
      </c>
      <c r="AP1694" s="1" t="s">
        <v>301</v>
      </c>
      <c r="AS1694" s="1" t="s">
        <v>71</v>
      </c>
      <c r="AU1694" s="1" t="s">
        <v>72</v>
      </c>
      <c r="AV1694" s="1" t="s">
        <v>73</v>
      </c>
      <c r="AX1694" s="1">
        <v>0</v>
      </c>
      <c r="BA1694" s="1">
        <v>9</v>
      </c>
      <c r="BB1694" s="1">
        <v>0</v>
      </c>
      <c r="BC1694" s="1">
        <v>0</v>
      </c>
      <c r="BE1694" s="1">
        <v>27246422</v>
      </c>
    </row>
    <row r="1695" spans="1:57" x14ac:dyDescent="0.25">
      <c r="A1695" s="1" t="str">
        <f>T("1945464184658138884")</f>
        <v>1945464184658138884</v>
      </c>
      <c r="B1695" s="1" t="str">
        <f>T("249999201139")</f>
        <v>249999201139</v>
      </c>
      <c r="C1695" s="1" t="str">
        <f>T("1941094503192464024")</f>
        <v>1941094503192464024</v>
      </c>
      <c r="AC1695" s="1" t="s">
        <v>104</v>
      </c>
      <c r="AD1695" s="1" t="s">
        <v>105</v>
      </c>
      <c r="AE1695" s="1" t="s">
        <v>401</v>
      </c>
      <c r="AF1695" s="1" t="s">
        <v>107</v>
      </c>
      <c r="AG1695" s="1">
        <v>36</v>
      </c>
      <c r="AO1695" s="2">
        <v>46277</v>
      </c>
      <c r="AP1695" s="1" t="s">
        <v>301</v>
      </c>
      <c r="AS1695" s="1" t="s">
        <v>71</v>
      </c>
      <c r="AU1695" s="1" t="s">
        <v>72</v>
      </c>
      <c r="AV1695" s="1" t="s">
        <v>73</v>
      </c>
      <c r="AX1695" s="1">
        <v>0</v>
      </c>
      <c r="BA1695" s="1">
        <v>9</v>
      </c>
      <c r="BB1695" s="1">
        <v>0</v>
      </c>
      <c r="BC1695" s="1">
        <v>0</v>
      </c>
      <c r="BE1695" s="1">
        <v>27246422</v>
      </c>
    </row>
    <row r="1696" spans="1:57" x14ac:dyDescent="0.25">
      <c r="A1696" s="1" t="str">
        <f>T("1945464184658139784")</f>
        <v>1945464184658139784</v>
      </c>
      <c r="B1696" s="1" t="str">
        <f>T("249121943212")</f>
        <v>249121943212</v>
      </c>
      <c r="C1696" s="1" t="str">
        <f>T("1941094503192463124")</f>
        <v>1941094503192463124</v>
      </c>
      <c r="AC1696" s="1" t="s">
        <v>104</v>
      </c>
      <c r="AD1696" s="1" t="s">
        <v>105</v>
      </c>
      <c r="AE1696" s="1" t="s">
        <v>401</v>
      </c>
      <c r="AF1696" s="1" t="s">
        <v>107</v>
      </c>
      <c r="AG1696" s="1">
        <v>22</v>
      </c>
      <c r="AO1696" s="2">
        <v>46277</v>
      </c>
      <c r="AP1696" s="1" t="s">
        <v>301</v>
      </c>
      <c r="AS1696" s="1" t="s">
        <v>71</v>
      </c>
      <c r="AU1696" s="1" t="s">
        <v>72</v>
      </c>
      <c r="AV1696" s="1" t="s">
        <v>73</v>
      </c>
      <c r="AX1696" s="1">
        <v>0</v>
      </c>
      <c r="BA1696" s="1">
        <v>9</v>
      </c>
      <c r="BB1696" s="1">
        <v>0</v>
      </c>
      <c r="BC1696" s="1">
        <v>0</v>
      </c>
      <c r="BE1696" s="1">
        <v>27246422</v>
      </c>
    </row>
    <row r="1697" spans="1:57" x14ac:dyDescent="0.25">
      <c r="A1697" s="1" t="str">
        <f>T("1945464184662334492")</f>
        <v>1945464184662334492</v>
      </c>
      <c r="B1697" s="1" t="str">
        <f>T("249991225954")</f>
        <v>249991225954</v>
      </c>
      <c r="C1697" s="1" t="str">
        <f>T("1941094503192463624")</f>
        <v>1941094503192463624</v>
      </c>
      <c r="AC1697" s="1" t="s">
        <v>104</v>
      </c>
      <c r="AD1697" s="1" t="s">
        <v>105</v>
      </c>
      <c r="AE1697" s="1" t="s">
        <v>401</v>
      </c>
      <c r="AF1697" s="1" t="s">
        <v>107</v>
      </c>
      <c r="AG1697" s="1">
        <v>20</v>
      </c>
      <c r="AO1697" s="2">
        <v>46277</v>
      </c>
      <c r="AP1697" s="1" t="s">
        <v>301</v>
      </c>
      <c r="AS1697" s="1" t="s">
        <v>71</v>
      </c>
      <c r="AU1697" s="1" t="s">
        <v>72</v>
      </c>
      <c r="AV1697" s="1" t="s">
        <v>73</v>
      </c>
      <c r="AX1697" s="1">
        <v>0</v>
      </c>
      <c r="BA1697" s="1">
        <v>9</v>
      </c>
      <c r="BB1697" s="1">
        <v>0</v>
      </c>
      <c r="BC1697" s="1">
        <v>0</v>
      </c>
      <c r="BE1697" s="1">
        <v>27246422</v>
      </c>
    </row>
    <row r="1698" spans="1:57" x14ac:dyDescent="0.25">
      <c r="A1698" s="1" t="str">
        <f>T("1945464184708471980")</f>
        <v>1945464184708471980</v>
      </c>
      <c r="B1698" s="1" t="str">
        <f>T("249128833412")</f>
        <v>249128833412</v>
      </c>
      <c r="C1698" s="1" t="str">
        <f>T("1941094503200853240")</f>
        <v>1941094503200853240</v>
      </c>
      <c r="AC1698" s="1" t="s">
        <v>104</v>
      </c>
      <c r="AD1698" s="1" t="s">
        <v>105</v>
      </c>
      <c r="AE1698" s="1" t="s">
        <v>401</v>
      </c>
      <c r="AF1698" s="1" t="s">
        <v>107</v>
      </c>
      <c r="AG1698" s="1">
        <v>20</v>
      </c>
      <c r="AO1698" s="2">
        <v>46277</v>
      </c>
      <c r="AP1698" s="1" t="s">
        <v>301</v>
      </c>
      <c r="AQ1698" s="2">
        <v>46277</v>
      </c>
      <c r="AR1698" s="1" t="s">
        <v>723</v>
      </c>
      <c r="AS1698" s="1" t="s">
        <v>71</v>
      </c>
      <c r="AU1698" s="1" t="s">
        <v>79</v>
      </c>
      <c r="AV1698" s="1" t="s">
        <v>80</v>
      </c>
      <c r="AW1698" s="1">
        <v>19.260000000000002</v>
      </c>
      <c r="AX1698" s="1">
        <v>0</v>
      </c>
      <c r="AZ1698" s="1" t="s">
        <v>81</v>
      </c>
      <c r="BA1698" s="1">
        <v>1</v>
      </c>
      <c r="BB1698" s="1">
        <v>0</v>
      </c>
      <c r="BC1698" s="1">
        <v>0</v>
      </c>
      <c r="BE1698" s="1">
        <v>27246422</v>
      </c>
    </row>
    <row r="1699" spans="1:57" x14ac:dyDescent="0.25">
      <c r="A1699" s="1" t="str">
        <f>T("1945464184708471981")</f>
        <v>1945464184708471981</v>
      </c>
      <c r="B1699" s="1" t="str">
        <f>T("249919328653")</f>
        <v>249919328653</v>
      </c>
      <c r="C1699" s="1" t="str">
        <f>T("1941094503200853840")</f>
        <v>1941094503200853840</v>
      </c>
      <c r="AC1699" s="1" t="s">
        <v>104</v>
      </c>
      <c r="AD1699" s="1" t="s">
        <v>105</v>
      </c>
      <c r="AE1699" s="1" t="s">
        <v>401</v>
      </c>
      <c r="AF1699" s="1" t="s">
        <v>107</v>
      </c>
      <c r="AG1699" s="1">
        <v>40</v>
      </c>
      <c r="AO1699" s="2">
        <v>46277</v>
      </c>
      <c r="AP1699" s="1" t="s">
        <v>301</v>
      </c>
      <c r="AS1699" s="1" t="s">
        <v>71</v>
      </c>
      <c r="AU1699" s="1" t="s">
        <v>72</v>
      </c>
      <c r="AV1699" s="1" t="s">
        <v>437</v>
      </c>
      <c r="AX1699" s="1">
        <v>0</v>
      </c>
      <c r="BA1699" s="1">
        <v>9</v>
      </c>
      <c r="BB1699" s="1">
        <v>0</v>
      </c>
      <c r="BC1699" s="1">
        <v>0</v>
      </c>
      <c r="BE1699" s="1">
        <v>27246422</v>
      </c>
    </row>
    <row r="1700" spans="1:57" x14ac:dyDescent="0.25">
      <c r="A1700" s="1" t="str">
        <f>T("1945464184712663288")</f>
        <v>1945464184712663288</v>
      </c>
      <c r="B1700" s="1" t="str">
        <f>T("249922378819")</f>
        <v>249922378819</v>
      </c>
      <c r="C1700" s="1" t="str">
        <f>T("1941094503205044448")</f>
        <v>1941094503205044448</v>
      </c>
      <c r="AA1700" s="1">
        <v>1</v>
      </c>
      <c r="AC1700" s="1" t="s">
        <v>104</v>
      </c>
      <c r="AD1700" s="1" t="s">
        <v>105</v>
      </c>
      <c r="AE1700" s="1" t="s">
        <v>401</v>
      </c>
      <c r="AF1700" s="1" t="s">
        <v>107</v>
      </c>
      <c r="AG1700" s="1">
        <v>29</v>
      </c>
      <c r="AO1700" s="2">
        <v>46277</v>
      </c>
      <c r="AP1700" s="1" t="s">
        <v>301</v>
      </c>
      <c r="AQ1700" s="2">
        <v>46277</v>
      </c>
      <c r="AR1700" s="1" t="s">
        <v>724</v>
      </c>
      <c r="AS1700" s="1" t="s">
        <v>71</v>
      </c>
      <c r="AU1700" s="1" t="s">
        <v>79</v>
      </c>
      <c r="AV1700" s="1" t="s">
        <v>80</v>
      </c>
      <c r="AW1700" s="1">
        <v>38.340000000000003</v>
      </c>
      <c r="AX1700" s="1">
        <v>0</v>
      </c>
      <c r="AZ1700" s="1" t="s">
        <v>81</v>
      </c>
      <c r="BA1700" s="1">
        <v>1</v>
      </c>
      <c r="BB1700" s="1">
        <v>0</v>
      </c>
      <c r="BC1700" s="1">
        <v>0</v>
      </c>
      <c r="BE1700" s="1">
        <v>27246422</v>
      </c>
    </row>
    <row r="1701" spans="1:57" x14ac:dyDescent="0.25">
      <c r="A1701" s="1" t="str">
        <f>T("1945464184750413260")</f>
        <v>1945464184750413260</v>
      </c>
      <c r="B1701" s="1" t="str">
        <f>T("249111351741")</f>
        <v>249111351741</v>
      </c>
      <c r="C1701" s="1" t="str">
        <f>T("1941094503205045648")</f>
        <v>1941094503205045648</v>
      </c>
      <c r="AC1701" s="1" t="s">
        <v>104</v>
      </c>
      <c r="AD1701" s="1" t="s">
        <v>105</v>
      </c>
      <c r="AE1701" s="1" t="s">
        <v>401</v>
      </c>
      <c r="AF1701" s="1" t="s">
        <v>107</v>
      </c>
      <c r="AG1701" s="1">
        <v>26</v>
      </c>
      <c r="AO1701" s="2">
        <v>46277</v>
      </c>
      <c r="AP1701" s="1" t="s">
        <v>301</v>
      </c>
      <c r="AS1701" s="1" t="s">
        <v>71</v>
      </c>
      <c r="AU1701" s="1" t="s">
        <v>72</v>
      </c>
      <c r="AV1701" s="1" t="s">
        <v>73</v>
      </c>
      <c r="AX1701" s="1">
        <v>0</v>
      </c>
      <c r="BA1701" s="1">
        <v>9</v>
      </c>
      <c r="BB1701" s="1">
        <v>0</v>
      </c>
      <c r="BC1701" s="1">
        <v>0</v>
      </c>
      <c r="BE1701" s="1">
        <v>27246422</v>
      </c>
    </row>
    <row r="1702" spans="1:57" x14ac:dyDescent="0.25">
      <c r="A1702" s="1" t="str">
        <f>T("1945464184775577908")</f>
        <v>1945464184775577908</v>
      </c>
      <c r="B1702" s="1" t="str">
        <f>T("249114171895")</f>
        <v>249114171895</v>
      </c>
      <c r="C1702" s="1" t="str">
        <f>T("1941094503205046048")</f>
        <v>1941094503205046048</v>
      </c>
      <c r="M1702" s="1" t="s">
        <v>59</v>
      </c>
      <c r="O1702" s="1" t="s">
        <v>65</v>
      </c>
      <c r="P1702" s="1" t="s">
        <v>83</v>
      </c>
      <c r="Q1702" s="1" t="s">
        <v>101</v>
      </c>
      <c r="R1702" s="1" t="s">
        <v>84</v>
      </c>
      <c r="S1702" s="1" t="s">
        <v>61</v>
      </c>
      <c r="U1702" s="1" t="s">
        <v>65</v>
      </c>
      <c r="V1702" s="1" t="s">
        <v>68</v>
      </c>
      <c r="W1702" s="1" t="s">
        <v>60</v>
      </c>
      <c r="X1702" s="1" t="s">
        <v>103</v>
      </c>
      <c r="Y1702" s="1" t="s">
        <v>69</v>
      </c>
      <c r="AA1702" s="1">
        <v>1</v>
      </c>
      <c r="AB1702" s="1">
        <v>1</v>
      </c>
      <c r="AC1702" s="1" t="s">
        <v>104</v>
      </c>
      <c r="AD1702" s="1" t="s">
        <v>105</v>
      </c>
      <c r="AE1702" s="1" t="s">
        <v>401</v>
      </c>
      <c r="AF1702" s="1" t="s">
        <v>107</v>
      </c>
      <c r="AG1702" s="1">
        <v>32</v>
      </c>
      <c r="AO1702" s="2">
        <v>46277</v>
      </c>
      <c r="AP1702" s="1" t="s">
        <v>301</v>
      </c>
      <c r="AQ1702" s="2">
        <v>46277</v>
      </c>
      <c r="AR1702" s="1" t="s">
        <v>725</v>
      </c>
      <c r="AS1702" s="1" t="s">
        <v>71</v>
      </c>
      <c r="AU1702" s="1" t="s">
        <v>78</v>
      </c>
      <c r="AV1702" s="1" t="s">
        <v>80</v>
      </c>
      <c r="AW1702" s="1">
        <v>232.36</v>
      </c>
      <c r="AX1702" s="1">
        <v>0</v>
      </c>
      <c r="AZ1702" s="1" t="s">
        <v>81</v>
      </c>
      <c r="BA1702" s="1">
        <v>1</v>
      </c>
      <c r="BB1702" s="1">
        <v>0</v>
      </c>
      <c r="BC1702" s="1">
        <v>0</v>
      </c>
      <c r="BE1702" s="1">
        <v>27246422</v>
      </c>
    </row>
    <row r="1703" spans="1:57" x14ac:dyDescent="0.25">
      <c r="A1703" s="1" t="str">
        <f>T("1945464184804938764")</f>
        <v>1945464184804938764</v>
      </c>
      <c r="B1703" s="1" t="str">
        <f>T("249923256350")</f>
        <v>249923256350</v>
      </c>
      <c r="C1703" s="1" t="str">
        <f>T("1941094503205046948")</f>
        <v>1941094503205046948</v>
      </c>
      <c r="AC1703" s="1" t="s">
        <v>104</v>
      </c>
      <c r="AD1703" s="1" t="s">
        <v>105</v>
      </c>
      <c r="AE1703" s="1" t="s">
        <v>401</v>
      </c>
      <c r="AF1703" s="1" t="s">
        <v>107</v>
      </c>
      <c r="AG1703" s="1">
        <v>20</v>
      </c>
      <c r="AO1703" s="2">
        <v>46277</v>
      </c>
      <c r="AP1703" s="1" t="s">
        <v>301</v>
      </c>
      <c r="AS1703" s="1" t="s">
        <v>71</v>
      </c>
      <c r="AU1703" s="1" t="s">
        <v>72</v>
      </c>
      <c r="AV1703" s="1" t="s">
        <v>73</v>
      </c>
      <c r="AX1703" s="1">
        <v>0</v>
      </c>
      <c r="BA1703" s="1">
        <v>9</v>
      </c>
      <c r="BB1703" s="1">
        <v>0</v>
      </c>
      <c r="BC1703" s="1">
        <v>0</v>
      </c>
      <c r="BE1703" s="1">
        <v>27246422</v>
      </c>
    </row>
    <row r="1704" spans="1:57" x14ac:dyDescent="0.25">
      <c r="A1704" s="1" t="str">
        <f>T("1945464184804941064")</f>
        <v>1945464184804941064</v>
      </c>
      <c r="B1704" s="1" t="str">
        <f>T("249125460127")</f>
        <v>249125460127</v>
      </c>
      <c r="C1704" s="1" t="str">
        <f>T("1941094503205046448")</f>
        <v>1941094503205046448</v>
      </c>
      <c r="M1704" s="1" t="s">
        <v>59</v>
      </c>
      <c r="O1704" s="1" t="s">
        <v>60</v>
      </c>
      <c r="P1704" s="1" t="s">
        <v>111</v>
      </c>
      <c r="Q1704" s="1" t="s">
        <v>112</v>
      </c>
      <c r="R1704" s="1" t="s">
        <v>93</v>
      </c>
      <c r="T1704" s="1" t="s">
        <v>95</v>
      </c>
      <c r="U1704" s="1" t="s">
        <v>65</v>
      </c>
      <c r="V1704" s="1" t="s">
        <v>102</v>
      </c>
      <c r="W1704" s="1" t="s">
        <v>60</v>
      </c>
      <c r="X1704" s="1" t="s">
        <v>66</v>
      </c>
      <c r="Y1704" s="1" t="s">
        <v>85</v>
      </c>
      <c r="AA1704" s="1">
        <v>1</v>
      </c>
      <c r="AB1704" s="1">
        <v>1</v>
      </c>
      <c r="AC1704" s="1" t="s">
        <v>104</v>
      </c>
      <c r="AD1704" s="1" t="s">
        <v>105</v>
      </c>
      <c r="AE1704" s="1" t="s">
        <v>401</v>
      </c>
      <c r="AF1704" s="1" t="s">
        <v>107</v>
      </c>
      <c r="AG1704" s="1">
        <v>26</v>
      </c>
      <c r="AO1704" s="2">
        <v>46277</v>
      </c>
      <c r="AP1704" s="1" t="s">
        <v>301</v>
      </c>
      <c r="AQ1704" s="2">
        <v>46277</v>
      </c>
      <c r="AR1704" s="1" t="s">
        <v>341</v>
      </c>
      <c r="AS1704" s="1" t="s">
        <v>71</v>
      </c>
      <c r="AU1704" s="1" t="s">
        <v>78</v>
      </c>
      <c r="AV1704" s="1" t="s">
        <v>80</v>
      </c>
      <c r="AW1704" s="1">
        <v>223.52</v>
      </c>
      <c r="AX1704" s="1">
        <v>0</v>
      </c>
      <c r="AZ1704" s="1" t="s">
        <v>81</v>
      </c>
      <c r="BA1704" s="1">
        <v>1</v>
      </c>
      <c r="BB1704" s="1">
        <v>0</v>
      </c>
      <c r="BC1704" s="1">
        <v>0</v>
      </c>
      <c r="BE1704" s="1">
        <v>27246422</v>
      </c>
    </row>
    <row r="1705" spans="1:57" x14ac:dyDescent="0.25">
      <c r="A1705" s="1" t="str">
        <f>T("1945464184863661576")</f>
        <v>1945464184863661576</v>
      </c>
      <c r="B1705" s="1" t="str">
        <f>T("249114908934")</f>
        <v>249114908934</v>
      </c>
      <c r="C1705" s="1" t="str">
        <f>T("1941094503205047448")</f>
        <v>1941094503205047448</v>
      </c>
      <c r="AC1705" s="1" t="s">
        <v>104</v>
      </c>
      <c r="AD1705" s="1" t="s">
        <v>105</v>
      </c>
      <c r="AE1705" s="1" t="s">
        <v>401</v>
      </c>
      <c r="AF1705" s="1" t="s">
        <v>107</v>
      </c>
      <c r="AG1705" s="1">
        <v>20</v>
      </c>
      <c r="AO1705" s="2">
        <v>46277</v>
      </c>
      <c r="AP1705" s="1" t="s">
        <v>301</v>
      </c>
      <c r="AQ1705" s="2">
        <v>46277</v>
      </c>
      <c r="AR1705" s="1" t="s">
        <v>726</v>
      </c>
      <c r="AS1705" s="1" t="s">
        <v>71</v>
      </c>
      <c r="AU1705" s="1" t="s">
        <v>79</v>
      </c>
      <c r="AV1705" s="1" t="s">
        <v>80</v>
      </c>
      <c r="AW1705" s="1">
        <v>23.3</v>
      </c>
      <c r="AX1705" s="1">
        <v>0</v>
      </c>
      <c r="AZ1705" s="1" t="s">
        <v>81</v>
      </c>
      <c r="BA1705" s="1">
        <v>5</v>
      </c>
      <c r="BB1705" s="1">
        <v>0</v>
      </c>
      <c r="BC1705" s="1">
        <v>0</v>
      </c>
      <c r="BE1705" s="1">
        <v>27246422</v>
      </c>
    </row>
    <row r="1706" spans="1:57" x14ac:dyDescent="0.25">
      <c r="A1706" s="1" t="str">
        <f>T("1945464184880435508")</f>
        <v>1945464184880435508</v>
      </c>
      <c r="B1706" s="1" t="str">
        <f>T("249117864681")</f>
        <v>249117864681</v>
      </c>
      <c r="C1706" s="1" t="str">
        <f>T("1941094503205048248")</f>
        <v>1941094503205048248</v>
      </c>
      <c r="M1706" s="1" t="s">
        <v>59</v>
      </c>
      <c r="O1706" s="1" t="s">
        <v>60</v>
      </c>
      <c r="P1706" s="1" t="s">
        <v>83</v>
      </c>
      <c r="Q1706" s="1" t="s">
        <v>101</v>
      </c>
      <c r="R1706" s="1" t="s">
        <v>93</v>
      </c>
      <c r="T1706" s="1" t="s">
        <v>119</v>
      </c>
      <c r="U1706" s="1" t="s">
        <v>65</v>
      </c>
      <c r="V1706" s="1" t="s">
        <v>102</v>
      </c>
      <c r="W1706" s="1" t="s">
        <v>60</v>
      </c>
      <c r="X1706" s="1" t="s">
        <v>66</v>
      </c>
      <c r="Y1706" s="1" t="s">
        <v>160</v>
      </c>
      <c r="AA1706" s="1">
        <v>1</v>
      </c>
      <c r="AB1706" s="1">
        <v>1</v>
      </c>
      <c r="AC1706" s="1" t="s">
        <v>104</v>
      </c>
      <c r="AD1706" s="1" t="s">
        <v>105</v>
      </c>
      <c r="AE1706" s="1" t="s">
        <v>401</v>
      </c>
      <c r="AF1706" s="1" t="s">
        <v>107</v>
      </c>
      <c r="AG1706" s="1">
        <v>25</v>
      </c>
      <c r="AO1706" s="2">
        <v>46277</v>
      </c>
      <c r="AP1706" s="1" t="s">
        <v>301</v>
      </c>
      <c r="AQ1706" s="2">
        <v>46277</v>
      </c>
      <c r="AR1706" s="1" t="s">
        <v>727</v>
      </c>
      <c r="AS1706" s="1" t="s">
        <v>71</v>
      </c>
      <c r="AU1706" s="1" t="s">
        <v>78</v>
      </c>
      <c r="AV1706" s="1" t="s">
        <v>80</v>
      </c>
      <c r="AW1706" s="1">
        <v>221.7</v>
      </c>
      <c r="AX1706" s="1">
        <v>0</v>
      </c>
      <c r="AZ1706" s="1" t="s">
        <v>81</v>
      </c>
      <c r="BA1706" s="1">
        <v>2</v>
      </c>
      <c r="BB1706" s="1">
        <v>0</v>
      </c>
      <c r="BC1706" s="1">
        <v>0</v>
      </c>
      <c r="BE1706" s="1">
        <v>27246422</v>
      </c>
    </row>
    <row r="1707" spans="1:57" x14ac:dyDescent="0.25">
      <c r="A1707" s="1" t="str">
        <f>T("1945464184884631316")</f>
        <v>1945464184884631316</v>
      </c>
      <c r="B1707" s="1" t="str">
        <f>T("249114522578")</f>
        <v>249114522578</v>
      </c>
      <c r="C1707" s="1" t="str">
        <f>T("1941094503205047848")</f>
        <v>1941094503205047848</v>
      </c>
      <c r="AC1707" s="1" t="s">
        <v>104</v>
      </c>
      <c r="AD1707" s="1" t="s">
        <v>105</v>
      </c>
      <c r="AE1707" s="1" t="s">
        <v>401</v>
      </c>
      <c r="AF1707" s="1" t="s">
        <v>107</v>
      </c>
      <c r="AG1707" s="1">
        <v>52</v>
      </c>
      <c r="AO1707" s="2">
        <v>46277</v>
      </c>
      <c r="AP1707" s="1" t="s">
        <v>301</v>
      </c>
      <c r="AS1707" s="1" t="s">
        <v>71</v>
      </c>
      <c r="AU1707" s="1" t="s">
        <v>72</v>
      </c>
      <c r="AV1707" s="1" t="s">
        <v>73</v>
      </c>
      <c r="AX1707" s="1">
        <v>0</v>
      </c>
      <c r="BA1707" s="1">
        <v>9</v>
      </c>
      <c r="BB1707" s="1">
        <v>0</v>
      </c>
      <c r="BC1707" s="1">
        <v>0</v>
      </c>
      <c r="BE1707" s="1">
        <v>27246422</v>
      </c>
    </row>
    <row r="1708" spans="1:57" x14ac:dyDescent="0.25">
      <c r="A1708" s="1" t="str">
        <f>T("1945464184897212640")</f>
        <v>1945464184897212640</v>
      </c>
      <c r="B1708" s="1" t="str">
        <f>T("249901711010")</f>
        <v>249901711010</v>
      </c>
      <c r="C1708" s="1" t="str">
        <f>T("1941094503209238856")</f>
        <v>1941094503209238856</v>
      </c>
      <c r="AC1708" s="1" t="s">
        <v>104</v>
      </c>
      <c r="AD1708" s="1" t="s">
        <v>105</v>
      </c>
      <c r="AE1708" s="1" t="s">
        <v>401</v>
      </c>
      <c r="AF1708" s="1" t="s">
        <v>107</v>
      </c>
      <c r="AG1708" s="1">
        <v>28</v>
      </c>
      <c r="AO1708" s="2">
        <v>46277</v>
      </c>
      <c r="AP1708" s="1" t="s">
        <v>301</v>
      </c>
      <c r="AS1708" s="1" t="s">
        <v>71</v>
      </c>
      <c r="AU1708" s="1" t="s">
        <v>72</v>
      </c>
      <c r="AV1708" s="1" t="s">
        <v>73</v>
      </c>
      <c r="AX1708" s="1">
        <v>0</v>
      </c>
      <c r="BA1708" s="1">
        <v>9</v>
      </c>
      <c r="BB1708" s="1">
        <v>0</v>
      </c>
      <c r="BC1708" s="1">
        <v>0</v>
      </c>
      <c r="BE1708" s="1">
        <v>27246422</v>
      </c>
    </row>
    <row r="1709" spans="1:57" x14ac:dyDescent="0.25">
      <c r="A1709" s="1" t="str">
        <f>T("1945464184901406948")</f>
        <v>1945464184901406948</v>
      </c>
      <c r="B1709" s="1" t="str">
        <f>T("249927296502")</f>
        <v>249927296502</v>
      </c>
      <c r="C1709" s="1" t="str">
        <f>T("1941094503209239156")</f>
        <v>1941094503209239156</v>
      </c>
      <c r="AC1709" s="1" t="s">
        <v>104</v>
      </c>
      <c r="AD1709" s="1" t="s">
        <v>105</v>
      </c>
      <c r="AE1709" s="1" t="s">
        <v>401</v>
      </c>
      <c r="AF1709" s="1" t="s">
        <v>107</v>
      </c>
      <c r="AG1709" s="1">
        <v>33</v>
      </c>
      <c r="AO1709" s="2">
        <v>46277</v>
      </c>
      <c r="AP1709" s="1" t="s">
        <v>301</v>
      </c>
      <c r="AS1709" s="1" t="s">
        <v>71</v>
      </c>
      <c r="AU1709" s="1" t="s">
        <v>72</v>
      </c>
      <c r="AV1709" s="1" t="s">
        <v>73</v>
      </c>
      <c r="AX1709" s="1">
        <v>0</v>
      </c>
      <c r="BA1709" s="1">
        <v>9</v>
      </c>
      <c r="BB1709" s="1">
        <v>0</v>
      </c>
      <c r="BC1709" s="1">
        <v>0</v>
      </c>
      <c r="BE1709" s="1">
        <v>27246422</v>
      </c>
    </row>
    <row r="1710" spans="1:57" x14ac:dyDescent="0.25">
      <c r="A1710" s="1" t="str">
        <f>T("1945464184989489116")</f>
        <v>1945464184989489116</v>
      </c>
      <c r="B1710" s="1" t="str">
        <f>T("249926667158")</f>
        <v>249926667158</v>
      </c>
      <c r="C1710" s="1" t="str">
        <f>T("1941094503209239556")</f>
        <v>1941094503209239556</v>
      </c>
      <c r="AC1710" s="1" t="s">
        <v>104</v>
      </c>
      <c r="AD1710" s="1" t="s">
        <v>105</v>
      </c>
      <c r="AE1710" s="1" t="s">
        <v>401</v>
      </c>
      <c r="AF1710" s="1" t="s">
        <v>107</v>
      </c>
      <c r="AG1710" s="1">
        <v>30</v>
      </c>
      <c r="AO1710" s="2">
        <v>46277</v>
      </c>
      <c r="AP1710" s="1" t="s">
        <v>301</v>
      </c>
      <c r="AS1710" s="1" t="s">
        <v>71</v>
      </c>
      <c r="AU1710" s="1" t="s">
        <v>72</v>
      </c>
      <c r="AV1710" s="1" t="s">
        <v>73</v>
      </c>
      <c r="AX1710" s="1">
        <v>0</v>
      </c>
      <c r="BA1710" s="1">
        <v>9</v>
      </c>
      <c r="BB1710" s="1">
        <v>0</v>
      </c>
      <c r="BC1710" s="1">
        <v>0</v>
      </c>
      <c r="BE1710" s="1">
        <v>27246422</v>
      </c>
    </row>
    <row r="1711" spans="1:57" x14ac:dyDescent="0.25">
      <c r="A1711" s="1" t="str">
        <f>T("1945464185014653264")</f>
        <v>1945464185014653264</v>
      </c>
      <c r="B1711" s="1" t="str">
        <f>T("249909463125")</f>
        <v>249909463125</v>
      </c>
      <c r="C1711" s="1" t="str">
        <f>T("1941094503209239856")</f>
        <v>1941094503209239856</v>
      </c>
      <c r="AC1711" s="1" t="s">
        <v>104</v>
      </c>
      <c r="AD1711" s="1" t="s">
        <v>105</v>
      </c>
      <c r="AE1711" s="1" t="s">
        <v>401</v>
      </c>
      <c r="AF1711" s="1" t="s">
        <v>107</v>
      </c>
      <c r="AG1711" s="1">
        <v>40</v>
      </c>
      <c r="AO1711" s="2">
        <v>46277</v>
      </c>
      <c r="AP1711" s="1" t="s">
        <v>301</v>
      </c>
      <c r="AS1711" s="1" t="s">
        <v>71</v>
      </c>
      <c r="AU1711" s="1" t="s">
        <v>72</v>
      </c>
      <c r="AV1711" s="1" t="s">
        <v>437</v>
      </c>
      <c r="AX1711" s="1">
        <v>0</v>
      </c>
      <c r="BA1711" s="1">
        <v>9</v>
      </c>
      <c r="BB1711" s="1">
        <v>0</v>
      </c>
      <c r="BC1711" s="1">
        <v>0</v>
      </c>
      <c r="BE1711" s="1">
        <v>27246422</v>
      </c>
    </row>
    <row r="1712" spans="1:57" x14ac:dyDescent="0.25">
      <c r="A1712" s="1" t="str">
        <f>T("1945464185031430796")</f>
        <v>1945464185031430796</v>
      </c>
      <c r="B1712" s="1" t="str">
        <f>T("249166568717")</f>
        <v>249166568717</v>
      </c>
      <c r="C1712" s="1" t="str">
        <f>T("1941094503209240256")</f>
        <v>1941094503209240256</v>
      </c>
      <c r="AC1712" s="1" t="s">
        <v>104</v>
      </c>
      <c r="AD1712" s="1" t="s">
        <v>105</v>
      </c>
      <c r="AE1712" s="1" t="s">
        <v>401</v>
      </c>
      <c r="AF1712" s="1" t="s">
        <v>107</v>
      </c>
      <c r="AG1712" s="1">
        <v>55</v>
      </c>
      <c r="AO1712" s="2">
        <v>46277</v>
      </c>
      <c r="AP1712" s="1" t="s">
        <v>301</v>
      </c>
      <c r="AS1712" s="1" t="s">
        <v>71</v>
      </c>
      <c r="AU1712" s="1" t="s">
        <v>72</v>
      </c>
      <c r="AV1712" s="1" t="s">
        <v>73</v>
      </c>
      <c r="AX1712" s="1">
        <v>0</v>
      </c>
      <c r="BA1712" s="1">
        <v>9</v>
      </c>
      <c r="BB1712" s="1">
        <v>0</v>
      </c>
      <c r="BC1712" s="1">
        <v>0</v>
      </c>
      <c r="BE1712" s="1">
        <v>27246422</v>
      </c>
    </row>
    <row r="1713" spans="1:57" x14ac:dyDescent="0.25">
      <c r="A1713" s="1" t="str">
        <f>T("1945464185031433696")</f>
        <v>1945464185031433696</v>
      </c>
      <c r="B1713" s="1" t="str">
        <f>T("249127143259")</f>
        <v>249127143259</v>
      </c>
      <c r="C1713" s="1" t="str">
        <f>T("1941094503209241056")</f>
        <v>1941094503209241056</v>
      </c>
      <c r="AA1713" s="1">
        <v>1</v>
      </c>
      <c r="AC1713" s="1" t="s">
        <v>104</v>
      </c>
      <c r="AD1713" s="1" t="s">
        <v>105</v>
      </c>
      <c r="AE1713" s="1" t="s">
        <v>401</v>
      </c>
      <c r="AF1713" s="1" t="s">
        <v>107</v>
      </c>
      <c r="AG1713" s="1">
        <v>20</v>
      </c>
      <c r="AO1713" s="2">
        <v>46277</v>
      </c>
      <c r="AP1713" s="1" t="s">
        <v>301</v>
      </c>
      <c r="AQ1713" s="2">
        <v>46277</v>
      </c>
      <c r="AR1713" s="1" t="s">
        <v>728</v>
      </c>
      <c r="AS1713" s="1" t="s">
        <v>71</v>
      </c>
      <c r="AU1713" s="1" t="s">
        <v>79</v>
      </c>
      <c r="AV1713" s="1" t="s">
        <v>80</v>
      </c>
      <c r="AW1713" s="1">
        <v>64.260000000000005</v>
      </c>
      <c r="AX1713" s="1">
        <v>0</v>
      </c>
      <c r="AZ1713" s="1" t="s">
        <v>81</v>
      </c>
      <c r="BA1713" s="1">
        <v>2</v>
      </c>
      <c r="BB1713" s="1">
        <v>0</v>
      </c>
      <c r="BC1713" s="1">
        <v>0</v>
      </c>
      <c r="BE1713" s="1">
        <v>27246422</v>
      </c>
    </row>
    <row r="1714" spans="1:57" x14ac:dyDescent="0.25">
      <c r="A1714" s="1" t="str">
        <f>T("1945464185035627004")</f>
        <v>1945464185035627004</v>
      </c>
      <c r="B1714" s="1" t="str">
        <f>T("249995282650")</f>
        <v>249995282650</v>
      </c>
      <c r="C1714" s="1" t="str">
        <f>T("1941094503209240656")</f>
        <v>1941094503209240656</v>
      </c>
      <c r="AA1714" s="1">
        <v>1</v>
      </c>
      <c r="AC1714" s="1" t="s">
        <v>104</v>
      </c>
      <c r="AD1714" s="1" t="s">
        <v>105</v>
      </c>
      <c r="AE1714" s="1" t="s">
        <v>401</v>
      </c>
      <c r="AF1714" s="1" t="s">
        <v>107</v>
      </c>
      <c r="AG1714" s="1">
        <v>31</v>
      </c>
      <c r="AO1714" s="2">
        <v>46277</v>
      </c>
      <c r="AP1714" s="1" t="s">
        <v>301</v>
      </c>
      <c r="AQ1714" s="2">
        <v>46277</v>
      </c>
      <c r="AR1714" s="1" t="s">
        <v>341</v>
      </c>
      <c r="AS1714" s="1" t="s">
        <v>71</v>
      </c>
      <c r="AU1714" s="1" t="s">
        <v>79</v>
      </c>
      <c r="AV1714" s="1" t="s">
        <v>80</v>
      </c>
      <c r="AW1714" s="1">
        <v>66.88</v>
      </c>
      <c r="AX1714" s="1">
        <v>0</v>
      </c>
      <c r="AZ1714" s="1" t="s">
        <v>81</v>
      </c>
      <c r="BA1714" s="1">
        <v>1</v>
      </c>
      <c r="BB1714" s="1">
        <v>0</v>
      </c>
      <c r="BC1714" s="1">
        <v>0</v>
      </c>
      <c r="BE1714" s="1">
        <v>27246422</v>
      </c>
    </row>
    <row r="1715" spans="1:57" x14ac:dyDescent="0.25">
      <c r="A1715" s="1" t="str">
        <f>T("1945464185039821112")</f>
        <v>1945464185039821112</v>
      </c>
      <c r="B1715" s="1" t="str">
        <f>T("249114973435")</f>
        <v>249114973435</v>
      </c>
      <c r="C1715" s="1" t="str">
        <f>T("1941094503209241456")</f>
        <v>1941094503209241456</v>
      </c>
      <c r="AA1715" s="1">
        <v>1</v>
      </c>
      <c r="AC1715" s="1" t="s">
        <v>104</v>
      </c>
      <c r="AD1715" s="1" t="s">
        <v>105</v>
      </c>
      <c r="AE1715" s="1" t="s">
        <v>401</v>
      </c>
      <c r="AF1715" s="1" t="s">
        <v>107</v>
      </c>
      <c r="AG1715" s="1">
        <v>28</v>
      </c>
      <c r="AO1715" s="2">
        <v>46277</v>
      </c>
      <c r="AP1715" s="1" t="s">
        <v>301</v>
      </c>
      <c r="AQ1715" s="2">
        <v>46277</v>
      </c>
      <c r="AR1715" s="1" t="s">
        <v>729</v>
      </c>
      <c r="AS1715" s="1" t="s">
        <v>71</v>
      </c>
      <c r="AU1715" s="1" t="s">
        <v>79</v>
      </c>
      <c r="AV1715" s="1" t="s">
        <v>80</v>
      </c>
      <c r="AW1715" s="1">
        <v>46.32</v>
      </c>
      <c r="AX1715" s="1">
        <v>0</v>
      </c>
      <c r="AZ1715" s="1" t="s">
        <v>81</v>
      </c>
      <c r="BA1715" s="1">
        <v>1</v>
      </c>
      <c r="BB1715" s="1">
        <v>0</v>
      </c>
      <c r="BC1715" s="1">
        <v>0</v>
      </c>
      <c r="BE1715" s="1">
        <v>27246422</v>
      </c>
    </row>
    <row r="1716" spans="1:57" x14ac:dyDescent="0.25">
      <c r="A1716" s="1" t="str">
        <f>T("1945464185048209428")</f>
        <v>1945464185048209428</v>
      </c>
      <c r="B1716" s="1" t="str">
        <f>T("249926230924")</f>
        <v>249926230924</v>
      </c>
      <c r="C1716" s="1" t="str">
        <f>T("1941094503209241956")</f>
        <v>1941094503209241956</v>
      </c>
      <c r="AA1716" s="1">
        <v>1</v>
      </c>
      <c r="AC1716" s="1" t="s">
        <v>104</v>
      </c>
      <c r="AD1716" s="1" t="s">
        <v>105</v>
      </c>
      <c r="AE1716" s="1" t="s">
        <v>401</v>
      </c>
      <c r="AF1716" s="1" t="s">
        <v>107</v>
      </c>
      <c r="AG1716" s="1">
        <v>29</v>
      </c>
      <c r="AO1716" s="2">
        <v>46277</v>
      </c>
      <c r="AP1716" s="1" t="s">
        <v>301</v>
      </c>
      <c r="AQ1716" s="2">
        <v>46277</v>
      </c>
      <c r="AR1716" s="1" t="s">
        <v>730</v>
      </c>
      <c r="AS1716" s="1" t="s">
        <v>71</v>
      </c>
      <c r="AU1716" s="1" t="s">
        <v>79</v>
      </c>
      <c r="AV1716" s="1" t="s">
        <v>80</v>
      </c>
      <c r="AW1716" s="1">
        <v>57.8</v>
      </c>
      <c r="AX1716" s="1">
        <v>0</v>
      </c>
      <c r="AZ1716" s="1" t="s">
        <v>81</v>
      </c>
      <c r="BA1716" s="1">
        <v>1</v>
      </c>
      <c r="BB1716" s="1">
        <v>0</v>
      </c>
      <c r="BC1716" s="1">
        <v>0</v>
      </c>
      <c r="BE1716" s="1">
        <v>27246422</v>
      </c>
    </row>
    <row r="1717" spans="1:57" x14ac:dyDescent="0.25">
      <c r="A1717" s="1" t="str">
        <f>T("1945464185127900780")</f>
        <v>1945464185127900780</v>
      </c>
      <c r="B1717" s="1" t="str">
        <f>T("249100320351")</f>
        <v>249100320351</v>
      </c>
      <c r="C1717" s="1" t="str">
        <f>T("1941094503213433464")</f>
        <v>1941094503213433464</v>
      </c>
      <c r="AC1717" s="1" t="s">
        <v>104</v>
      </c>
      <c r="AD1717" s="1" t="s">
        <v>105</v>
      </c>
      <c r="AE1717" s="1" t="s">
        <v>401</v>
      </c>
      <c r="AF1717" s="1" t="s">
        <v>107</v>
      </c>
      <c r="AG1717" s="1">
        <v>25</v>
      </c>
      <c r="AO1717" s="2">
        <v>46277</v>
      </c>
      <c r="AP1717" s="1" t="s">
        <v>301</v>
      </c>
      <c r="AS1717" s="1" t="s">
        <v>71</v>
      </c>
      <c r="AU1717" s="1" t="s">
        <v>72</v>
      </c>
      <c r="AV1717" s="1" t="s">
        <v>115</v>
      </c>
      <c r="AX1717" s="1">
        <v>0</v>
      </c>
      <c r="BA1717" s="1">
        <v>9</v>
      </c>
      <c r="BB1717" s="1">
        <v>0</v>
      </c>
      <c r="BC1717" s="1">
        <v>0</v>
      </c>
      <c r="BE1717" s="1">
        <v>27246422</v>
      </c>
    </row>
    <row r="1718" spans="1:57" x14ac:dyDescent="0.25">
      <c r="A1718" s="1" t="str">
        <f>T("1945464185161454744")</f>
        <v>1945464185161454744</v>
      </c>
      <c r="B1718" s="1" t="str">
        <f>T("249929054658")</f>
        <v>249929054658</v>
      </c>
      <c r="C1718" s="1" t="str">
        <f>T("1941094503209242356")</f>
        <v>1941094503209242356</v>
      </c>
      <c r="AC1718" s="1" t="s">
        <v>104</v>
      </c>
      <c r="AD1718" s="1" t="s">
        <v>105</v>
      </c>
      <c r="AE1718" s="1" t="s">
        <v>401</v>
      </c>
      <c r="AF1718" s="1" t="s">
        <v>107</v>
      </c>
      <c r="AG1718" s="1">
        <v>21</v>
      </c>
      <c r="AO1718" s="2">
        <v>46277</v>
      </c>
      <c r="AP1718" s="1" t="s">
        <v>301</v>
      </c>
      <c r="AS1718" s="1" t="s">
        <v>71</v>
      </c>
      <c r="AU1718" s="1" t="s">
        <v>72</v>
      </c>
      <c r="AV1718" s="1" t="s">
        <v>73</v>
      </c>
      <c r="AX1718" s="1">
        <v>0</v>
      </c>
      <c r="BA1718" s="1">
        <v>9</v>
      </c>
      <c r="BB1718" s="1">
        <v>0</v>
      </c>
      <c r="BC1718" s="1">
        <v>0</v>
      </c>
      <c r="BE1718" s="1">
        <v>27246422</v>
      </c>
    </row>
    <row r="1719" spans="1:57" x14ac:dyDescent="0.25">
      <c r="A1719" s="1" t="str">
        <f>T("1945464185161457444")</f>
        <v>1945464185161457444</v>
      </c>
      <c r="B1719" s="1" t="str">
        <f>T("249906995887")</f>
        <v>249906995887</v>
      </c>
      <c r="C1719" s="1" t="str">
        <f>T("1941094503213433064")</f>
        <v>1941094503213433064</v>
      </c>
      <c r="AC1719" s="1" t="s">
        <v>104</v>
      </c>
      <c r="AD1719" s="1" t="s">
        <v>105</v>
      </c>
      <c r="AE1719" s="1" t="s">
        <v>401</v>
      </c>
      <c r="AF1719" s="1" t="s">
        <v>107</v>
      </c>
      <c r="AG1719" s="1">
        <v>22</v>
      </c>
      <c r="AO1719" s="2">
        <v>46277</v>
      </c>
      <c r="AP1719" s="1" t="s">
        <v>301</v>
      </c>
      <c r="AS1719" s="1" t="s">
        <v>71</v>
      </c>
      <c r="AU1719" s="1" t="s">
        <v>72</v>
      </c>
      <c r="AV1719" s="1" t="s">
        <v>437</v>
      </c>
      <c r="AX1719" s="1">
        <v>0</v>
      </c>
      <c r="BA1719" s="1">
        <v>9</v>
      </c>
      <c r="BB1719" s="1">
        <v>0</v>
      </c>
      <c r="BC1719" s="1">
        <v>0</v>
      </c>
      <c r="BE1719" s="1">
        <v>27246422</v>
      </c>
    </row>
    <row r="1720" spans="1:57" x14ac:dyDescent="0.25">
      <c r="A1720" s="1" t="str">
        <f>T("1945464185178233976")</f>
        <v>1945464185178233976</v>
      </c>
      <c r="B1720" s="1" t="str">
        <f>T("249908090186")</f>
        <v>249908090186</v>
      </c>
      <c r="C1720" s="1" t="str">
        <f>T("1941094503213433864")</f>
        <v>1941094503213433864</v>
      </c>
      <c r="AC1720" s="1" t="s">
        <v>104</v>
      </c>
      <c r="AD1720" s="1" t="s">
        <v>105</v>
      </c>
      <c r="AE1720" s="1" t="s">
        <v>401</v>
      </c>
      <c r="AF1720" s="1" t="s">
        <v>107</v>
      </c>
      <c r="AG1720" s="1">
        <v>28</v>
      </c>
      <c r="AO1720" s="2">
        <v>46277</v>
      </c>
      <c r="AP1720" s="1" t="s">
        <v>301</v>
      </c>
      <c r="AS1720" s="1" t="s">
        <v>71</v>
      </c>
      <c r="AU1720" s="1" t="s">
        <v>72</v>
      </c>
      <c r="AV1720" s="1" t="s">
        <v>73</v>
      </c>
      <c r="AX1720" s="1">
        <v>0</v>
      </c>
      <c r="BA1720" s="1">
        <v>9</v>
      </c>
      <c r="BB1720" s="1">
        <v>0</v>
      </c>
      <c r="BC1720" s="1">
        <v>0</v>
      </c>
      <c r="BE1720" s="1">
        <v>27246422</v>
      </c>
    </row>
    <row r="1721" spans="1:57" x14ac:dyDescent="0.25">
      <c r="A1721" s="1" t="str">
        <f>T("1945464185195011208")</f>
        <v>1945464185195011208</v>
      </c>
      <c r="B1721" s="1" t="str">
        <f>T("249121340580")</f>
        <v>249121340580</v>
      </c>
      <c r="C1721" s="1" t="str">
        <f>T("1941094503213434264")</f>
        <v>1941094503213434264</v>
      </c>
      <c r="AC1721" s="1" t="s">
        <v>104</v>
      </c>
      <c r="AD1721" s="1" t="s">
        <v>105</v>
      </c>
      <c r="AE1721" s="1" t="s">
        <v>401</v>
      </c>
      <c r="AF1721" s="1" t="s">
        <v>107</v>
      </c>
      <c r="AG1721" s="1">
        <v>32</v>
      </c>
      <c r="AO1721" s="2">
        <v>46277</v>
      </c>
      <c r="AP1721" s="1" t="s">
        <v>301</v>
      </c>
      <c r="AQ1721" s="2">
        <v>46277</v>
      </c>
      <c r="AR1721" s="1" t="s">
        <v>731</v>
      </c>
      <c r="AS1721" s="1" t="s">
        <v>71</v>
      </c>
      <c r="AU1721" s="1" t="s">
        <v>79</v>
      </c>
      <c r="AV1721" s="1" t="s">
        <v>80</v>
      </c>
      <c r="AW1721" s="1">
        <v>35.299999999999997</v>
      </c>
      <c r="AX1721" s="1">
        <v>0</v>
      </c>
      <c r="AZ1721" s="1" t="s">
        <v>81</v>
      </c>
      <c r="BA1721" s="1">
        <v>4</v>
      </c>
      <c r="BB1721" s="1">
        <v>0</v>
      </c>
      <c r="BC1721" s="1">
        <v>0</v>
      </c>
      <c r="BE1721" s="1">
        <v>27246422</v>
      </c>
    </row>
    <row r="1722" spans="1:57" x14ac:dyDescent="0.25">
      <c r="A1722" s="1" t="str">
        <f>T("1945464185211785740")</f>
        <v>1945464185211785740</v>
      </c>
      <c r="B1722" s="1" t="str">
        <f>T("249115874058")</f>
        <v>249115874058</v>
      </c>
      <c r="C1722" s="1" t="str">
        <f>T("1941094503213434764")</f>
        <v>1941094503213434764</v>
      </c>
      <c r="M1722" s="1" t="s">
        <v>59</v>
      </c>
      <c r="AA1722" s="1">
        <v>1</v>
      </c>
      <c r="AC1722" s="1" t="s">
        <v>104</v>
      </c>
      <c r="AD1722" s="1" t="s">
        <v>105</v>
      </c>
      <c r="AE1722" s="1" t="s">
        <v>401</v>
      </c>
      <c r="AF1722" s="1" t="s">
        <v>107</v>
      </c>
      <c r="AG1722" s="1">
        <v>41</v>
      </c>
      <c r="AO1722" s="2">
        <v>46277</v>
      </c>
      <c r="AP1722" s="1" t="s">
        <v>301</v>
      </c>
      <c r="AQ1722" s="2">
        <v>46277</v>
      </c>
      <c r="AR1722" s="1" t="s">
        <v>732</v>
      </c>
      <c r="AS1722" s="1" t="s">
        <v>71</v>
      </c>
      <c r="AU1722" s="1" t="s">
        <v>79</v>
      </c>
      <c r="AV1722" s="1" t="s">
        <v>126</v>
      </c>
      <c r="AW1722" s="1">
        <v>69.14</v>
      </c>
      <c r="AX1722" s="1">
        <v>0</v>
      </c>
      <c r="AZ1722" s="1" t="s">
        <v>81</v>
      </c>
      <c r="BA1722" s="1">
        <v>1</v>
      </c>
      <c r="BB1722" s="1">
        <v>0</v>
      </c>
      <c r="BC1722" s="1">
        <v>0</v>
      </c>
      <c r="BE1722" s="1">
        <v>27246422</v>
      </c>
    </row>
    <row r="1723" spans="1:57" x14ac:dyDescent="0.25">
      <c r="A1723" s="1" t="str">
        <f>T("1945464185215980248")</f>
        <v>1945464185215980248</v>
      </c>
      <c r="B1723" s="1" t="str">
        <f>T("249118729262")</f>
        <v>249118729262</v>
      </c>
      <c r="C1723" s="1" t="str">
        <f>T("1941094503213435264")</f>
        <v>1941094503213435264</v>
      </c>
      <c r="AC1723" s="1" t="s">
        <v>104</v>
      </c>
      <c r="AD1723" s="1" t="s">
        <v>105</v>
      </c>
      <c r="AE1723" s="1" t="s">
        <v>401</v>
      </c>
      <c r="AF1723" s="1" t="s">
        <v>107</v>
      </c>
      <c r="AG1723" s="1">
        <v>29</v>
      </c>
      <c r="AO1723" s="2">
        <v>46277</v>
      </c>
      <c r="AP1723" s="1" t="s">
        <v>301</v>
      </c>
      <c r="AS1723" s="1" t="s">
        <v>71</v>
      </c>
      <c r="AU1723" s="1" t="s">
        <v>72</v>
      </c>
      <c r="AV1723" s="1" t="s">
        <v>73</v>
      </c>
      <c r="AX1723" s="1">
        <v>0</v>
      </c>
      <c r="BA1723" s="1">
        <v>9</v>
      </c>
      <c r="BB1723" s="1">
        <v>0</v>
      </c>
      <c r="BC1723" s="1">
        <v>0</v>
      </c>
      <c r="BE1723" s="1">
        <v>27246422</v>
      </c>
    </row>
    <row r="1724" spans="1:57" x14ac:dyDescent="0.25">
      <c r="A1724" s="1" t="str">
        <f>T("1945554778042605452")</f>
        <v>1945554778042605452</v>
      </c>
      <c r="B1724" s="1" t="str">
        <f>T("249912517118")</f>
        <v>249912517118</v>
      </c>
      <c r="C1724" s="1" t="str">
        <f>T("1941094503213436064")</f>
        <v>1941094503213436064</v>
      </c>
      <c r="AC1724" s="1" t="s">
        <v>104</v>
      </c>
      <c r="AD1724" s="1" t="s">
        <v>105</v>
      </c>
      <c r="AE1724" s="1" t="s">
        <v>401</v>
      </c>
      <c r="AF1724" s="1" t="s">
        <v>107</v>
      </c>
      <c r="AG1724" s="1">
        <v>27</v>
      </c>
      <c r="AO1724" s="2">
        <v>46277</v>
      </c>
      <c r="AP1724" s="1" t="s">
        <v>226</v>
      </c>
      <c r="AS1724" s="1" t="s">
        <v>71</v>
      </c>
      <c r="AU1724" s="1" t="s">
        <v>72</v>
      </c>
      <c r="AV1724" s="1" t="s">
        <v>437</v>
      </c>
      <c r="AX1724" s="1">
        <v>0</v>
      </c>
      <c r="BA1724" s="1">
        <v>9</v>
      </c>
      <c r="BB1724" s="1">
        <v>0</v>
      </c>
      <c r="BC1724" s="1">
        <v>0</v>
      </c>
      <c r="BE1724" s="1">
        <v>27246433</v>
      </c>
    </row>
    <row r="1725" spans="1:57" x14ac:dyDescent="0.25">
      <c r="A1725" s="1" t="str">
        <f>T("1945554778227153004")</f>
        <v>1945554778227153004</v>
      </c>
      <c r="B1725" s="1" t="str">
        <f>T("249127282924")</f>
        <v>249127282924</v>
      </c>
      <c r="C1725" s="1" t="str">
        <f>T("1941094503213436864")</f>
        <v>1941094503213436864</v>
      </c>
      <c r="AC1725" s="1" t="s">
        <v>104</v>
      </c>
      <c r="AD1725" s="1" t="s">
        <v>105</v>
      </c>
      <c r="AE1725" s="1" t="s">
        <v>401</v>
      </c>
      <c r="AF1725" s="1" t="s">
        <v>107</v>
      </c>
      <c r="AG1725" s="1">
        <v>32</v>
      </c>
      <c r="AO1725" s="2">
        <v>46277</v>
      </c>
      <c r="AP1725" s="1" t="s">
        <v>226</v>
      </c>
      <c r="AS1725" s="1" t="s">
        <v>71</v>
      </c>
      <c r="AU1725" s="1" t="s">
        <v>72</v>
      </c>
      <c r="AV1725" s="1" t="s">
        <v>73</v>
      </c>
      <c r="AX1725" s="1">
        <v>0</v>
      </c>
      <c r="BA1725" s="1">
        <v>9</v>
      </c>
      <c r="BB1725" s="1">
        <v>0</v>
      </c>
      <c r="BC1725" s="1">
        <v>0</v>
      </c>
      <c r="BE1725" s="1">
        <v>27246433</v>
      </c>
    </row>
    <row r="1726" spans="1:57" x14ac:dyDescent="0.25">
      <c r="A1726" s="1" t="str">
        <f>T("1945554778277485900")</f>
        <v>1945554778277485900</v>
      </c>
      <c r="B1726" s="1" t="str">
        <f>T("249925194972")</f>
        <v>249925194972</v>
      </c>
      <c r="C1726" s="1" t="str">
        <f>T("1941094503217628972")</f>
        <v>1941094503217628972</v>
      </c>
      <c r="AA1726" s="1">
        <v>1</v>
      </c>
      <c r="AC1726" s="1" t="s">
        <v>104</v>
      </c>
      <c r="AD1726" s="1" t="s">
        <v>105</v>
      </c>
      <c r="AE1726" s="1" t="s">
        <v>401</v>
      </c>
      <c r="AF1726" s="1" t="s">
        <v>107</v>
      </c>
      <c r="AG1726" s="1">
        <v>28</v>
      </c>
      <c r="AO1726" s="2">
        <v>46277</v>
      </c>
      <c r="AP1726" s="1" t="s">
        <v>226</v>
      </c>
      <c r="AQ1726" s="2">
        <v>46277</v>
      </c>
      <c r="AR1726" s="1" t="s">
        <v>644</v>
      </c>
      <c r="AS1726" s="1" t="s">
        <v>71</v>
      </c>
      <c r="AU1726" s="1" t="s">
        <v>79</v>
      </c>
      <c r="AV1726" s="1" t="s">
        <v>80</v>
      </c>
      <c r="AW1726" s="1">
        <v>105.56</v>
      </c>
      <c r="AX1726" s="1">
        <v>0</v>
      </c>
      <c r="AZ1726" s="1" t="s">
        <v>81</v>
      </c>
      <c r="BA1726" s="1">
        <v>1</v>
      </c>
      <c r="BB1726" s="1">
        <v>0</v>
      </c>
      <c r="BC1726" s="1">
        <v>0</v>
      </c>
      <c r="BE1726" s="1">
        <v>27246433</v>
      </c>
    </row>
    <row r="1727" spans="1:57" x14ac:dyDescent="0.25">
      <c r="A1727" s="1" t="str">
        <f>T("1945554778298457540")</f>
        <v>1945554778298457540</v>
      </c>
      <c r="B1727" s="1" t="str">
        <f>T("249926140533")</f>
        <v>249926140533</v>
      </c>
      <c r="C1727" s="1" t="str">
        <f>T("1941094503221821580")</f>
        <v>1941094503221821580</v>
      </c>
      <c r="M1727" s="1" t="s">
        <v>59</v>
      </c>
      <c r="O1727" s="1" t="s">
        <v>65</v>
      </c>
      <c r="P1727" s="1" t="s">
        <v>83</v>
      </c>
      <c r="Q1727" s="1" t="s">
        <v>101</v>
      </c>
      <c r="R1727" s="1" t="s">
        <v>93</v>
      </c>
      <c r="T1727" s="1" t="s">
        <v>464</v>
      </c>
      <c r="U1727" s="1" t="s">
        <v>65</v>
      </c>
      <c r="V1727" s="1" t="s">
        <v>66</v>
      </c>
      <c r="W1727" s="1" t="s">
        <v>60</v>
      </c>
      <c r="X1727" s="1" t="s">
        <v>66</v>
      </c>
      <c r="Y1727" s="1" t="s">
        <v>69</v>
      </c>
      <c r="AA1727" s="1">
        <v>1</v>
      </c>
      <c r="AB1727" s="1">
        <v>1</v>
      </c>
      <c r="AC1727" s="1" t="s">
        <v>104</v>
      </c>
      <c r="AD1727" s="1" t="s">
        <v>105</v>
      </c>
      <c r="AE1727" s="1" t="s">
        <v>401</v>
      </c>
      <c r="AF1727" s="1" t="s">
        <v>107</v>
      </c>
      <c r="AG1727" s="1">
        <v>24</v>
      </c>
      <c r="AO1727" s="2">
        <v>46277</v>
      </c>
      <c r="AP1727" s="1" t="s">
        <v>226</v>
      </c>
      <c r="AQ1727" s="2">
        <v>46277</v>
      </c>
      <c r="AR1727" s="1" t="s">
        <v>231</v>
      </c>
      <c r="AS1727" s="1" t="s">
        <v>71</v>
      </c>
      <c r="AU1727" s="1" t="s">
        <v>78</v>
      </c>
      <c r="AV1727" s="1" t="s">
        <v>80</v>
      </c>
      <c r="AW1727" s="1">
        <v>295.5</v>
      </c>
      <c r="AX1727" s="1">
        <v>0</v>
      </c>
      <c r="AZ1727" s="1" t="s">
        <v>81</v>
      </c>
      <c r="BA1727" s="1">
        <v>1</v>
      </c>
      <c r="BB1727" s="1">
        <v>0</v>
      </c>
      <c r="BC1727" s="1">
        <v>0</v>
      </c>
      <c r="BE1727" s="1">
        <v>27246433</v>
      </c>
    </row>
    <row r="1728" spans="1:57" x14ac:dyDescent="0.25">
      <c r="A1728" s="1" t="str">
        <f>T("1945554778369757776")</f>
        <v>1945554778369757776</v>
      </c>
      <c r="B1728" s="1" t="str">
        <f>T("249927177258")</f>
        <v>249927177258</v>
      </c>
      <c r="C1728" s="1" t="str">
        <f>T("1941094503230210996")</f>
        <v>1941094503230210996</v>
      </c>
      <c r="AA1728" s="1">
        <v>1</v>
      </c>
      <c r="AC1728" s="1" t="s">
        <v>104</v>
      </c>
      <c r="AD1728" s="1" t="s">
        <v>105</v>
      </c>
      <c r="AE1728" s="1" t="s">
        <v>401</v>
      </c>
      <c r="AF1728" s="1" t="s">
        <v>107</v>
      </c>
      <c r="AG1728" s="1">
        <v>24</v>
      </c>
      <c r="AO1728" s="2">
        <v>46277</v>
      </c>
      <c r="AP1728" s="1" t="s">
        <v>226</v>
      </c>
      <c r="AQ1728" s="2">
        <v>46277</v>
      </c>
      <c r="AR1728" s="1" t="s">
        <v>733</v>
      </c>
      <c r="AS1728" s="1" t="s">
        <v>71</v>
      </c>
      <c r="AU1728" s="1" t="s">
        <v>79</v>
      </c>
      <c r="AV1728" s="1" t="s">
        <v>80</v>
      </c>
      <c r="AW1728" s="1">
        <v>68.44</v>
      </c>
      <c r="AX1728" s="1">
        <v>0</v>
      </c>
      <c r="AZ1728" s="1" t="s">
        <v>81</v>
      </c>
      <c r="BA1728" s="1">
        <v>1</v>
      </c>
      <c r="BB1728" s="1">
        <v>0</v>
      </c>
      <c r="BC1728" s="1">
        <v>0</v>
      </c>
      <c r="BE1728" s="1">
        <v>27246433</v>
      </c>
    </row>
    <row r="1729" spans="1:57" x14ac:dyDescent="0.25">
      <c r="A1729" s="1" t="str">
        <f>T("1945554778394923524")</f>
        <v>1945554778394923524</v>
      </c>
      <c r="B1729" s="1" t="str">
        <f>T("249100384803")</f>
        <v>249100384803</v>
      </c>
      <c r="C1729" s="1" t="str">
        <f>T("1941094503230211796")</f>
        <v>1941094503230211796</v>
      </c>
      <c r="AC1729" s="1" t="s">
        <v>104</v>
      </c>
      <c r="AD1729" s="1" t="s">
        <v>105</v>
      </c>
      <c r="AE1729" s="1" t="s">
        <v>401</v>
      </c>
      <c r="AF1729" s="1" t="s">
        <v>107</v>
      </c>
      <c r="AG1729" s="1">
        <v>23</v>
      </c>
      <c r="AO1729" s="2">
        <v>46277</v>
      </c>
      <c r="AP1729" s="1" t="s">
        <v>226</v>
      </c>
      <c r="AQ1729" s="2">
        <v>46278</v>
      </c>
      <c r="AR1729" s="1" t="s">
        <v>734</v>
      </c>
      <c r="AS1729" s="1" t="s">
        <v>71</v>
      </c>
      <c r="AU1729" s="1" t="s">
        <v>79</v>
      </c>
      <c r="AV1729" s="1" t="s">
        <v>80</v>
      </c>
      <c r="AW1729" s="1">
        <v>19.98</v>
      </c>
      <c r="AX1729" s="1">
        <v>0</v>
      </c>
      <c r="AZ1729" s="1" t="s">
        <v>81</v>
      </c>
      <c r="BA1729" s="1">
        <v>7</v>
      </c>
      <c r="BB1729" s="1">
        <v>0</v>
      </c>
      <c r="BC1729" s="1">
        <v>0</v>
      </c>
      <c r="BE1729" s="1">
        <v>27246433</v>
      </c>
    </row>
    <row r="1730" spans="1:57" x14ac:dyDescent="0.25">
      <c r="A1730" s="1" t="str">
        <f>T("1945554778524949972")</f>
        <v>1945554778524949972</v>
      </c>
      <c r="B1730" s="1" t="str">
        <f>T("249922620241")</f>
        <v>249922620241</v>
      </c>
      <c r="C1730" s="1" t="str">
        <f>T("1941094503230212396")</f>
        <v>1941094503230212396</v>
      </c>
      <c r="M1730" s="1" t="s">
        <v>59</v>
      </c>
      <c r="AA1730" s="1">
        <v>1</v>
      </c>
      <c r="AC1730" s="1" t="s">
        <v>104</v>
      </c>
      <c r="AD1730" s="1" t="s">
        <v>105</v>
      </c>
      <c r="AE1730" s="1" t="s">
        <v>401</v>
      </c>
      <c r="AF1730" s="1" t="s">
        <v>107</v>
      </c>
      <c r="AG1730" s="1">
        <v>35</v>
      </c>
      <c r="AO1730" s="2">
        <v>46277</v>
      </c>
      <c r="AP1730" s="1" t="s">
        <v>226</v>
      </c>
      <c r="AQ1730" s="2">
        <v>46277</v>
      </c>
      <c r="AR1730" s="1" t="s">
        <v>735</v>
      </c>
      <c r="AS1730" s="1" t="s">
        <v>71</v>
      </c>
      <c r="AU1730" s="1" t="s">
        <v>79</v>
      </c>
      <c r="AV1730" s="1" t="s">
        <v>80</v>
      </c>
      <c r="AW1730" s="1">
        <v>100.14</v>
      </c>
      <c r="AX1730" s="1">
        <v>0</v>
      </c>
      <c r="AZ1730" s="1" t="s">
        <v>81</v>
      </c>
      <c r="BA1730" s="1">
        <v>1</v>
      </c>
      <c r="BB1730" s="1">
        <v>0</v>
      </c>
      <c r="BC1730" s="1">
        <v>0</v>
      </c>
      <c r="BE1730" s="1">
        <v>27246433</v>
      </c>
    </row>
    <row r="1731" spans="1:57" x14ac:dyDescent="0.25">
      <c r="A1731" s="1" t="str">
        <f>T("1945554778529144080")</f>
        <v>1945554778529144080</v>
      </c>
      <c r="B1731" s="1" t="str">
        <f>T("249910866090")</f>
        <v>249910866090</v>
      </c>
      <c r="C1731" s="1" t="str">
        <f>T("1941094503230212996")</f>
        <v>1941094503230212996</v>
      </c>
      <c r="AC1731" s="1" t="s">
        <v>104</v>
      </c>
      <c r="AD1731" s="1" t="s">
        <v>105</v>
      </c>
      <c r="AE1731" s="1" t="s">
        <v>401</v>
      </c>
      <c r="AF1731" s="1" t="s">
        <v>107</v>
      </c>
      <c r="AG1731" s="1">
        <v>26</v>
      </c>
      <c r="AO1731" s="2">
        <v>46277</v>
      </c>
      <c r="AP1731" s="1" t="s">
        <v>226</v>
      </c>
      <c r="AS1731" s="1" t="s">
        <v>71</v>
      </c>
      <c r="AU1731" s="1" t="s">
        <v>72</v>
      </c>
      <c r="AV1731" s="1" t="s">
        <v>73</v>
      </c>
      <c r="AX1731" s="1">
        <v>0</v>
      </c>
      <c r="BA1731" s="1">
        <v>9</v>
      </c>
      <c r="BB1731" s="1">
        <v>0</v>
      </c>
      <c r="BC1731" s="1">
        <v>0</v>
      </c>
      <c r="BE1731" s="1">
        <v>27246433</v>
      </c>
    </row>
    <row r="1732" spans="1:57" x14ac:dyDescent="0.25">
      <c r="A1732" s="1" t="str">
        <f>T("1945554778600444416")</f>
        <v>1945554778600444416</v>
      </c>
      <c r="B1732" s="1" t="str">
        <f>T("249921281238")</f>
        <v>249921281238</v>
      </c>
      <c r="C1732" s="1" t="str">
        <f>T("1941094503230213896")</f>
        <v>1941094503230213896</v>
      </c>
      <c r="AC1732" s="1" t="s">
        <v>104</v>
      </c>
      <c r="AD1732" s="1" t="s">
        <v>105</v>
      </c>
      <c r="AE1732" s="1" t="s">
        <v>401</v>
      </c>
      <c r="AF1732" s="1" t="s">
        <v>107</v>
      </c>
      <c r="AG1732" s="1">
        <v>32</v>
      </c>
      <c r="AO1732" s="2">
        <v>46277</v>
      </c>
      <c r="AP1732" s="1" t="s">
        <v>226</v>
      </c>
      <c r="AS1732" s="1" t="s">
        <v>71</v>
      </c>
      <c r="AU1732" s="1" t="s">
        <v>72</v>
      </c>
      <c r="AV1732" s="1" t="s">
        <v>73</v>
      </c>
      <c r="AX1732" s="1">
        <v>0</v>
      </c>
      <c r="BA1732" s="1">
        <v>9</v>
      </c>
      <c r="BB1732" s="1">
        <v>0</v>
      </c>
      <c r="BC1732" s="1">
        <v>0</v>
      </c>
      <c r="BE1732" s="1">
        <v>27246433</v>
      </c>
    </row>
    <row r="1733" spans="1:57" x14ac:dyDescent="0.25">
      <c r="A1733" s="1" t="str">
        <f>T("1945554778608836532")</f>
        <v>1945554778608836532</v>
      </c>
      <c r="B1733" s="1" t="str">
        <f>T("249922873467")</f>
        <v>249922873467</v>
      </c>
      <c r="C1733" s="1" t="str">
        <f>T("1941094503234404604")</f>
        <v>1941094503234404604</v>
      </c>
      <c r="AC1733" s="1" t="s">
        <v>104</v>
      </c>
      <c r="AD1733" s="1" t="s">
        <v>105</v>
      </c>
      <c r="AE1733" s="1" t="s">
        <v>401</v>
      </c>
      <c r="AF1733" s="1" t="s">
        <v>107</v>
      </c>
      <c r="AG1733" s="1">
        <v>31</v>
      </c>
      <c r="AO1733" s="2">
        <v>46277</v>
      </c>
      <c r="AP1733" s="1" t="s">
        <v>226</v>
      </c>
      <c r="AS1733" s="1" t="s">
        <v>71</v>
      </c>
      <c r="AU1733" s="1" t="s">
        <v>72</v>
      </c>
      <c r="AV1733" s="1" t="s">
        <v>73</v>
      </c>
      <c r="AX1733" s="1">
        <v>0</v>
      </c>
      <c r="BA1733" s="1">
        <v>9</v>
      </c>
      <c r="BB1733" s="1">
        <v>0</v>
      </c>
      <c r="BC1733" s="1">
        <v>0</v>
      </c>
      <c r="BE1733" s="1">
        <v>27246433</v>
      </c>
    </row>
    <row r="1734" spans="1:57" x14ac:dyDescent="0.25">
      <c r="A1734" s="1" t="str">
        <f>T("1945554778663358736")</f>
        <v>1945554778663358736</v>
      </c>
      <c r="B1734" s="1" t="str">
        <f>T("249994623640")</f>
        <v>249994623640</v>
      </c>
      <c r="C1734" s="1" t="str">
        <f>T("1941094503234405104")</f>
        <v>1941094503234405104</v>
      </c>
      <c r="AA1734" s="1">
        <v>1</v>
      </c>
      <c r="AC1734" s="1" t="s">
        <v>104</v>
      </c>
      <c r="AD1734" s="1" t="s">
        <v>105</v>
      </c>
      <c r="AE1734" s="1" t="s">
        <v>401</v>
      </c>
      <c r="AF1734" s="1" t="s">
        <v>107</v>
      </c>
      <c r="AG1734" s="1">
        <v>38</v>
      </c>
      <c r="AO1734" s="2">
        <v>46277</v>
      </c>
      <c r="AP1734" s="1" t="s">
        <v>226</v>
      </c>
      <c r="AQ1734" s="2">
        <v>46277</v>
      </c>
      <c r="AR1734" s="1" t="s">
        <v>736</v>
      </c>
      <c r="AS1734" s="1" t="s">
        <v>71</v>
      </c>
      <c r="AU1734" s="1" t="s">
        <v>78</v>
      </c>
      <c r="AV1734" s="1" t="s">
        <v>80</v>
      </c>
      <c r="AW1734" s="1">
        <v>134.62</v>
      </c>
      <c r="AX1734" s="1">
        <v>0</v>
      </c>
      <c r="AZ1734" s="1" t="s">
        <v>81</v>
      </c>
      <c r="BA1734" s="1">
        <v>1</v>
      </c>
      <c r="BB1734" s="1">
        <v>0</v>
      </c>
      <c r="BC1734" s="1">
        <v>0</v>
      </c>
      <c r="BE1734" s="1">
        <v>27246433</v>
      </c>
    </row>
    <row r="1735" spans="1:57" x14ac:dyDescent="0.25">
      <c r="A1735" s="1" t="str">
        <f>T("1945554778680138368")</f>
        <v>1945554778680138368</v>
      </c>
      <c r="B1735" s="1" t="str">
        <f>T("249114438521")</f>
        <v>249114438521</v>
      </c>
      <c r="C1735" s="1" t="str">
        <f>T("1941094503234405604")</f>
        <v>1941094503234405604</v>
      </c>
      <c r="AC1735" s="1" t="s">
        <v>104</v>
      </c>
      <c r="AD1735" s="1" t="s">
        <v>105</v>
      </c>
      <c r="AE1735" s="1" t="s">
        <v>401</v>
      </c>
      <c r="AF1735" s="1" t="s">
        <v>107</v>
      </c>
      <c r="AG1735" s="1">
        <v>26</v>
      </c>
      <c r="AO1735" s="2">
        <v>46277</v>
      </c>
      <c r="AP1735" s="1" t="s">
        <v>226</v>
      </c>
      <c r="AS1735" s="1" t="s">
        <v>71</v>
      </c>
      <c r="AU1735" s="1" t="s">
        <v>72</v>
      </c>
      <c r="AV1735" s="1" t="s">
        <v>412</v>
      </c>
      <c r="AX1735" s="1">
        <v>0</v>
      </c>
      <c r="BA1735" s="1">
        <v>9</v>
      </c>
      <c r="BB1735" s="1">
        <v>0</v>
      </c>
      <c r="BC1735" s="1">
        <v>0</v>
      </c>
      <c r="BE1735" s="1">
        <v>27246433</v>
      </c>
    </row>
    <row r="1736" spans="1:57" x14ac:dyDescent="0.25">
      <c r="A1736" s="1" t="str">
        <f>T("1945554778772412544")</f>
        <v>1945554778772412544</v>
      </c>
      <c r="B1736" s="1" t="str">
        <f>T("249115394764")</f>
        <v>249115394764</v>
      </c>
      <c r="C1736" s="1" t="str">
        <f>T("1941094503238599712")</f>
        <v>1941094503238599712</v>
      </c>
      <c r="M1736" s="1" t="s">
        <v>59</v>
      </c>
      <c r="O1736" s="1" t="s">
        <v>60</v>
      </c>
      <c r="P1736" s="1" t="s">
        <v>83</v>
      </c>
      <c r="Q1736" s="1" t="s">
        <v>101</v>
      </c>
      <c r="R1736" s="1" t="s">
        <v>84</v>
      </c>
      <c r="S1736" s="1" t="s">
        <v>61</v>
      </c>
      <c r="U1736" s="1" t="s">
        <v>65</v>
      </c>
      <c r="V1736" s="1" t="s">
        <v>66</v>
      </c>
      <c r="W1736" s="1" t="s">
        <v>60</v>
      </c>
      <c r="X1736" s="1" t="s">
        <v>66</v>
      </c>
      <c r="Y1736" s="1" t="s">
        <v>160</v>
      </c>
      <c r="AA1736" s="1">
        <v>1</v>
      </c>
      <c r="AB1736" s="1">
        <v>1</v>
      </c>
      <c r="AC1736" s="1" t="s">
        <v>104</v>
      </c>
      <c r="AD1736" s="1" t="s">
        <v>105</v>
      </c>
      <c r="AE1736" s="1" t="s">
        <v>401</v>
      </c>
      <c r="AF1736" s="1" t="s">
        <v>107</v>
      </c>
      <c r="AG1736" s="1">
        <v>35</v>
      </c>
      <c r="AO1736" s="2">
        <v>46277</v>
      </c>
      <c r="AP1736" s="1" t="s">
        <v>226</v>
      </c>
      <c r="AQ1736" s="2">
        <v>46278</v>
      </c>
      <c r="AR1736" s="1" t="s">
        <v>737</v>
      </c>
      <c r="AS1736" s="1" t="s">
        <v>71</v>
      </c>
      <c r="AU1736" s="1" t="s">
        <v>78</v>
      </c>
      <c r="AV1736" s="1" t="s">
        <v>80</v>
      </c>
      <c r="AW1736" s="1">
        <v>238.98</v>
      </c>
      <c r="AX1736" s="1">
        <v>0</v>
      </c>
      <c r="AZ1736" s="1" t="s">
        <v>81</v>
      </c>
      <c r="BA1736" s="1">
        <v>5</v>
      </c>
      <c r="BB1736" s="1">
        <v>0</v>
      </c>
      <c r="BC1736" s="1">
        <v>0</v>
      </c>
      <c r="BE1736" s="1">
        <v>27246433</v>
      </c>
    </row>
    <row r="1737" spans="1:57" x14ac:dyDescent="0.25">
      <c r="A1737" s="1" t="str">
        <f>T("1945554778797579192")</f>
        <v>1945554778797579192</v>
      </c>
      <c r="B1737" s="1" t="str">
        <f>T("249127918882")</f>
        <v>249127918882</v>
      </c>
      <c r="C1737" s="1" t="str">
        <f>T("1941094503238601012")</f>
        <v>1941094503238601012</v>
      </c>
      <c r="AC1737" s="1" t="s">
        <v>104</v>
      </c>
      <c r="AD1737" s="1" t="s">
        <v>151</v>
      </c>
      <c r="AE1737" s="1" t="s">
        <v>392</v>
      </c>
      <c r="AF1737" s="1" t="s">
        <v>107</v>
      </c>
      <c r="AG1737" s="1">
        <v>20</v>
      </c>
      <c r="AO1737" s="2">
        <v>46277</v>
      </c>
      <c r="AP1737" s="1" t="s">
        <v>226</v>
      </c>
      <c r="AS1737" s="1" t="s">
        <v>71</v>
      </c>
      <c r="AU1737" s="1" t="s">
        <v>72</v>
      </c>
      <c r="AV1737" s="1" t="s">
        <v>73</v>
      </c>
      <c r="AX1737" s="1">
        <v>0</v>
      </c>
      <c r="BA1737" s="1">
        <v>9</v>
      </c>
      <c r="BB1737" s="1">
        <v>0</v>
      </c>
      <c r="BC1737" s="1">
        <v>0</v>
      </c>
      <c r="BE1737" s="1">
        <v>27246433</v>
      </c>
    </row>
    <row r="1738" spans="1:57" x14ac:dyDescent="0.25">
      <c r="A1738" s="1" t="str">
        <f>T("1945554778856298204")</f>
        <v>1945554778856298204</v>
      </c>
      <c r="B1738" s="1" t="str">
        <f>T("249120151895")</f>
        <v>249120151895</v>
      </c>
      <c r="C1738" s="1" t="str">
        <f>T("1941094503246987328")</f>
        <v>1941094503246987328</v>
      </c>
      <c r="AC1738" s="1" t="s">
        <v>104</v>
      </c>
      <c r="AD1738" s="1" t="s">
        <v>151</v>
      </c>
      <c r="AE1738" s="1" t="s">
        <v>392</v>
      </c>
      <c r="AF1738" s="1" t="s">
        <v>107</v>
      </c>
      <c r="AG1738" s="1">
        <v>33</v>
      </c>
      <c r="AO1738" s="2">
        <v>46277</v>
      </c>
      <c r="AP1738" s="1" t="s">
        <v>226</v>
      </c>
      <c r="AS1738" s="1" t="s">
        <v>71</v>
      </c>
      <c r="AU1738" s="1" t="s">
        <v>72</v>
      </c>
      <c r="AV1738" s="1" t="s">
        <v>73</v>
      </c>
      <c r="AX1738" s="1">
        <v>0</v>
      </c>
      <c r="BA1738" s="1">
        <v>9</v>
      </c>
      <c r="BB1738" s="1">
        <v>0</v>
      </c>
      <c r="BC1738" s="1">
        <v>0</v>
      </c>
      <c r="BE1738" s="1">
        <v>27246433</v>
      </c>
    </row>
    <row r="1739" spans="1:57" x14ac:dyDescent="0.25">
      <c r="A1739" s="1" t="str">
        <f>T("1945554778885659260")</f>
        <v>1945554778885659260</v>
      </c>
      <c r="B1739" s="1" t="str">
        <f>T("249125211066")</f>
        <v>249125211066</v>
      </c>
      <c r="C1739" s="1" t="str">
        <f>T("1941094503246988128")</f>
        <v>1941094503246988128</v>
      </c>
      <c r="AA1739" s="1">
        <v>1</v>
      </c>
      <c r="AC1739" s="1" t="s">
        <v>104</v>
      </c>
      <c r="AD1739" s="1" t="s">
        <v>151</v>
      </c>
      <c r="AE1739" s="1" t="s">
        <v>392</v>
      </c>
      <c r="AF1739" s="1" t="s">
        <v>107</v>
      </c>
      <c r="AG1739" s="1">
        <v>23</v>
      </c>
      <c r="AO1739" s="2">
        <v>46277</v>
      </c>
      <c r="AP1739" s="1" t="s">
        <v>226</v>
      </c>
      <c r="AQ1739" s="2">
        <v>46277</v>
      </c>
      <c r="AR1739" s="1" t="s">
        <v>400</v>
      </c>
      <c r="AS1739" s="1" t="s">
        <v>71</v>
      </c>
      <c r="AU1739" s="1" t="s">
        <v>79</v>
      </c>
      <c r="AV1739" s="1" t="s">
        <v>80</v>
      </c>
      <c r="AW1739" s="1">
        <v>53.18</v>
      </c>
      <c r="AX1739" s="1">
        <v>0</v>
      </c>
      <c r="AZ1739" s="1" t="s">
        <v>81</v>
      </c>
      <c r="BA1739" s="1">
        <v>1</v>
      </c>
      <c r="BB1739" s="1">
        <v>0</v>
      </c>
      <c r="BC1739" s="1">
        <v>0</v>
      </c>
      <c r="BE1739" s="1">
        <v>27246433</v>
      </c>
    </row>
    <row r="1740" spans="1:57" x14ac:dyDescent="0.25">
      <c r="A1740" s="1" t="str">
        <f>T("1945554778923406232")</f>
        <v>1945554778923406232</v>
      </c>
      <c r="B1740" s="1" t="str">
        <f>T("249960368226")</f>
        <v>249960368226</v>
      </c>
      <c r="C1740" s="1" t="str">
        <f>T("1941094503246988728")</f>
        <v>1941094503246988728</v>
      </c>
      <c r="AC1740" s="1" t="s">
        <v>104</v>
      </c>
      <c r="AD1740" s="1" t="s">
        <v>151</v>
      </c>
      <c r="AE1740" s="1" t="s">
        <v>392</v>
      </c>
      <c r="AF1740" s="1" t="s">
        <v>107</v>
      </c>
      <c r="AG1740" s="1">
        <v>34</v>
      </c>
      <c r="AO1740" s="2">
        <v>46277</v>
      </c>
      <c r="AP1740" s="1" t="s">
        <v>226</v>
      </c>
      <c r="AS1740" s="1" t="s">
        <v>71</v>
      </c>
      <c r="AU1740" s="1" t="s">
        <v>72</v>
      </c>
      <c r="AV1740" s="1" t="s">
        <v>73</v>
      </c>
      <c r="AX1740" s="1">
        <v>0</v>
      </c>
      <c r="BA1740" s="1">
        <v>9</v>
      </c>
      <c r="BB1740" s="1">
        <v>0</v>
      </c>
      <c r="BC1740" s="1">
        <v>0</v>
      </c>
      <c r="BE1740" s="1">
        <v>27246433</v>
      </c>
    </row>
    <row r="1741" spans="1:57" x14ac:dyDescent="0.25">
      <c r="A1741" s="1" t="str">
        <f>T("1945554778944378072")</f>
        <v>1945554778944378072</v>
      </c>
      <c r="B1741" s="1" t="str">
        <f>T("249128119314")</f>
        <v>249128119314</v>
      </c>
      <c r="C1741" s="1" t="str">
        <f>T("1941094503246989428")</f>
        <v>1941094503246989428</v>
      </c>
      <c r="AA1741" s="1">
        <v>1</v>
      </c>
      <c r="AC1741" s="1" t="s">
        <v>104</v>
      </c>
      <c r="AD1741" s="1" t="s">
        <v>151</v>
      </c>
      <c r="AE1741" s="1" t="s">
        <v>392</v>
      </c>
      <c r="AF1741" s="1" t="s">
        <v>107</v>
      </c>
      <c r="AG1741" s="1">
        <v>21</v>
      </c>
      <c r="AO1741" s="2">
        <v>46277</v>
      </c>
      <c r="AP1741" s="1" t="s">
        <v>226</v>
      </c>
      <c r="AQ1741" s="2">
        <v>46277</v>
      </c>
      <c r="AR1741" s="1" t="s">
        <v>738</v>
      </c>
      <c r="AS1741" s="1" t="s">
        <v>71</v>
      </c>
      <c r="AU1741" s="1" t="s">
        <v>79</v>
      </c>
      <c r="AV1741" s="1" t="s">
        <v>80</v>
      </c>
      <c r="AW1741" s="1">
        <v>58.9</v>
      </c>
      <c r="AX1741" s="1">
        <v>0</v>
      </c>
      <c r="AZ1741" s="1" t="s">
        <v>81</v>
      </c>
      <c r="BA1741" s="1">
        <v>1</v>
      </c>
      <c r="BB1741" s="1">
        <v>0</v>
      </c>
      <c r="BC1741" s="1">
        <v>0</v>
      </c>
      <c r="BE1741" s="1">
        <v>27246433</v>
      </c>
    </row>
    <row r="1742" spans="1:57" x14ac:dyDescent="0.25">
      <c r="A1742" s="1" t="str">
        <f>T("1945554778977933436")</f>
        <v>1945554778977933436</v>
      </c>
      <c r="B1742" s="1" t="str">
        <f>T("249122937835")</f>
        <v>249122937835</v>
      </c>
      <c r="C1742" s="1" t="str">
        <f>T("1941094503246989928")</f>
        <v>1941094503246989928</v>
      </c>
      <c r="AC1742" s="1" t="s">
        <v>104</v>
      </c>
      <c r="AD1742" s="1" t="s">
        <v>151</v>
      </c>
      <c r="AE1742" s="1" t="s">
        <v>392</v>
      </c>
      <c r="AF1742" s="1" t="s">
        <v>107</v>
      </c>
      <c r="AG1742" s="1">
        <v>27</v>
      </c>
      <c r="AO1742" s="2">
        <v>46277</v>
      </c>
      <c r="AP1742" s="1" t="s">
        <v>226</v>
      </c>
      <c r="AQ1742" s="2">
        <v>46277</v>
      </c>
      <c r="AR1742" s="1" t="s">
        <v>739</v>
      </c>
      <c r="AS1742" s="1" t="s">
        <v>71</v>
      </c>
      <c r="AU1742" s="1" t="s">
        <v>79</v>
      </c>
      <c r="AV1742" s="1" t="s">
        <v>80</v>
      </c>
      <c r="AW1742" s="1">
        <v>26.62</v>
      </c>
      <c r="AX1742" s="1">
        <v>0</v>
      </c>
      <c r="AZ1742" s="1" t="s">
        <v>81</v>
      </c>
      <c r="BA1742" s="1">
        <v>1</v>
      </c>
      <c r="BB1742" s="1">
        <v>0</v>
      </c>
      <c r="BC1742" s="1">
        <v>0</v>
      </c>
      <c r="BE1742" s="1">
        <v>27246433</v>
      </c>
    </row>
    <row r="1743" spans="1:57" x14ac:dyDescent="0.25">
      <c r="A1743" s="1" t="str">
        <f>T("1945554779007292492")</f>
        <v>1945554779007292492</v>
      </c>
      <c r="B1743" s="1" t="str">
        <f>T("249129181020")</f>
        <v>249129181020</v>
      </c>
      <c r="C1743" s="1" t="str">
        <f>T("1941094503246990528")</f>
        <v>1941094503246990528</v>
      </c>
      <c r="M1743" s="1" t="s">
        <v>59</v>
      </c>
      <c r="AA1743" s="1">
        <v>1</v>
      </c>
      <c r="AC1743" s="1" t="s">
        <v>104</v>
      </c>
      <c r="AD1743" s="1" t="s">
        <v>151</v>
      </c>
      <c r="AE1743" s="1" t="s">
        <v>392</v>
      </c>
      <c r="AF1743" s="1" t="s">
        <v>107</v>
      </c>
      <c r="AG1743" s="1">
        <v>36</v>
      </c>
      <c r="AO1743" s="2">
        <v>46277</v>
      </c>
      <c r="AP1743" s="1" t="s">
        <v>226</v>
      </c>
      <c r="AQ1743" s="2">
        <v>46277</v>
      </c>
      <c r="AR1743" s="1" t="s">
        <v>391</v>
      </c>
      <c r="AS1743" s="1" t="s">
        <v>71</v>
      </c>
      <c r="AU1743" s="1" t="s">
        <v>79</v>
      </c>
      <c r="AV1743" s="1" t="s">
        <v>80</v>
      </c>
      <c r="AW1743" s="1">
        <v>70.459999999999994</v>
      </c>
      <c r="AX1743" s="1">
        <v>0</v>
      </c>
      <c r="AZ1743" s="1" t="s">
        <v>81</v>
      </c>
      <c r="BA1743" s="1">
        <v>1</v>
      </c>
      <c r="BB1743" s="1">
        <v>0</v>
      </c>
      <c r="BC1743" s="1">
        <v>0</v>
      </c>
      <c r="BE1743" s="1">
        <v>27246433</v>
      </c>
    </row>
    <row r="1744" spans="1:57" x14ac:dyDescent="0.25">
      <c r="A1744" s="1" t="str">
        <f>T("1945554779045040264")</f>
        <v>1945554779045040264</v>
      </c>
      <c r="B1744" s="1" t="str">
        <f>T("249128038409")</f>
        <v>249128038409</v>
      </c>
      <c r="C1744" s="1" t="str">
        <f>T("1941094503255377044")</f>
        <v>1941094503255377044</v>
      </c>
      <c r="AC1744" s="1" t="s">
        <v>104</v>
      </c>
      <c r="AD1744" s="1" t="s">
        <v>151</v>
      </c>
      <c r="AE1744" s="1" t="s">
        <v>392</v>
      </c>
      <c r="AF1744" s="1" t="s">
        <v>107</v>
      </c>
      <c r="AG1744" s="1">
        <v>33</v>
      </c>
      <c r="AO1744" s="2">
        <v>46277</v>
      </c>
      <c r="AP1744" s="1" t="s">
        <v>226</v>
      </c>
      <c r="AQ1744" s="2">
        <v>46278</v>
      </c>
      <c r="AR1744" s="1" t="s">
        <v>740</v>
      </c>
      <c r="AS1744" s="1" t="s">
        <v>71</v>
      </c>
      <c r="AU1744" s="1" t="s">
        <v>79</v>
      </c>
      <c r="AV1744" s="1" t="s">
        <v>80</v>
      </c>
      <c r="AW1744" s="1">
        <v>10.28</v>
      </c>
      <c r="AX1744" s="1">
        <v>0</v>
      </c>
      <c r="AZ1744" s="1" t="s">
        <v>81</v>
      </c>
      <c r="BA1744" s="1">
        <v>7</v>
      </c>
      <c r="BB1744" s="1">
        <v>0</v>
      </c>
      <c r="BC1744" s="1">
        <v>0</v>
      </c>
      <c r="BE1744" s="1">
        <v>27246433</v>
      </c>
    </row>
    <row r="1745" spans="1:57" x14ac:dyDescent="0.25">
      <c r="A1745" s="1" t="str">
        <f>T("1945554779074400920")</f>
        <v>1945554779074400920</v>
      </c>
      <c r="B1745" s="1" t="str">
        <f>T("249111169721")</f>
        <v>249111169721</v>
      </c>
      <c r="C1745" s="1" t="str">
        <f>T("1941094503259570852")</f>
        <v>1941094503259570852</v>
      </c>
      <c r="AC1745" s="1" t="s">
        <v>104</v>
      </c>
      <c r="AD1745" s="1" t="s">
        <v>151</v>
      </c>
      <c r="AE1745" s="1" t="s">
        <v>392</v>
      </c>
      <c r="AF1745" s="1" t="s">
        <v>107</v>
      </c>
      <c r="AG1745" s="1">
        <v>50</v>
      </c>
      <c r="AO1745" s="2">
        <v>46277</v>
      </c>
      <c r="AP1745" s="1" t="s">
        <v>226</v>
      </c>
      <c r="AQ1745" s="2">
        <v>46277</v>
      </c>
      <c r="AR1745" s="1" t="s">
        <v>649</v>
      </c>
      <c r="AS1745" s="1" t="s">
        <v>71</v>
      </c>
      <c r="AU1745" s="1" t="s">
        <v>79</v>
      </c>
      <c r="AV1745" s="1" t="s">
        <v>80</v>
      </c>
      <c r="AW1745" s="1">
        <v>12.94</v>
      </c>
      <c r="AX1745" s="1">
        <v>0</v>
      </c>
      <c r="AZ1745" s="1" t="s">
        <v>81</v>
      </c>
      <c r="BA1745" s="1">
        <v>1</v>
      </c>
      <c r="BB1745" s="1">
        <v>0</v>
      </c>
      <c r="BC1745" s="1">
        <v>0</v>
      </c>
      <c r="BE1745" s="1">
        <v>27246433</v>
      </c>
    </row>
    <row r="1746" spans="1:57" x14ac:dyDescent="0.25">
      <c r="A1746" s="1" t="str">
        <f>T("1945554779099567868")</f>
        <v>1945554779099567868</v>
      </c>
      <c r="B1746" s="1" t="str">
        <f>T("249121671045")</f>
        <v>249121671045</v>
      </c>
      <c r="C1746" s="1" t="str">
        <f>T("1941094503267959068")</f>
        <v>1941094503267959068</v>
      </c>
      <c r="M1746" s="1" t="s">
        <v>59</v>
      </c>
      <c r="O1746" s="1" t="s">
        <v>65</v>
      </c>
      <c r="P1746" s="1" t="s">
        <v>83</v>
      </c>
      <c r="Q1746" s="1" t="s">
        <v>101</v>
      </c>
      <c r="R1746" s="1" t="s">
        <v>84</v>
      </c>
      <c r="S1746" s="1" t="s">
        <v>64</v>
      </c>
      <c r="U1746" s="1" t="s">
        <v>65</v>
      </c>
      <c r="V1746" s="1" t="s">
        <v>102</v>
      </c>
      <c r="W1746" s="1" t="s">
        <v>67</v>
      </c>
      <c r="X1746" s="1" t="s">
        <v>66</v>
      </c>
      <c r="Y1746" s="1" t="s">
        <v>69</v>
      </c>
      <c r="AA1746" s="1">
        <v>1</v>
      </c>
      <c r="AB1746" s="1">
        <v>1</v>
      </c>
      <c r="AC1746" s="1" t="s">
        <v>104</v>
      </c>
      <c r="AD1746" s="1" t="s">
        <v>151</v>
      </c>
      <c r="AE1746" s="1" t="s">
        <v>392</v>
      </c>
      <c r="AF1746" s="1" t="s">
        <v>107</v>
      </c>
      <c r="AG1746" s="1">
        <v>33</v>
      </c>
      <c r="AO1746" s="2">
        <v>46277</v>
      </c>
      <c r="AP1746" s="1" t="s">
        <v>226</v>
      </c>
      <c r="AQ1746" s="2">
        <v>46277</v>
      </c>
      <c r="AR1746" s="1" t="s">
        <v>741</v>
      </c>
      <c r="AS1746" s="1" t="s">
        <v>71</v>
      </c>
      <c r="AU1746" s="1" t="s">
        <v>78</v>
      </c>
      <c r="AV1746" s="1" t="s">
        <v>80</v>
      </c>
      <c r="AW1746" s="1">
        <v>197.14</v>
      </c>
      <c r="AX1746" s="1">
        <v>0</v>
      </c>
      <c r="AZ1746" s="1" t="s">
        <v>81</v>
      </c>
      <c r="BA1746" s="1">
        <v>1</v>
      </c>
      <c r="BB1746" s="1">
        <v>0</v>
      </c>
      <c r="BC1746" s="1">
        <v>0</v>
      </c>
      <c r="BE1746" s="1">
        <v>27246433</v>
      </c>
    </row>
    <row r="1747" spans="1:57" x14ac:dyDescent="0.25">
      <c r="A1747" s="1" t="str">
        <f>T("1945554779141512648")</f>
        <v>1945554779141512648</v>
      </c>
      <c r="B1747" s="1" t="str">
        <f>T("249119264351")</f>
        <v>249119264351</v>
      </c>
      <c r="C1747" s="1" t="str">
        <f>T("1941094503267959768")</f>
        <v>1941094503267959768</v>
      </c>
      <c r="AA1747" s="1">
        <v>1</v>
      </c>
      <c r="AC1747" s="1" t="s">
        <v>104</v>
      </c>
      <c r="AD1747" s="1" t="s">
        <v>151</v>
      </c>
      <c r="AE1747" s="1" t="s">
        <v>392</v>
      </c>
      <c r="AF1747" s="1" t="s">
        <v>107</v>
      </c>
      <c r="AG1747" s="1">
        <v>25</v>
      </c>
      <c r="AO1747" s="2">
        <v>46277</v>
      </c>
      <c r="AP1747" s="1" t="s">
        <v>226</v>
      </c>
      <c r="AQ1747" s="2">
        <v>46278</v>
      </c>
      <c r="AR1747" s="1" t="s">
        <v>742</v>
      </c>
      <c r="AS1747" s="1" t="s">
        <v>71</v>
      </c>
      <c r="AU1747" s="1" t="s">
        <v>78</v>
      </c>
      <c r="AV1747" s="1" t="s">
        <v>80</v>
      </c>
      <c r="AW1747" s="1">
        <v>134.62</v>
      </c>
      <c r="AX1747" s="1">
        <v>0</v>
      </c>
      <c r="AZ1747" s="1" t="s">
        <v>81</v>
      </c>
      <c r="BA1747" s="1">
        <v>4</v>
      </c>
      <c r="BB1747" s="1">
        <v>0</v>
      </c>
      <c r="BC1747" s="1">
        <v>0</v>
      </c>
      <c r="BE1747" s="1">
        <v>27246433</v>
      </c>
    </row>
    <row r="1748" spans="1:57" x14ac:dyDescent="0.25">
      <c r="A1748" s="1" t="str">
        <f>T("1945554779154095672")</f>
        <v>1945554779154095672</v>
      </c>
      <c r="B1748" s="1" t="str">
        <f>T("249124908311")</f>
        <v>249124908311</v>
      </c>
      <c r="C1748" s="1" t="str">
        <f>T("1941094503267960268")</f>
        <v>1941094503267960268</v>
      </c>
      <c r="AA1748" s="1">
        <v>1</v>
      </c>
      <c r="AC1748" s="1" t="s">
        <v>104</v>
      </c>
      <c r="AD1748" s="1" t="s">
        <v>151</v>
      </c>
      <c r="AE1748" s="1" t="s">
        <v>392</v>
      </c>
      <c r="AF1748" s="1" t="s">
        <v>107</v>
      </c>
      <c r="AG1748" s="1">
        <v>21</v>
      </c>
      <c r="AO1748" s="2">
        <v>46277</v>
      </c>
      <c r="AP1748" s="1" t="s">
        <v>226</v>
      </c>
      <c r="AQ1748" s="2">
        <v>46277</v>
      </c>
      <c r="AR1748" s="1" t="s">
        <v>245</v>
      </c>
      <c r="AS1748" s="1" t="s">
        <v>71</v>
      </c>
      <c r="AU1748" s="1" t="s">
        <v>79</v>
      </c>
      <c r="AV1748" s="1" t="s">
        <v>80</v>
      </c>
      <c r="AW1748" s="1">
        <v>129.62</v>
      </c>
      <c r="AX1748" s="1">
        <v>0</v>
      </c>
      <c r="AZ1748" s="1" t="s">
        <v>81</v>
      </c>
      <c r="BA1748" s="1">
        <v>1</v>
      </c>
      <c r="BB1748" s="1">
        <v>0</v>
      </c>
      <c r="BC1748" s="1">
        <v>0</v>
      </c>
      <c r="BE1748" s="1">
        <v>27246433</v>
      </c>
    </row>
    <row r="1749" spans="1:57" x14ac:dyDescent="0.25">
      <c r="A1749" s="1" t="str">
        <f>T("1945554779250562456")</f>
        <v>1945554779250562456</v>
      </c>
      <c r="B1749" s="1" t="str">
        <f>T("249126693836")</f>
        <v>249126693836</v>
      </c>
      <c r="C1749" s="1" t="str">
        <f>T("1941094503267961168")</f>
        <v>1941094503267961168</v>
      </c>
      <c r="AC1749" s="1" t="s">
        <v>104</v>
      </c>
      <c r="AD1749" s="1" t="s">
        <v>151</v>
      </c>
      <c r="AE1749" s="1" t="s">
        <v>392</v>
      </c>
      <c r="AF1749" s="1" t="s">
        <v>107</v>
      </c>
      <c r="AG1749" s="1">
        <v>28</v>
      </c>
      <c r="AO1749" s="2">
        <v>46277</v>
      </c>
      <c r="AP1749" s="1" t="s">
        <v>226</v>
      </c>
      <c r="AS1749" s="1" t="s">
        <v>71</v>
      </c>
      <c r="AU1749" s="1" t="s">
        <v>72</v>
      </c>
      <c r="AV1749" s="1" t="s">
        <v>73</v>
      </c>
      <c r="AX1749" s="1">
        <v>0</v>
      </c>
      <c r="BA1749" s="1">
        <v>9</v>
      </c>
      <c r="BB1749" s="1">
        <v>0</v>
      </c>
      <c r="BC1749" s="1">
        <v>0</v>
      </c>
      <c r="BE1749" s="1">
        <v>27246433</v>
      </c>
    </row>
    <row r="1750" spans="1:57" x14ac:dyDescent="0.25">
      <c r="A1750" s="1" t="str">
        <f>T("1945554779300894352")</f>
        <v>1945554779300894352</v>
      </c>
      <c r="B1750" s="1" t="str">
        <f>T("249127125837")</f>
        <v>249127125837</v>
      </c>
      <c r="C1750" s="1" t="str">
        <f>T("1941094503267961768")</f>
        <v>1941094503267961768</v>
      </c>
      <c r="AA1750" s="1">
        <v>1</v>
      </c>
      <c r="AC1750" s="1" t="s">
        <v>104</v>
      </c>
      <c r="AD1750" s="1" t="s">
        <v>151</v>
      </c>
      <c r="AE1750" s="1" t="s">
        <v>392</v>
      </c>
      <c r="AF1750" s="1" t="s">
        <v>107</v>
      </c>
      <c r="AG1750" s="1">
        <v>39</v>
      </c>
      <c r="AO1750" s="2">
        <v>46277</v>
      </c>
      <c r="AP1750" s="1" t="s">
        <v>226</v>
      </c>
      <c r="AQ1750" s="2">
        <v>46277</v>
      </c>
      <c r="AR1750" s="1" t="s">
        <v>404</v>
      </c>
      <c r="AS1750" s="1" t="s">
        <v>71</v>
      </c>
      <c r="AU1750" s="1" t="s">
        <v>79</v>
      </c>
      <c r="AV1750" s="1" t="s">
        <v>80</v>
      </c>
      <c r="AW1750" s="1">
        <v>61.78</v>
      </c>
      <c r="AX1750" s="1">
        <v>0</v>
      </c>
      <c r="AZ1750" s="1" t="s">
        <v>81</v>
      </c>
      <c r="BA1750" s="1">
        <v>1</v>
      </c>
      <c r="BB1750" s="1">
        <v>0</v>
      </c>
      <c r="BC1750" s="1">
        <v>0</v>
      </c>
      <c r="BE1750" s="1">
        <v>27246433</v>
      </c>
    </row>
    <row r="1751" spans="1:57" x14ac:dyDescent="0.25">
      <c r="A1751" s="1" t="str">
        <f>T("1945554779368003880")</f>
        <v>1945554779368003880</v>
      </c>
      <c r="B1751" s="1" t="str">
        <f>T("249126339754")</f>
        <v>249126339754</v>
      </c>
      <c r="C1751" s="1" t="str">
        <f>T("1941094503267962468")</f>
        <v>1941094503267962468</v>
      </c>
      <c r="M1751" s="1" t="s">
        <v>59</v>
      </c>
      <c r="O1751" s="1" t="s">
        <v>65</v>
      </c>
      <c r="P1751" s="1" t="s">
        <v>83</v>
      </c>
      <c r="Q1751" s="1" t="s">
        <v>112</v>
      </c>
      <c r="R1751" s="1" t="s">
        <v>93</v>
      </c>
      <c r="T1751" s="1" t="s">
        <v>95</v>
      </c>
      <c r="U1751" s="1" t="s">
        <v>60</v>
      </c>
      <c r="V1751" s="1" t="s">
        <v>103</v>
      </c>
      <c r="W1751" s="1" t="s">
        <v>67</v>
      </c>
      <c r="X1751" s="1" t="s">
        <v>103</v>
      </c>
      <c r="Y1751" s="1" t="s">
        <v>69</v>
      </c>
      <c r="AA1751" s="1">
        <v>1</v>
      </c>
      <c r="AB1751" s="1">
        <v>1</v>
      </c>
      <c r="AC1751" s="1" t="s">
        <v>104</v>
      </c>
      <c r="AD1751" s="1" t="s">
        <v>151</v>
      </c>
      <c r="AE1751" s="1" t="s">
        <v>392</v>
      </c>
      <c r="AF1751" s="1" t="s">
        <v>107</v>
      </c>
      <c r="AG1751" s="1">
        <v>28</v>
      </c>
      <c r="AO1751" s="2">
        <v>46277</v>
      </c>
      <c r="AP1751" s="1" t="s">
        <v>226</v>
      </c>
      <c r="AQ1751" s="2">
        <v>46277</v>
      </c>
      <c r="AR1751" s="1" t="s">
        <v>743</v>
      </c>
      <c r="AS1751" s="1" t="s">
        <v>71</v>
      </c>
      <c r="AU1751" s="1" t="s">
        <v>78</v>
      </c>
      <c r="AV1751" s="1" t="s">
        <v>80</v>
      </c>
      <c r="AW1751" s="1">
        <v>248.42</v>
      </c>
      <c r="AX1751" s="1">
        <v>0</v>
      </c>
      <c r="AZ1751" s="1" t="s">
        <v>81</v>
      </c>
      <c r="BA1751" s="1">
        <v>2</v>
      </c>
      <c r="BB1751" s="1">
        <v>0</v>
      </c>
      <c r="BC1751" s="1">
        <v>0</v>
      </c>
      <c r="BE1751" s="1">
        <v>27246433</v>
      </c>
    </row>
    <row r="1752" spans="1:57" x14ac:dyDescent="0.25">
      <c r="A1752" s="1" t="str">
        <f>T("1945554779372196688")</f>
        <v>1945554779372196688</v>
      </c>
      <c r="B1752" s="1" t="str">
        <f>T("249122914514")</f>
        <v>249122914514</v>
      </c>
      <c r="C1752" s="1" t="str">
        <f>T("1941094503272153176")</f>
        <v>1941094503272153176</v>
      </c>
      <c r="AA1752" s="1">
        <v>1</v>
      </c>
      <c r="AC1752" s="1" t="s">
        <v>104</v>
      </c>
      <c r="AD1752" s="1" t="s">
        <v>151</v>
      </c>
      <c r="AE1752" s="1" t="s">
        <v>392</v>
      </c>
      <c r="AF1752" s="1" t="s">
        <v>107</v>
      </c>
      <c r="AG1752" s="1">
        <v>34</v>
      </c>
      <c r="AO1752" s="2">
        <v>46277</v>
      </c>
      <c r="AP1752" s="1" t="s">
        <v>226</v>
      </c>
      <c r="AQ1752" s="2">
        <v>46277</v>
      </c>
      <c r="AR1752" s="1" t="s">
        <v>744</v>
      </c>
      <c r="AS1752" s="1" t="s">
        <v>71</v>
      </c>
      <c r="AU1752" s="1" t="s">
        <v>79</v>
      </c>
      <c r="AV1752" s="1" t="s">
        <v>80</v>
      </c>
      <c r="AW1752" s="1">
        <v>65.98</v>
      </c>
      <c r="AX1752" s="1">
        <v>0</v>
      </c>
      <c r="AZ1752" s="1" t="s">
        <v>81</v>
      </c>
      <c r="BA1752" s="1">
        <v>1</v>
      </c>
      <c r="BB1752" s="1">
        <v>0</v>
      </c>
      <c r="BC1752" s="1">
        <v>0</v>
      </c>
      <c r="BE1752" s="1">
        <v>27246433</v>
      </c>
    </row>
    <row r="1753" spans="1:57" x14ac:dyDescent="0.25">
      <c r="A1753" s="1" t="str">
        <f>T("1945554779535776600")</f>
        <v>1945554779535776600</v>
      </c>
      <c r="B1753" s="1" t="str">
        <f>T("249113059226")</f>
        <v>249113059226</v>
      </c>
      <c r="C1753" s="1" t="str">
        <f>T("1941094503272153576")</f>
        <v>1941094503272153576</v>
      </c>
      <c r="AA1753" s="1">
        <v>1</v>
      </c>
      <c r="AC1753" s="1" t="s">
        <v>104</v>
      </c>
      <c r="AD1753" s="1" t="s">
        <v>151</v>
      </c>
      <c r="AE1753" s="1" t="s">
        <v>392</v>
      </c>
      <c r="AF1753" s="1" t="s">
        <v>107</v>
      </c>
      <c r="AG1753" s="1">
        <v>41</v>
      </c>
      <c r="AO1753" s="2">
        <v>46277</v>
      </c>
      <c r="AP1753" s="1" t="s">
        <v>226</v>
      </c>
      <c r="AQ1753" s="2">
        <v>46277</v>
      </c>
      <c r="AR1753" s="1" t="s">
        <v>745</v>
      </c>
      <c r="AS1753" s="1" t="s">
        <v>71</v>
      </c>
      <c r="AU1753" s="1" t="s">
        <v>78</v>
      </c>
      <c r="AV1753" s="1" t="s">
        <v>80</v>
      </c>
      <c r="AW1753" s="1">
        <v>134.72</v>
      </c>
      <c r="AX1753" s="1">
        <v>0</v>
      </c>
      <c r="AZ1753" s="1" t="s">
        <v>81</v>
      </c>
      <c r="BA1753" s="1">
        <v>2</v>
      </c>
      <c r="BB1753" s="1">
        <v>0</v>
      </c>
      <c r="BC1753" s="1">
        <v>0</v>
      </c>
      <c r="BE1753" s="1">
        <v>27246433</v>
      </c>
    </row>
    <row r="1754" spans="1:57" x14ac:dyDescent="0.25">
      <c r="A1754" s="1" t="str">
        <f>T("1945554779539969108")</f>
        <v>1945554779539969108</v>
      </c>
      <c r="B1754" s="1" t="str">
        <f>T("249124963203")</f>
        <v>249124963203</v>
      </c>
      <c r="C1754" s="1" t="str">
        <f>T("1941094503272154276")</f>
        <v>1941094503272154276</v>
      </c>
      <c r="AC1754" s="1" t="s">
        <v>104</v>
      </c>
      <c r="AD1754" s="1" t="s">
        <v>151</v>
      </c>
      <c r="AE1754" s="1" t="s">
        <v>392</v>
      </c>
      <c r="AF1754" s="1" t="s">
        <v>107</v>
      </c>
      <c r="AG1754" s="1">
        <v>27</v>
      </c>
      <c r="AO1754" s="2">
        <v>46277</v>
      </c>
      <c r="AP1754" s="1" t="s">
        <v>226</v>
      </c>
      <c r="AS1754" s="1" t="s">
        <v>71</v>
      </c>
      <c r="AU1754" s="1" t="s">
        <v>72</v>
      </c>
      <c r="AV1754" s="1" t="s">
        <v>73</v>
      </c>
      <c r="AX1754" s="1">
        <v>0</v>
      </c>
      <c r="BA1754" s="1">
        <v>9</v>
      </c>
      <c r="BB1754" s="1">
        <v>0</v>
      </c>
      <c r="BC1754" s="1">
        <v>0</v>
      </c>
      <c r="BE1754" s="1">
        <v>27246433</v>
      </c>
    </row>
    <row r="1755" spans="1:57" x14ac:dyDescent="0.25">
      <c r="A1755" s="1" t="str">
        <f>T("1945554779661604840")</f>
        <v>1945554779661604840</v>
      </c>
      <c r="B1755" s="1" t="str">
        <f>T("249117852673")</f>
        <v>249117852673</v>
      </c>
      <c r="C1755" s="1" t="str">
        <f>T("1941094503272156276")</f>
        <v>1941094503272156276</v>
      </c>
      <c r="M1755" s="1" t="s">
        <v>59</v>
      </c>
      <c r="O1755" s="1" t="s">
        <v>65</v>
      </c>
      <c r="P1755" s="1" t="s">
        <v>83</v>
      </c>
      <c r="Q1755" s="1" t="s">
        <v>101</v>
      </c>
      <c r="R1755" s="1" t="s">
        <v>93</v>
      </c>
      <c r="T1755" s="1" t="s">
        <v>464</v>
      </c>
      <c r="U1755" s="1" t="s">
        <v>65</v>
      </c>
      <c r="V1755" s="1" t="s">
        <v>66</v>
      </c>
      <c r="W1755" s="1" t="s">
        <v>60</v>
      </c>
      <c r="X1755" s="1" t="s">
        <v>103</v>
      </c>
      <c r="Y1755" s="1" t="s">
        <v>160</v>
      </c>
      <c r="AA1755" s="1">
        <v>1</v>
      </c>
      <c r="AB1755" s="1">
        <v>1</v>
      </c>
      <c r="AC1755" s="1" t="s">
        <v>104</v>
      </c>
      <c r="AD1755" s="1" t="s">
        <v>151</v>
      </c>
      <c r="AE1755" s="1" t="s">
        <v>392</v>
      </c>
      <c r="AF1755" s="1" t="s">
        <v>107</v>
      </c>
      <c r="AG1755" s="1">
        <v>49</v>
      </c>
      <c r="AO1755" s="2">
        <v>46277</v>
      </c>
      <c r="AP1755" s="1" t="s">
        <v>226</v>
      </c>
      <c r="AQ1755" s="2">
        <v>46277</v>
      </c>
      <c r="AR1755" s="1" t="s">
        <v>746</v>
      </c>
      <c r="AS1755" s="1" t="s">
        <v>71</v>
      </c>
      <c r="AU1755" s="1" t="s">
        <v>78</v>
      </c>
      <c r="AV1755" s="1" t="s">
        <v>80</v>
      </c>
      <c r="AW1755" s="1">
        <v>221.36099999999999</v>
      </c>
      <c r="AX1755" s="1">
        <v>0</v>
      </c>
      <c r="AZ1755" s="1" t="s">
        <v>81</v>
      </c>
      <c r="BA1755" s="1">
        <v>1</v>
      </c>
      <c r="BB1755" s="1">
        <v>0</v>
      </c>
      <c r="BC1755" s="1">
        <v>0</v>
      </c>
      <c r="BE1755" s="1">
        <v>27246433</v>
      </c>
    </row>
    <row r="1756" spans="1:57" x14ac:dyDescent="0.25">
      <c r="A1756" s="1" t="str">
        <f>T("1945554779669992556")</f>
        <v>1945554779669992556</v>
      </c>
      <c r="B1756" s="1" t="str">
        <f>T("249126926768")</f>
        <v>249126926768</v>
      </c>
      <c r="C1756" s="1" t="str">
        <f>T("1941094503272156876")</f>
        <v>1941094503272156876</v>
      </c>
      <c r="M1756" s="1" t="s">
        <v>148</v>
      </c>
      <c r="N1756" s="1" t="s">
        <v>60</v>
      </c>
      <c r="O1756" s="1" t="s">
        <v>60</v>
      </c>
      <c r="P1756" s="1" t="s">
        <v>83</v>
      </c>
      <c r="AA1756" s="1">
        <v>1</v>
      </c>
      <c r="AC1756" s="1" t="s">
        <v>104</v>
      </c>
      <c r="AD1756" s="1" t="s">
        <v>151</v>
      </c>
      <c r="AE1756" s="1" t="s">
        <v>392</v>
      </c>
      <c r="AF1756" s="1" t="s">
        <v>107</v>
      </c>
      <c r="AG1756" s="1">
        <v>38</v>
      </c>
      <c r="AO1756" s="2">
        <v>46277</v>
      </c>
      <c r="AP1756" s="1" t="s">
        <v>226</v>
      </c>
      <c r="AQ1756" s="2">
        <v>46277</v>
      </c>
      <c r="AR1756" s="1" t="s">
        <v>747</v>
      </c>
      <c r="AS1756" s="1" t="s">
        <v>71</v>
      </c>
      <c r="AU1756" s="1" t="s">
        <v>79</v>
      </c>
      <c r="AV1756" s="1" t="s">
        <v>80</v>
      </c>
      <c r="AW1756" s="1">
        <v>158.1</v>
      </c>
      <c r="AX1756" s="1">
        <v>0</v>
      </c>
      <c r="AZ1756" s="1" t="s">
        <v>81</v>
      </c>
      <c r="BA1756" s="1">
        <v>1</v>
      </c>
      <c r="BB1756" s="1">
        <v>0</v>
      </c>
      <c r="BC1756" s="1">
        <v>0</v>
      </c>
      <c r="BE1756" s="1">
        <v>27246433</v>
      </c>
    </row>
    <row r="1757" spans="1:57" x14ac:dyDescent="0.25">
      <c r="A1757" s="1" t="str">
        <f>T("1945554779749686308")</f>
        <v>1945554779749686308</v>
      </c>
      <c r="B1757" s="1" t="str">
        <f>T("249127548571")</f>
        <v>249127548571</v>
      </c>
      <c r="C1757" s="1" t="str">
        <f>T("1941094503276347584")</f>
        <v>1941094503276347584</v>
      </c>
      <c r="AC1757" s="1" t="s">
        <v>104</v>
      </c>
      <c r="AD1757" s="1" t="s">
        <v>151</v>
      </c>
      <c r="AE1757" s="1" t="s">
        <v>392</v>
      </c>
      <c r="AF1757" s="1" t="s">
        <v>107</v>
      </c>
      <c r="AG1757" s="1">
        <v>25</v>
      </c>
      <c r="AO1757" s="2">
        <v>46277</v>
      </c>
      <c r="AP1757" s="1" t="s">
        <v>226</v>
      </c>
      <c r="AQ1757" s="2">
        <v>46277</v>
      </c>
      <c r="AR1757" s="1" t="s">
        <v>747</v>
      </c>
      <c r="AS1757" s="1" t="s">
        <v>71</v>
      </c>
      <c r="AU1757" s="1" t="s">
        <v>79</v>
      </c>
      <c r="AV1757" s="1" t="s">
        <v>80</v>
      </c>
      <c r="AW1757" s="1">
        <v>37.14</v>
      </c>
      <c r="AX1757" s="1">
        <v>0</v>
      </c>
      <c r="AZ1757" s="1" t="s">
        <v>81</v>
      </c>
      <c r="BA1757" s="1">
        <v>1</v>
      </c>
      <c r="BB1757" s="1">
        <v>0</v>
      </c>
      <c r="BC1757" s="1">
        <v>0</v>
      </c>
      <c r="BE1757" s="1">
        <v>27246433</v>
      </c>
    </row>
    <row r="1758" spans="1:57" x14ac:dyDescent="0.25">
      <c r="A1758" s="1" t="str">
        <f>T("1945554779758073424")</f>
        <v>1945554779758073424</v>
      </c>
      <c r="B1758" s="1" t="str">
        <f>T("249128922511")</f>
        <v>249128922511</v>
      </c>
      <c r="C1758" s="1" t="str">
        <f>T("1941094503276347984")</f>
        <v>1941094503276347984</v>
      </c>
      <c r="AA1758" s="1">
        <v>1</v>
      </c>
      <c r="AC1758" s="1" t="s">
        <v>104</v>
      </c>
      <c r="AD1758" s="1" t="s">
        <v>151</v>
      </c>
      <c r="AE1758" s="1" t="s">
        <v>392</v>
      </c>
      <c r="AF1758" s="1" t="s">
        <v>107</v>
      </c>
      <c r="AG1758" s="1">
        <v>52</v>
      </c>
      <c r="AO1758" s="2">
        <v>46277</v>
      </c>
      <c r="AP1758" s="1" t="s">
        <v>226</v>
      </c>
      <c r="AQ1758" s="2">
        <v>46277</v>
      </c>
      <c r="AR1758" s="1" t="s">
        <v>748</v>
      </c>
      <c r="AS1758" s="1" t="s">
        <v>71</v>
      </c>
      <c r="AU1758" s="1" t="s">
        <v>79</v>
      </c>
      <c r="AV1758" s="1" t="s">
        <v>80</v>
      </c>
      <c r="AW1758" s="1">
        <v>115.16</v>
      </c>
      <c r="AX1758" s="1">
        <v>0</v>
      </c>
      <c r="AZ1758" s="1" t="s">
        <v>81</v>
      </c>
      <c r="BA1758" s="1">
        <v>1</v>
      </c>
      <c r="BB1758" s="1">
        <v>0</v>
      </c>
      <c r="BC1758" s="1">
        <v>0</v>
      </c>
      <c r="BE1758" s="1">
        <v>27246433</v>
      </c>
    </row>
    <row r="1759" spans="1:57" x14ac:dyDescent="0.25">
      <c r="A1759" s="1" t="str">
        <f>T("1945554779900679296")</f>
        <v>1945554779900679296</v>
      </c>
      <c r="B1759" s="1" t="str">
        <f>T("249911740144")</f>
        <v>249911740144</v>
      </c>
      <c r="C1759" s="1" t="str">
        <f>T("1941094503276348784")</f>
        <v>1941094503276348784</v>
      </c>
      <c r="AC1759" s="1" t="s">
        <v>104</v>
      </c>
      <c r="AD1759" s="1" t="s">
        <v>151</v>
      </c>
      <c r="AE1759" s="1" t="s">
        <v>392</v>
      </c>
      <c r="AF1759" s="1" t="s">
        <v>107</v>
      </c>
      <c r="AG1759" s="1">
        <v>21</v>
      </c>
      <c r="AO1759" s="2">
        <v>46277</v>
      </c>
      <c r="AP1759" s="1" t="s">
        <v>226</v>
      </c>
      <c r="AS1759" s="1" t="s">
        <v>71</v>
      </c>
      <c r="AU1759" s="1" t="s">
        <v>72</v>
      </c>
      <c r="AV1759" s="1" t="s">
        <v>437</v>
      </c>
      <c r="AX1759" s="1">
        <v>0</v>
      </c>
      <c r="BA1759" s="1">
        <v>9</v>
      </c>
      <c r="BB1759" s="1">
        <v>0</v>
      </c>
      <c r="BC1759" s="1">
        <v>0</v>
      </c>
      <c r="BE1759" s="1">
        <v>27246433</v>
      </c>
    </row>
    <row r="1760" spans="1:57" x14ac:dyDescent="0.25">
      <c r="A1760" s="1" t="str">
        <f>T("1945554779904874304")</f>
        <v>1945554779904874304</v>
      </c>
      <c r="B1760" s="1" t="str">
        <f>T("249124056471")</f>
        <v>249124056471</v>
      </c>
      <c r="C1760" s="1" t="str">
        <f>T("1941094503276348384")</f>
        <v>1941094503276348384</v>
      </c>
      <c r="AC1760" s="1" t="s">
        <v>104</v>
      </c>
      <c r="AD1760" s="1" t="s">
        <v>151</v>
      </c>
      <c r="AE1760" s="1" t="s">
        <v>392</v>
      </c>
      <c r="AF1760" s="1" t="s">
        <v>107</v>
      </c>
      <c r="AG1760" s="1">
        <v>44</v>
      </c>
      <c r="AO1760" s="2">
        <v>46277</v>
      </c>
      <c r="AP1760" s="1" t="s">
        <v>226</v>
      </c>
      <c r="AQ1760" s="2">
        <v>46277</v>
      </c>
      <c r="AR1760" s="1" t="s">
        <v>651</v>
      </c>
      <c r="AS1760" s="1" t="s">
        <v>71</v>
      </c>
      <c r="AU1760" s="1" t="s">
        <v>79</v>
      </c>
      <c r="AV1760" s="1" t="s">
        <v>80</v>
      </c>
      <c r="AW1760" s="1">
        <v>28.8</v>
      </c>
      <c r="AX1760" s="1">
        <v>0</v>
      </c>
      <c r="AZ1760" s="1" t="s">
        <v>81</v>
      </c>
      <c r="BA1760" s="1">
        <v>1</v>
      </c>
      <c r="BB1760" s="1">
        <v>0</v>
      </c>
      <c r="BC1760" s="1">
        <v>0</v>
      </c>
      <c r="BE1760" s="1">
        <v>27246433</v>
      </c>
    </row>
    <row r="1761" spans="1:57" x14ac:dyDescent="0.25">
      <c r="A1761" s="1" t="str">
        <f>T("1945554779980370248")</f>
        <v>1945554779980370248</v>
      </c>
      <c r="B1761" s="1" t="str">
        <f>T("249117368504")</f>
        <v>249117368504</v>
      </c>
      <c r="C1761" s="1" t="str">
        <f>T("1941094503276349184")</f>
        <v>1941094503276349184</v>
      </c>
      <c r="AA1761" s="1">
        <v>1</v>
      </c>
      <c r="AC1761" s="1" t="s">
        <v>104</v>
      </c>
      <c r="AD1761" s="1" t="s">
        <v>151</v>
      </c>
      <c r="AE1761" s="1" t="s">
        <v>392</v>
      </c>
      <c r="AF1761" s="1" t="s">
        <v>107</v>
      </c>
      <c r="AG1761" s="1">
        <v>35</v>
      </c>
      <c r="AO1761" s="2">
        <v>46277</v>
      </c>
      <c r="AP1761" s="1" t="s">
        <v>226</v>
      </c>
      <c r="AQ1761" s="2">
        <v>46277</v>
      </c>
      <c r="AR1761" s="1" t="s">
        <v>419</v>
      </c>
      <c r="AS1761" s="1" t="s">
        <v>71</v>
      </c>
      <c r="AU1761" s="1" t="s">
        <v>79</v>
      </c>
      <c r="AV1761" s="1" t="s">
        <v>80</v>
      </c>
      <c r="AW1761" s="1">
        <v>93.32</v>
      </c>
      <c r="AX1761" s="1">
        <v>0</v>
      </c>
      <c r="AZ1761" s="1" t="s">
        <v>81</v>
      </c>
      <c r="BA1761" s="1">
        <v>1</v>
      </c>
      <c r="BB1761" s="1">
        <v>0</v>
      </c>
      <c r="BC1761" s="1">
        <v>0</v>
      </c>
      <c r="BE1761" s="1">
        <v>27246433</v>
      </c>
    </row>
    <row r="1762" spans="1:57" x14ac:dyDescent="0.25">
      <c r="A1762" s="1" t="str">
        <f>T("1945554779984568156")</f>
        <v>1945554779984568156</v>
      </c>
      <c r="B1762" s="1" t="str">
        <f>T("249121479924")</f>
        <v>249121479924</v>
      </c>
      <c r="C1762" s="1" t="str">
        <f>T("1941094503276349584")</f>
        <v>1941094503276349584</v>
      </c>
      <c r="AA1762" s="1">
        <v>1</v>
      </c>
      <c r="AC1762" s="1" t="s">
        <v>104</v>
      </c>
      <c r="AD1762" s="1" t="s">
        <v>151</v>
      </c>
      <c r="AE1762" s="1" t="s">
        <v>392</v>
      </c>
      <c r="AF1762" s="1" t="s">
        <v>107</v>
      </c>
      <c r="AG1762" s="1">
        <v>31</v>
      </c>
      <c r="AO1762" s="2">
        <v>46277</v>
      </c>
      <c r="AP1762" s="1" t="s">
        <v>226</v>
      </c>
      <c r="AQ1762" s="2">
        <v>46277</v>
      </c>
      <c r="AR1762" s="1" t="s">
        <v>650</v>
      </c>
      <c r="AS1762" s="1" t="s">
        <v>71</v>
      </c>
      <c r="AU1762" s="1" t="s">
        <v>79</v>
      </c>
      <c r="AV1762" s="1" t="s">
        <v>80</v>
      </c>
      <c r="AW1762" s="1">
        <v>38.64</v>
      </c>
      <c r="AX1762" s="1">
        <v>0</v>
      </c>
      <c r="AZ1762" s="1" t="s">
        <v>81</v>
      </c>
      <c r="BA1762" s="1">
        <v>1</v>
      </c>
      <c r="BB1762" s="1">
        <v>0</v>
      </c>
      <c r="BC1762" s="1">
        <v>0</v>
      </c>
      <c r="BE1762" s="1">
        <v>27246433</v>
      </c>
    </row>
    <row r="1763" spans="1:57" x14ac:dyDescent="0.25">
      <c r="A1763" s="1" t="str">
        <f>T("1945554780055868392")</f>
        <v>1945554780055868392</v>
      </c>
      <c r="B1763" s="1" t="str">
        <f>T("249925626661")</f>
        <v>249925626661</v>
      </c>
      <c r="C1763" s="1" t="str">
        <f>T("1941094503276350084")</f>
        <v>1941094503276350084</v>
      </c>
      <c r="AC1763" s="1" t="s">
        <v>104</v>
      </c>
      <c r="AD1763" s="1" t="s">
        <v>151</v>
      </c>
      <c r="AE1763" s="1" t="s">
        <v>392</v>
      </c>
      <c r="AF1763" s="1" t="s">
        <v>107</v>
      </c>
      <c r="AG1763" s="1">
        <v>28</v>
      </c>
      <c r="AO1763" s="2">
        <v>46277</v>
      </c>
      <c r="AP1763" s="1" t="s">
        <v>226</v>
      </c>
      <c r="AS1763" s="1" t="s">
        <v>71</v>
      </c>
      <c r="AU1763" s="1" t="s">
        <v>72</v>
      </c>
      <c r="AV1763" s="1" t="s">
        <v>73</v>
      </c>
      <c r="AX1763" s="1">
        <v>0</v>
      </c>
      <c r="BA1763" s="1">
        <v>9</v>
      </c>
      <c r="BB1763" s="1">
        <v>0</v>
      </c>
      <c r="BC1763" s="1">
        <v>0</v>
      </c>
      <c r="BE1763" s="1">
        <v>27246433</v>
      </c>
    </row>
    <row r="1764" spans="1:57" x14ac:dyDescent="0.25">
      <c r="A1764" s="1" t="str">
        <f>T("1945554780060062600")</f>
        <v>1945554780060062600</v>
      </c>
      <c r="B1764" s="1" t="str">
        <f>T("249114080245")</f>
        <v>249114080245</v>
      </c>
      <c r="C1764" s="1" t="str">
        <f>T("1941094503276350484")</f>
        <v>1941094503276350484</v>
      </c>
      <c r="AC1764" s="1" t="s">
        <v>104</v>
      </c>
      <c r="AD1764" s="1" t="s">
        <v>151</v>
      </c>
      <c r="AE1764" s="1" t="s">
        <v>392</v>
      </c>
      <c r="AF1764" s="1" t="s">
        <v>107</v>
      </c>
      <c r="AG1764" s="1">
        <v>32</v>
      </c>
      <c r="AO1764" s="2">
        <v>46277</v>
      </c>
      <c r="AP1764" s="1" t="s">
        <v>226</v>
      </c>
      <c r="AQ1764" s="2">
        <v>46277</v>
      </c>
      <c r="AR1764" s="1" t="s">
        <v>749</v>
      </c>
      <c r="AS1764" s="1" t="s">
        <v>71</v>
      </c>
      <c r="AU1764" s="1" t="s">
        <v>79</v>
      </c>
      <c r="AV1764" s="1" t="s">
        <v>80</v>
      </c>
      <c r="AW1764" s="1">
        <v>26.22</v>
      </c>
      <c r="AX1764" s="1">
        <v>0</v>
      </c>
      <c r="AZ1764" s="1" t="s">
        <v>81</v>
      </c>
      <c r="BA1764" s="1">
        <v>2</v>
      </c>
      <c r="BB1764" s="1">
        <v>0</v>
      </c>
      <c r="BC1764" s="1">
        <v>0</v>
      </c>
      <c r="BE1764" s="1">
        <v>27246433</v>
      </c>
    </row>
    <row r="1765" spans="1:57" x14ac:dyDescent="0.25">
      <c r="A1765" s="1" t="str">
        <f>T("1945554780131365736")</f>
        <v>1945554780131365736</v>
      </c>
      <c r="B1765" s="1" t="str">
        <f>T("249990356126")</f>
        <v>249990356126</v>
      </c>
      <c r="C1765" s="1" t="str">
        <f>T("1941094503276350984")</f>
        <v>1941094503276350984</v>
      </c>
      <c r="AA1765" s="1">
        <v>1</v>
      </c>
      <c r="AC1765" s="1" t="s">
        <v>104</v>
      </c>
      <c r="AD1765" s="1" t="s">
        <v>151</v>
      </c>
      <c r="AE1765" s="1" t="s">
        <v>392</v>
      </c>
      <c r="AF1765" s="1" t="s">
        <v>107</v>
      </c>
      <c r="AG1765" s="1">
        <v>30</v>
      </c>
      <c r="AO1765" s="2">
        <v>46277</v>
      </c>
      <c r="AP1765" s="1" t="s">
        <v>226</v>
      </c>
      <c r="AQ1765" s="2">
        <v>46278</v>
      </c>
      <c r="AR1765" s="1" t="s">
        <v>750</v>
      </c>
      <c r="AS1765" s="1" t="s">
        <v>71</v>
      </c>
      <c r="AU1765" s="1" t="s">
        <v>79</v>
      </c>
      <c r="AV1765" s="1" t="s">
        <v>80</v>
      </c>
      <c r="AW1765" s="1">
        <v>57.12</v>
      </c>
      <c r="AX1765" s="1">
        <v>0</v>
      </c>
      <c r="AZ1765" s="1" t="s">
        <v>81</v>
      </c>
      <c r="BA1765" s="1">
        <v>4</v>
      </c>
      <c r="BB1765" s="1">
        <v>0</v>
      </c>
      <c r="BC1765" s="1">
        <v>0</v>
      </c>
      <c r="BE1765" s="1">
        <v>27246433</v>
      </c>
    </row>
    <row r="1766" spans="1:57" x14ac:dyDescent="0.25">
      <c r="A1766" s="1" t="str">
        <f>T("1945554780135563244")</f>
        <v>1945554780135563244</v>
      </c>
      <c r="B1766" s="1" t="str">
        <f>T("249118633890")</f>
        <v>249118633890</v>
      </c>
      <c r="C1766" s="1" t="str">
        <f>T("1941094503276351484")</f>
        <v>1941094503276351484</v>
      </c>
      <c r="M1766" s="1" t="s">
        <v>133</v>
      </c>
      <c r="N1766" s="1" t="s">
        <v>65</v>
      </c>
      <c r="O1766" s="1" t="s">
        <v>65</v>
      </c>
      <c r="P1766" s="1" t="s">
        <v>83</v>
      </c>
      <c r="Q1766" s="1" t="s">
        <v>112</v>
      </c>
      <c r="R1766" s="1" t="s">
        <v>93</v>
      </c>
      <c r="T1766" s="1" t="s">
        <v>95</v>
      </c>
      <c r="U1766" s="1" t="s">
        <v>65</v>
      </c>
      <c r="V1766" s="1" t="s">
        <v>103</v>
      </c>
      <c r="W1766" s="1" t="s">
        <v>60</v>
      </c>
      <c r="X1766" s="1" t="s">
        <v>102</v>
      </c>
      <c r="Y1766" s="1" t="s">
        <v>69</v>
      </c>
      <c r="AA1766" s="1">
        <v>1</v>
      </c>
      <c r="AB1766" s="1">
        <v>1</v>
      </c>
      <c r="AC1766" s="1" t="s">
        <v>104</v>
      </c>
      <c r="AD1766" s="1" t="s">
        <v>151</v>
      </c>
      <c r="AE1766" s="1" t="s">
        <v>392</v>
      </c>
      <c r="AF1766" s="1" t="s">
        <v>107</v>
      </c>
      <c r="AG1766" s="1">
        <v>54</v>
      </c>
      <c r="AO1766" s="2">
        <v>46277</v>
      </c>
      <c r="AP1766" s="1" t="s">
        <v>226</v>
      </c>
      <c r="AQ1766" s="2">
        <v>46277</v>
      </c>
      <c r="AR1766" s="1" t="s">
        <v>751</v>
      </c>
      <c r="AS1766" s="1" t="s">
        <v>71</v>
      </c>
      <c r="AU1766" s="1" t="s">
        <v>78</v>
      </c>
      <c r="AV1766" s="1" t="s">
        <v>80</v>
      </c>
      <c r="AW1766" s="1">
        <v>237.2</v>
      </c>
      <c r="AX1766" s="1">
        <v>0</v>
      </c>
      <c r="AZ1766" s="1" t="s">
        <v>81</v>
      </c>
      <c r="BA1766" s="1">
        <v>1</v>
      </c>
      <c r="BB1766" s="1">
        <v>0</v>
      </c>
      <c r="BC1766" s="1">
        <v>0</v>
      </c>
      <c r="BE1766" s="1">
        <v>27246433</v>
      </c>
    </row>
    <row r="1767" spans="1:57" x14ac:dyDescent="0.25">
      <c r="A1767" s="1" t="str">
        <f>T("1945554780206864380")</f>
        <v>1945554780206864380</v>
      </c>
      <c r="B1767" s="1" t="str">
        <f>T("249122618455")</f>
        <v>249122618455</v>
      </c>
      <c r="C1767" s="1" t="str">
        <f>T("1941094503280542192")</f>
        <v>1941094503280542192</v>
      </c>
      <c r="AA1767" s="1">
        <v>1</v>
      </c>
      <c r="AC1767" s="1" t="s">
        <v>104</v>
      </c>
      <c r="AD1767" s="1" t="s">
        <v>151</v>
      </c>
      <c r="AE1767" s="1" t="s">
        <v>392</v>
      </c>
      <c r="AF1767" s="1" t="s">
        <v>107</v>
      </c>
      <c r="AG1767" s="1">
        <v>22</v>
      </c>
      <c r="AO1767" s="2">
        <v>46277</v>
      </c>
      <c r="AP1767" s="1" t="s">
        <v>226</v>
      </c>
      <c r="AQ1767" s="2">
        <v>46278</v>
      </c>
      <c r="AR1767" s="1" t="s">
        <v>752</v>
      </c>
      <c r="AS1767" s="1" t="s">
        <v>71</v>
      </c>
      <c r="AU1767" s="1" t="s">
        <v>79</v>
      </c>
      <c r="AV1767" s="1" t="s">
        <v>80</v>
      </c>
      <c r="AW1767" s="1">
        <v>75.34</v>
      </c>
      <c r="AX1767" s="1">
        <v>0</v>
      </c>
      <c r="AZ1767" s="1" t="s">
        <v>81</v>
      </c>
      <c r="BA1767" s="1">
        <v>4</v>
      </c>
      <c r="BB1767" s="1">
        <v>0</v>
      </c>
      <c r="BC1767" s="1">
        <v>0</v>
      </c>
      <c r="BE1767" s="1">
        <v>27246433</v>
      </c>
    </row>
    <row r="1768" spans="1:57" x14ac:dyDescent="0.25">
      <c r="A1768" s="1" t="str">
        <f>T("1945554780206865380")</f>
        <v>1945554780206865380</v>
      </c>
      <c r="B1768" s="1" t="str">
        <f>T("249123878543")</f>
        <v>249123878543</v>
      </c>
      <c r="C1768" s="1" t="str">
        <f>T("1941094503280542592")</f>
        <v>1941094503280542592</v>
      </c>
      <c r="AC1768" s="1" t="s">
        <v>104</v>
      </c>
      <c r="AD1768" s="1" t="s">
        <v>151</v>
      </c>
      <c r="AE1768" s="1" t="s">
        <v>392</v>
      </c>
      <c r="AF1768" s="1" t="s">
        <v>107</v>
      </c>
      <c r="AG1768" s="1">
        <v>26</v>
      </c>
      <c r="AO1768" s="2">
        <v>46277</v>
      </c>
      <c r="AP1768" s="1" t="s">
        <v>226</v>
      </c>
      <c r="AQ1768" s="2">
        <v>46277</v>
      </c>
      <c r="AR1768" s="1" t="s">
        <v>753</v>
      </c>
      <c r="AS1768" s="1" t="s">
        <v>71</v>
      </c>
      <c r="AU1768" s="1" t="s">
        <v>79</v>
      </c>
      <c r="AV1768" s="1" t="s">
        <v>80</v>
      </c>
      <c r="AW1768" s="1">
        <v>31.46</v>
      </c>
      <c r="AX1768" s="1">
        <v>0</v>
      </c>
      <c r="AZ1768" s="1" t="s">
        <v>81</v>
      </c>
      <c r="BA1768" s="1">
        <v>2</v>
      </c>
      <c r="BB1768" s="1">
        <v>0</v>
      </c>
      <c r="BC1768" s="1">
        <v>0</v>
      </c>
      <c r="BE1768" s="1">
        <v>27246433</v>
      </c>
    </row>
    <row r="1769" spans="1:57" x14ac:dyDescent="0.25">
      <c r="A1769" s="1" t="str">
        <f>T("1945554780307527372")</f>
        <v>1945554780307527372</v>
      </c>
      <c r="B1769" s="1" t="str">
        <f>T("249114214841")</f>
        <v>249114214841</v>
      </c>
      <c r="C1769" s="1" t="str">
        <f>T("1941094503280542992")</f>
        <v>1941094503280542992</v>
      </c>
      <c r="M1769" s="1" t="s">
        <v>59</v>
      </c>
      <c r="O1769" s="1" t="s">
        <v>65</v>
      </c>
      <c r="P1769" s="1" t="s">
        <v>83</v>
      </c>
      <c r="Q1769" s="1" t="s">
        <v>112</v>
      </c>
      <c r="R1769" s="1" t="s">
        <v>93</v>
      </c>
      <c r="T1769" s="1" t="s">
        <v>95</v>
      </c>
      <c r="U1769" s="1" t="s">
        <v>65</v>
      </c>
      <c r="V1769" s="1" t="s">
        <v>102</v>
      </c>
      <c r="W1769" s="1" t="s">
        <v>67</v>
      </c>
      <c r="X1769" s="1" t="s">
        <v>103</v>
      </c>
      <c r="Y1769" s="1" t="s">
        <v>69</v>
      </c>
      <c r="AA1769" s="1">
        <v>1</v>
      </c>
      <c r="AB1769" s="1">
        <v>1</v>
      </c>
      <c r="AC1769" s="1" t="s">
        <v>104</v>
      </c>
      <c r="AD1769" s="1" t="s">
        <v>151</v>
      </c>
      <c r="AE1769" s="1" t="s">
        <v>392</v>
      </c>
      <c r="AF1769" s="1" t="s">
        <v>107</v>
      </c>
      <c r="AG1769" s="1">
        <v>25</v>
      </c>
      <c r="AO1769" s="2">
        <v>46277</v>
      </c>
      <c r="AP1769" s="1" t="s">
        <v>226</v>
      </c>
      <c r="AQ1769" s="2">
        <v>46277</v>
      </c>
      <c r="AR1769" s="1" t="s">
        <v>754</v>
      </c>
      <c r="AS1769" s="1" t="s">
        <v>71</v>
      </c>
      <c r="AU1769" s="1" t="s">
        <v>78</v>
      </c>
      <c r="AV1769" s="1" t="s">
        <v>80</v>
      </c>
      <c r="AW1769" s="1">
        <v>216.32</v>
      </c>
      <c r="AX1769" s="1">
        <v>0</v>
      </c>
      <c r="AZ1769" s="1" t="s">
        <v>81</v>
      </c>
      <c r="BA1769" s="1">
        <v>1</v>
      </c>
      <c r="BB1769" s="1">
        <v>0</v>
      </c>
      <c r="BC1769" s="1">
        <v>0</v>
      </c>
      <c r="BE1769" s="1">
        <v>27246433</v>
      </c>
    </row>
    <row r="1770" spans="1:57" x14ac:dyDescent="0.25">
      <c r="A1770" s="1" t="str">
        <f>T("1945554780307527772")</f>
        <v>1945554780307527772</v>
      </c>
      <c r="B1770" s="1" t="str">
        <f>T("249128083259")</f>
        <v>249128083259</v>
      </c>
      <c r="C1770" s="1" t="str">
        <f>T("1941094503280543392")</f>
        <v>1941094503280543392</v>
      </c>
      <c r="M1770" s="1" t="s">
        <v>59</v>
      </c>
      <c r="O1770" s="1" t="s">
        <v>65</v>
      </c>
      <c r="P1770" s="1" t="s">
        <v>83</v>
      </c>
      <c r="Q1770" s="1" t="s">
        <v>112</v>
      </c>
      <c r="R1770" s="1" t="s">
        <v>84</v>
      </c>
      <c r="S1770" s="1" t="s">
        <v>61</v>
      </c>
      <c r="U1770" s="1" t="s">
        <v>65</v>
      </c>
      <c r="V1770" s="1" t="s">
        <v>102</v>
      </c>
      <c r="W1770" s="1" t="s">
        <v>60</v>
      </c>
      <c r="X1770" s="1" t="s">
        <v>66</v>
      </c>
      <c r="Y1770" s="1" t="s">
        <v>69</v>
      </c>
      <c r="AA1770" s="1">
        <v>1</v>
      </c>
      <c r="AB1770" s="1">
        <v>1</v>
      </c>
      <c r="AC1770" s="1" t="s">
        <v>104</v>
      </c>
      <c r="AD1770" s="1" t="s">
        <v>151</v>
      </c>
      <c r="AE1770" s="1" t="s">
        <v>392</v>
      </c>
      <c r="AF1770" s="1" t="s">
        <v>107</v>
      </c>
      <c r="AG1770" s="1">
        <v>60</v>
      </c>
      <c r="AO1770" s="2">
        <v>46277</v>
      </c>
      <c r="AP1770" s="1" t="s">
        <v>226</v>
      </c>
      <c r="AQ1770" s="2">
        <v>46277</v>
      </c>
      <c r="AR1770" s="1" t="s">
        <v>755</v>
      </c>
      <c r="AS1770" s="1" t="s">
        <v>71</v>
      </c>
      <c r="AU1770" s="1" t="s">
        <v>78</v>
      </c>
      <c r="AV1770" s="1" t="s">
        <v>80</v>
      </c>
      <c r="AW1770" s="1">
        <v>362.54</v>
      </c>
      <c r="AX1770" s="1">
        <v>0</v>
      </c>
      <c r="AZ1770" s="1" t="s">
        <v>81</v>
      </c>
      <c r="BA1770" s="1">
        <v>1</v>
      </c>
      <c r="BB1770" s="1">
        <v>0</v>
      </c>
      <c r="BC1770" s="1">
        <v>0</v>
      </c>
      <c r="BE1770" s="1">
        <v>27246433</v>
      </c>
    </row>
    <row r="1771" spans="1:57" x14ac:dyDescent="0.25">
      <c r="A1771" s="1" t="str">
        <f>T("1945554780399804048")</f>
        <v>1945554780399804048</v>
      </c>
      <c r="B1771" s="1" t="str">
        <f>T("249112036715")</f>
        <v>249112036715</v>
      </c>
      <c r="C1771" s="1" t="str">
        <f>T("1941094503280543892")</f>
        <v>1941094503280543892</v>
      </c>
      <c r="AA1771" s="1">
        <v>1</v>
      </c>
      <c r="AC1771" s="1" t="s">
        <v>104</v>
      </c>
      <c r="AD1771" s="1" t="s">
        <v>151</v>
      </c>
      <c r="AE1771" s="1" t="s">
        <v>392</v>
      </c>
      <c r="AF1771" s="1" t="s">
        <v>107</v>
      </c>
      <c r="AG1771" s="1">
        <v>44</v>
      </c>
      <c r="AO1771" s="2">
        <v>46277</v>
      </c>
      <c r="AP1771" s="1" t="s">
        <v>226</v>
      </c>
      <c r="AQ1771" s="2">
        <v>46277</v>
      </c>
      <c r="AR1771" s="1" t="s">
        <v>756</v>
      </c>
      <c r="AS1771" s="1" t="s">
        <v>71</v>
      </c>
      <c r="AU1771" s="1" t="s">
        <v>79</v>
      </c>
      <c r="AV1771" s="1" t="s">
        <v>80</v>
      </c>
      <c r="AW1771" s="1">
        <v>43.22</v>
      </c>
      <c r="AX1771" s="1">
        <v>0</v>
      </c>
      <c r="AZ1771" s="1" t="s">
        <v>81</v>
      </c>
      <c r="BA1771" s="1">
        <v>1</v>
      </c>
      <c r="BB1771" s="1">
        <v>0</v>
      </c>
      <c r="BC1771" s="1">
        <v>0</v>
      </c>
      <c r="BE1771" s="1">
        <v>27246433</v>
      </c>
    </row>
    <row r="1772" spans="1:57" x14ac:dyDescent="0.25">
      <c r="A1772" s="1" t="str">
        <f>T("1945554780403996956")</f>
        <v>1945554780403996956</v>
      </c>
      <c r="B1772" s="1" t="str">
        <f>T("249121626608")</f>
        <v>249121626608</v>
      </c>
      <c r="C1772" s="1" t="str">
        <f>T("1941094503280544392")</f>
        <v>1941094503280544392</v>
      </c>
      <c r="AA1772" s="1">
        <v>1</v>
      </c>
      <c r="AC1772" s="1" t="s">
        <v>104</v>
      </c>
      <c r="AD1772" s="1" t="s">
        <v>151</v>
      </c>
      <c r="AE1772" s="1" t="s">
        <v>392</v>
      </c>
      <c r="AF1772" s="1" t="s">
        <v>107</v>
      </c>
      <c r="AG1772" s="1">
        <v>26</v>
      </c>
      <c r="AO1772" s="2">
        <v>46277</v>
      </c>
      <c r="AP1772" s="1" t="s">
        <v>226</v>
      </c>
      <c r="AQ1772" s="2">
        <v>46277</v>
      </c>
      <c r="AR1772" s="1" t="s">
        <v>757</v>
      </c>
      <c r="AS1772" s="1" t="s">
        <v>71</v>
      </c>
      <c r="AU1772" s="1" t="s">
        <v>79</v>
      </c>
      <c r="AV1772" s="1" t="s">
        <v>80</v>
      </c>
      <c r="AW1772" s="1">
        <v>47.32</v>
      </c>
      <c r="AX1772" s="1">
        <v>0</v>
      </c>
      <c r="AZ1772" s="1" t="s">
        <v>81</v>
      </c>
      <c r="BA1772" s="1">
        <v>1</v>
      </c>
      <c r="BB1772" s="1">
        <v>0</v>
      </c>
      <c r="BC1772" s="1">
        <v>0</v>
      </c>
      <c r="BE1772" s="1">
        <v>27246433</v>
      </c>
    </row>
    <row r="1773" spans="1:57" x14ac:dyDescent="0.25">
      <c r="A1773" s="1" t="str">
        <f>T("1945554780483689808")</f>
        <v>1945554780483689808</v>
      </c>
      <c r="B1773" s="1" t="str">
        <f>T("249125461705")</f>
        <v>249125461705</v>
      </c>
      <c r="C1773" s="1" t="str">
        <f>T("1941094503280544892")</f>
        <v>1941094503280544892</v>
      </c>
      <c r="AA1773" s="1">
        <v>1</v>
      </c>
      <c r="AC1773" s="1" t="s">
        <v>104</v>
      </c>
      <c r="AD1773" s="1" t="s">
        <v>151</v>
      </c>
      <c r="AE1773" s="1" t="s">
        <v>392</v>
      </c>
      <c r="AF1773" s="1" t="s">
        <v>107</v>
      </c>
      <c r="AG1773" s="1">
        <v>45</v>
      </c>
      <c r="AO1773" s="2">
        <v>46277</v>
      </c>
      <c r="AP1773" s="1" t="s">
        <v>226</v>
      </c>
      <c r="AQ1773" s="2">
        <v>46277</v>
      </c>
      <c r="AR1773" s="1" t="s">
        <v>758</v>
      </c>
      <c r="AS1773" s="1" t="s">
        <v>71</v>
      </c>
      <c r="AU1773" s="1" t="s">
        <v>78</v>
      </c>
      <c r="AV1773" s="1" t="s">
        <v>80</v>
      </c>
      <c r="AW1773" s="1">
        <v>134.56</v>
      </c>
      <c r="AX1773" s="1">
        <v>0</v>
      </c>
      <c r="AZ1773" s="1" t="s">
        <v>81</v>
      </c>
      <c r="BA1773" s="1">
        <v>1</v>
      </c>
      <c r="BB1773" s="1">
        <v>0</v>
      </c>
      <c r="BC1773" s="1">
        <v>0</v>
      </c>
      <c r="BE1773" s="1">
        <v>27246433</v>
      </c>
    </row>
    <row r="1774" spans="1:57" x14ac:dyDescent="0.25">
      <c r="A1774" s="1" t="str">
        <f>T("1945554780492075324")</f>
        <v>1945554780492075324</v>
      </c>
      <c r="B1774" s="1" t="str">
        <f>T("249123434242")</f>
        <v>249123434242</v>
      </c>
      <c r="C1774" s="1" t="str">
        <f>T("1941094503280545392")</f>
        <v>1941094503280545392</v>
      </c>
      <c r="AC1774" s="1" t="s">
        <v>104</v>
      </c>
      <c r="AD1774" s="1" t="s">
        <v>151</v>
      </c>
      <c r="AE1774" s="1" t="s">
        <v>392</v>
      </c>
      <c r="AF1774" s="1" t="s">
        <v>107</v>
      </c>
      <c r="AG1774" s="1">
        <v>30</v>
      </c>
      <c r="AO1774" s="2">
        <v>46277</v>
      </c>
      <c r="AP1774" s="1" t="s">
        <v>226</v>
      </c>
      <c r="AS1774" s="1" t="s">
        <v>71</v>
      </c>
      <c r="AU1774" s="1" t="s">
        <v>72</v>
      </c>
      <c r="AV1774" s="1" t="s">
        <v>73</v>
      </c>
      <c r="AX1774" s="1">
        <v>0</v>
      </c>
      <c r="BA1774" s="1">
        <v>9</v>
      </c>
      <c r="BB1774" s="1">
        <v>0</v>
      </c>
      <c r="BC1774" s="1">
        <v>0</v>
      </c>
      <c r="BE1774" s="1">
        <v>27246433</v>
      </c>
    </row>
    <row r="1775" spans="1:57" x14ac:dyDescent="0.25">
      <c r="A1775" s="1" t="str">
        <f>T("1945554780550798436")</f>
        <v>1945554780550798436</v>
      </c>
      <c r="B1775" s="1" t="str">
        <f>T("249922346960")</f>
        <v>249922346960</v>
      </c>
      <c r="C1775" s="1" t="str">
        <f>T("1941094503284736100")</f>
        <v>1941094503284736100</v>
      </c>
      <c r="AC1775" s="1" t="s">
        <v>104</v>
      </c>
      <c r="AD1775" s="1" t="s">
        <v>151</v>
      </c>
      <c r="AE1775" s="1" t="s">
        <v>392</v>
      </c>
      <c r="AF1775" s="1" t="s">
        <v>107</v>
      </c>
      <c r="AG1775" s="1">
        <v>33</v>
      </c>
      <c r="AO1775" s="2">
        <v>46277</v>
      </c>
      <c r="AP1775" s="1" t="s">
        <v>226</v>
      </c>
      <c r="AQ1775" s="2">
        <v>46278</v>
      </c>
      <c r="AR1775" s="1" t="s">
        <v>759</v>
      </c>
      <c r="AS1775" s="1" t="s">
        <v>71</v>
      </c>
      <c r="AU1775" s="1" t="s">
        <v>79</v>
      </c>
      <c r="AV1775" s="1" t="s">
        <v>80</v>
      </c>
      <c r="AW1775" s="1">
        <v>2.34</v>
      </c>
      <c r="AX1775" s="1">
        <v>0</v>
      </c>
      <c r="AZ1775" s="1" t="s">
        <v>81</v>
      </c>
      <c r="BA1775" s="1">
        <v>5</v>
      </c>
      <c r="BB1775" s="1">
        <v>0</v>
      </c>
      <c r="BC1775" s="1">
        <v>0</v>
      </c>
      <c r="BE1775" s="1">
        <v>27246433</v>
      </c>
    </row>
    <row r="1776" spans="1:57" x14ac:dyDescent="0.25">
      <c r="A1776" s="1" t="str">
        <f>T("1945554780563379660")</f>
        <v>1945554780563379660</v>
      </c>
      <c r="B1776" s="1" t="str">
        <f>T("249125599525")</f>
        <v>249125599525</v>
      </c>
      <c r="C1776" s="1" t="str">
        <f>T("1941094503284736500")</f>
        <v>1941094503284736500</v>
      </c>
      <c r="AA1776" s="1">
        <v>1</v>
      </c>
      <c r="AC1776" s="1" t="s">
        <v>104</v>
      </c>
      <c r="AD1776" s="1" t="s">
        <v>151</v>
      </c>
      <c r="AE1776" s="1" t="s">
        <v>392</v>
      </c>
      <c r="AF1776" s="1" t="s">
        <v>107</v>
      </c>
      <c r="AG1776" s="1">
        <v>25</v>
      </c>
      <c r="AO1776" s="2">
        <v>46277</v>
      </c>
      <c r="AP1776" s="1" t="s">
        <v>226</v>
      </c>
      <c r="AQ1776" s="2">
        <v>46277</v>
      </c>
      <c r="AR1776" s="1" t="s">
        <v>758</v>
      </c>
      <c r="AS1776" s="1" t="s">
        <v>71</v>
      </c>
      <c r="AU1776" s="1" t="s">
        <v>79</v>
      </c>
      <c r="AV1776" s="1" t="s">
        <v>80</v>
      </c>
      <c r="AW1776" s="1">
        <v>57.84</v>
      </c>
      <c r="AX1776" s="1">
        <v>0</v>
      </c>
      <c r="AZ1776" s="1" t="s">
        <v>81</v>
      </c>
      <c r="BA1776" s="1">
        <v>1</v>
      </c>
      <c r="BB1776" s="1">
        <v>0</v>
      </c>
      <c r="BC1776" s="1">
        <v>0</v>
      </c>
      <c r="BE1776" s="1">
        <v>27246433</v>
      </c>
    </row>
    <row r="1777" spans="1:57" x14ac:dyDescent="0.25">
      <c r="A1777" s="1" t="str">
        <f>T("1945554780697598416")</f>
        <v>1945554780697598416</v>
      </c>
      <c r="B1777" s="1" t="str">
        <f>T("249127614346")</f>
        <v>249127614346</v>
      </c>
      <c r="C1777" s="1" t="str">
        <f>T("1941094503284737100")</f>
        <v>1941094503284737100</v>
      </c>
      <c r="AC1777" s="1" t="s">
        <v>104</v>
      </c>
      <c r="AD1777" s="1" t="s">
        <v>151</v>
      </c>
      <c r="AE1777" s="1" t="s">
        <v>392</v>
      </c>
      <c r="AF1777" s="1" t="s">
        <v>107</v>
      </c>
      <c r="AG1777" s="1">
        <v>30</v>
      </c>
      <c r="AO1777" s="2">
        <v>46277</v>
      </c>
      <c r="AP1777" s="1" t="s">
        <v>226</v>
      </c>
      <c r="AQ1777" s="2">
        <v>46277</v>
      </c>
      <c r="AR1777" s="1" t="s">
        <v>646</v>
      </c>
      <c r="AS1777" s="1" t="s">
        <v>71</v>
      </c>
      <c r="AU1777" s="1" t="s">
        <v>79</v>
      </c>
      <c r="AV1777" s="1" t="s">
        <v>80</v>
      </c>
      <c r="AW1777" s="1">
        <v>25.8</v>
      </c>
      <c r="AX1777" s="1">
        <v>0</v>
      </c>
      <c r="AZ1777" s="1" t="s">
        <v>81</v>
      </c>
      <c r="BA1777" s="1">
        <v>1</v>
      </c>
      <c r="BB1777" s="1">
        <v>0</v>
      </c>
      <c r="BC1777" s="1">
        <v>0</v>
      </c>
      <c r="BE1777" s="1">
        <v>27246433</v>
      </c>
    </row>
    <row r="1778" spans="1:57" x14ac:dyDescent="0.25">
      <c r="A1778" s="1" t="str">
        <f>T("1945554780710181940")</f>
        <v>1945554780710181940</v>
      </c>
      <c r="B1778" s="1" t="str">
        <f>T("249114213146")</f>
        <v>249114213146</v>
      </c>
      <c r="C1778" s="1" t="str">
        <f>T("1941094503284737600")</f>
        <v>1941094503284737600</v>
      </c>
      <c r="AC1778" s="1" t="s">
        <v>104</v>
      </c>
      <c r="AD1778" s="1" t="s">
        <v>151</v>
      </c>
      <c r="AE1778" s="1" t="s">
        <v>392</v>
      </c>
      <c r="AF1778" s="1" t="s">
        <v>107</v>
      </c>
      <c r="AG1778" s="1">
        <v>30</v>
      </c>
      <c r="AO1778" s="2">
        <v>46277</v>
      </c>
      <c r="AP1778" s="1" t="s">
        <v>226</v>
      </c>
      <c r="AS1778" s="1" t="s">
        <v>71</v>
      </c>
      <c r="AU1778" s="1" t="s">
        <v>72</v>
      </c>
      <c r="AV1778" s="1" t="s">
        <v>412</v>
      </c>
      <c r="AX1778" s="1">
        <v>0</v>
      </c>
      <c r="BA1778" s="1">
        <v>9</v>
      </c>
      <c r="BB1778" s="1">
        <v>0</v>
      </c>
      <c r="BC1778" s="1">
        <v>0</v>
      </c>
      <c r="BE1778" s="1">
        <v>27246433</v>
      </c>
    </row>
    <row r="1779" spans="1:57" x14ac:dyDescent="0.25">
      <c r="A1779" s="1" t="str">
        <f>T("1945554780802457216")</f>
        <v>1945554780802457216</v>
      </c>
      <c r="B1779" s="1" t="str">
        <f>T("249127289455")</f>
        <v>249127289455</v>
      </c>
      <c r="C1779" s="1" t="str">
        <f>T("1941094503284738200")</f>
        <v>1941094503284738200</v>
      </c>
      <c r="AA1779" s="1">
        <v>1</v>
      </c>
      <c r="AC1779" s="1" t="s">
        <v>104</v>
      </c>
      <c r="AD1779" s="1" t="s">
        <v>151</v>
      </c>
      <c r="AE1779" s="1" t="s">
        <v>392</v>
      </c>
      <c r="AF1779" s="1" t="s">
        <v>107</v>
      </c>
      <c r="AG1779" s="1">
        <v>19</v>
      </c>
      <c r="AO1779" s="2">
        <v>46277</v>
      </c>
      <c r="AP1779" s="1" t="s">
        <v>226</v>
      </c>
      <c r="AQ1779" s="2">
        <v>46277</v>
      </c>
      <c r="AR1779" s="1" t="s">
        <v>760</v>
      </c>
      <c r="AS1779" s="1" t="s">
        <v>71</v>
      </c>
      <c r="AU1779" s="1" t="s">
        <v>79</v>
      </c>
      <c r="AV1779" s="1" t="s">
        <v>480</v>
      </c>
      <c r="AW1779" s="1">
        <v>123.2</v>
      </c>
      <c r="AX1779" s="1">
        <v>0</v>
      </c>
      <c r="AZ1779" s="1" t="s">
        <v>81</v>
      </c>
      <c r="BA1779" s="1">
        <v>1</v>
      </c>
      <c r="BB1779" s="1">
        <v>0</v>
      </c>
      <c r="BC1779" s="1">
        <v>0</v>
      </c>
      <c r="BE1779" s="1">
        <v>27246433</v>
      </c>
    </row>
    <row r="1780" spans="1:57" x14ac:dyDescent="0.25">
      <c r="A1780" s="1" t="str">
        <f>T("1945554780815039640")</f>
        <v>1945554780815039640</v>
      </c>
      <c r="B1780" s="1" t="str">
        <f>T("249901786618")</f>
        <v>249901786618</v>
      </c>
      <c r="C1780" s="1" t="str">
        <f>T("1941094503284738700")</f>
        <v>1941094503284738700</v>
      </c>
      <c r="AC1780" s="1" t="s">
        <v>104</v>
      </c>
      <c r="AD1780" s="1" t="s">
        <v>151</v>
      </c>
      <c r="AE1780" s="1" t="s">
        <v>392</v>
      </c>
      <c r="AF1780" s="1" t="s">
        <v>107</v>
      </c>
      <c r="AG1780" s="1">
        <v>25</v>
      </c>
      <c r="AO1780" s="2">
        <v>46277</v>
      </c>
      <c r="AP1780" s="1" t="s">
        <v>226</v>
      </c>
      <c r="AS1780" s="1" t="s">
        <v>71</v>
      </c>
      <c r="AU1780" s="1" t="s">
        <v>72</v>
      </c>
      <c r="AV1780" s="1" t="s">
        <v>437</v>
      </c>
      <c r="AX1780" s="1">
        <v>0</v>
      </c>
      <c r="BA1780" s="1">
        <v>9</v>
      </c>
      <c r="BB1780" s="1">
        <v>0</v>
      </c>
      <c r="BC1780" s="1">
        <v>0</v>
      </c>
      <c r="BE1780" s="1">
        <v>27246433</v>
      </c>
    </row>
    <row r="1781" spans="1:57" x14ac:dyDescent="0.25">
      <c r="A1781" s="1" t="str">
        <f>T("1945554780890537284")</f>
        <v>1945554780890537284</v>
      </c>
      <c r="B1781" s="1" t="str">
        <f>T("249112420804")</f>
        <v>249112420804</v>
      </c>
      <c r="C1781" s="1" t="str">
        <f>T("1941094503284739200")</f>
        <v>1941094503284739200</v>
      </c>
      <c r="AA1781" s="1">
        <v>1</v>
      </c>
      <c r="AC1781" s="1" t="s">
        <v>104</v>
      </c>
      <c r="AD1781" s="1" t="s">
        <v>151</v>
      </c>
      <c r="AE1781" s="1" t="s">
        <v>392</v>
      </c>
      <c r="AF1781" s="1" t="s">
        <v>107</v>
      </c>
      <c r="AG1781" s="1">
        <v>24</v>
      </c>
      <c r="AO1781" s="2">
        <v>46277</v>
      </c>
      <c r="AP1781" s="1" t="s">
        <v>226</v>
      </c>
      <c r="AQ1781" s="2">
        <v>46277</v>
      </c>
      <c r="AR1781" s="1" t="s">
        <v>646</v>
      </c>
      <c r="AS1781" s="1" t="s">
        <v>71</v>
      </c>
      <c r="AU1781" s="1" t="s">
        <v>79</v>
      </c>
      <c r="AV1781" s="1" t="s">
        <v>80</v>
      </c>
      <c r="AW1781" s="1">
        <v>64.980999999999995</v>
      </c>
      <c r="AX1781" s="1">
        <v>0</v>
      </c>
      <c r="AZ1781" s="1" t="s">
        <v>81</v>
      </c>
      <c r="BA1781" s="1">
        <v>1</v>
      </c>
      <c r="BB1781" s="1">
        <v>0</v>
      </c>
      <c r="BC1781" s="1">
        <v>0</v>
      </c>
      <c r="BE1781" s="1">
        <v>27246433</v>
      </c>
    </row>
    <row r="1782" spans="1:57" x14ac:dyDescent="0.25">
      <c r="A1782" s="1" t="str">
        <f>T("1945554780894731492")</f>
        <v>1945554780894731492</v>
      </c>
      <c r="B1782" s="1" t="str">
        <f>T("249912229947")</f>
        <v>249912229947</v>
      </c>
      <c r="C1782" s="1" t="str">
        <f>T("1941094503288932108")</f>
        <v>1941094503288932108</v>
      </c>
      <c r="AC1782" s="1" t="s">
        <v>104</v>
      </c>
      <c r="AD1782" s="1" t="s">
        <v>151</v>
      </c>
      <c r="AE1782" s="1" t="s">
        <v>392</v>
      </c>
      <c r="AF1782" s="1" t="s">
        <v>107</v>
      </c>
      <c r="AG1782" s="1">
        <v>30</v>
      </c>
      <c r="AO1782" s="2">
        <v>46277</v>
      </c>
      <c r="AP1782" s="1" t="s">
        <v>226</v>
      </c>
      <c r="AS1782" s="1" t="s">
        <v>71</v>
      </c>
      <c r="AU1782" s="1" t="s">
        <v>72</v>
      </c>
      <c r="AV1782" s="1" t="s">
        <v>73</v>
      </c>
      <c r="AX1782" s="1">
        <v>0</v>
      </c>
      <c r="BA1782" s="1">
        <v>9</v>
      </c>
      <c r="BB1782" s="1">
        <v>0</v>
      </c>
      <c r="BC1782" s="1">
        <v>0</v>
      </c>
      <c r="BE1782" s="1">
        <v>27246433</v>
      </c>
    </row>
    <row r="1783" spans="1:57" x14ac:dyDescent="0.25">
      <c r="A1783" s="1" t="str">
        <f>T("1945554781037335964")</f>
        <v>1945554781037335964</v>
      </c>
      <c r="B1783" s="1" t="str">
        <f>T("249115861984")</f>
        <v>249115861984</v>
      </c>
      <c r="C1783" s="1" t="str">
        <f>T("1941094503288932708")</f>
        <v>1941094503288932708</v>
      </c>
      <c r="AC1783" s="1" t="s">
        <v>104</v>
      </c>
      <c r="AD1783" s="1" t="s">
        <v>151</v>
      </c>
      <c r="AE1783" s="1" t="s">
        <v>392</v>
      </c>
      <c r="AF1783" s="1" t="s">
        <v>107</v>
      </c>
      <c r="AG1783" s="1">
        <v>23</v>
      </c>
      <c r="AO1783" s="2">
        <v>46277</v>
      </c>
      <c r="AP1783" s="1" t="s">
        <v>226</v>
      </c>
      <c r="AS1783" s="1" t="s">
        <v>71</v>
      </c>
      <c r="AU1783" s="1" t="s">
        <v>72</v>
      </c>
      <c r="AV1783" s="1" t="s">
        <v>73</v>
      </c>
      <c r="AX1783" s="1">
        <v>0</v>
      </c>
      <c r="BA1783" s="1">
        <v>9</v>
      </c>
      <c r="BB1783" s="1">
        <v>0</v>
      </c>
      <c r="BC1783" s="1">
        <v>0</v>
      </c>
      <c r="BE1783" s="1">
        <v>27246433</v>
      </c>
    </row>
    <row r="1784" spans="1:57" x14ac:dyDescent="0.25">
      <c r="A1784" s="1" t="str">
        <f>T("1945554781045724080")</f>
        <v>1945554781045724080</v>
      </c>
      <c r="B1784" s="1" t="str">
        <f>T("249123983580")</f>
        <v>249123983580</v>
      </c>
      <c r="C1784" s="1" t="str">
        <f>T("1941094503288933708")</f>
        <v>1941094503288933708</v>
      </c>
      <c r="AC1784" s="1" t="s">
        <v>104</v>
      </c>
      <c r="AD1784" s="1" t="s">
        <v>151</v>
      </c>
      <c r="AE1784" s="1" t="s">
        <v>392</v>
      </c>
      <c r="AF1784" s="1" t="s">
        <v>107</v>
      </c>
      <c r="AG1784" s="1">
        <v>21</v>
      </c>
      <c r="AO1784" s="2">
        <v>46277</v>
      </c>
      <c r="AP1784" s="1" t="s">
        <v>226</v>
      </c>
      <c r="AQ1784" s="2">
        <v>46277</v>
      </c>
      <c r="AR1784" s="1" t="s">
        <v>761</v>
      </c>
      <c r="AS1784" s="1" t="s">
        <v>71</v>
      </c>
      <c r="AU1784" s="1" t="s">
        <v>79</v>
      </c>
      <c r="AV1784" s="1" t="s">
        <v>80</v>
      </c>
      <c r="AW1784" s="1">
        <v>33.32</v>
      </c>
      <c r="AX1784" s="1">
        <v>0</v>
      </c>
      <c r="AZ1784" s="1" t="s">
        <v>81</v>
      </c>
      <c r="BA1784" s="1">
        <v>1</v>
      </c>
      <c r="BB1784" s="1">
        <v>0</v>
      </c>
      <c r="BC1784" s="1">
        <v>0</v>
      </c>
      <c r="BE1784" s="1">
        <v>27246433</v>
      </c>
    </row>
    <row r="1785" spans="1:57" x14ac:dyDescent="0.25">
      <c r="A1785" s="1" t="str">
        <f>T("1945554781133806248")</f>
        <v>1945554781133806248</v>
      </c>
      <c r="B1785" s="1" t="str">
        <f>T("249121113440")</f>
        <v>249121113440</v>
      </c>
      <c r="C1785" s="1" t="str">
        <f>T("1941094503288934108")</f>
        <v>1941094503288934108</v>
      </c>
      <c r="AC1785" s="1" t="s">
        <v>104</v>
      </c>
      <c r="AD1785" s="1" t="s">
        <v>151</v>
      </c>
      <c r="AE1785" s="1" t="s">
        <v>392</v>
      </c>
      <c r="AF1785" s="1" t="s">
        <v>107</v>
      </c>
      <c r="AG1785" s="1">
        <v>30</v>
      </c>
      <c r="AO1785" s="2">
        <v>46277</v>
      </c>
      <c r="AP1785" s="1" t="s">
        <v>226</v>
      </c>
      <c r="AS1785" s="1" t="s">
        <v>71</v>
      </c>
      <c r="AU1785" s="1" t="s">
        <v>72</v>
      </c>
      <c r="AV1785" s="1" t="s">
        <v>73</v>
      </c>
      <c r="AX1785" s="1">
        <v>0</v>
      </c>
      <c r="BA1785" s="1">
        <v>9</v>
      </c>
      <c r="BB1785" s="1">
        <v>0</v>
      </c>
      <c r="BC1785" s="1">
        <v>0</v>
      </c>
      <c r="BE1785" s="1">
        <v>27246433</v>
      </c>
    </row>
    <row r="1786" spans="1:57" x14ac:dyDescent="0.25">
      <c r="A1786" s="1" t="str">
        <f>T("1945554781142192964")</f>
        <v>1945554781142192964</v>
      </c>
      <c r="B1786" s="1" t="str">
        <f>T("249903043827")</f>
        <v>249903043827</v>
      </c>
      <c r="C1786" s="1" t="str">
        <f>T("1941094503293124916")</f>
        <v>1941094503293124916</v>
      </c>
      <c r="AC1786" s="1" t="s">
        <v>104</v>
      </c>
      <c r="AD1786" s="1" t="s">
        <v>151</v>
      </c>
      <c r="AE1786" s="1" t="s">
        <v>392</v>
      </c>
      <c r="AF1786" s="1" t="s">
        <v>107</v>
      </c>
      <c r="AG1786" s="1">
        <v>24</v>
      </c>
      <c r="AO1786" s="2">
        <v>46277</v>
      </c>
      <c r="AP1786" s="1" t="s">
        <v>226</v>
      </c>
      <c r="AS1786" s="1" t="s">
        <v>71</v>
      </c>
      <c r="AU1786" s="1" t="s">
        <v>72</v>
      </c>
      <c r="AV1786" s="1" t="s">
        <v>437</v>
      </c>
      <c r="AX1786" s="1">
        <v>0</v>
      </c>
      <c r="BA1786" s="1">
        <v>9</v>
      </c>
      <c r="BB1786" s="1">
        <v>0</v>
      </c>
      <c r="BC1786" s="1">
        <v>0</v>
      </c>
      <c r="BE1786" s="1">
        <v>27246433</v>
      </c>
    </row>
    <row r="1787" spans="1:57" x14ac:dyDescent="0.25">
      <c r="A1787" s="1" t="str">
        <f>T("1945554781230273332")</f>
        <v>1945554781230273332</v>
      </c>
      <c r="B1787" s="1" t="str">
        <f>T("249125331336")</f>
        <v>249125331336</v>
      </c>
      <c r="C1787" s="1" t="str">
        <f>T("1941094503293125416")</f>
        <v>1941094503293125416</v>
      </c>
      <c r="AC1787" s="1" t="s">
        <v>104</v>
      </c>
      <c r="AD1787" s="1" t="s">
        <v>151</v>
      </c>
      <c r="AE1787" s="1" t="s">
        <v>392</v>
      </c>
      <c r="AF1787" s="1" t="s">
        <v>107</v>
      </c>
      <c r="AG1787" s="1">
        <v>27</v>
      </c>
      <c r="AO1787" s="2">
        <v>46277</v>
      </c>
      <c r="AP1787" s="1" t="s">
        <v>226</v>
      </c>
      <c r="AQ1787" s="2">
        <v>46277</v>
      </c>
      <c r="AR1787" s="1" t="s">
        <v>762</v>
      </c>
      <c r="AS1787" s="1" t="s">
        <v>71</v>
      </c>
      <c r="AU1787" s="1" t="s">
        <v>79</v>
      </c>
      <c r="AV1787" s="1" t="s">
        <v>80</v>
      </c>
      <c r="AW1787" s="1">
        <v>4.9000000000000004</v>
      </c>
      <c r="AX1787" s="1">
        <v>0</v>
      </c>
      <c r="AZ1787" s="1" t="s">
        <v>81</v>
      </c>
      <c r="BA1787" s="1">
        <v>2</v>
      </c>
      <c r="BB1787" s="1">
        <v>0</v>
      </c>
      <c r="BC1787" s="1">
        <v>0</v>
      </c>
      <c r="BE1787" s="1">
        <v>27246433</v>
      </c>
    </row>
    <row r="1788" spans="1:57" x14ac:dyDescent="0.25">
      <c r="A1788" s="1" t="str">
        <f>T("1945554781234467140")</f>
        <v>1945554781234467140</v>
      </c>
      <c r="B1788" s="1" t="str">
        <f>T("249914292877")</f>
        <v>249914292877</v>
      </c>
      <c r="C1788" s="1" t="str">
        <f>T("1941094503293125916")</f>
        <v>1941094503293125916</v>
      </c>
      <c r="AC1788" s="1" t="s">
        <v>104</v>
      </c>
      <c r="AD1788" s="1" t="s">
        <v>151</v>
      </c>
      <c r="AE1788" s="1" t="s">
        <v>392</v>
      </c>
      <c r="AF1788" s="1" t="s">
        <v>107</v>
      </c>
      <c r="AG1788" s="1">
        <v>21</v>
      </c>
      <c r="AO1788" s="2">
        <v>46277</v>
      </c>
      <c r="AP1788" s="1" t="s">
        <v>226</v>
      </c>
      <c r="AS1788" s="1" t="s">
        <v>71</v>
      </c>
      <c r="AU1788" s="1" t="s">
        <v>72</v>
      </c>
      <c r="AV1788" s="1" t="s">
        <v>437</v>
      </c>
      <c r="AX1788" s="1">
        <v>0</v>
      </c>
      <c r="BA1788" s="1">
        <v>9</v>
      </c>
      <c r="BB1788" s="1">
        <v>0</v>
      </c>
      <c r="BC1788" s="1">
        <v>0</v>
      </c>
      <c r="BE1788" s="1">
        <v>27246433</v>
      </c>
    </row>
    <row r="1789" spans="1:57" x14ac:dyDescent="0.25">
      <c r="A1789" s="1" t="str">
        <f>T("1945554781326744116")</f>
        <v>1945554781326744116</v>
      </c>
      <c r="B1789" s="1" t="str">
        <f>T("249128491154")</f>
        <v>249128491154</v>
      </c>
      <c r="C1789" s="1" t="str">
        <f>T("1941094503293126916")</f>
        <v>1941094503293126916</v>
      </c>
      <c r="AC1789" s="1" t="s">
        <v>104</v>
      </c>
      <c r="AD1789" s="1" t="s">
        <v>151</v>
      </c>
      <c r="AE1789" s="1" t="s">
        <v>392</v>
      </c>
      <c r="AF1789" s="1" t="s">
        <v>107</v>
      </c>
      <c r="AG1789" s="1">
        <v>22</v>
      </c>
      <c r="AO1789" s="2">
        <v>46277</v>
      </c>
      <c r="AP1789" s="1" t="s">
        <v>226</v>
      </c>
      <c r="AQ1789" s="2">
        <v>46277</v>
      </c>
      <c r="AR1789" s="1" t="s">
        <v>763</v>
      </c>
      <c r="AS1789" s="1" t="s">
        <v>71</v>
      </c>
      <c r="AU1789" s="1" t="s">
        <v>79</v>
      </c>
      <c r="AV1789" s="1" t="s">
        <v>80</v>
      </c>
      <c r="AW1789" s="1">
        <v>37.340000000000003</v>
      </c>
      <c r="AX1789" s="1">
        <v>0</v>
      </c>
      <c r="AZ1789" s="1" t="s">
        <v>81</v>
      </c>
      <c r="BA1789" s="1">
        <v>1</v>
      </c>
      <c r="BB1789" s="1">
        <v>0</v>
      </c>
      <c r="BC1789" s="1">
        <v>0</v>
      </c>
      <c r="BE1789" s="1">
        <v>27246433</v>
      </c>
    </row>
    <row r="1790" spans="1:57" x14ac:dyDescent="0.25">
      <c r="A1790" s="1" t="str">
        <f>T("1945554781330936924")</f>
        <v>1945554781330936924</v>
      </c>
      <c r="B1790" s="1" t="str">
        <f>T("249929826408")</f>
        <v>249929826408</v>
      </c>
      <c r="C1790" s="1" t="str">
        <f>T("1941094503293126416")</f>
        <v>1941094503293126416</v>
      </c>
      <c r="AA1790" s="1">
        <v>1</v>
      </c>
      <c r="AC1790" s="1" t="s">
        <v>104</v>
      </c>
      <c r="AD1790" s="1" t="s">
        <v>151</v>
      </c>
      <c r="AE1790" s="1" t="s">
        <v>392</v>
      </c>
      <c r="AF1790" s="1" t="s">
        <v>107</v>
      </c>
      <c r="AG1790" s="1">
        <v>20</v>
      </c>
      <c r="AO1790" s="2">
        <v>46277</v>
      </c>
      <c r="AP1790" s="1" t="s">
        <v>226</v>
      </c>
      <c r="AQ1790" s="2">
        <v>46277</v>
      </c>
      <c r="AR1790" s="1" t="s">
        <v>764</v>
      </c>
      <c r="AS1790" s="1" t="s">
        <v>71</v>
      </c>
      <c r="AU1790" s="1" t="s">
        <v>79</v>
      </c>
      <c r="AV1790" s="1" t="s">
        <v>80</v>
      </c>
      <c r="AW1790" s="1">
        <v>64.099999999999994</v>
      </c>
      <c r="AX1790" s="1">
        <v>0</v>
      </c>
      <c r="AZ1790" s="1" t="s">
        <v>81</v>
      </c>
      <c r="BA1790" s="1">
        <v>1</v>
      </c>
      <c r="BB1790" s="1">
        <v>0</v>
      </c>
      <c r="BC1790" s="1">
        <v>0</v>
      </c>
      <c r="BE1790" s="1">
        <v>27246433</v>
      </c>
    </row>
    <row r="1791" spans="1:57" x14ac:dyDescent="0.25">
      <c r="A1791" s="1" t="str">
        <f>T("1945554781406433868")</f>
        <v>1945554781406433868</v>
      </c>
      <c r="B1791" s="1" t="str">
        <f>T("249901878792")</f>
        <v>249901878792</v>
      </c>
      <c r="C1791" s="1" t="str">
        <f>T("1941094503293128316")</f>
        <v>1941094503293128316</v>
      </c>
      <c r="AC1791" s="1" t="s">
        <v>104</v>
      </c>
      <c r="AD1791" s="1" t="s">
        <v>151</v>
      </c>
      <c r="AE1791" s="1" t="s">
        <v>392</v>
      </c>
      <c r="AF1791" s="1" t="s">
        <v>107</v>
      </c>
      <c r="AG1791" s="1">
        <v>29</v>
      </c>
      <c r="AO1791" s="2">
        <v>46277</v>
      </c>
      <c r="AP1791" s="1" t="s">
        <v>226</v>
      </c>
      <c r="AS1791" s="1" t="s">
        <v>71</v>
      </c>
      <c r="AU1791" s="1" t="s">
        <v>72</v>
      </c>
      <c r="AV1791" s="1" t="s">
        <v>73</v>
      </c>
      <c r="AX1791" s="1">
        <v>0</v>
      </c>
      <c r="BA1791" s="1">
        <v>9</v>
      </c>
      <c r="BB1791" s="1">
        <v>0</v>
      </c>
      <c r="BC1791" s="1">
        <v>0</v>
      </c>
      <c r="BE1791" s="1">
        <v>27246433</v>
      </c>
    </row>
    <row r="1792" spans="1:57" x14ac:dyDescent="0.25">
      <c r="A1792" s="1" t="str">
        <f>T("1945554781410628776")</f>
        <v>1945554781410628776</v>
      </c>
      <c r="B1792" s="1" t="str">
        <f>T("249122140480")</f>
        <v>249122140480</v>
      </c>
      <c r="C1792" s="1" t="str">
        <f>T("1941094503297319124")</f>
        <v>1941094503297319124</v>
      </c>
      <c r="AC1792" s="1" t="s">
        <v>104</v>
      </c>
      <c r="AD1792" s="1" t="s">
        <v>151</v>
      </c>
      <c r="AE1792" s="1" t="s">
        <v>392</v>
      </c>
      <c r="AF1792" s="1" t="s">
        <v>107</v>
      </c>
      <c r="AG1792" s="1">
        <v>30</v>
      </c>
      <c r="AO1792" s="2">
        <v>46277</v>
      </c>
      <c r="AP1792" s="1" t="s">
        <v>226</v>
      </c>
      <c r="AS1792" s="1" t="s">
        <v>71</v>
      </c>
      <c r="AU1792" s="1" t="s">
        <v>72</v>
      </c>
      <c r="AV1792" s="1" t="s">
        <v>73</v>
      </c>
      <c r="AX1792" s="1">
        <v>0</v>
      </c>
      <c r="BA1792" s="1">
        <v>9</v>
      </c>
      <c r="BB1792" s="1">
        <v>0</v>
      </c>
      <c r="BC1792" s="1">
        <v>0</v>
      </c>
      <c r="BE1792" s="1">
        <v>27246433</v>
      </c>
    </row>
    <row r="1793" spans="1:57" x14ac:dyDescent="0.25">
      <c r="A1793" s="1" t="str">
        <f>T("1945554781490321228")</f>
        <v>1945554781490321228</v>
      </c>
      <c r="B1793" s="1" t="str">
        <f>T("249112129917")</f>
        <v>249112129917</v>
      </c>
      <c r="C1793" s="1" t="str">
        <f>T("1941094503297319524")</f>
        <v>1941094503297319524</v>
      </c>
      <c r="AA1793" s="1">
        <v>1</v>
      </c>
      <c r="AC1793" s="1" t="s">
        <v>104</v>
      </c>
      <c r="AD1793" s="1" t="s">
        <v>151</v>
      </c>
      <c r="AE1793" s="1" t="s">
        <v>392</v>
      </c>
      <c r="AF1793" s="1" t="s">
        <v>107</v>
      </c>
      <c r="AG1793" s="1">
        <v>22</v>
      </c>
      <c r="AO1793" s="2">
        <v>46277</v>
      </c>
      <c r="AP1793" s="1" t="s">
        <v>226</v>
      </c>
      <c r="AQ1793" s="2">
        <v>46277</v>
      </c>
      <c r="AR1793" s="1" t="s">
        <v>765</v>
      </c>
      <c r="AS1793" s="1" t="s">
        <v>71</v>
      </c>
      <c r="AU1793" s="1" t="s">
        <v>79</v>
      </c>
      <c r="AV1793" s="1" t="s">
        <v>80</v>
      </c>
      <c r="AW1793" s="1">
        <v>126.86</v>
      </c>
      <c r="AX1793" s="1">
        <v>0</v>
      </c>
      <c r="AZ1793" s="1" t="s">
        <v>81</v>
      </c>
      <c r="BA1793" s="1">
        <v>1</v>
      </c>
      <c r="BB1793" s="1">
        <v>0</v>
      </c>
      <c r="BC1793" s="1">
        <v>0</v>
      </c>
      <c r="BE1793" s="1">
        <v>27246433</v>
      </c>
    </row>
    <row r="1794" spans="1:57" x14ac:dyDescent="0.25">
      <c r="A1794" s="1" t="str">
        <f>T("1945554781523874892")</f>
        <v>1945554781523874892</v>
      </c>
      <c r="B1794" s="1" t="str">
        <f>T("249999000311")</f>
        <v>249999000311</v>
      </c>
      <c r="C1794" s="1" t="str">
        <f>T("1941094503297320024")</f>
        <v>1941094503297320024</v>
      </c>
      <c r="AC1794" s="1" t="s">
        <v>104</v>
      </c>
      <c r="AD1794" s="1" t="s">
        <v>151</v>
      </c>
      <c r="AE1794" s="1" t="s">
        <v>392</v>
      </c>
      <c r="AF1794" s="1" t="s">
        <v>107</v>
      </c>
      <c r="AG1794" s="1">
        <v>29</v>
      </c>
      <c r="AO1794" s="2">
        <v>46277</v>
      </c>
      <c r="AP1794" s="1" t="s">
        <v>226</v>
      </c>
      <c r="AQ1794" s="2">
        <v>46277</v>
      </c>
      <c r="AR1794" s="1" t="s">
        <v>766</v>
      </c>
      <c r="AS1794" s="1" t="s">
        <v>71</v>
      </c>
      <c r="AU1794" s="1" t="s">
        <v>79</v>
      </c>
      <c r="AV1794" s="1" t="s">
        <v>80</v>
      </c>
      <c r="AW1794" s="1">
        <v>11.98</v>
      </c>
      <c r="AX1794" s="1">
        <v>0</v>
      </c>
      <c r="AZ1794" s="1" t="s">
        <v>81</v>
      </c>
      <c r="BA1794" s="1">
        <v>2</v>
      </c>
      <c r="BB1794" s="1">
        <v>0</v>
      </c>
      <c r="BC1794" s="1">
        <v>0</v>
      </c>
      <c r="BE1794" s="1">
        <v>27246433</v>
      </c>
    </row>
    <row r="1795" spans="1:57" x14ac:dyDescent="0.25">
      <c r="A1795" s="1" t="str">
        <f>T("1945554781590983820")</f>
        <v>1945554781590983820</v>
      </c>
      <c r="B1795" s="1" t="str">
        <f>T("249926634321")</f>
        <v>249926634321</v>
      </c>
      <c r="C1795" s="1" t="str">
        <f>T("1941094503297320424")</f>
        <v>1941094503297320424</v>
      </c>
      <c r="AC1795" s="1" t="s">
        <v>104</v>
      </c>
      <c r="AD1795" s="1" t="s">
        <v>151</v>
      </c>
      <c r="AE1795" s="1" t="s">
        <v>392</v>
      </c>
      <c r="AF1795" s="1" t="s">
        <v>107</v>
      </c>
      <c r="AG1795" s="1">
        <v>29</v>
      </c>
      <c r="AO1795" s="2">
        <v>46277</v>
      </c>
      <c r="AP1795" s="1" t="s">
        <v>226</v>
      </c>
      <c r="AS1795" s="1" t="s">
        <v>71</v>
      </c>
      <c r="AU1795" s="1" t="s">
        <v>72</v>
      </c>
      <c r="AV1795" s="1" t="s">
        <v>73</v>
      </c>
      <c r="AX1795" s="1">
        <v>0</v>
      </c>
      <c r="BA1795" s="1">
        <v>9</v>
      </c>
      <c r="BB1795" s="1">
        <v>0</v>
      </c>
      <c r="BC1795" s="1">
        <v>0</v>
      </c>
      <c r="BE1795" s="1">
        <v>27246433</v>
      </c>
    </row>
    <row r="1796" spans="1:57" x14ac:dyDescent="0.25">
      <c r="A1796" s="1" t="str">
        <f>T("1945554781599372136")</f>
        <v>1945554781599372136</v>
      </c>
      <c r="B1796" s="1" t="str">
        <f>T("249261535734")</f>
        <v>249261535734</v>
      </c>
      <c r="C1796" s="1" t="str">
        <f>T("1941094503297320824")</f>
        <v>1941094503297320824</v>
      </c>
      <c r="AC1796" s="1" t="s">
        <v>104</v>
      </c>
      <c r="AD1796" s="1" t="s">
        <v>151</v>
      </c>
      <c r="AE1796" s="1" t="s">
        <v>392</v>
      </c>
      <c r="AF1796" s="1" t="s">
        <v>107</v>
      </c>
      <c r="AG1796" s="1">
        <v>21</v>
      </c>
      <c r="AO1796" s="2">
        <v>46277</v>
      </c>
      <c r="AP1796" s="1" t="s">
        <v>226</v>
      </c>
      <c r="AS1796" s="1" t="s">
        <v>71</v>
      </c>
      <c r="AU1796" s="1" t="s">
        <v>72</v>
      </c>
      <c r="AV1796" s="1" t="s">
        <v>336</v>
      </c>
      <c r="AX1796" s="1">
        <v>0</v>
      </c>
      <c r="BA1796" s="1">
        <v>1</v>
      </c>
      <c r="BB1796" s="1">
        <v>0</v>
      </c>
      <c r="BC1796" s="1">
        <v>0</v>
      </c>
      <c r="BE1796" s="1">
        <v>27246433</v>
      </c>
    </row>
    <row r="1797" spans="1:57" x14ac:dyDescent="0.25">
      <c r="A1797" s="1" t="str">
        <f>T("1945554781674872080")</f>
        <v>1945554781674872080</v>
      </c>
      <c r="B1797" s="1" t="str">
        <f>T("249123921235")</f>
        <v>249123921235</v>
      </c>
      <c r="C1797" s="1" t="str">
        <f>T("1941094503297321124")</f>
        <v>1941094503297321124</v>
      </c>
      <c r="AA1797" s="1">
        <v>1</v>
      </c>
      <c r="AC1797" s="1" t="s">
        <v>104</v>
      </c>
      <c r="AD1797" s="1" t="s">
        <v>151</v>
      </c>
      <c r="AE1797" s="1" t="s">
        <v>392</v>
      </c>
      <c r="AF1797" s="1" t="s">
        <v>107</v>
      </c>
      <c r="AG1797" s="1">
        <v>24</v>
      </c>
      <c r="AO1797" s="2">
        <v>46277</v>
      </c>
      <c r="AP1797" s="1" t="s">
        <v>226</v>
      </c>
      <c r="AQ1797" s="2">
        <v>46277</v>
      </c>
      <c r="AR1797" s="1" t="s">
        <v>767</v>
      </c>
      <c r="AS1797" s="1" t="s">
        <v>71</v>
      </c>
      <c r="AU1797" s="1" t="s">
        <v>79</v>
      </c>
      <c r="AV1797" s="1" t="s">
        <v>80</v>
      </c>
      <c r="AW1797" s="1">
        <v>44.04</v>
      </c>
      <c r="AX1797" s="1">
        <v>0</v>
      </c>
      <c r="AZ1797" s="1" t="s">
        <v>81</v>
      </c>
      <c r="BA1797" s="1">
        <v>1</v>
      </c>
      <c r="BB1797" s="1">
        <v>0</v>
      </c>
      <c r="BC1797" s="1">
        <v>0</v>
      </c>
      <c r="BE1797" s="1">
        <v>27246433</v>
      </c>
    </row>
    <row r="1798" spans="1:57" x14ac:dyDescent="0.25">
      <c r="A1798" s="1" t="str">
        <f>T("1945554781679063488")</f>
        <v>1945554781679063488</v>
      </c>
      <c r="B1798" s="1" t="str">
        <f>T("249124065991")</f>
        <v>249124065991</v>
      </c>
      <c r="C1798" s="1" t="str">
        <f>T("1941094503297321524")</f>
        <v>1941094503297321524</v>
      </c>
      <c r="AC1798" s="1" t="s">
        <v>104</v>
      </c>
      <c r="AD1798" s="1" t="s">
        <v>151</v>
      </c>
      <c r="AE1798" s="1" t="s">
        <v>392</v>
      </c>
      <c r="AF1798" s="1" t="s">
        <v>107</v>
      </c>
      <c r="AG1798" s="1">
        <v>30</v>
      </c>
      <c r="AO1798" s="2">
        <v>46277</v>
      </c>
      <c r="AP1798" s="1" t="s">
        <v>226</v>
      </c>
      <c r="AQ1798" s="2">
        <v>46277</v>
      </c>
      <c r="AR1798" s="1" t="s">
        <v>768</v>
      </c>
      <c r="AS1798" s="1" t="s">
        <v>71</v>
      </c>
      <c r="AU1798" s="1" t="s">
        <v>79</v>
      </c>
      <c r="AV1798" s="1" t="s">
        <v>80</v>
      </c>
      <c r="AW1798" s="1">
        <v>25.98</v>
      </c>
      <c r="AX1798" s="1">
        <v>0</v>
      </c>
      <c r="AZ1798" s="1" t="s">
        <v>81</v>
      </c>
      <c r="BA1798" s="1">
        <v>1</v>
      </c>
      <c r="BB1798" s="1">
        <v>0</v>
      </c>
      <c r="BC1798" s="1">
        <v>0</v>
      </c>
      <c r="BE1798" s="1">
        <v>27246433</v>
      </c>
    </row>
    <row r="1799" spans="1:57" x14ac:dyDescent="0.25">
      <c r="A1799" s="1" t="str">
        <f>T("1945554781767145456")</f>
        <v>1945554781767145456</v>
      </c>
      <c r="B1799" s="1" t="str">
        <f>T("249111617581")</f>
        <v>249111617581</v>
      </c>
      <c r="C1799" s="1" t="str">
        <f>T("1941094503297322024")</f>
        <v>1941094503297322024</v>
      </c>
      <c r="AA1799" s="1">
        <v>1</v>
      </c>
      <c r="AC1799" s="1" t="s">
        <v>104</v>
      </c>
      <c r="AD1799" s="1" t="s">
        <v>151</v>
      </c>
      <c r="AE1799" s="1" t="s">
        <v>392</v>
      </c>
      <c r="AF1799" s="1" t="s">
        <v>107</v>
      </c>
      <c r="AG1799" s="1">
        <v>38</v>
      </c>
      <c r="AO1799" s="2">
        <v>46277</v>
      </c>
      <c r="AP1799" s="1" t="s">
        <v>226</v>
      </c>
      <c r="AQ1799" s="2">
        <v>46277</v>
      </c>
      <c r="AR1799" s="1" t="s">
        <v>424</v>
      </c>
      <c r="AS1799" s="1" t="s">
        <v>71</v>
      </c>
      <c r="AU1799" s="1" t="s">
        <v>79</v>
      </c>
      <c r="AV1799" s="1" t="s">
        <v>80</v>
      </c>
      <c r="AW1799" s="1">
        <v>60.88</v>
      </c>
      <c r="AX1799" s="1">
        <v>0</v>
      </c>
      <c r="AZ1799" s="1" t="s">
        <v>81</v>
      </c>
      <c r="BA1799" s="1">
        <v>1</v>
      </c>
      <c r="BB1799" s="1">
        <v>0</v>
      </c>
      <c r="BC1799" s="1">
        <v>0</v>
      </c>
      <c r="BE1799" s="1">
        <v>27246433</v>
      </c>
    </row>
    <row r="1800" spans="1:57" x14ac:dyDescent="0.25">
      <c r="A1800" s="1" t="str">
        <f>T("1945554781771340464")</f>
        <v>1945554781771340464</v>
      </c>
      <c r="B1800" s="1" t="str">
        <f>T("249129523917")</f>
        <v>249129523917</v>
      </c>
      <c r="C1800" s="1" t="str">
        <f>T("1941094503297322424")</f>
        <v>1941094503297322424</v>
      </c>
      <c r="AC1800" s="1" t="s">
        <v>104</v>
      </c>
      <c r="AD1800" s="1" t="s">
        <v>151</v>
      </c>
      <c r="AE1800" s="1" t="s">
        <v>392</v>
      </c>
      <c r="AF1800" s="1" t="s">
        <v>107</v>
      </c>
      <c r="AG1800" s="1">
        <v>26</v>
      </c>
      <c r="AO1800" s="2">
        <v>46277</v>
      </c>
      <c r="AP1800" s="1" t="s">
        <v>226</v>
      </c>
      <c r="AQ1800" s="2">
        <v>46277</v>
      </c>
      <c r="AR1800" s="1" t="s">
        <v>769</v>
      </c>
      <c r="AS1800" s="1" t="s">
        <v>71</v>
      </c>
      <c r="AU1800" s="1" t="s">
        <v>79</v>
      </c>
      <c r="AV1800" s="1" t="s">
        <v>80</v>
      </c>
      <c r="AW1800" s="1">
        <v>6.08</v>
      </c>
      <c r="AX1800" s="1">
        <v>0</v>
      </c>
      <c r="AZ1800" s="1" t="s">
        <v>81</v>
      </c>
      <c r="BA1800" s="1">
        <v>1</v>
      </c>
      <c r="BB1800" s="1">
        <v>0</v>
      </c>
      <c r="BC1800" s="1">
        <v>0</v>
      </c>
      <c r="BE1800" s="1">
        <v>27246433</v>
      </c>
    </row>
    <row r="1801" spans="1:57" x14ac:dyDescent="0.25">
      <c r="A1801" s="1" t="str">
        <f>T("1945554781838448492")</f>
        <v>1945554781838448492</v>
      </c>
      <c r="B1801" s="1" t="str">
        <f>T("249126201847")</f>
        <v>249126201847</v>
      </c>
      <c r="C1801" s="1" t="str">
        <f>T("1941094503297322824")</f>
        <v>1941094503297322824</v>
      </c>
      <c r="AC1801" s="1" t="s">
        <v>104</v>
      </c>
      <c r="AD1801" s="1" t="s">
        <v>151</v>
      </c>
      <c r="AE1801" s="1" t="s">
        <v>392</v>
      </c>
      <c r="AF1801" s="1" t="s">
        <v>107</v>
      </c>
      <c r="AG1801" s="1">
        <v>28</v>
      </c>
      <c r="AO1801" s="2">
        <v>46277</v>
      </c>
      <c r="AP1801" s="1" t="s">
        <v>226</v>
      </c>
      <c r="AS1801" s="1" t="s">
        <v>71</v>
      </c>
      <c r="AU1801" s="1" t="s">
        <v>72</v>
      </c>
      <c r="AV1801" s="1" t="s">
        <v>412</v>
      </c>
      <c r="AX1801" s="1">
        <v>0</v>
      </c>
      <c r="BA1801" s="1">
        <v>9</v>
      </c>
      <c r="BB1801" s="1">
        <v>0</v>
      </c>
      <c r="BC1801" s="1">
        <v>0</v>
      </c>
      <c r="BE1801" s="1">
        <v>27246433</v>
      </c>
    </row>
    <row r="1802" spans="1:57" x14ac:dyDescent="0.25">
      <c r="A1802" s="1" t="str">
        <f>T("1945554781838449292")</f>
        <v>1945554781838449292</v>
      </c>
      <c r="B1802" s="1" t="str">
        <f>T("249125215271")</f>
        <v>249125215271</v>
      </c>
      <c r="C1802" s="1" t="str">
        <f>T("1941094503301513432")</f>
        <v>1941094503301513432</v>
      </c>
      <c r="AC1802" s="1" t="s">
        <v>104</v>
      </c>
      <c r="AD1802" s="1" t="s">
        <v>151</v>
      </c>
      <c r="AE1802" s="1" t="s">
        <v>392</v>
      </c>
      <c r="AF1802" s="1" t="s">
        <v>107</v>
      </c>
      <c r="AG1802" s="1">
        <v>26</v>
      </c>
      <c r="AO1802" s="2">
        <v>46277</v>
      </c>
      <c r="AP1802" s="1" t="s">
        <v>226</v>
      </c>
      <c r="AQ1802" s="2">
        <v>46277</v>
      </c>
      <c r="AR1802" s="1" t="s">
        <v>770</v>
      </c>
      <c r="AS1802" s="1" t="s">
        <v>71</v>
      </c>
      <c r="AU1802" s="1" t="s">
        <v>79</v>
      </c>
      <c r="AV1802" s="1" t="s">
        <v>80</v>
      </c>
      <c r="AW1802" s="1">
        <v>3.08</v>
      </c>
      <c r="AX1802" s="1">
        <v>0</v>
      </c>
      <c r="AZ1802" s="1" t="s">
        <v>81</v>
      </c>
      <c r="BA1802" s="1">
        <v>1</v>
      </c>
      <c r="BB1802" s="1">
        <v>0</v>
      </c>
      <c r="BC1802" s="1">
        <v>0</v>
      </c>
      <c r="BE1802" s="1">
        <v>27246433</v>
      </c>
    </row>
    <row r="1803" spans="1:57" x14ac:dyDescent="0.25">
      <c r="A1803" s="1" t="str">
        <f>T("1945554781918140944")</f>
        <v>1945554781918140944</v>
      </c>
      <c r="B1803" s="1" t="str">
        <f>T("249124165247")</f>
        <v>249124165247</v>
      </c>
      <c r="C1803" s="1" t="str">
        <f>T("1941094503301513832")</f>
        <v>1941094503301513832</v>
      </c>
      <c r="AC1803" s="1" t="s">
        <v>104</v>
      </c>
      <c r="AD1803" s="1" t="s">
        <v>151</v>
      </c>
      <c r="AE1803" s="1" t="s">
        <v>392</v>
      </c>
      <c r="AF1803" s="1" t="s">
        <v>107</v>
      </c>
      <c r="AG1803" s="1">
        <v>20</v>
      </c>
      <c r="AO1803" s="2">
        <v>46277</v>
      </c>
      <c r="AP1803" s="1" t="s">
        <v>226</v>
      </c>
      <c r="AQ1803" s="2">
        <v>46278</v>
      </c>
      <c r="AR1803" s="1" t="s">
        <v>771</v>
      </c>
      <c r="AS1803" s="1" t="s">
        <v>71</v>
      </c>
      <c r="AU1803" s="1" t="s">
        <v>79</v>
      </c>
      <c r="AV1803" s="1" t="s">
        <v>80</v>
      </c>
      <c r="AW1803" s="1">
        <v>3.14</v>
      </c>
      <c r="AX1803" s="1">
        <v>0</v>
      </c>
      <c r="AZ1803" s="1" t="s">
        <v>81</v>
      </c>
      <c r="BA1803" s="1">
        <v>4</v>
      </c>
      <c r="BB1803" s="1">
        <v>0</v>
      </c>
      <c r="BC1803" s="1">
        <v>0</v>
      </c>
      <c r="BE1803" s="1">
        <v>27246433</v>
      </c>
    </row>
    <row r="1804" spans="1:57" x14ac:dyDescent="0.25">
      <c r="A1804" s="1" t="str">
        <f>T("1945554781926530260")</f>
        <v>1945554781926530260</v>
      </c>
      <c r="B1804" s="1" t="str">
        <f>T("249121854490")</f>
        <v>249121854490</v>
      </c>
      <c r="C1804" s="1" t="str">
        <f>T("1941094503301514132")</f>
        <v>1941094503301514132</v>
      </c>
      <c r="AA1804" s="1">
        <v>1</v>
      </c>
      <c r="AC1804" s="1" t="s">
        <v>104</v>
      </c>
      <c r="AD1804" s="1" t="s">
        <v>151</v>
      </c>
      <c r="AE1804" s="1" t="s">
        <v>392</v>
      </c>
      <c r="AF1804" s="1" t="s">
        <v>107</v>
      </c>
      <c r="AG1804" s="1">
        <v>26</v>
      </c>
      <c r="AO1804" s="2">
        <v>46277</v>
      </c>
      <c r="AP1804" s="1" t="s">
        <v>226</v>
      </c>
      <c r="AQ1804" s="2">
        <v>46277</v>
      </c>
      <c r="AR1804" s="1" t="s">
        <v>595</v>
      </c>
      <c r="AS1804" s="1" t="s">
        <v>71</v>
      </c>
      <c r="AU1804" s="1" t="s">
        <v>79</v>
      </c>
      <c r="AV1804" s="1" t="s">
        <v>80</v>
      </c>
      <c r="AW1804" s="1">
        <v>38.64</v>
      </c>
      <c r="AX1804" s="1">
        <v>0</v>
      </c>
      <c r="AZ1804" s="1" t="s">
        <v>81</v>
      </c>
      <c r="BA1804" s="1">
        <v>1</v>
      </c>
      <c r="BB1804" s="1">
        <v>0</v>
      </c>
      <c r="BC1804" s="1">
        <v>0</v>
      </c>
      <c r="BE1804" s="1">
        <v>27246433</v>
      </c>
    </row>
    <row r="1805" spans="1:57" x14ac:dyDescent="0.25">
      <c r="A1805" s="1" t="str">
        <f>T("1945554781989441880")</f>
        <v>1945554781989441880</v>
      </c>
      <c r="B1805" s="1" t="str">
        <f>T("249925159833")</f>
        <v>249925159833</v>
      </c>
      <c r="C1805" s="1" t="str">
        <f>T("1941094503301514532")</f>
        <v>1941094503301514532</v>
      </c>
      <c r="AC1805" s="1" t="s">
        <v>104</v>
      </c>
      <c r="AD1805" s="1" t="s">
        <v>151</v>
      </c>
      <c r="AE1805" s="1" t="s">
        <v>392</v>
      </c>
      <c r="AF1805" s="1" t="s">
        <v>107</v>
      </c>
      <c r="AG1805" s="1">
        <v>23</v>
      </c>
      <c r="AO1805" s="2">
        <v>46277</v>
      </c>
      <c r="AP1805" s="1" t="s">
        <v>226</v>
      </c>
      <c r="AQ1805" s="2">
        <v>46277</v>
      </c>
      <c r="AR1805" s="1" t="s">
        <v>772</v>
      </c>
      <c r="AS1805" s="1" t="s">
        <v>71</v>
      </c>
      <c r="AU1805" s="1" t="s">
        <v>79</v>
      </c>
      <c r="AV1805" s="1" t="s">
        <v>80</v>
      </c>
      <c r="AW1805" s="1">
        <v>15.54</v>
      </c>
      <c r="AX1805" s="1">
        <v>0</v>
      </c>
      <c r="AZ1805" s="1" t="s">
        <v>81</v>
      </c>
      <c r="BA1805" s="1">
        <v>1</v>
      </c>
      <c r="BB1805" s="1">
        <v>0</v>
      </c>
      <c r="BC1805" s="1">
        <v>0</v>
      </c>
      <c r="BE1805" s="1">
        <v>27246433</v>
      </c>
    </row>
    <row r="1806" spans="1:57" x14ac:dyDescent="0.25">
      <c r="A1806" s="1" t="str">
        <f>T("1945554782002026904")</f>
        <v>1945554782002026904</v>
      </c>
      <c r="B1806" s="1" t="str">
        <f>T("249122281346")</f>
        <v>249122281346</v>
      </c>
      <c r="C1806" s="1" t="str">
        <f>T("1941094503301514932")</f>
        <v>1941094503301514932</v>
      </c>
      <c r="AC1806" s="1" t="s">
        <v>104</v>
      </c>
      <c r="AD1806" s="1" t="s">
        <v>151</v>
      </c>
      <c r="AE1806" s="1" t="s">
        <v>392</v>
      </c>
      <c r="AF1806" s="1" t="s">
        <v>107</v>
      </c>
      <c r="AG1806" s="1">
        <v>20</v>
      </c>
      <c r="AO1806" s="2">
        <v>46277</v>
      </c>
      <c r="AP1806" s="1" t="s">
        <v>226</v>
      </c>
      <c r="AQ1806" s="2">
        <v>46278</v>
      </c>
      <c r="AR1806" s="1" t="s">
        <v>773</v>
      </c>
      <c r="AS1806" s="1" t="s">
        <v>71</v>
      </c>
      <c r="AU1806" s="1" t="s">
        <v>79</v>
      </c>
      <c r="AV1806" s="1" t="s">
        <v>80</v>
      </c>
      <c r="AW1806" s="1">
        <v>35.76</v>
      </c>
      <c r="AX1806" s="1">
        <v>0</v>
      </c>
      <c r="AZ1806" s="1" t="s">
        <v>81</v>
      </c>
      <c r="BA1806" s="1">
        <v>9</v>
      </c>
      <c r="BB1806" s="1">
        <v>0</v>
      </c>
      <c r="BC1806" s="1">
        <v>0</v>
      </c>
      <c r="BE1806" s="1">
        <v>27246433</v>
      </c>
    </row>
    <row r="1807" spans="1:57" x14ac:dyDescent="0.25">
      <c r="A1807" s="1" t="str">
        <f>T("1945554782073329540")</f>
        <v>1945554782073329540</v>
      </c>
      <c r="B1807" s="1" t="str">
        <f>T("249128777107")</f>
        <v>249128777107</v>
      </c>
      <c r="C1807" s="1" t="str">
        <f>T("1941094503301515732")</f>
        <v>1941094503301515732</v>
      </c>
      <c r="AA1807" s="1">
        <v>1</v>
      </c>
      <c r="AC1807" s="1" t="s">
        <v>104</v>
      </c>
      <c r="AD1807" s="1" t="s">
        <v>151</v>
      </c>
      <c r="AE1807" s="1" t="s">
        <v>392</v>
      </c>
      <c r="AF1807" s="1" t="s">
        <v>107</v>
      </c>
      <c r="AG1807" s="1">
        <v>31</v>
      </c>
      <c r="AO1807" s="2">
        <v>46277</v>
      </c>
      <c r="AP1807" s="1" t="s">
        <v>226</v>
      </c>
      <c r="AQ1807" s="2">
        <v>46277</v>
      </c>
      <c r="AR1807" s="1" t="s">
        <v>774</v>
      </c>
      <c r="AS1807" s="1" t="s">
        <v>71</v>
      </c>
      <c r="AU1807" s="1" t="s">
        <v>79</v>
      </c>
      <c r="AV1807" s="1" t="s">
        <v>80</v>
      </c>
      <c r="AW1807" s="1">
        <v>46.5</v>
      </c>
      <c r="AX1807" s="1">
        <v>0</v>
      </c>
      <c r="AZ1807" s="1" t="s">
        <v>81</v>
      </c>
      <c r="BA1807" s="1">
        <v>1</v>
      </c>
      <c r="BB1807" s="1">
        <v>0</v>
      </c>
      <c r="BC1807" s="1">
        <v>0</v>
      </c>
      <c r="BE1807" s="1">
        <v>27246433</v>
      </c>
    </row>
    <row r="1808" spans="1:57" x14ac:dyDescent="0.25">
      <c r="A1808" s="1" t="str">
        <f>T("1945554782073330840")</f>
        <v>1945554782073330840</v>
      </c>
      <c r="B1808" s="1" t="str">
        <f>T("249118321147")</f>
        <v>249118321147</v>
      </c>
      <c r="C1808" s="1" t="str">
        <f>T("1941094503301515232")</f>
        <v>1941094503301515232</v>
      </c>
      <c r="M1808" s="1" t="s">
        <v>148</v>
      </c>
      <c r="N1808" s="1" t="s">
        <v>60</v>
      </c>
      <c r="O1808" s="1" t="s">
        <v>60</v>
      </c>
      <c r="P1808" s="1" t="s">
        <v>111</v>
      </c>
      <c r="Q1808" s="1" t="s">
        <v>112</v>
      </c>
      <c r="R1808" s="1" t="s">
        <v>93</v>
      </c>
      <c r="T1808" s="1" t="s">
        <v>95</v>
      </c>
      <c r="U1808" s="1" t="s">
        <v>65</v>
      </c>
      <c r="V1808" s="1" t="s">
        <v>103</v>
      </c>
      <c r="W1808" s="1" t="s">
        <v>60</v>
      </c>
      <c r="X1808" s="1" t="s">
        <v>102</v>
      </c>
      <c r="Y1808" s="1" t="s">
        <v>69</v>
      </c>
      <c r="AA1808" s="1">
        <v>1</v>
      </c>
      <c r="AB1808" s="1">
        <v>1</v>
      </c>
      <c r="AC1808" s="1" t="s">
        <v>104</v>
      </c>
      <c r="AD1808" s="1" t="s">
        <v>151</v>
      </c>
      <c r="AE1808" s="1" t="s">
        <v>392</v>
      </c>
      <c r="AF1808" s="1" t="s">
        <v>107</v>
      </c>
      <c r="AG1808" s="1">
        <v>30</v>
      </c>
      <c r="AO1808" s="2">
        <v>46277</v>
      </c>
      <c r="AP1808" s="1" t="s">
        <v>226</v>
      </c>
      <c r="AQ1808" s="2">
        <v>46277</v>
      </c>
      <c r="AR1808" s="1" t="s">
        <v>774</v>
      </c>
      <c r="AS1808" s="1" t="s">
        <v>71</v>
      </c>
      <c r="AU1808" s="1" t="s">
        <v>78</v>
      </c>
      <c r="AV1808" s="1" t="s">
        <v>80</v>
      </c>
      <c r="AW1808" s="1">
        <v>276.94</v>
      </c>
      <c r="AX1808" s="1">
        <v>0</v>
      </c>
      <c r="AZ1808" s="1" t="s">
        <v>81</v>
      </c>
      <c r="BA1808" s="1">
        <v>1</v>
      </c>
      <c r="BB1808" s="1">
        <v>0</v>
      </c>
      <c r="BC1808" s="1">
        <v>0</v>
      </c>
      <c r="BE1808" s="1">
        <v>27246433</v>
      </c>
    </row>
    <row r="1809" spans="1:57" x14ac:dyDescent="0.25">
      <c r="A1809" s="1" t="str">
        <f>T("1945554782144631676")</f>
        <v>1945554782144631676</v>
      </c>
      <c r="B1809" s="1" t="str">
        <f>T("249111966670")</f>
        <v>249111966670</v>
      </c>
      <c r="C1809" s="1" t="str">
        <f>T("1941094503301516132")</f>
        <v>1941094503301516132</v>
      </c>
      <c r="AA1809" s="1">
        <v>1</v>
      </c>
      <c r="AC1809" s="1" t="s">
        <v>104</v>
      </c>
      <c r="AD1809" s="1" t="s">
        <v>151</v>
      </c>
      <c r="AE1809" s="1" t="s">
        <v>392</v>
      </c>
      <c r="AF1809" s="1" t="s">
        <v>107</v>
      </c>
      <c r="AG1809" s="1">
        <v>20</v>
      </c>
      <c r="AO1809" s="2">
        <v>46277</v>
      </c>
      <c r="AP1809" s="1" t="s">
        <v>226</v>
      </c>
      <c r="AQ1809" s="2">
        <v>46278</v>
      </c>
      <c r="AR1809" s="1" t="s">
        <v>775</v>
      </c>
      <c r="AS1809" s="1" t="s">
        <v>71</v>
      </c>
      <c r="AU1809" s="1" t="s">
        <v>79</v>
      </c>
      <c r="AV1809" s="1" t="s">
        <v>80</v>
      </c>
      <c r="AW1809" s="1">
        <v>65.260000000000005</v>
      </c>
      <c r="AX1809" s="1">
        <v>0</v>
      </c>
      <c r="AZ1809" s="1" t="s">
        <v>81</v>
      </c>
      <c r="BA1809" s="1">
        <v>5</v>
      </c>
      <c r="BB1809" s="1">
        <v>0</v>
      </c>
      <c r="BC1809" s="1">
        <v>0</v>
      </c>
      <c r="BE1809" s="1">
        <v>27246433</v>
      </c>
    </row>
    <row r="1810" spans="1:57" x14ac:dyDescent="0.25">
      <c r="A1810" s="1" t="str">
        <f>T("1945554782144633476")</f>
        <v>1945554782144633476</v>
      </c>
      <c r="B1810" s="1" t="str">
        <f>T("249128444199")</f>
        <v>249128444199</v>
      </c>
      <c r="C1810" s="1" t="str">
        <f>T("1941094503301516632")</f>
        <v>1941094503301516632</v>
      </c>
      <c r="AC1810" s="1" t="s">
        <v>104</v>
      </c>
      <c r="AD1810" s="1" t="s">
        <v>151</v>
      </c>
      <c r="AE1810" s="1" t="s">
        <v>392</v>
      </c>
      <c r="AF1810" s="1" t="s">
        <v>107</v>
      </c>
      <c r="AG1810" s="1">
        <v>20</v>
      </c>
      <c r="AO1810" s="2">
        <v>46277</v>
      </c>
      <c r="AP1810" s="1" t="s">
        <v>226</v>
      </c>
      <c r="AS1810" s="1" t="s">
        <v>71</v>
      </c>
      <c r="AU1810" s="1" t="s">
        <v>72</v>
      </c>
      <c r="AV1810" s="1" t="s">
        <v>73</v>
      </c>
      <c r="AX1810" s="1">
        <v>0</v>
      </c>
      <c r="BA1810" s="1">
        <v>9</v>
      </c>
      <c r="BB1810" s="1">
        <v>0</v>
      </c>
      <c r="BC1810" s="1">
        <v>0</v>
      </c>
      <c r="BE1810" s="1">
        <v>27246433</v>
      </c>
    </row>
    <row r="1811" spans="1:57" x14ac:dyDescent="0.25">
      <c r="A1811" s="1" t="str">
        <f>T("1945554782236905952")</f>
        <v>1945554782236905952</v>
      </c>
      <c r="B1811" s="1" t="str">
        <f>T("249121637197")</f>
        <v>249121637197</v>
      </c>
      <c r="C1811" s="1" t="str">
        <f>T("1941094503301517032")</f>
        <v>1941094503301517032</v>
      </c>
      <c r="AC1811" s="1" t="s">
        <v>104</v>
      </c>
      <c r="AD1811" s="1" t="s">
        <v>151</v>
      </c>
      <c r="AE1811" s="1" t="s">
        <v>392</v>
      </c>
      <c r="AF1811" s="1" t="s">
        <v>107</v>
      </c>
      <c r="AG1811" s="1">
        <v>29</v>
      </c>
      <c r="AO1811" s="2">
        <v>46277</v>
      </c>
      <c r="AP1811" s="1" t="s">
        <v>226</v>
      </c>
      <c r="AQ1811" s="2">
        <v>46277</v>
      </c>
      <c r="AR1811" s="1" t="s">
        <v>426</v>
      </c>
      <c r="AS1811" s="1" t="s">
        <v>71</v>
      </c>
      <c r="AU1811" s="1" t="s">
        <v>79</v>
      </c>
      <c r="AV1811" s="1" t="s">
        <v>80</v>
      </c>
      <c r="AW1811" s="1">
        <v>27.3</v>
      </c>
      <c r="AX1811" s="1">
        <v>0</v>
      </c>
      <c r="AZ1811" s="1" t="s">
        <v>81</v>
      </c>
      <c r="BA1811" s="1">
        <v>1</v>
      </c>
      <c r="BB1811" s="1">
        <v>0</v>
      </c>
      <c r="BC1811" s="1">
        <v>0</v>
      </c>
      <c r="BE1811" s="1">
        <v>27246433</v>
      </c>
    </row>
    <row r="1812" spans="1:57" x14ac:dyDescent="0.25">
      <c r="A1812" s="1" t="str">
        <f>T("1945554782249489976")</f>
        <v>1945554782249489976</v>
      </c>
      <c r="B1812" s="1" t="str">
        <f>T("249116892249")</f>
        <v>249116892249</v>
      </c>
      <c r="C1812" s="1" t="str">
        <f>T("1941094503305708340")</f>
        <v>1941094503305708340</v>
      </c>
      <c r="AA1812" s="1">
        <v>1</v>
      </c>
      <c r="AC1812" s="1" t="s">
        <v>104</v>
      </c>
      <c r="AD1812" s="1" t="s">
        <v>151</v>
      </c>
      <c r="AE1812" s="1" t="s">
        <v>392</v>
      </c>
      <c r="AF1812" s="1" t="s">
        <v>107</v>
      </c>
      <c r="AG1812" s="1">
        <v>28</v>
      </c>
      <c r="AO1812" s="2">
        <v>46277</v>
      </c>
      <c r="AP1812" s="1" t="s">
        <v>226</v>
      </c>
      <c r="AQ1812" s="2">
        <v>46277</v>
      </c>
      <c r="AR1812" s="1" t="s">
        <v>776</v>
      </c>
      <c r="AS1812" s="1" t="s">
        <v>71</v>
      </c>
      <c r="AU1812" s="1" t="s">
        <v>79</v>
      </c>
      <c r="AV1812" s="1" t="s">
        <v>80</v>
      </c>
      <c r="AW1812" s="1">
        <v>39.68</v>
      </c>
      <c r="AX1812" s="1">
        <v>0</v>
      </c>
      <c r="AZ1812" s="1" t="s">
        <v>81</v>
      </c>
      <c r="BA1812" s="1">
        <v>2</v>
      </c>
      <c r="BB1812" s="1">
        <v>0</v>
      </c>
      <c r="BC1812" s="1">
        <v>0</v>
      </c>
      <c r="BE1812" s="1">
        <v>27246433</v>
      </c>
    </row>
    <row r="1813" spans="1:57" x14ac:dyDescent="0.25">
      <c r="A1813" s="1" t="str">
        <f>T("1945554782324986420")</f>
        <v>1945554782324986420</v>
      </c>
      <c r="B1813" s="1" t="str">
        <f>T("249125272626")</f>
        <v>249125272626</v>
      </c>
      <c r="C1813" s="1" t="str">
        <f>T("1941094503305708740")</f>
        <v>1941094503305708740</v>
      </c>
      <c r="AC1813" s="1" t="s">
        <v>104</v>
      </c>
      <c r="AD1813" s="1" t="s">
        <v>151</v>
      </c>
      <c r="AE1813" s="1" t="s">
        <v>392</v>
      </c>
      <c r="AF1813" s="1" t="s">
        <v>107</v>
      </c>
      <c r="AG1813" s="1">
        <v>28</v>
      </c>
      <c r="AO1813" s="2">
        <v>46277</v>
      </c>
      <c r="AP1813" s="1" t="s">
        <v>226</v>
      </c>
      <c r="AQ1813" s="2">
        <v>46278</v>
      </c>
      <c r="AR1813" s="1" t="s">
        <v>777</v>
      </c>
      <c r="AS1813" s="1" t="s">
        <v>71</v>
      </c>
      <c r="AU1813" s="1" t="s">
        <v>79</v>
      </c>
      <c r="AV1813" s="1" t="s">
        <v>80</v>
      </c>
      <c r="AW1813" s="1">
        <v>27.32</v>
      </c>
      <c r="AX1813" s="1">
        <v>0</v>
      </c>
      <c r="AZ1813" s="1" t="s">
        <v>81</v>
      </c>
      <c r="BA1813" s="1">
        <v>4</v>
      </c>
      <c r="BB1813" s="1">
        <v>0</v>
      </c>
      <c r="BC1813" s="1">
        <v>0</v>
      </c>
      <c r="BE1813" s="1">
        <v>27246433</v>
      </c>
    </row>
    <row r="1814" spans="1:57" x14ac:dyDescent="0.25">
      <c r="A1814" s="1" t="str">
        <f>T("1945554782329182628")</f>
        <v>1945554782329182628</v>
      </c>
      <c r="B1814" s="1" t="str">
        <f>T("249114714544")</f>
        <v>249114714544</v>
      </c>
      <c r="C1814" s="1" t="str">
        <f>T("1941094503305709240")</f>
        <v>1941094503305709240</v>
      </c>
      <c r="AC1814" s="1" t="s">
        <v>104</v>
      </c>
      <c r="AD1814" s="1" t="s">
        <v>151</v>
      </c>
      <c r="AE1814" s="1" t="s">
        <v>392</v>
      </c>
      <c r="AF1814" s="1" t="s">
        <v>107</v>
      </c>
      <c r="AG1814" s="1">
        <v>26</v>
      </c>
      <c r="AO1814" s="2">
        <v>46277</v>
      </c>
      <c r="AP1814" s="1" t="s">
        <v>226</v>
      </c>
      <c r="AQ1814" s="2">
        <v>46277</v>
      </c>
      <c r="AR1814" s="1" t="s">
        <v>778</v>
      </c>
      <c r="AS1814" s="1" t="s">
        <v>71</v>
      </c>
      <c r="AU1814" s="1" t="s">
        <v>79</v>
      </c>
      <c r="AV1814" s="1" t="s">
        <v>80</v>
      </c>
      <c r="AW1814" s="1">
        <v>16.02</v>
      </c>
      <c r="AX1814" s="1">
        <v>0</v>
      </c>
      <c r="AZ1814" s="1" t="s">
        <v>81</v>
      </c>
      <c r="BA1814" s="1">
        <v>1</v>
      </c>
      <c r="BB1814" s="1">
        <v>0</v>
      </c>
      <c r="BC1814" s="1">
        <v>0</v>
      </c>
      <c r="BE1814" s="1">
        <v>27246433</v>
      </c>
    </row>
    <row r="1815" spans="1:57" x14ac:dyDescent="0.25">
      <c r="A1815" s="1" t="str">
        <f>T("1945554782425653212")</f>
        <v>1945554782425653212</v>
      </c>
      <c r="B1815" s="1" t="str">
        <f>T("249114298254")</f>
        <v>249114298254</v>
      </c>
      <c r="C1815" s="1" t="str">
        <f>T("1941094503305710140")</f>
        <v>1941094503305710140</v>
      </c>
      <c r="M1815" s="1" t="s">
        <v>59</v>
      </c>
      <c r="O1815" s="1" t="s">
        <v>65</v>
      </c>
      <c r="P1815" s="1" t="s">
        <v>61</v>
      </c>
      <c r="Q1815" s="1" t="s">
        <v>112</v>
      </c>
      <c r="R1815" s="1" t="s">
        <v>93</v>
      </c>
      <c r="T1815" s="1" t="s">
        <v>95</v>
      </c>
      <c r="U1815" s="1" t="s">
        <v>65</v>
      </c>
      <c r="V1815" s="1" t="s">
        <v>103</v>
      </c>
      <c r="W1815" s="1" t="s">
        <v>60</v>
      </c>
      <c r="X1815" s="1" t="s">
        <v>66</v>
      </c>
      <c r="Y1815" s="1" t="s">
        <v>69</v>
      </c>
      <c r="AA1815" s="1">
        <v>1</v>
      </c>
      <c r="AB1815" s="1">
        <v>1</v>
      </c>
      <c r="AC1815" s="1" t="s">
        <v>104</v>
      </c>
      <c r="AD1815" s="1" t="s">
        <v>151</v>
      </c>
      <c r="AE1815" s="1" t="s">
        <v>392</v>
      </c>
      <c r="AF1815" s="1" t="s">
        <v>107</v>
      </c>
      <c r="AG1815" s="1">
        <v>25</v>
      </c>
      <c r="AO1815" s="2">
        <v>46277</v>
      </c>
      <c r="AP1815" s="1" t="s">
        <v>226</v>
      </c>
      <c r="AQ1815" s="2">
        <v>46278</v>
      </c>
      <c r="AR1815" s="1" t="s">
        <v>779</v>
      </c>
      <c r="AS1815" s="1" t="s">
        <v>71</v>
      </c>
      <c r="AU1815" s="1" t="s">
        <v>78</v>
      </c>
      <c r="AV1815" s="1" t="s">
        <v>80</v>
      </c>
      <c r="AW1815" s="1">
        <v>242.56</v>
      </c>
      <c r="AX1815" s="1">
        <v>0</v>
      </c>
      <c r="AZ1815" s="1" t="s">
        <v>81</v>
      </c>
      <c r="BA1815" s="1">
        <v>7</v>
      </c>
      <c r="BB1815" s="1">
        <v>0</v>
      </c>
      <c r="BC1815" s="1">
        <v>0</v>
      </c>
      <c r="BE1815" s="1">
        <v>27246433</v>
      </c>
    </row>
    <row r="1816" spans="1:57" x14ac:dyDescent="0.25">
      <c r="A1816" s="1" t="str">
        <f>T("1945554782429844020")</f>
        <v>1945554782429844020</v>
      </c>
      <c r="B1816" s="1" t="str">
        <f>T("249114578406")</f>
        <v>249114578406</v>
      </c>
      <c r="C1816" s="1" t="str">
        <f>T("1941094503305709740")</f>
        <v>1941094503305709740</v>
      </c>
      <c r="M1816" s="1" t="s">
        <v>59</v>
      </c>
      <c r="AA1816" s="1">
        <v>1</v>
      </c>
      <c r="AC1816" s="1" t="s">
        <v>104</v>
      </c>
      <c r="AD1816" s="1" t="s">
        <v>151</v>
      </c>
      <c r="AE1816" s="1" t="s">
        <v>392</v>
      </c>
      <c r="AF1816" s="1" t="s">
        <v>107</v>
      </c>
      <c r="AG1816" s="1">
        <v>26</v>
      </c>
      <c r="AO1816" s="2">
        <v>46277</v>
      </c>
      <c r="AP1816" s="1" t="s">
        <v>226</v>
      </c>
      <c r="AQ1816" s="2">
        <v>46277</v>
      </c>
      <c r="AR1816" s="1" t="s">
        <v>780</v>
      </c>
      <c r="AS1816" s="1" t="s">
        <v>71</v>
      </c>
      <c r="AU1816" s="1" t="s">
        <v>79</v>
      </c>
      <c r="AV1816" s="1" t="s">
        <v>80</v>
      </c>
      <c r="AW1816" s="1">
        <v>80.08</v>
      </c>
      <c r="AX1816" s="1">
        <v>0</v>
      </c>
      <c r="AZ1816" s="1" t="s">
        <v>81</v>
      </c>
      <c r="BA1816" s="1">
        <v>1</v>
      </c>
      <c r="BB1816" s="1">
        <v>0</v>
      </c>
      <c r="BC1816" s="1">
        <v>0</v>
      </c>
      <c r="BE1816" s="1">
        <v>27246433</v>
      </c>
    </row>
    <row r="1817" spans="1:57" x14ac:dyDescent="0.25">
      <c r="A1817" s="1" t="str">
        <f>T("1945554782509539072")</f>
        <v>1945554782509539072</v>
      </c>
      <c r="B1817" s="1" t="str">
        <f>T("249115250338")</f>
        <v>249115250338</v>
      </c>
      <c r="C1817" s="1" t="str">
        <f>T("1941094503305710540")</f>
        <v>1941094503305710540</v>
      </c>
      <c r="AC1817" s="1" t="s">
        <v>104</v>
      </c>
      <c r="AD1817" s="1" t="s">
        <v>151</v>
      </c>
      <c r="AE1817" s="1" t="s">
        <v>392</v>
      </c>
      <c r="AF1817" s="1" t="s">
        <v>107</v>
      </c>
      <c r="AG1817" s="1">
        <v>26</v>
      </c>
      <c r="AO1817" s="2">
        <v>46277</v>
      </c>
      <c r="AP1817" s="1" t="s">
        <v>226</v>
      </c>
      <c r="AQ1817" s="2">
        <v>46278</v>
      </c>
      <c r="AR1817" s="1" t="s">
        <v>781</v>
      </c>
      <c r="AS1817" s="1" t="s">
        <v>71</v>
      </c>
      <c r="AU1817" s="1" t="s">
        <v>79</v>
      </c>
      <c r="AV1817" s="1" t="s">
        <v>80</v>
      </c>
      <c r="AW1817" s="1">
        <v>6.2</v>
      </c>
      <c r="AX1817" s="1">
        <v>0</v>
      </c>
      <c r="AZ1817" s="1" t="s">
        <v>81</v>
      </c>
      <c r="BA1817" s="1">
        <v>4</v>
      </c>
      <c r="BB1817" s="1">
        <v>0</v>
      </c>
      <c r="BC1817" s="1">
        <v>0</v>
      </c>
      <c r="BE1817" s="1">
        <v>27246433</v>
      </c>
    </row>
    <row r="1818" spans="1:57" x14ac:dyDescent="0.25">
      <c r="A1818" s="1" t="str">
        <f>T("1945554782526314304")</f>
        <v>1945554782526314304</v>
      </c>
      <c r="B1818" s="1" t="str">
        <f>T("249926153724")</f>
        <v>249926153724</v>
      </c>
      <c r="C1818" s="1" t="str">
        <f>T("1941094503305711140")</f>
        <v>1941094503305711140</v>
      </c>
      <c r="AC1818" s="1" t="s">
        <v>104</v>
      </c>
      <c r="AD1818" s="1" t="s">
        <v>151</v>
      </c>
      <c r="AE1818" s="1" t="s">
        <v>392</v>
      </c>
      <c r="AF1818" s="1" t="s">
        <v>107</v>
      </c>
      <c r="AG1818" s="1">
        <v>22</v>
      </c>
      <c r="AO1818" s="2">
        <v>46277</v>
      </c>
      <c r="AP1818" s="1" t="s">
        <v>226</v>
      </c>
      <c r="AS1818" s="1" t="s">
        <v>71</v>
      </c>
      <c r="AU1818" s="1" t="s">
        <v>72</v>
      </c>
      <c r="AV1818" s="1" t="s">
        <v>73</v>
      </c>
      <c r="AX1818" s="1">
        <v>0</v>
      </c>
      <c r="BA1818" s="1">
        <v>9</v>
      </c>
      <c r="BB1818" s="1">
        <v>0</v>
      </c>
      <c r="BC1818" s="1">
        <v>0</v>
      </c>
      <c r="BE1818" s="1">
        <v>27246433</v>
      </c>
    </row>
    <row r="1819" spans="1:57" x14ac:dyDescent="0.25">
      <c r="A1819" s="1" t="str">
        <f>T("1945554782626976096")</f>
        <v>1945554782626976096</v>
      </c>
      <c r="B1819" s="1" t="str">
        <f>T("249128976241")</f>
        <v>249128976241</v>
      </c>
      <c r="C1819" s="1" t="str">
        <f>T("1941094503305711440")</f>
        <v>1941094503305711440</v>
      </c>
      <c r="AC1819" s="1" t="s">
        <v>104</v>
      </c>
      <c r="AD1819" s="1" t="s">
        <v>151</v>
      </c>
      <c r="AE1819" s="1" t="s">
        <v>392</v>
      </c>
      <c r="AF1819" s="1" t="s">
        <v>107</v>
      </c>
      <c r="AG1819" s="1">
        <v>26</v>
      </c>
      <c r="AO1819" s="2">
        <v>46277</v>
      </c>
      <c r="AP1819" s="1" t="s">
        <v>226</v>
      </c>
      <c r="AQ1819" s="2">
        <v>46277</v>
      </c>
      <c r="AR1819" s="1" t="s">
        <v>782</v>
      </c>
      <c r="AS1819" s="1" t="s">
        <v>71</v>
      </c>
      <c r="AU1819" s="1" t="s">
        <v>79</v>
      </c>
      <c r="AV1819" s="1" t="s">
        <v>80</v>
      </c>
      <c r="AW1819" s="1">
        <v>12.7</v>
      </c>
      <c r="AX1819" s="1">
        <v>0</v>
      </c>
      <c r="AZ1819" s="1" t="s">
        <v>81</v>
      </c>
      <c r="BA1819" s="1">
        <v>1</v>
      </c>
      <c r="BB1819" s="1">
        <v>0</v>
      </c>
      <c r="BC1819" s="1">
        <v>0</v>
      </c>
      <c r="BE1819" s="1">
        <v>27246433</v>
      </c>
    </row>
    <row r="1820" spans="1:57" x14ac:dyDescent="0.25">
      <c r="A1820" s="1" t="str">
        <f>T("1945554782643754128")</f>
        <v>1945554782643754128</v>
      </c>
      <c r="B1820" s="1" t="str">
        <f>T("249124011611")</f>
        <v>249124011611</v>
      </c>
      <c r="C1820" s="1" t="str">
        <f>T("1941094503309902048")</f>
        <v>1941094503309902048</v>
      </c>
      <c r="AA1820" s="1">
        <v>1</v>
      </c>
      <c r="AC1820" s="1" t="s">
        <v>104</v>
      </c>
      <c r="AD1820" s="1" t="s">
        <v>151</v>
      </c>
      <c r="AE1820" s="1" t="s">
        <v>392</v>
      </c>
      <c r="AF1820" s="1" t="s">
        <v>107</v>
      </c>
      <c r="AG1820" s="1">
        <v>28</v>
      </c>
      <c r="AO1820" s="2">
        <v>46277</v>
      </c>
      <c r="AP1820" s="1" t="s">
        <v>226</v>
      </c>
      <c r="AQ1820" s="2">
        <v>46278</v>
      </c>
      <c r="AR1820" s="1" t="s">
        <v>783</v>
      </c>
      <c r="AS1820" s="1" t="s">
        <v>71</v>
      </c>
      <c r="AU1820" s="1" t="s">
        <v>79</v>
      </c>
      <c r="AV1820" s="1" t="s">
        <v>80</v>
      </c>
      <c r="AW1820" s="1">
        <v>44.74</v>
      </c>
      <c r="AX1820" s="1">
        <v>0</v>
      </c>
      <c r="AZ1820" s="1" t="s">
        <v>81</v>
      </c>
      <c r="BA1820" s="1">
        <v>4</v>
      </c>
      <c r="BB1820" s="1">
        <v>0</v>
      </c>
      <c r="BC1820" s="1">
        <v>0</v>
      </c>
      <c r="BE1820" s="1">
        <v>27246433</v>
      </c>
    </row>
    <row r="1821" spans="1:57" x14ac:dyDescent="0.25">
      <c r="A1821" s="1" t="str">
        <f>T("1945554782731835096")</f>
        <v>1945554782731835096</v>
      </c>
      <c r="B1821" s="1" t="str">
        <f>T("249124373435")</f>
        <v>249124373435</v>
      </c>
      <c r="C1821" s="1" t="str">
        <f>T("1941094503309902348")</f>
        <v>1941094503309902348</v>
      </c>
      <c r="AA1821" s="1">
        <v>1</v>
      </c>
      <c r="AC1821" s="1" t="s">
        <v>104</v>
      </c>
      <c r="AD1821" s="1" t="s">
        <v>151</v>
      </c>
      <c r="AE1821" s="1" t="s">
        <v>392</v>
      </c>
      <c r="AF1821" s="1" t="s">
        <v>107</v>
      </c>
      <c r="AG1821" s="1">
        <v>25</v>
      </c>
      <c r="AO1821" s="2">
        <v>46277</v>
      </c>
      <c r="AP1821" s="1" t="s">
        <v>226</v>
      </c>
      <c r="AQ1821" s="2">
        <v>46277</v>
      </c>
      <c r="AR1821" s="1" t="s">
        <v>784</v>
      </c>
      <c r="AS1821" s="1" t="s">
        <v>71</v>
      </c>
      <c r="AU1821" s="1" t="s">
        <v>78</v>
      </c>
      <c r="AV1821" s="1" t="s">
        <v>80</v>
      </c>
      <c r="AW1821" s="1">
        <v>134.6</v>
      </c>
      <c r="AX1821" s="1">
        <v>0</v>
      </c>
      <c r="AZ1821" s="1" t="s">
        <v>81</v>
      </c>
      <c r="BA1821" s="1">
        <v>1</v>
      </c>
      <c r="BB1821" s="1">
        <v>0</v>
      </c>
      <c r="BC1821" s="1">
        <v>0</v>
      </c>
      <c r="BE1821" s="1">
        <v>27246433</v>
      </c>
    </row>
    <row r="1822" spans="1:57" x14ac:dyDescent="0.25">
      <c r="A1822" s="1" t="str">
        <f>T("1945554782777972384")</f>
        <v>1945554782777972384</v>
      </c>
      <c r="B1822" s="1" t="str">
        <f>T("249121440491")</f>
        <v>249121440491</v>
      </c>
      <c r="C1822" s="1" t="str">
        <f>T("1941094503309902748")</f>
        <v>1941094503309902748</v>
      </c>
      <c r="AA1822" s="1">
        <v>1</v>
      </c>
      <c r="AC1822" s="1" t="s">
        <v>104</v>
      </c>
      <c r="AD1822" s="1" t="s">
        <v>151</v>
      </c>
      <c r="AE1822" s="1" t="s">
        <v>392</v>
      </c>
      <c r="AF1822" s="1" t="s">
        <v>107</v>
      </c>
      <c r="AG1822" s="1">
        <v>30</v>
      </c>
      <c r="AO1822" s="2">
        <v>46277</v>
      </c>
      <c r="AP1822" s="1" t="s">
        <v>226</v>
      </c>
      <c r="AQ1822" s="2">
        <v>46277</v>
      </c>
      <c r="AR1822" s="1" t="s">
        <v>785</v>
      </c>
      <c r="AS1822" s="1" t="s">
        <v>71</v>
      </c>
      <c r="AU1822" s="1" t="s">
        <v>79</v>
      </c>
      <c r="AV1822" s="1" t="s">
        <v>80</v>
      </c>
      <c r="AW1822" s="1">
        <v>44.78</v>
      </c>
      <c r="AX1822" s="1">
        <v>0</v>
      </c>
      <c r="AZ1822" s="1" t="s">
        <v>81</v>
      </c>
      <c r="BA1822" s="1">
        <v>1</v>
      </c>
      <c r="BB1822" s="1">
        <v>0</v>
      </c>
      <c r="BC1822" s="1">
        <v>0</v>
      </c>
      <c r="BE1822" s="1">
        <v>27246433</v>
      </c>
    </row>
    <row r="1823" spans="1:57" x14ac:dyDescent="0.25">
      <c r="A1823" s="1" t="str">
        <f>T("1945554782866054652")</f>
        <v>1945554782866054652</v>
      </c>
      <c r="B1823" s="1" t="str">
        <f>T("249122528805")</f>
        <v>249122528805</v>
      </c>
      <c r="C1823" s="1" t="str">
        <f>T("1941094503309903048")</f>
        <v>1941094503309903048</v>
      </c>
      <c r="AA1823" s="1">
        <v>1</v>
      </c>
      <c r="AC1823" s="1" t="s">
        <v>104</v>
      </c>
      <c r="AD1823" s="1" t="s">
        <v>151</v>
      </c>
      <c r="AE1823" s="1" t="s">
        <v>392</v>
      </c>
      <c r="AF1823" s="1" t="s">
        <v>107</v>
      </c>
      <c r="AG1823" s="1">
        <v>27</v>
      </c>
      <c r="AO1823" s="2">
        <v>46277</v>
      </c>
      <c r="AP1823" s="1" t="s">
        <v>226</v>
      </c>
      <c r="AQ1823" s="2">
        <v>46277</v>
      </c>
      <c r="AR1823" s="1" t="s">
        <v>786</v>
      </c>
      <c r="AS1823" s="1" t="s">
        <v>71</v>
      </c>
      <c r="AU1823" s="1" t="s">
        <v>79</v>
      </c>
      <c r="AV1823" s="1" t="s">
        <v>80</v>
      </c>
      <c r="AW1823" s="1">
        <v>78.8</v>
      </c>
      <c r="AX1823" s="1">
        <v>0</v>
      </c>
      <c r="AZ1823" s="1" t="s">
        <v>81</v>
      </c>
      <c r="BA1823" s="1">
        <v>1</v>
      </c>
      <c r="BB1823" s="1">
        <v>0</v>
      </c>
      <c r="BC1823" s="1">
        <v>0</v>
      </c>
      <c r="BE1823" s="1">
        <v>27246433</v>
      </c>
    </row>
    <row r="1824" spans="1:57" x14ac:dyDescent="0.25">
      <c r="A1824" s="1" t="str">
        <f>T("1946128550726409096")</f>
        <v>1946128550726409096</v>
      </c>
      <c r="B1824" s="1" t="str">
        <f>T("249123107785")</f>
        <v>249123107785</v>
      </c>
      <c r="C1824" s="1" t="str">
        <f>T("1941094503309903648")</f>
        <v>1941094503309903648</v>
      </c>
      <c r="AC1824" s="1" t="s">
        <v>104</v>
      </c>
      <c r="AD1824" s="1" t="s">
        <v>151</v>
      </c>
      <c r="AE1824" s="1" t="s">
        <v>392</v>
      </c>
      <c r="AF1824" s="1" t="s">
        <v>107</v>
      </c>
      <c r="AG1824" s="1">
        <v>30</v>
      </c>
      <c r="AO1824" s="2">
        <v>46279</v>
      </c>
      <c r="AP1824" s="1" t="s">
        <v>248</v>
      </c>
      <c r="AS1824" s="1" t="s">
        <v>71</v>
      </c>
      <c r="AU1824" s="1" t="s">
        <v>72</v>
      </c>
      <c r="AV1824" s="1" t="s">
        <v>115</v>
      </c>
      <c r="AX1824" s="1">
        <v>0</v>
      </c>
      <c r="BA1824" s="1">
        <v>9</v>
      </c>
      <c r="BB1824" s="1">
        <v>0</v>
      </c>
      <c r="BC1824" s="1">
        <v>0</v>
      </c>
      <c r="BE1824" s="1">
        <v>27387921</v>
      </c>
    </row>
    <row r="1825" spans="1:57" x14ac:dyDescent="0.25">
      <c r="A1825" s="1" t="str">
        <f>T("1946128550726409696")</f>
        <v>1946128550726409696</v>
      </c>
      <c r="B1825" s="1" t="str">
        <f>T("249961413450")</f>
        <v>249961413450</v>
      </c>
      <c r="C1825" s="1" t="str">
        <f>T("1941094503309903348")</f>
        <v>1941094503309903348</v>
      </c>
      <c r="AC1825" s="1" t="s">
        <v>104</v>
      </c>
      <c r="AD1825" s="1" t="s">
        <v>151</v>
      </c>
      <c r="AE1825" s="1" t="s">
        <v>392</v>
      </c>
      <c r="AF1825" s="1" t="s">
        <v>107</v>
      </c>
      <c r="AG1825" s="1">
        <v>29</v>
      </c>
      <c r="AO1825" s="2">
        <v>46279</v>
      </c>
      <c r="AP1825" s="1" t="s">
        <v>248</v>
      </c>
      <c r="AS1825" s="1" t="s">
        <v>71</v>
      </c>
      <c r="AU1825" s="1" t="s">
        <v>72</v>
      </c>
      <c r="AV1825" s="1" t="s">
        <v>73</v>
      </c>
      <c r="AX1825" s="1">
        <v>0</v>
      </c>
      <c r="BA1825" s="1">
        <v>9</v>
      </c>
      <c r="BB1825" s="1">
        <v>0</v>
      </c>
      <c r="BC1825" s="1">
        <v>0</v>
      </c>
      <c r="BE1825" s="1">
        <v>27387921</v>
      </c>
    </row>
    <row r="1826" spans="1:57" x14ac:dyDescent="0.25">
      <c r="A1826" s="1" t="str">
        <f>T("1946128550789324616")</f>
        <v>1946128550789324616</v>
      </c>
      <c r="B1826" s="1" t="str">
        <f>T("249926485170")</f>
        <v>249926485170</v>
      </c>
      <c r="C1826" s="1" t="str">
        <f>T("1941094503309903948")</f>
        <v>1941094503309903948</v>
      </c>
      <c r="AC1826" s="1" t="s">
        <v>104</v>
      </c>
      <c r="AD1826" s="1" t="s">
        <v>151</v>
      </c>
      <c r="AE1826" s="1" t="s">
        <v>392</v>
      </c>
      <c r="AF1826" s="1" t="s">
        <v>107</v>
      </c>
      <c r="AG1826" s="1">
        <v>31</v>
      </c>
      <c r="AO1826" s="2">
        <v>46279</v>
      </c>
      <c r="AP1826" s="1" t="s">
        <v>248</v>
      </c>
      <c r="AS1826" s="1" t="s">
        <v>71</v>
      </c>
      <c r="AU1826" s="1" t="s">
        <v>72</v>
      </c>
      <c r="AV1826" s="1" t="s">
        <v>73</v>
      </c>
      <c r="AX1826" s="1">
        <v>0</v>
      </c>
      <c r="BA1826" s="1">
        <v>9</v>
      </c>
      <c r="BB1826" s="1">
        <v>0</v>
      </c>
      <c r="BC1826" s="1">
        <v>0</v>
      </c>
      <c r="BE1826" s="1">
        <v>27387921</v>
      </c>
    </row>
    <row r="1827" spans="1:57" x14ac:dyDescent="0.25">
      <c r="A1827" s="1" t="str">
        <f>T("1946128550793517324")</f>
        <v>1946128550793517324</v>
      </c>
      <c r="B1827" s="1" t="str">
        <f>T("249122179319")</f>
        <v>249122179319</v>
      </c>
      <c r="C1827" s="1" t="str">
        <f>T("1941094503309904348")</f>
        <v>1941094503309904348</v>
      </c>
      <c r="AA1827" s="1">
        <v>1</v>
      </c>
      <c r="AC1827" s="1" t="s">
        <v>104</v>
      </c>
      <c r="AD1827" s="1" t="s">
        <v>151</v>
      </c>
      <c r="AE1827" s="1" t="s">
        <v>392</v>
      </c>
      <c r="AF1827" s="1" t="s">
        <v>107</v>
      </c>
      <c r="AG1827" s="1">
        <v>20</v>
      </c>
      <c r="AO1827" s="2">
        <v>46279</v>
      </c>
      <c r="AP1827" s="1" t="s">
        <v>248</v>
      </c>
      <c r="AQ1827" s="2">
        <v>46279</v>
      </c>
      <c r="AR1827" s="1" t="s">
        <v>473</v>
      </c>
      <c r="AS1827" s="1" t="s">
        <v>71</v>
      </c>
      <c r="AU1827" s="1" t="s">
        <v>79</v>
      </c>
      <c r="AV1827" s="1" t="s">
        <v>80</v>
      </c>
      <c r="AW1827" s="1">
        <v>66.92</v>
      </c>
      <c r="AX1827" s="1">
        <v>0</v>
      </c>
      <c r="AZ1827" s="1" t="s">
        <v>81</v>
      </c>
      <c r="BA1827" s="1">
        <v>1</v>
      </c>
      <c r="BB1827" s="1">
        <v>0</v>
      </c>
      <c r="BC1827" s="1">
        <v>0</v>
      </c>
      <c r="BE1827" s="1">
        <v>27387921</v>
      </c>
    </row>
    <row r="1828" spans="1:57" x14ac:dyDescent="0.25">
      <c r="A1828" s="1" t="str">
        <f>T("1946128550839656312")</f>
        <v>1946128550839656312</v>
      </c>
      <c r="B1828" s="1" t="str">
        <f>T("249128758984")</f>
        <v>249128758984</v>
      </c>
      <c r="C1828" s="1" t="str">
        <f>T("1941094503309904648")</f>
        <v>1941094503309904648</v>
      </c>
      <c r="AC1828" s="1" t="s">
        <v>104</v>
      </c>
      <c r="AD1828" s="1" t="s">
        <v>151</v>
      </c>
      <c r="AE1828" s="1" t="s">
        <v>392</v>
      </c>
      <c r="AF1828" s="1" t="s">
        <v>107</v>
      </c>
      <c r="AG1828" s="1">
        <v>31</v>
      </c>
      <c r="AO1828" s="2">
        <v>46279</v>
      </c>
      <c r="AP1828" s="1" t="s">
        <v>248</v>
      </c>
      <c r="AS1828" s="1" t="s">
        <v>71</v>
      </c>
      <c r="AU1828" s="1" t="s">
        <v>72</v>
      </c>
      <c r="AV1828" s="1" t="s">
        <v>73</v>
      </c>
      <c r="AX1828" s="1">
        <v>0</v>
      </c>
      <c r="BA1828" s="1">
        <v>9</v>
      </c>
      <c r="BB1828" s="1">
        <v>0</v>
      </c>
      <c r="BC1828" s="1">
        <v>0</v>
      </c>
      <c r="BE1828" s="1">
        <v>27387921</v>
      </c>
    </row>
    <row r="1829" spans="1:57" x14ac:dyDescent="0.25">
      <c r="A1829" s="1" t="str">
        <f>T("1946128550848041828")</f>
        <v>1946128550848041828</v>
      </c>
      <c r="B1829" s="1" t="str">
        <f>T("249123030527")</f>
        <v>249123030527</v>
      </c>
      <c r="C1829" s="1" t="str">
        <f>T("1941094503309905048")</f>
        <v>1941094503309905048</v>
      </c>
      <c r="AC1829" s="1" t="s">
        <v>104</v>
      </c>
      <c r="AD1829" s="1" t="s">
        <v>151</v>
      </c>
      <c r="AE1829" s="1" t="s">
        <v>392</v>
      </c>
      <c r="AF1829" s="1" t="s">
        <v>107</v>
      </c>
      <c r="AG1829" s="1">
        <v>22</v>
      </c>
      <c r="AO1829" s="2">
        <v>46279</v>
      </c>
      <c r="AP1829" s="1" t="s">
        <v>248</v>
      </c>
      <c r="AS1829" s="1" t="s">
        <v>71</v>
      </c>
      <c r="AU1829" s="1" t="s">
        <v>72</v>
      </c>
      <c r="AV1829" s="1" t="s">
        <v>73</v>
      </c>
      <c r="AX1829" s="1">
        <v>0</v>
      </c>
      <c r="BA1829" s="1">
        <v>9</v>
      </c>
      <c r="BB1829" s="1">
        <v>0</v>
      </c>
      <c r="BC1829" s="1">
        <v>0</v>
      </c>
      <c r="BE1829" s="1">
        <v>27387921</v>
      </c>
    </row>
    <row r="1830" spans="1:57" x14ac:dyDescent="0.25">
      <c r="A1830" s="1" t="str">
        <f>T("1946128550889985708")</f>
        <v>1946128550889985708</v>
      </c>
      <c r="B1830" s="1" t="str">
        <f>T("249122122582")</f>
        <v>249122122582</v>
      </c>
      <c r="C1830" s="1" t="str">
        <f>T("1941094503309905448")</f>
        <v>1941094503309905448</v>
      </c>
      <c r="AC1830" s="1" t="s">
        <v>104</v>
      </c>
      <c r="AD1830" s="1" t="s">
        <v>151</v>
      </c>
      <c r="AE1830" s="1" t="s">
        <v>392</v>
      </c>
      <c r="AF1830" s="1" t="s">
        <v>107</v>
      </c>
      <c r="AG1830" s="1">
        <v>24</v>
      </c>
      <c r="AO1830" s="2">
        <v>46279</v>
      </c>
      <c r="AP1830" s="1" t="s">
        <v>248</v>
      </c>
      <c r="AS1830" s="1" t="s">
        <v>71</v>
      </c>
      <c r="AU1830" s="1" t="s">
        <v>72</v>
      </c>
      <c r="AV1830" s="1" t="s">
        <v>73</v>
      </c>
      <c r="AX1830" s="1">
        <v>0</v>
      </c>
      <c r="BA1830" s="1">
        <v>9</v>
      </c>
      <c r="BB1830" s="1">
        <v>0</v>
      </c>
      <c r="BC1830" s="1">
        <v>0</v>
      </c>
      <c r="BE1830" s="1">
        <v>27387921</v>
      </c>
    </row>
    <row r="1831" spans="1:57" x14ac:dyDescent="0.25">
      <c r="A1831" s="1" t="str">
        <f>T("1946128550894179416")</f>
        <v>1946128550894179416</v>
      </c>
      <c r="B1831" s="1" t="str">
        <f>T("249121440490")</f>
        <v>249121440490</v>
      </c>
      <c r="C1831" s="1" t="str">
        <f>T("1941094503309905848")</f>
        <v>1941094503309905848</v>
      </c>
      <c r="AC1831" s="1" t="s">
        <v>104</v>
      </c>
      <c r="AD1831" s="1" t="s">
        <v>151</v>
      </c>
      <c r="AE1831" s="1" t="s">
        <v>392</v>
      </c>
      <c r="AF1831" s="1" t="s">
        <v>107</v>
      </c>
      <c r="AG1831" s="1">
        <v>30</v>
      </c>
      <c r="AO1831" s="2">
        <v>46279</v>
      </c>
      <c r="AP1831" s="1" t="s">
        <v>248</v>
      </c>
      <c r="AS1831" s="1" t="s">
        <v>71</v>
      </c>
      <c r="AU1831" s="1" t="s">
        <v>72</v>
      </c>
      <c r="AV1831" s="1" t="s">
        <v>73</v>
      </c>
      <c r="AX1831" s="1">
        <v>0</v>
      </c>
      <c r="BA1831" s="1">
        <v>9</v>
      </c>
      <c r="BB1831" s="1">
        <v>0</v>
      </c>
      <c r="BC1831" s="1">
        <v>0</v>
      </c>
      <c r="BE1831" s="1">
        <v>27387921</v>
      </c>
    </row>
    <row r="1832" spans="1:57" x14ac:dyDescent="0.25">
      <c r="A1832" s="1" t="str">
        <f>T("1946128550952900528")</f>
        <v>1946128550952900528</v>
      </c>
      <c r="B1832" s="1" t="str">
        <f>T("249124373534")</f>
        <v>249124373534</v>
      </c>
      <c r="C1832" s="1" t="str">
        <f>T("1941094503314096456")</f>
        <v>1941094503314096456</v>
      </c>
      <c r="AC1832" s="1" t="s">
        <v>104</v>
      </c>
      <c r="AD1832" s="1" t="s">
        <v>151</v>
      </c>
      <c r="AE1832" s="1" t="s">
        <v>392</v>
      </c>
      <c r="AF1832" s="1" t="s">
        <v>107</v>
      </c>
      <c r="AG1832" s="1">
        <v>44</v>
      </c>
      <c r="AO1832" s="2">
        <v>46279</v>
      </c>
      <c r="AP1832" s="1" t="s">
        <v>248</v>
      </c>
      <c r="AQ1832" s="2">
        <v>46279</v>
      </c>
      <c r="AR1832" s="1" t="s">
        <v>787</v>
      </c>
      <c r="AS1832" s="1" t="s">
        <v>71</v>
      </c>
      <c r="AU1832" s="1" t="s">
        <v>79</v>
      </c>
      <c r="AV1832" s="1" t="s">
        <v>80</v>
      </c>
      <c r="AW1832" s="1">
        <v>21.9</v>
      </c>
      <c r="AX1832" s="1">
        <v>0</v>
      </c>
      <c r="AZ1832" s="1" t="s">
        <v>81</v>
      </c>
      <c r="BA1832" s="1">
        <v>4</v>
      </c>
      <c r="BB1832" s="1">
        <v>0</v>
      </c>
      <c r="BC1832" s="1">
        <v>0</v>
      </c>
      <c r="BE1832" s="1">
        <v>27387921</v>
      </c>
    </row>
    <row r="1833" spans="1:57" x14ac:dyDescent="0.25">
      <c r="A1833" s="1" t="str">
        <f>T("1946128550961291044")</f>
        <v>1946128550961291044</v>
      </c>
      <c r="B1833" s="1" t="str">
        <f>T("249121480651")</f>
        <v>249121480651</v>
      </c>
      <c r="C1833" s="1" t="str">
        <f>T("1941094503314096856")</f>
        <v>1941094503314096856</v>
      </c>
      <c r="AC1833" s="1" t="s">
        <v>104</v>
      </c>
      <c r="AD1833" s="1" t="s">
        <v>151</v>
      </c>
      <c r="AE1833" s="1" t="s">
        <v>392</v>
      </c>
      <c r="AF1833" s="1" t="s">
        <v>107</v>
      </c>
      <c r="AG1833" s="1">
        <v>29</v>
      </c>
      <c r="AO1833" s="2">
        <v>46279</v>
      </c>
      <c r="AP1833" s="1" t="s">
        <v>248</v>
      </c>
      <c r="AQ1833" s="2">
        <v>46279</v>
      </c>
      <c r="AR1833" s="1" t="s">
        <v>788</v>
      </c>
      <c r="AS1833" s="1" t="s">
        <v>71</v>
      </c>
      <c r="AU1833" s="1" t="s">
        <v>79</v>
      </c>
      <c r="AV1833" s="1" t="s">
        <v>80</v>
      </c>
      <c r="AW1833" s="1">
        <v>13.04</v>
      </c>
      <c r="AX1833" s="1">
        <v>0</v>
      </c>
      <c r="AZ1833" s="1" t="s">
        <v>81</v>
      </c>
      <c r="BA1833" s="1">
        <v>1</v>
      </c>
      <c r="BB1833" s="1">
        <v>0</v>
      </c>
      <c r="BC1833" s="1">
        <v>0</v>
      </c>
      <c r="BE1833" s="1">
        <v>27387921</v>
      </c>
    </row>
    <row r="1834" spans="1:57" x14ac:dyDescent="0.25">
      <c r="A1834" s="1" t="str">
        <f>T("1946128551007424932")</f>
        <v>1946128551007424932</v>
      </c>
      <c r="B1834" s="1" t="str">
        <f>T("249128747171")</f>
        <v>249128747171</v>
      </c>
      <c r="C1834" s="1" t="str">
        <f>T("1941094503314097156")</f>
        <v>1941094503314097156</v>
      </c>
      <c r="M1834" s="1" t="s">
        <v>133</v>
      </c>
      <c r="N1834" s="1" t="s">
        <v>65</v>
      </c>
      <c r="AA1834" s="1">
        <v>1</v>
      </c>
      <c r="AC1834" s="1" t="s">
        <v>104</v>
      </c>
      <c r="AD1834" s="1" t="s">
        <v>151</v>
      </c>
      <c r="AE1834" s="1" t="s">
        <v>392</v>
      </c>
      <c r="AF1834" s="1" t="s">
        <v>107</v>
      </c>
      <c r="AG1834" s="1">
        <v>22</v>
      </c>
      <c r="AO1834" s="2">
        <v>46279</v>
      </c>
      <c r="AP1834" s="1" t="s">
        <v>248</v>
      </c>
      <c r="AQ1834" s="2">
        <v>46279</v>
      </c>
      <c r="AR1834" s="1" t="s">
        <v>789</v>
      </c>
      <c r="AS1834" s="1" t="s">
        <v>71</v>
      </c>
      <c r="AU1834" s="1" t="s">
        <v>79</v>
      </c>
      <c r="AV1834" s="1" t="s">
        <v>480</v>
      </c>
      <c r="AW1834" s="1">
        <v>122.96</v>
      </c>
      <c r="AX1834" s="1">
        <v>0</v>
      </c>
      <c r="AZ1834" s="1" t="s">
        <v>81</v>
      </c>
      <c r="BA1834" s="1">
        <v>2</v>
      </c>
      <c r="BB1834" s="1">
        <v>0</v>
      </c>
      <c r="BC1834" s="1">
        <v>0</v>
      </c>
      <c r="BE1834" s="1">
        <v>27387921</v>
      </c>
    </row>
    <row r="1835" spans="1:57" x14ac:dyDescent="0.25">
      <c r="A1835" s="1" t="str">
        <f>T("1946128551011622740")</f>
        <v>1946128551011622740</v>
      </c>
      <c r="B1835" s="1" t="str">
        <f>T("249122077640")</f>
        <v>249122077640</v>
      </c>
      <c r="C1835" s="1" t="str">
        <f>T("1941094503314097556")</f>
        <v>1941094503314097556</v>
      </c>
      <c r="AC1835" s="1" t="s">
        <v>104</v>
      </c>
      <c r="AD1835" s="1" t="s">
        <v>151</v>
      </c>
      <c r="AE1835" s="1" t="s">
        <v>392</v>
      </c>
      <c r="AF1835" s="1" t="s">
        <v>107</v>
      </c>
      <c r="AG1835" s="1">
        <v>21</v>
      </c>
      <c r="AO1835" s="2">
        <v>46279</v>
      </c>
      <c r="AP1835" s="1" t="s">
        <v>248</v>
      </c>
      <c r="AQ1835" s="2">
        <v>46279</v>
      </c>
      <c r="AR1835" s="1" t="s">
        <v>460</v>
      </c>
      <c r="AS1835" s="1" t="s">
        <v>71</v>
      </c>
      <c r="AU1835" s="1" t="s">
        <v>79</v>
      </c>
      <c r="AV1835" s="1" t="s">
        <v>80</v>
      </c>
      <c r="AW1835" s="1">
        <v>21.34</v>
      </c>
      <c r="AX1835" s="1">
        <v>0</v>
      </c>
      <c r="AZ1835" s="1" t="s">
        <v>81</v>
      </c>
      <c r="BA1835" s="1">
        <v>1</v>
      </c>
      <c r="BB1835" s="1">
        <v>0</v>
      </c>
      <c r="BC1835" s="1">
        <v>0</v>
      </c>
      <c r="BE1835" s="1">
        <v>27387921</v>
      </c>
    </row>
    <row r="1836" spans="1:57" x14ac:dyDescent="0.25">
      <c r="A1836" s="1" t="str">
        <f>T("1946128551057759628")</f>
        <v>1946128551057759628</v>
      </c>
      <c r="B1836" s="1" t="str">
        <f>T("249118018317")</f>
        <v>249118018317</v>
      </c>
      <c r="C1836" s="1" t="str">
        <f>T("1941094503314097956")</f>
        <v>1941094503314097956</v>
      </c>
      <c r="M1836" s="1" t="s">
        <v>148</v>
      </c>
      <c r="N1836" s="1" t="s">
        <v>60</v>
      </c>
      <c r="O1836" s="1" t="s">
        <v>60</v>
      </c>
      <c r="P1836" s="1" t="s">
        <v>83</v>
      </c>
      <c r="Q1836" s="1" t="s">
        <v>112</v>
      </c>
      <c r="R1836" s="1" t="s">
        <v>93</v>
      </c>
      <c r="AA1836" s="1">
        <v>1</v>
      </c>
      <c r="AC1836" s="1" t="s">
        <v>104</v>
      </c>
      <c r="AD1836" s="1" t="s">
        <v>151</v>
      </c>
      <c r="AE1836" s="1" t="s">
        <v>392</v>
      </c>
      <c r="AF1836" s="1" t="s">
        <v>107</v>
      </c>
      <c r="AG1836" s="1">
        <v>19</v>
      </c>
      <c r="AO1836" s="2">
        <v>46279</v>
      </c>
      <c r="AP1836" s="1" t="s">
        <v>248</v>
      </c>
      <c r="AQ1836" s="2">
        <v>46279</v>
      </c>
      <c r="AR1836" s="1" t="s">
        <v>790</v>
      </c>
      <c r="AS1836" s="1" t="s">
        <v>71</v>
      </c>
      <c r="AU1836" s="1" t="s">
        <v>79</v>
      </c>
      <c r="AV1836" s="1" t="s">
        <v>80</v>
      </c>
      <c r="AW1836" s="1">
        <v>165.76</v>
      </c>
      <c r="AX1836" s="1">
        <v>0</v>
      </c>
      <c r="AZ1836" s="1" t="s">
        <v>81</v>
      </c>
      <c r="BA1836" s="1">
        <v>1</v>
      </c>
      <c r="BB1836" s="1">
        <v>0</v>
      </c>
      <c r="BC1836" s="1">
        <v>0</v>
      </c>
      <c r="BE1836" s="1">
        <v>27387921</v>
      </c>
    </row>
    <row r="1837" spans="1:57" x14ac:dyDescent="0.25">
      <c r="A1837" s="1" t="str">
        <f>T("1946128551061952236")</f>
        <v>1946128551061952236</v>
      </c>
      <c r="B1837" s="1" t="str">
        <f>T("249129507372")</f>
        <v>249129507372</v>
      </c>
      <c r="C1837" s="1" t="str">
        <f>T("1941094503314098356")</f>
        <v>1941094503314098356</v>
      </c>
      <c r="AC1837" s="1" t="s">
        <v>104</v>
      </c>
      <c r="AD1837" s="1" t="s">
        <v>151</v>
      </c>
      <c r="AE1837" s="1" t="s">
        <v>392</v>
      </c>
      <c r="AF1837" s="1" t="s">
        <v>107</v>
      </c>
      <c r="AG1837" s="1">
        <v>51</v>
      </c>
      <c r="AO1837" s="2">
        <v>46279</v>
      </c>
      <c r="AP1837" s="1" t="s">
        <v>248</v>
      </c>
      <c r="AS1837" s="1" t="s">
        <v>71</v>
      </c>
      <c r="AU1837" s="1" t="s">
        <v>72</v>
      </c>
      <c r="AV1837" s="1" t="s">
        <v>412</v>
      </c>
      <c r="AX1837" s="1">
        <v>0</v>
      </c>
      <c r="BA1837" s="1">
        <v>9</v>
      </c>
      <c r="BB1837" s="1">
        <v>0</v>
      </c>
      <c r="BC1837" s="1">
        <v>0</v>
      </c>
      <c r="BE1837" s="1">
        <v>27387921</v>
      </c>
    </row>
    <row r="1838" spans="1:57" x14ac:dyDescent="0.25">
      <c r="A1838" s="1" t="str">
        <f>T("1946128551112284332")</f>
        <v>1946128551112284332</v>
      </c>
      <c r="B1838" s="1" t="str">
        <f>T("249119644511")</f>
        <v>249119644511</v>
      </c>
      <c r="C1838" s="1" t="str">
        <f>T("1941094503314099356")</f>
        <v>1941094503314099356</v>
      </c>
      <c r="AA1838" s="1">
        <v>1</v>
      </c>
      <c r="AC1838" s="1" t="s">
        <v>104</v>
      </c>
      <c r="AD1838" s="1" t="s">
        <v>151</v>
      </c>
      <c r="AE1838" s="1" t="s">
        <v>392</v>
      </c>
      <c r="AF1838" s="1" t="s">
        <v>107</v>
      </c>
      <c r="AG1838" s="1">
        <v>41</v>
      </c>
      <c r="AO1838" s="2">
        <v>46279</v>
      </c>
      <c r="AP1838" s="1" t="s">
        <v>248</v>
      </c>
      <c r="AQ1838" s="2">
        <v>46279</v>
      </c>
      <c r="AR1838" s="1" t="s">
        <v>260</v>
      </c>
      <c r="AS1838" s="1" t="s">
        <v>71</v>
      </c>
      <c r="AU1838" s="1" t="s">
        <v>78</v>
      </c>
      <c r="AV1838" s="1" t="s">
        <v>80</v>
      </c>
      <c r="AW1838" s="1">
        <v>134.84</v>
      </c>
      <c r="AX1838" s="1">
        <v>0</v>
      </c>
      <c r="AZ1838" s="1" t="s">
        <v>81</v>
      </c>
      <c r="BA1838" s="1">
        <v>1</v>
      </c>
      <c r="BB1838" s="1">
        <v>0</v>
      </c>
      <c r="BC1838" s="1">
        <v>0</v>
      </c>
      <c r="BE1838" s="1">
        <v>27387921</v>
      </c>
    </row>
    <row r="1839" spans="1:57" x14ac:dyDescent="0.25">
      <c r="A1839" s="1" t="str">
        <f>T("1946128551124868556")</f>
        <v>1946128551124868556</v>
      </c>
      <c r="B1839" s="1" t="str">
        <f>T("249904015553")</f>
        <v>249904015553</v>
      </c>
      <c r="C1839" s="1" t="str">
        <f>T("1941094503314099856")</f>
        <v>1941094503314099856</v>
      </c>
      <c r="AC1839" s="1" t="s">
        <v>104</v>
      </c>
      <c r="AD1839" s="1" t="s">
        <v>151</v>
      </c>
      <c r="AE1839" s="1" t="s">
        <v>392</v>
      </c>
      <c r="AF1839" s="1" t="s">
        <v>107</v>
      </c>
      <c r="AG1839" s="1">
        <v>36</v>
      </c>
      <c r="AO1839" s="2">
        <v>46279</v>
      </c>
      <c r="AP1839" s="1" t="s">
        <v>248</v>
      </c>
      <c r="AS1839" s="1" t="s">
        <v>71</v>
      </c>
      <c r="AU1839" s="1" t="s">
        <v>72</v>
      </c>
      <c r="AV1839" s="1" t="s">
        <v>73</v>
      </c>
      <c r="AX1839" s="1">
        <v>0</v>
      </c>
      <c r="BA1839" s="1">
        <v>9</v>
      </c>
      <c r="BB1839" s="1">
        <v>0</v>
      </c>
      <c r="BC1839" s="1">
        <v>0</v>
      </c>
      <c r="BE1839" s="1">
        <v>27387921</v>
      </c>
    </row>
    <row r="1840" spans="1:57" x14ac:dyDescent="0.25">
      <c r="A1840" s="1" t="str">
        <f>T("1946128551166809936")</f>
        <v>1946128551166809936</v>
      </c>
      <c r="B1840" s="1" t="str">
        <f>T("249927364258")</f>
        <v>249927364258</v>
      </c>
      <c r="C1840" s="1" t="str">
        <f>T("1941094503318290664")</f>
        <v>1941094503318290664</v>
      </c>
      <c r="AC1840" s="1" t="s">
        <v>104</v>
      </c>
      <c r="AD1840" s="1" t="s">
        <v>151</v>
      </c>
      <c r="AE1840" s="1" t="s">
        <v>392</v>
      </c>
      <c r="AF1840" s="1" t="s">
        <v>107</v>
      </c>
      <c r="AG1840" s="1">
        <v>26</v>
      </c>
      <c r="AO1840" s="2">
        <v>46279</v>
      </c>
      <c r="AP1840" s="1" t="s">
        <v>248</v>
      </c>
      <c r="AS1840" s="1" t="s">
        <v>71</v>
      </c>
      <c r="AU1840" s="1" t="s">
        <v>72</v>
      </c>
      <c r="AV1840" s="1" t="s">
        <v>73</v>
      </c>
      <c r="AX1840" s="1">
        <v>0</v>
      </c>
      <c r="BA1840" s="1">
        <v>9</v>
      </c>
      <c r="BB1840" s="1">
        <v>0</v>
      </c>
      <c r="BC1840" s="1">
        <v>0</v>
      </c>
      <c r="BE1840" s="1">
        <v>27387921</v>
      </c>
    </row>
    <row r="1841" spans="1:57" x14ac:dyDescent="0.25">
      <c r="A1841" s="1" t="str">
        <f>T("1946128551179394360")</f>
        <v>1946128551179394360</v>
      </c>
      <c r="B1841" s="1" t="str">
        <f>T("249111279546")</f>
        <v>249111279546</v>
      </c>
      <c r="C1841" s="1" t="str">
        <f>T("1941094503318291064")</f>
        <v>1941094503318291064</v>
      </c>
      <c r="AC1841" s="1" t="s">
        <v>104</v>
      </c>
      <c r="AD1841" s="1" t="s">
        <v>151</v>
      </c>
      <c r="AE1841" s="1" t="s">
        <v>392</v>
      </c>
      <c r="AF1841" s="1" t="s">
        <v>107</v>
      </c>
      <c r="AG1841" s="1">
        <v>25</v>
      </c>
      <c r="AO1841" s="2">
        <v>46279</v>
      </c>
      <c r="AP1841" s="1" t="s">
        <v>248</v>
      </c>
      <c r="AS1841" s="1" t="s">
        <v>71</v>
      </c>
      <c r="AU1841" s="1" t="s">
        <v>72</v>
      </c>
      <c r="AV1841" s="1" t="s">
        <v>73</v>
      </c>
      <c r="AX1841" s="1">
        <v>0</v>
      </c>
      <c r="BA1841" s="1">
        <v>9</v>
      </c>
      <c r="BB1841" s="1">
        <v>0</v>
      </c>
      <c r="BC1841" s="1">
        <v>0</v>
      </c>
      <c r="BE1841" s="1">
        <v>27387921</v>
      </c>
    </row>
    <row r="1842" spans="1:57" x14ac:dyDescent="0.25">
      <c r="A1842" s="1" t="str">
        <f>T("1946128551208754916")</f>
        <v>1946128551208754916</v>
      </c>
      <c r="B1842" s="1" t="str">
        <f>T("249923496420")</f>
        <v>249923496420</v>
      </c>
      <c r="C1842" s="1" t="str">
        <f>T("1941094503318291464")</f>
        <v>1941094503318291464</v>
      </c>
      <c r="AA1842" s="1">
        <v>1</v>
      </c>
      <c r="AC1842" s="1" t="s">
        <v>104</v>
      </c>
      <c r="AD1842" s="1" t="s">
        <v>151</v>
      </c>
      <c r="AE1842" s="1" t="s">
        <v>392</v>
      </c>
      <c r="AF1842" s="1" t="s">
        <v>107</v>
      </c>
      <c r="AG1842" s="1">
        <v>27</v>
      </c>
      <c r="AO1842" s="2">
        <v>46279</v>
      </c>
      <c r="AP1842" s="1" t="s">
        <v>248</v>
      </c>
      <c r="AQ1842" s="2">
        <v>46279</v>
      </c>
      <c r="AR1842" s="1" t="s">
        <v>699</v>
      </c>
      <c r="AS1842" s="1" t="s">
        <v>71</v>
      </c>
      <c r="AU1842" s="1" t="s">
        <v>79</v>
      </c>
      <c r="AV1842" s="1" t="s">
        <v>80</v>
      </c>
      <c r="AW1842" s="1">
        <v>100.58</v>
      </c>
      <c r="AX1842" s="1">
        <v>0</v>
      </c>
      <c r="AZ1842" s="1" t="s">
        <v>81</v>
      </c>
      <c r="BA1842" s="1">
        <v>2</v>
      </c>
      <c r="BB1842" s="1">
        <v>0</v>
      </c>
      <c r="BC1842" s="1">
        <v>0</v>
      </c>
      <c r="BE1842" s="1">
        <v>27387921</v>
      </c>
    </row>
    <row r="1843" spans="1:57" x14ac:dyDescent="0.25">
      <c r="A1843" s="1" t="str">
        <f>T("1946128551242306580")</f>
        <v>1946128551242306580</v>
      </c>
      <c r="B1843" s="1" t="str">
        <f>T("249116055063")</f>
        <v>249116055063</v>
      </c>
      <c r="C1843" s="1" t="str">
        <f>T("1941094503318291864")</f>
        <v>1941094503318291864</v>
      </c>
      <c r="AA1843" s="1">
        <v>1</v>
      </c>
      <c r="AC1843" s="1" t="s">
        <v>104</v>
      </c>
      <c r="AD1843" s="1" t="s">
        <v>151</v>
      </c>
      <c r="AE1843" s="1" t="s">
        <v>392</v>
      </c>
      <c r="AF1843" s="1" t="s">
        <v>107</v>
      </c>
      <c r="AG1843" s="1">
        <v>30</v>
      </c>
      <c r="AO1843" s="2">
        <v>46279</v>
      </c>
      <c r="AP1843" s="1" t="s">
        <v>248</v>
      </c>
      <c r="AQ1843" s="2">
        <v>46279</v>
      </c>
      <c r="AR1843" s="1" t="s">
        <v>791</v>
      </c>
      <c r="AS1843" s="1" t="s">
        <v>71</v>
      </c>
      <c r="AU1843" s="1" t="s">
        <v>79</v>
      </c>
      <c r="AV1843" s="1" t="s">
        <v>80</v>
      </c>
      <c r="AW1843" s="1">
        <v>46.46</v>
      </c>
      <c r="AX1843" s="1">
        <v>0</v>
      </c>
      <c r="AZ1843" s="1" t="s">
        <v>81</v>
      </c>
      <c r="BA1843" s="1">
        <v>1</v>
      </c>
      <c r="BB1843" s="1">
        <v>0</v>
      </c>
      <c r="BC1843" s="1">
        <v>0</v>
      </c>
      <c r="BE1843" s="1">
        <v>27387921</v>
      </c>
    </row>
    <row r="1844" spans="1:57" x14ac:dyDescent="0.25">
      <c r="A1844" s="1" t="str">
        <f>T("1946128551259086012")</f>
        <v>1946128551259086012</v>
      </c>
      <c r="B1844" s="1" t="str">
        <f>T("249121660954")</f>
        <v>249121660954</v>
      </c>
      <c r="C1844" s="1" t="str">
        <f>T("1941094503318292164")</f>
        <v>1941094503318292164</v>
      </c>
      <c r="AA1844" s="1">
        <v>1</v>
      </c>
      <c r="AC1844" s="1" t="s">
        <v>104</v>
      </c>
      <c r="AD1844" s="1" t="s">
        <v>151</v>
      </c>
      <c r="AE1844" s="1" t="s">
        <v>392</v>
      </c>
      <c r="AF1844" s="1" t="s">
        <v>107</v>
      </c>
      <c r="AG1844" s="1">
        <v>23</v>
      </c>
      <c r="AO1844" s="2">
        <v>46279</v>
      </c>
      <c r="AP1844" s="1" t="s">
        <v>248</v>
      </c>
      <c r="AQ1844" s="2">
        <v>46279</v>
      </c>
      <c r="AR1844" s="1" t="s">
        <v>792</v>
      </c>
      <c r="AS1844" s="1" t="s">
        <v>71</v>
      </c>
      <c r="AU1844" s="1" t="s">
        <v>78</v>
      </c>
      <c r="AV1844" s="1" t="s">
        <v>80</v>
      </c>
      <c r="AW1844" s="1">
        <v>134.56</v>
      </c>
      <c r="AX1844" s="1">
        <v>0</v>
      </c>
      <c r="AZ1844" s="1" t="s">
        <v>81</v>
      </c>
      <c r="BA1844" s="1">
        <v>1</v>
      </c>
      <c r="BB1844" s="1">
        <v>0</v>
      </c>
      <c r="BC1844" s="1">
        <v>0</v>
      </c>
      <c r="BE1844" s="1">
        <v>27387921</v>
      </c>
    </row>
    <row r="1845" spans="1:57" x14ac:dyDescent="0.25">
      <c r="A1845" s="1" t="str">
        <f>T("1946128551309415808")</f>
        <v>1946128551309415808</v>
      </c>
      <c r="B1845" s="1" t="str">
        <f>T("249114897094")</f>
        <v>249114897094</v>
      </c>
      <c r="C1845" s="1" t="str">
        <f>T("1941094503318292664")</f>
        <v>1941094503318292664</v>
      </c>
      <c r="AC1845" s="1" t="s">
        <v>104</v>
      </c>
      <c r="AD1845" s="1" t="s">
        <v>151</v>
      </c>
      <c r="AE1845" s="1" t="s">
        <v>392</v>
      </c>
      <c r="AF1845" s="1" t="s">
        <v>107</v>
      </c>
      <c r="AG1845" s="1">
        <v>21</v>
      </c>
      <c r="AO1845" s="2">
        <v>46279</v>
      </c>
      <c r="AP1845" s="1" t="s">
        <v>248</v>
      </c>
      <c r="AQ1845" s="2">
        <v>46279</v>
      </c>
      <c r="AR1845" s="1" t="s">
        <v>793</v>
      </c>
      <c r="AS1845" s="1" t="s">
        <v>71</v>
      </c>
      <c r="AU1845" s="1" t="s">
        <v>79</v>
      </c>
      <c r="AV1845" s="1" t="s">
        <v>80</v>
      </c>
      <c r="AW1845" s="1">
        <v>27.24</v>
      </c>
      <c r="AX1845" s="1">
        <v>0</v>
      </c>
      <c r="AZ1845" s="1" t="s">
        <v>81</v>
      </c>
      <c r="BA1845" s="1">
        <v>7</v>
      </c>
      <c r="BB1845" s="1">
        <v>0</v>
      </c>
      <c r="BC1845" s="1">
        <v>0</v>
      </c>
      <c r="BE1845" s="1">
        <v>27387921</v>
      </c>
    </row>
    <row r="1846" spans="1:57" x14ac:dyDescent="0.25">
      <c r="A1846" s="1" t="str">
        <f>T("1946128551313611116")</f>
        <v>1946128551313611116</v>
      </c>
      <c r="B1846" s="1" t="str">
        <f>T("249112250218")</f>
        <v>249112250218</v>
      </c>
      <c r="C1846" s="1" t="str">
        <f>T("1941094503318292964")</f>
        <v>1941094503318292964</v>
      </c>
      <c r="AC1846" s="1" t="s">
        <v>104</v>
      </c>
      <c r="AD1846" s="1" t="s">
        <v>151</v>
      </c>
      <c r="AE1846" s="1" t="s">
        <v>392</v>
      </c>
      <c r="AF1846" s="1" t="s">
        <v>107</v>
      </c>
      <c r="AG1846" s="1">
        <v>31</v>
      </c>
      <c r="AO1846" s="2">
        <v>46279</v>
      </c>
      <c r="AP1846" s="1" t="s">
        <v>248</v>
      </c>
      <c r="AQ1846" s="2">
        <v>46279</v>
      </c>
      <c r="AR1846" s="1" t="s">
        <v>477</v>
      </c>
      <c r="AS1846" s="1" t="s">
        <v>71</v>
      </c>
      <c r="AU1846" s="1" t="s">
        <v>79</v>
      </c>
      <c r="AV1846" s="1" t="s">
        <v>80</v>
      </c>
      <c r="AW1846" s="1">
        <v>10.199999999999999</v>
      </c>
      <c r="AX1846" s="1">
        <v>0</v>
      </c>
      <c r="AZ1846" s="1" t="s">
        <v>81</v>
      </c>
      <c r="BA1846" s="1">
        <v>1</v>
      </c>
      <c r="BB1846" s="1">
        <v>0</v>
      </c>
      <c r="BC1846" s="1">
        <v>0</v>
      </c>
      <c r="BE1846" s="1">
        <v>27387921</v>
      </c>
    </row>
    <row r="1847" spans="1:57" x14ac:dyDescent="0.25">
      <c r="A1847" s="1" t="str">
        <f>T("1946128551363940912")</f>
        <v>1946128551363940912</v>
      </c>
      <c r="B1847" s="1" t="str">
        <f>T("24911347568")</f>
        <v>24911347568</v>
      </c>
      <c r="C1847" s="1" t="str">
        <f>T("1941094503318293364")</f>
        <v>1941094503318293364</v>
      </c>
      <c r="AC1847" s="1" t="s">
        <v>104</v>
      </c>
      <c r="AD1847" s="1" t="s">
        <v>151</v>
      </c>
      <c r="AE1847" s="1" t="s">
        <v>392</v>
      </c>
      <c r="AF1847" s="1" t="s">
        <v>107</v>
      </c>
      <c r="AG1847" s="1">
        <v>20</v>
      </c>
      <c r="AO1847" s="2">
        <v>46279</v>
      </c>
      <c r="AP1847" s="1" t="s">
        <v>248</v>
      </c>
      <c r="AS1847" s="1" t="s">
        <v>71</v>
      </c>
      <c r="AU1847" s="1" t="s">
        <v>72</v>
      </c>
      <c r="AV1847" s="1" t="s">
        <v>73</v>
      </c>
      <c r="AX1847" s="1">
        <v>0</v>
      </c>
      <c r="BA1847" s="1">
        <v>9</v>
      </c>
      <c r="BB1847" s="1">
        <v>0</v>
      </c>
      <c r="BC1847" s="1">
        <v>0</v>
      </c>
      <c r="BE1847" s="1">
        <v>27387921</v>
      </c>
    </row>
    <row r="1848" spans="1:57" x14ac:dyDescent="0.25">
      <c r="A1848" s="1" t="str">
        <f>T("1946128551363944012")</f>
        <v>1946128551363944012</v>
      </c>
      <c r="B1848" s="1" t="str">
        <f>T("249129834789")</f>
        <v>249129834789</v>
      </c>
      <c r="C1848" s="1" t="str">
        <f>T("1941094503318293764")</f>
        <v>1941094503318293764</v>
      </c>
      <c r="AA1848" s="1">
        <v>1</v>
      </c>
      <c r="AC1848" s="1" t="s">
        <v>104</v>
      </c>
      <c r="AD1848" s="1" t="s">
        <v>151</v>
      </c>
      <c r="AE1848" s="1" t="s">
        <v>392</v>
      </c>
      <c r="AF1848" s="1" t="s">
        <v>107</v>
      </c>
      <c r="AG1848" s="1">
        <v>39</v>
      </c>
      <c r="AO1848" s="2">
        <v>46279</v>
      </c>
      <c r="AP1848" s="1" t="s">
        <v>248</v>
      </c>
      <c r="AQ1848" s="2">
        <v>46279</v>
      </c>
      <c r="AR1848" s="1" t="s">
        <v>794</v>
      </c>
      <c r="AS1848" s="1" t="s">
        <v>71</v>
      </c>
      <c r="AU1848" s="1" t="s">
        <v>79</v>
      </c>
      <c r="AV1848" s="1" t="s">
        <v>80</v>
      </c>
      <c r="AW1848" s="1">
        <v>46.94</v>
      </c>
      <c r="AX1848" s="1">
        <v>0</v>
      </c>
      <c r="AZ1848" s="1" t="s">
        <v>81</v>
      </c>
      <c r="BA1848" s="1">
        <v>7</v>
      </c>
      <c r="BB1848" s="1">
        <v>0</v>
      </c>
      <c r="BC1848" s="1">
        <v>0</v>
      </c>
      <c r="BE1848" s="1">
        <v>27387921</v>
      </c>
    </row>
    <row r="1849" spans="1:57" x14ac:dyDescent="0.25">
      <c r="A1849" s="1" t="str">
        <f>T("1946128551410081000")</f>
        <v>1946128551410081000</v>
      </c>
      <c r="B1849" s="1" t="str">
        <f>T("249119054144")</f>
        <v>249119054144</v>
      </c>
      <c r="C1849" s="1" t="str">
        <f>T("1941094503318294164")</f>
        <v>1941094503318294164</v>
      </c>
      <c r="AC1849" s="1" t="s">
        <v>104</v>
      </c>
      <c r="AD1849" s="1" t="s">
        <v>151</v>
      </c>
      <c r="AE1849" s="1" t="s">
        <v>392</v>
      </c>
      <c r="AF1849" s="1" t="s">
        <v>107</v>
      </c>
      <c r="AG1849" s="1">
        <v>18</v>
      </c>
      <c r="AO1849" s="2">
        <v>46279</v>
      </c>
      <c r="AP1849" s="1" t="s">
        <v>248</v>
      </c>
      <c r="AQ1849" s="2">
        <v>46279</v>
      </c>
      <c r="AR1849" s="1" t="s">
        <v>795</v>
      </c>
      <c r="AS1849" s="1" t="s">
        <v>71</v>
      </c>
      <c r="AU1849" s="1" t="s">
        <v>79</v>
      </c>
      <c r="AV1849" s="1" t="s">
        <v>480</v>
      </c>
      <c r="AW1849" s="1">
        <v>5.4</v>
      </c>
      <c r="AX1849" s="1">
        <v>0</v>
      </c>
      <c r="AZ1849" s="1" t="s">
        <v>81</v>
      </c>
      <c r="BA1849" s="1">
        <v>1</v>
      </c>
      <c r="BB1849" s="1">
        <v>0</v>
      </c>
      <c r="BC1849" s="1">
        <v>0</v>
      </c>
      <c r="BE1849" s="1">
        <v>27387921</v>
      </c>
    </row>
    <row r="1850" spans="1:57" x14ac:dyDescent="0.25">
      <c r="A1850" s="1" t="str">
        <f>T("1946128551414274208")</f>
        <v>1946128551414274208</v>
      </c>
      <c r="B1850" s="1" t="str">
        <f>T("249115008832")</f>
        <v>249115008832</v>
      </c>
      <c r="C1850" s="1" t="str">
        <f>T("1941094503322484772")</f>
        <v>1941094503322484772</v>
      </c>
      <c r="M1850" s="1" t="s">
        <v>59</v>
      </c>
      <c r="O1850" s="1" t="s">
        <v>65</v>
      </c>
      <c r="P1850" s="1" t="s">
        <v>83</v>
      </c>
      <c r="Q1850" s="1" t="s">
        <v>112</v>
      </c>
      <c r="R1850" s="1" t="s">
        <v>84</v>
      </c>
      <c r="S1850" s="1" t="s">
        <v>61</v>
      </c>
      <c r="U1850" s="1" t="s">
        <v>65</v>
      </c>
      <c r="V1850" s="1" t="s">
        <v>103</v>
      </c>
      <c r="W1850" s="1" t="s">
        <v>67</v>
      </c>
      <c r="X1850" s="1" t="s">
        <v>103</v>
      </c>
      <c r="Y1850" s="1" t="s">
        <v>69</v>
      </c>
      <c r="AA1850" s="1">
        <v>1</v>
      </c>
      <c r="AB1850" s="1">
        <v>1</v>
      </c>
      <c r="AC1850" s="1" t="s">
        <v>104</v>
      </c>
      <c r="AD1850" s="1" t="s">
        <v>151</v>
      </c>
      <c r="AE1850" s="1" t="s">
        <v>392</v>
      </c>
      <c r="AF1850" s="1" t="s">
        <v>107</v>
      </c>
      <c r="AG1850" s="1">
        <v>23</v>
      </c>
      <c r="AO1850" s="2">
        <v>46279</v>
      </c>
      <c r="AP1850" s="1" t="s">
        <v>248</v>
      </c>
      <c r="AQ1850" s="2">
        <v>46279</v>
      </c>
      <c r="AR1850" s="1" t="s">
        <v>796</v>
      </c>
      <c r="AS1850" s="1" t="s">
        <v>71</v>
      </c>
      <c r="AU1850" s="1" t="s">
        <v>78</v>
      </c>
      <c r="AV1850" s="1" t="s">
        <v>80</v>
      </c>
      <c r="AW1850" s="1">
        <v>216.94</v>
      </c>
      <c r="AX1850" s="1">
        <v>0</v>
      </c>
      <c r="AZ1850" s="1" t="s">
        <v>81</v>
      </c>
      <c r="BA1850" s="1">
        <v>4</v>
      </c>
      <c r="BB1850" s="1">
        <v>0</v>
      </c>
      <c r="BC1850" s="1">
        <v>0</v>
      </c>
      <c r="BE1850" s="1">
        <v>27387921</v>
      </c>
    </row>
    <row r="1851" spans="1:57" x14ac:dyDescent="0.25">
      <c r="A1851" s="1" t="str">
        <f>T("1946128551460410496")</f>
        <v>1946128551460410496</v>
      </c>
      <c r="B1851" s="1" t="str">
        <f>T("249921273052")</f>
        <v>249921273052</v>
      </c>
      <c r="C1851" s="1" t="str">
        <f>T("1941094503322485172")</f>
        <v>1941094503322485172</v>
      </c>
      <c r="AC1851" s="1" t="s">
        <v>104</v>
      </c>
      <c r="AD1851" s="1" t="s">
        <v>151</v>
      </c>
      <c r="AE1851" s="1" t="s">
        <v>392</v>
      </c>
      <c r="AF1851" s="1" t="s">
        <v>107</v>
      </c>
      <c r="AG1851" s="1">
        <v>19</v>
      </c>
      <c r="AO1851" s="2">
        <v>46279</v>
      </c>
      <c r="AP1851" s="1" t="s">
        <v>248</v>
      </c>
      <c r="AS1851" s="1" t="s">
        <v>71</v>
      </c>
      <c r="AU1851" s="1" t="s">
        <v>72</v>
      </c>
      <c r="AV1851" s="1" t="s">
        <v>73</v>
      </c>
      <c r="AX1851" s="1">
        <v>0</v>
      </c>
      <c r="BA1851" s="1">
        <v>9</v>
      </c>
      <c r="BB1851" s="1">
        <v>0</v>
      </c>
      <c r="BC1851" s="1">
        <v>0</v>
      </c>
      <c r="BE1851" s="1">
        <v>27387921</v>
      </c>
    </row>
    <row r="1852" spans="1:57" x14ac:dyDescent="0.25">
      <c r="A1852" s="1" t="str">
        <f>T("1946128551464606704")</f>
        <v>1946128551464606704</v>
      </c>
      <c r="B1852" s="1" t="str">
        <f>T("249111786273")</f>
        <v>249111786273</v>
      </c>
      <c r="C1852" s="1" t="str">
        <f>T("1941094503322485572")</f>
        <v>1941094503322485572</v>
      </c>
      <c r="M1852" s="1" t="s">
        <v>133</v>
      </c>
      <c r="N1852" s="1" t="s">
        <v>60</v>
      </c>
      <c r="O1852" s="1" t="s">
        <v>65</v>
      </c>
      <c r="P1852" s="1" t="s">
        <v>91</v>
      </c>
      <c r="Q1852" s="1" t="s">
        <v>112</v>
      </c>
      <c r="R1852" s="1" t="s">
        <v>84</v>
      </c>
      <c r="S1852" s="1" t="s">
        <v>159</v>
      </c>
      <c r="U1852" s="1" t="s">
        <v>65</v>
      </c>
      <c r="V1852" s="1" t="s">
        <v>102</v>
      </c>
      <c r="W1852" s="1" t="s">
        <v>60</v>
      </c>
      <c r="X1852" s="1" t="s">
        <v>102</v>
      </c>
      <c r="Y1852" s="1" t="s">
        <v>69</v>
      </c>
      <c r="AA1852" s="1">
        <v>1</v>
      </c>
      <c r="AB1852" s="1">
        <v>1</v>
      </c>
      <c r="AC1852" s="1" t="s">
        <v>104</v>
      </c>
      <c r="AD1852" s="1" t="s">
        <v>151</v>
      </c>
      <c r="AE1852" s="1" t="s">
        <v>392</v>
      </c>
      <c r="AF1852" s="1" t="s">
        <v>107</v>
      </c>
      <c r="AG1852" s="1">
        <v>27</v>
      </c>
      <c r="AO1852" s="2">
        <v>46279</v>
      </c>
      <c r="AP1852" s="1" t="s">
        <v>248</v>
      </c>
      <c r="AQ1852" s="2">
        <v>46279</v>
      </c>
      <c r="AR1852" s="1" t="s">
        <v>675</v>
      </c>
      <c r="AS1852" s="1" t="s">
        <v>71</v>
      </c>
      <c r="AU1852" s="1" t="s">
        <v>78</v>
      </c>
      <c r="AV1852" s="1" t="s">
        <v>80</v>
      </c>
      <c r="AW1852" s="1">
        <v>322.98</v>
      </c>
      <c r="AX1852" s="1">
        <v>0</v>
      </c>
      <c r="AZ1852" s="1" t="s">
        <v>81</v>
      </c>
      <c r="BA1852" s="1">
        <v>1</v>
      </c>
      <c r="BB1852" s="1">
        <v>0</v>
      </c>
      <c r="BC1852" s="1">
        <v>0</v>
      </c>
      <c r="BE1852" s="1">
        <v>27387921</v>
      </c>
    </row>
    <row r="1853" spans="1:57" x14ac:dyDescent="0.25">
      <c r="A1853" s="1" t="str">
        <f>T("1946128551514937300")</f>
        <v>1946128551514937300</v>
      </c>
      <c r="B1853" s="1" t="str">
        <f>T("249124004972")</f>
        <v>249124004972</v>
      </c>
      <c r="C1853" s="1" t="str">
        <f>T("1941094503322485872")</f>
        <v>1941094503322485872</v>
      </c>
      <c r="AC1853" s="1" t="s">
        <v>104</v>
      </c>
      <c r="AD1853" s="1" t="s">
        <v>151</v>
      </c>
      <c r="AE1853" s="1" t="s">
        <v>392</v>
      </c>
      <c r="AF1853" s="1" t="s">
        <v>107</v>
      </c>
      <c r="AG1853" s="1">
        <v>27</v>
      </c>
      <c r="AO1853" s="2">
        <v>46279</v>
      </c>
      <c r="AP1853" s="1" t="s">
        <v>248</v>
      </c>
      <c r="AS1853" s="1" t="s">
        <v>71</v>
      </c>
      <c r="AU1853" s="1" t="s">
        <v>72</v>
      </c>
      <c r="AV1853" s="1" t="s">
        <v>115</v>
      </c>
      <c r="AX1853" s="1">
        <v>0</v>
      </c>
      <c r="BA1853" s="1">
        <v>9</v>
      </c>
      <c r="BB1853" s="1">
        <v>0</v>
      </c>
      <c r="BC1853" s="1">
        <v>0</v>
      </c>
      <c r="BE1853" s="1">
        <v>27387921</v>
      </c>
    </row>
    <row r="1854" spans="1:57" x14ac:dyDescent="0.25">
      <c r="A1854" s="1" t="str">
        <f>T("1946128551514938600")</f>
        <v>1946128551514938600</v>
      </c>
      <c r="B1854" s="1" t="str">
        <f>T("249115644336")</f>
        <v>249115644336</v>
      </c>
      <c r="C1854" s="1" t="str">
        <f>T("1941094503322486272")</f>
        <v>1941094503322486272</v>
      </c>
      <c r="AA1854" s="1">
        <v>1</v>
      </c>
      <c r="AC1854" s="1" t="s">
        <v>104</v>
      </c>
      <c r="AD1854" s="1" t="s">
        <v>151</v>
      </c>
      <c r="AE1854" s="1" t="s">
        <v>392</v>
      </c>
      <c r="AF1854" s="1" t="s">
        <v>107</v>
      </c>
      <c r="AG1854" s="1">
        <v>26</v>
      </c>
      <c r="AO1854" s="2">
        <v>46279</v>
      </c>
      <c r="AP1854" s="1" t="s">
        <v>248</v>
      </c>
      <c r="AQ1854" s="2">
        <v>46279</v>
      </c>
      <c r="AR1854" s="1" t="s">
        <v>797</v>
      </c>
      <c r="AS1854" s="1" t="s">
        <v>71</v>
      </c>
      <c r="AU1854" s="1" t="s">
        <v>79</v>
      </c>
      <c r="AV1854" s="1" t="s">
        <v>80</v>
      </c>
      <c r="AW1854" s="1">
        <v>43.98</v>
      </c>
      <c r="AX1854" s="1">
        <v>0</v>
      </c>
      <c r="AZ1854" s="1" t="s">
        <v>81</v>
      </c>
      <c r="BA1854" s="1">
        <v>2</v>
      </c>
      <c r="BB1854" s="1">
        <v>0</v>
      </c>
      <c r="BC1854" s="1">
        <v>0</v>
      </c>
      <c r="BE1854" s="1">
        <v>27387921</v>
      </c>
    </row>
    <row r="1855" spans="1:57" x14ac:dyDescent="0.25">
      <c r="A1855" s="1" t="str">
        <f>T("1946128551573659512")</f>
        <v>1946128551573659512</v>
      </c>
      <c r="B1855" s="1" t="str">
        <f>T("249127967940")</f>
        <v>249127967940</v>
      </c>
      <c r="C1855" s="1" t="str">
        <f>T("1941094503322486772")</f>
        <v>1941094503322486772</v>
      </c>
      <c r="AA1855" s="1">
        <v>1</v>
      </c>
      <c r="AC1855" s="1" t="s">
        <v>104</v>
      </c>
      <c r="AD1855" s="1" t="s">
        <v>151</v>
      </c>
      <c r="AE1855" s="1" t="s">
        <v>392</v>
      </c>
      <c r="AF1855" s="1" t="s">
        <v>107</v>
      </c>
      <c r="AG1855" s="1">
        <v>38</v>
      </c>
      <c r="AO1855" s="2">
        <v>46279</v>
      </c>
      <c r="AP1855" s="1" t="s">
        <v>248</v>
      </c>
      <c r="AQ1855" s="2">
        <v>46279</v>
      </c>
      <c r="AR1855" s="1" t="s">
        <v>798</v>
      </c>
      <c r="AS1855" s="1" t="s">
        <v>71</v>
      </c>
      <c r="AU1855" s="1" t="s">
        <v>78</v>
      </c>
      <c r="AV1855" s="1" t="s">
        <v>80</v>
      </c>
      <c r="AW1855" s="1">
        <v>134.6</v>
      </c>
      <c r="AX1855" s="1">
        <v>0</v>
      </c>
      <c r="AZ1855" s="1" t="s">
        <v>81</v>
      </c>
      <c r="BA1855" s="1">
        <v>3</v>
      </c>
      <c r="BB1855" s="1">
        <v>0</v>
      </c>
      <c r="BC1855" s="1">
        <v>0</v>
      </c>
      <c r="BE1855" s="1">
        <v>27387921</v>
      </c>
    </row>
    <row r="1856" spans="1:57" x14ac:dyDescent="0.25">
      <c r="A1856" s="1" t="str">
        <f>T("1946128551577853220")</f>
        <v>1946128551577853220</v>
      </c>
      <c r="B1856" s="1" t="str">
        <f>T("249991550358")</f>
        <v>249991550358</v>
      </c>
      <c r="C1856" s="1" t="str">
        <f>T("1941094503322487172")</f>
        <v>1941094503322487172</v>
      </c>
      <c r="AC1856" s="1" t="s">
        <v>104</v>
      </c>
      <c r="AD1856" s="1" t="s">
        <v>151</v>
      </c>
      <c r="AE1856" s="1" t="s">
        <v>392</v>
      </c>
      <c r="AF1856" s="1" t="s">
        <v>107</v>
      </c>
      <c r="AG1856" s="1">
        <v>22</v>
      </c>
      <c r="AO1856" s="2">
        <v>46279</v>
      </c>
      <c r="AP1856" s="1" t="s">
        <v>248</v>
      </c>
      <c r="AS1856" s="1" t="s">
        <v>71</v>
      </c>
      <c r="AU1856" s="1" t="s">
        <v>72</v>
      </c>
      <c r="AV1856" s="1" t="s">
        <v>73</v>
      </c>
      <c r="AX1856" s="1">
        <v>0</v>
      </c>
      <c r="BA1856" s="1">
        <v>9</v>
      </c>
      <c r="BB1856" s="1">
        <v>0</v>
      </c>
      <c r="BC1856" s="1">
        <v>0</v>
      </c>
      <c r="BE1856" s="1">
        <v>27387921</v>
      </c>
    </row>
    <row r="1857" spans="1:57" x14ac:dyDescent="0.25">
      <c r="A1857" s="1" t="str">
        <f>T("1946128551623991008")</f>
        <v>1946128551623991008</v>
      </c>
      <c r="B1857" s="1" t="str">
        <f>T("249126861341")</f>
        <v>249126861341</v>
      </c>
      <c r="C1857" s="1" t="str">
        <f>T("1941094503330875188")</f>
        <v>1941094503330875188</v>
      </c>
      <c r="AA1857" s="1">
        <v>1</v>
      </c>
      <c r="AC1857" s="1" t="s">
        <v>104</v>
      </c>
      <c r="AD1857" s="1" t="s">
        <v>151</v>
      </c>
      <c r="AE1857" s="1" t="s">
        <v>392</v>
      </c>
      <c r="AF1857" s="1" t="s">
        <v>107</v>
      </c>
      <c r="AG1857" s="1">
        <v>27</v>
      </c>
      <c r="AO1857" s="2">
        <v>46279</v>
      </c>
      <c r="AP1857" s="1" t="s">
        <v>248</v>
      </c>
      <c r="AQ1857" s="2">
        <v>46279</v>
      </c>
      <c r="AR1857" s="1" t="s">
        <v>799</v>
      </c>
      <c r="AS1857" s="1" t="s">
        <v>71</v>
      </c>
      <c r="AU1857" s="1" t="s">
        <v>79</v>
      </c>
      <c r="AV1857" s="1" t="s">
        <v>80</v>
      </c>
      <c r="AW1857" s="1">
        <v>50.24</v>
      </c>
      <c r="AX1857" s="1">
        <v>0</v>
      </c>
      <c r="AZ1857" s="1" t="s">
        <v>81</v>
      </c>
      <c r="BA1857" s="1">
        <v>2</v>
      </c>
      <c r="BB1857" s="1">
        <v>0</v>
      </c>
      <c r="BC1857" s="1">
        <v>0</v>
      </c>
      <c r="BE1857" s="1">
        <v>27387921</v>
      </c>
    </row>
    <row r="1858" spans="1:57" x14ac:dyDescent="0.25">
      <c r="A1858" s="1" t="str">
        <f>T("1946128551628184516")</f>
        <v>1946128551628184516</v>
      </c>
      <c r="B1858" s="1" t="str">
        <f>T("249927216348")</f>
        <v>249927216348</v>
      </c>
      <c r="C1858" s="1" t="str">
        <f>T("1941094503330875788")</f>
        <v>1941094503330875788</v>
      </c>
      <c r="M1858" s="1" t="s">
        <v>59</v>
      </c>
      <c r="O1858" s="1" t="s">
        <v>65</v>
      </c>
      <c r="P1858" s="1" t="s">
        <v>83</v>
      </c>
      <c r="Q1858" s="1" t="s">
        <v>92</v>
      </c>
      <c r="R1858" s="1" t="s">
        <v>63</v>
      </c>
      <c r="S1858" s="1" t="s">
        <v>159</v>
      </c>
      <c r="AA1858" s="1">
        <v>1</v>
      </c>
      <c r="AC1858" s="1" t="s">
        <v>104</v>
      </c>
      <c r="AD1858" s="1" t="s">
        <v>151</v>
      </c>
      <c r="AE1858" s="1" t="s">
        <v>392</v>
      </c>
      <c r="AF1858" s="1" t="s">
        <v>107</v>
      </c>
      <c r="AG1858" s="1">
        <v>27</v>
      </c>
      <c r="AO1858" s="2">
        <v>46279</v>
      </c>
      <c r="AP1858" s="1" t="s">
        <v>248</v>
      </c>
      <c r="AQ1858" s="2">
        <v>46279</v>
      </c>
      <c r="AR1858" s="1" t="s">
        <v>800</v>
      </c>
      <c r="AS1858" s="1" t="s">
        <v>71</v>
      </c>
      <c r="AU1858" s="1" t="s">
        <v>79</v>
      </c>
      <c r="AV1858" s="1" t="s">
        <v>80</v>
      </c>
      <c r="AW1858" s="1">
        <v>118.38</v>
      </c>
      <c r="AX1858" s="1">
        <v>0</v>
      </c>
      <c r="AZ1858" s="1" t="s">
        <v>81</v>
      </c>
      <c r="BA1858" s="1">
        <v>9</v>
      </c>
      <c r="BB1858" s="1">
        <v>0</v>
      </c>
      <c r="BC1858" s="1">
        <v>0</v>
      </c>
      <c r="BE1858" s="1">
        <v>27387921</v>
      </c>
    </row>
    <row r="1859" spans="1:57" x14ac:dyDescent="0.25">
      <c r="A1859" s="1" t="str">
        <f>T("1946128551682709120")</f>
        <v>1946128551682709120</v>
      </c>
      <c r="B1859" s="1" t="str">
        <f>T("249117257880")</f>
        <v>249117257880</v>
      </c>
      <c r="C1859" s="1" t="str">
        <f>T("1941094503335068396")</f>
        <v>1941094503335068396</v>
      </c>
      <c r="AC1859" s="1" t="s">
        <v>104</v>
      </c>
      <c r="AD1859" s="1" t="s">
        <v>151</v>
      </c>
      <c r="AE1859" s="1" t="s">
        <v>392</v>
      </c>
      <c r="AF1859" s="1" t="s">
        <v>107</v>
      </c>
      <c r="AG1859" s="1">
        <v>36</v>
      </c>
      <c r="AO1859" s="2">
        <v>46279</v>
      </c>
      <c r="AP1859" s="1" t="s">
        <v>248</v>
      </c>
      <c r="AS1859" s="1" t="s">
        <v>71</v>
      </c>
      <c r="AU1859" s="1" t="s">
        <v>72</v>
      </c>
      <c r="AV1859" s="1" t="s">
        <v>73</v>
      </c>
      <c r="AX1859" s="1">
        <v>0</v>
      </c>
      <c r="BA1859" s="1">
        <v>9</v>
      </c>
      <c r="BB1859" s="1">
        <v>0</v>
      </c>
      <c r="BC1859" s="1">
        <v>0</v>
      </c>
      <c r="BE1859" s="1">
        <v>27387921</v>
      </c>
    </row>
    <row r="1860" spans="1:57" x14ac:dyDescent="0.25">
      <c r="A1860" s="1" t="str">
        <f>T("1946128551686904128")</f>
        <v>1946128551686904128</v>
      </c>
      <c r="B1860" s="1" t="str">
        <f>T("249118298977")</f>
        <v>249118298977</v>
      </c>
      <c r="C1860" s="1" t="str">
        <f>T("1941094503335068996")</f>
        <v>1941094503335068996</v>
      </c>
      <c r="AA1860" s="1">
        <v>1</v>
      </c>
      <c r="AC1860" s="1" t="s">
        <v>104</v>
      </c>
      <c r="AD1860" s="1" t="s">
        <v>151</v>
      </c>
      <c r="AE1860" s="1" t="s">
        <v>392</v>
      </c>
      <c r="AF1860" s="1" t="s">
        <v>107</v>
      </c>
      <c r="AG1860" s="1">
        <v>52</v>
      </c>
      <c r="AO1860" s="2">
        <v>46279</v>
      </c>
      <c r="AP1860" s="1" t="s">
        <v>248</v>
      </c>
      <c r="AQ1860" s="2">
        <v>46279</v>
      </c>
      <c r="AR1860" s="1" t="s">
        <v>801</v>
      </c>
      <c r="AS1860" s="1" t="s">
        <v>71</v>
      </c>
      <c r="AU1860" s="1" t="s">
        <v>79</v>
      </c>
      <c r="AV1860" s="1" t="s">
        <v>80</v>
      </c>
      <c r="AW1860" s="1">
        <v>72.680000000000007</v>
      </c>
      <c r="AX1860" s="1">
        <v>0</v>
      </c>
      <c r="AZ1860" s="1" t="s">
        <v>81</v>
      </c>
      <c r="BA1860" s="1">
        <v>3</v>
      </c>
      <c r="BB1860" s="1">
        <v>0</v>
      </c>
      <c r="BC1860" s="1">
        <v>0</v>
      </c>
      <c r="BE1860" s="1">
        <v>27387921</v>
      </c>
    </row>
    <row r="1861" spans="1:57" x14ac:dyDescent="0.25">
      <c r="A1861" s="1" t="str">
        <f>T("1946128551745623540")</f>
        <v>1946128551745623540</v>
      </c>
      <c r="B1861" s="1" t="str">
        <f>T("249118940505")</f>
        <v>249118940505</v>
      </c>
      <c r="C1861" s="1" t="str">
        <f>T("1941094503335069296")</f>
        <v>1941094503335069296</v>
      </c>
      <c r="AC1861" s="1" t="s">
        <v>104</v>
      </c>
      <c r="AD1861" s="1" t="s">
        <v>151</v>
      </c>
      <c r="AE1861" s="1" t="s">
        <v>392</v>
      </c>
      <c r="AF1861" s="1" t="s">
        <v>107</v>
      </c>
      <c r="AG1861" s="1">
        <v>28</v>
      </c>
      <c r="AO1861" s="2">
        <v>46279</v>
      </c>
      <c r="AP1861" s="1" t="s">
        <v>248</v>
      </c>
      <c r="AQ1861" s="2">
        <v>46279</v>
      </c>
      <c r="AR1861" s="1" t="s">
        <v>802</v>
      </c>
      <c r="AS1861" s="1" t="s">
        <v>71</v>
      </c>
      <c r="AU1861" s="1" t="s">
        <v>79</v>
      </c>
      <c r="AV1861" s="1" t="s">
        <v>80</v>
      </c>
      <c r="AW1861" s="1">
        <v>28.3</v>
      </c>
      <c r="AX1861" s="1">
        <v>0</v>
      </c>
      <c r="AZ1861" s="1" t="s">
        <v>81</v>
      </c>
      <c r="BA1861" s="1">
        <v>1</v>
      </c>
      <c r="BB1861" s="1">
        <v>0</v>
      </c>
      <c r="BC1861" s="1">
        <v>0</v>
      </c>
      <c r="BE1861" s="1">
        <v>27387921</v>
      </c>
    </row>
    <row r="1862" spans="1:57" x14ac:dyDescent="0.25">
      <c r="A1862" s="1" t="str">
        <f>T("1946128551749819648")</f>
        <v>1946128551749819648</v>
      </c>
      <c r="B1862" s="1" t="str">
        <f>T("249128799986")</f>
        <v>249128799986</v>
      </c>
      <c r="C1862" s="1" t="str">
        <f>T("1941094503335069896")</f>
        <v>1941094503335069896</v>
      </c>
      <c r="AA1862" s="1">
        <v>1</v>
      </c>
      <c r="AC1862" s="1" t="s">
        <v>104</v>
      </c>
      <c r="AD1862" s="1" t="s">
        <v>151</v>
      </c>
      <c r="AE1862" s="1" t="s">
        <v>392</v>
      </c>
      <c r="AF1862" s="1" t="s">
        <v>107</v>
      </c>
      <c r="AG1862" s="1">
        <v>56</v>
      </c>
      <c r="AO1862" s="2">
        <v>46279</v>
      </c>
      <c r="AP1862" s="1" t="s">
        <v>248</v>
      </c>
      <c r="AQ1862" s="2">
        <v>46279</v>
      </c>
      <c r="AR1862" s="1" t="s">
        <v>803</v>
      </c>
      <c r="AS1862" s="1" t="s">
        <v>71</v>
      </c>
      <c r="AU1862" s="1" t="s">
        <v>78</v>
      </c>
      <c r="AV1862" s="1" t="s">
        <v>80</v>
      </c>
      <c r="AW1862" s="1">
        <v>134.54</v>
      </c>
      <c r="AX1862" s="1">
        <v>0</v>
      </c>
      <c r="AZ1862" s="1" t="s">
        <v>81</v>
      </c>
      <c r="BA1862" s="1">
        <v>1</v>
      </c>
      <c r="BB1862" s="1">
        <v>0</v>
      </c>
      <c r="BC1862" s="1">
        <v>0</v>
      </c>
      <c r="BE1862" s="1">
        <v>27387921</v>
      </c>
    </row>
    <row r="1863" spans="1:57" x14ac:dyDescent="0.25">
      <c r="A1863" s="1" t="str">
        <f>T("1946128551795956036")</f>
        <v>1946128551795956036</v>
      </c>
      <c r="B1863" s="1" t="str">
        <f>T("249111543740")</f>
        <v>249111543740</v>
      </c>
      <c r="C1863" s="1" t="str">
        <f>T("1941094503339262604")</f>
        <v>1941094503339262604</v>
      </c>
      <c r="AA1863" s="1">
        <v>1</v>
      </c>
      <c r="AC1863" s="1" t="s">
        <v>104</v>
      </c>
      <c r="AD1863" s="1" t="s">
        <v>151</v>
      </c>
      <c r="AE1863" s="1" t="s">
        <v>392</v>
      </c>
      <c r="AF1863" s="1" t="s">
        <v>107</v>
      </c>
      <c r="AG1863" s="1">
        <v>27</v>
      </c>
      <c r="AO1863" s="2">
        <v>46279</v>
      </c>
      <c r="AP1863" s="1" t="s">
        <v>248</v>
      </c>
      <c r="AQ1863" s="2">
        <v>46279</v>
      </c>
      <c r="AR1863" s="1" t="s">
        <v>804</v>
      </c>
      <c r="AS1863" s="1" t="s">
        <v>71</v>
      </c>
      <c r="AU1863" s="1" t="s">
        <v>79</v>
      </c>
      <c r="AV1863" s="1" t="s">
        <v>80</v>
      </c>
      <c r="AW1863" s="1">
        <v>69.7</v>
      </c>
      <c r="AX1863" s="1">
        <v>0</v>
      </c>
      <c r="AZ1863" s="1" t="s">
        <v>81</v>
      </c>
      <c r="BA1863" s="1">
        <v>1</v>
      </c>
      <c r="BB1863" s="1">
        <v>0</v>
      </c>
      <c r="BC1863" s="1">
        <v>0</v>
      </c>
      <c r="BE1863" s="1">
        <v>27387921</v>
      </c>
    </row>
    <row r="1864" spans="1:57" x14ac:dyDescent="0.25">
      <c r="A1864" s="1" t="str">
        <f>T("1946128551800149744")</f>
        <v>1946128551800149744</v>
      </c>
      <c r="B1864" s="1" t="str">
        <f>T("249121676844")</f>
        <v>249121676844</v>
      </c>
      <c r="C1864" s="1" t="str">
        <f>T("1941094503339263104")</f>
        <v>1941094503339263104</v>
      </c>
      <c r="AC1864" s="1" t="s">
        <v>104</v>
      </c>
      <c r="AD1864" s="1" t="s">
        <v>151</v>
      </c>
      <c r="AE1864" s="1" t="s">
        <v>392</v>
      </c>
      <c r="AF1864" s="1" t="s">
        <v>107</v>
      </c>
      <c r="AG1864" s="1">
        <v>19</v>
      </c>
      <c r="AO1864" s="2">
        <v>46279</v>
      </c>
      <c r="AP1864" s="1" t="s">
        <v>248</v>
      </c>
      <c r="AQ1864" s="2">
        <v>46279</v>
      </c>
      <c r="AR1864" s="1" t="s">
        <v>802</v>
      </c>
      <c r="AS1864" s="1" t="s">
        <v>71</v>
      </c>
      <c r="AU1864" s="1" t="s">
        <v>79</v>
      </c>
      <c r="AV1864" s="1" t="s">
        <v>80</v>
      </c>
      <c r="AW1864" s="1">
        <v>19.62</v>
      </c>
      <c r="AX1864" s="1">
        <v>0</v>
      </c>
      <c r="AZ1864" s="1" t="s">
        <v>81</v>
      </c>
      <c r="BA1864" s="1">
        <v>1</v>
      </c>
      <c r="BB1864" s="1">
        <v>0</v>
      </c>
      <c r="BC1864" s="1">
        <v>0</v>
      </c>
      <c r="BE1864" s="1">
        <v>27387921</v>
      </c>
    </row>
    <row r="1865" spans="1:57" x14ac:dyDescent="0.25">
      <c r="A1865" s="1" t="str">
        <f>T("1946128551842094924")</f>
        <v>1946128551842094924</v>
      </c>
      <c r="B1865" s="1" t="str">
        <f>T("249127970350")</f>
        <v>249127970350</v>
      </c>
      <c r="C1865" s="1" t="str">
        <f>T("1941094503339263604")</f>
        <v>1941094503339263604</v>
      </c>
      <c r="AA1865" s="1">
        <v>1</v>
      </c>
      <c r="AC1865" s="1" t="s">
        <v>104</v>
      </c>
      <c r="AD1865" s="1" t="s">
        <v>151</v>
      </c>
      <c r="AE1865" s="1" t="s">
        <v>392</v>
      </c>
      <c r="AF1865" s="1" t="s">
        <v>107</v>
      </c>
      <c r="AG1865" s="1">
        <v>29</v>
      </c>
      <c r="AO1865" s="2">
        <v>46279</v>
      </c>
      <c r="AP1865" s="1" t="s">
        <v>248</v>
      </c>
      <c r="AQ1865" s="2">
        <v>46279</v>
      </c>
      <c r="AR1865" s="1" t="s">
        <v>802</v>
      </c>
      <c r="AS1865" s="1" t="s">
        <v>71</v>
      </c>
      <c r="AU1865" s="1" t="s">
        <v>79</v>
      </c>
      <c r="AV1865" s="1" t="s">
        <v>80</v>
      </c>
      <c r="AW1865" s="1">
        <v>45.52</v>
      </c>
      <c r="AX1865" s="1">
        <v>0</v>
      </c>
      <c r="AZ1865" s="1" t="s">
        <v>81</v>
      </c>
      <c r="BA1865" s="1">
        <v>1</v>
      </c>
      <c r="BB1865" s="1">
        <v>0</v>
      </c>
      <c r="BC1865" s="1">
        <v>0</v>
      </c>
      <c r="BE1865" s="1">
        <v>27387921</v>
      </c>
    </row>
    <row r="1866" spans="1:57" x14ac:dyDescent="0.25">
      <c r="A1866" s="1" t="str">
        <f>T("1946128551846288332")</f>
        <v>1946128551846288332</v>
      </c>
      <c r="B1866" s="1" t="str">
        <f>T("249969766428")</f>
        <v>249969766428</v>
      </c>
      <c r="C1866" s="1" t="str">
        <f>T("1941094503339264104")</f>
        <v>1941094503339264104</v>
      </c>
      <c r="AC1866" s="1" t="s">
        <v>104</v>
      </c>
      <c r="AD1866" s="1" t="s">
        <v>151</v>
      </c>
      <c r="AE1866" s="1" t="s">
        <v>392</v>
      </c>
      <c r="AF1866" s="1" t="s">
        <v>107</v>
      </c>
      <c r="AG1866" s="1">
        <v>28</v>
      </c>
      <c r="AO1866" s="2">
        <v>46279</v>
      </c>
      <c r="AP1866" s="1" t="s">
        <v>248</v>
      </c>
      <c r="AS1866" s="1" t="s">
        <v>71</v>
      </c>
      <c r="AU1866" s="1" t="s">
        <v>72</v>
      </c>
      <c r="AV1866" s="1" t="s">
        <v>437</v>
      </c>
      <c r="AX1866" s="1">
        <v>0</v>
      </c>
      <c r="BA1866" s="1">
        <v>9</v>
      </c>
      <c r="BB1866" s="1">
        <v>0</v>
      </c>
      <c r="BC1866" s="1">
        <v>0</v>
      </c>
      <c r="BE1866" s="1">
        <v>27387921</v>
      </c>
    </row>
    <row r="1867" spans="1:57" x14ac:dyDescent="0.25">
      <c r="A1867" s="1" t="str">
        <f>T("1946128551896620728")</f>
        <v>1946128551896620728</v>
      </c>
      <c r="B1867" s="1" t="str">
        <f>T("249113550458")</f>
        <v>249113550458</v>
      </c>
      <c r="C1867" s="1" t="str">
        <f>T("1941094503339264704")</f>
        <v>1941094503339264704</v>
      </c>
      <c r="AC1867" s="1" t="s">
        <v>104</v>
      </c>
      <c r="AD1867" s="1" t="s">
        <v>151</v>
      </c>
      <c r="AE1867" s="1" t="s">
        <v>392</v>
      </c>
      <c r="AF1867" s="1" t="s">
        <v>107</v>
      </c>
      <c r="AG1867" s="1">
        <v>34</v>
      </c>
      <c r="AO1867" s="2">
        <v>46279</v>
      </c>
      <c r="AP1867" s="1" t="s">
        <v>248</v>
      </c>
      <c r="AQ1867" s="2">
        <v>46279</v>
      </c>
      <c r="AR1867" s="1" t="s">
        <v>805</v>
      </c>
      <c r="AS1867" s="1" t="s">
        <v>71</v>
      </c>
      <c r="AU1867" s="1" t="s">
        <v>79</v>
      </c>
      <c r="AV1867" s="1" t="s">
        <v>80</v>
      </c>
      <c r="AW1867" s="1">
        <v>10.06</v>
      </c>
      <c r="AX1867" s="1">
        <v>0</v>
      </c>
      <c r="AZ1867" s="1" t="s">
        <v>81</v>
      </c>
      <c r="BA1867" s="1">
        <v>1</v>
      </c>
      <c r="BB1867" s="1">
        <v>0</v>
      </c>
      <c r="BC1867" s="1">
        <v>0</v>
      </c>
      <c r="BE1867" s="1">
        <v>27387921</v>
      </c>
    </row>
    <row r="1868" spans="1:57" x14ac:dyDescent="0.25">
      <c r="A1868" s="1" t="str">
        <f>T("1946128551900814136")</f>
        <v>1946128551900814136</v>
      </c>
      <c r="B1868" s="1" t="str">
        <f>T("249121357417")</f>
        <v>249121357417</v>
      </c>
      <c r="C1868" s="1" t="str">
        <f>T("1941094503339265204")</f>
        <v>1941094503339265204</v>
      </c>
      <c r="AC1868" s="1" t="s">
        <v>104</v>
      </c>
      <c r="AD1868" s="1" t="s">
        <v>151</v>
      </c>
      <c r="AE1868" s="1" t="s">
        <v>392</v>
      </c>
      <c r="AF1868" s="1" t="s">
        <v>107</v>
      </c>
      <c r="AG1868" s="1">
        <v>27</v>
      </c>
      <c r="AO1868" s="2">
        <v>46279</v>
      </c>
      <c r="AP1868" s="1" t="s">
        <v>248</v>
      </c>
      <c r="AS1868" s="1" t="s">
        <v>71</v>
      </c>
      <c r="AU1868" s="1" t="s">
        <v>72</v>
      </c>
      <c r="AV1868" s="1" t="s">
        <v>73</v>
      </c>
      <c r="AX1868" s="1">
        <v>0</v>
      </c>
      <c r="BA1868" s="1">
        <v>9</v>
      </c>
      <c r="BB1868" s="1">
        <v>0</v>
      </c>
      <c r="BC1868" s="1">
        <v>0</v>
      </c>
      <c r="BE1868" s="1">
        <v>27387921</v>
      </c>
    </row>
    <row r="1869" spans="1:57" x14ac:dyDescent="0.25">
      <c r="A1869" s="1" t="str">
        <f>T("1946128551951143432")</f>
        <v>1946128551951143432</v>
      </c>
      <c r="B1869" s="1" t="str">
        <f>T("249116604452")</f>
        <v>249116604452</v>
      </c>
      <c r="C1869" s="1" t="str">
        <f>T("1941094503339265604")</f>
        <v>1941094503339265604</v>
      </c>
      <c r="AA1869" s="1">
        <v>1</v>
      </c>
      <c r="AC1869" s="1" t="s">
        <v>104</v>
      </c>
      <c r="AD1869" s="1" t="s">
        <v>151</v>
      </c>
      <c r="AE1869" s="1" t="s">
        <v>392</v>
      </c>
      <c r="AF1869" s="1" t="s">
        <v>107</v>
      </c>
      <c r="AG1869" s="1">
        <v>34</v>
      </c>
      <c r="AO1869" s="2">
        <v>46279</v>
      </c>
      <c r="AP1869" s="1" t="s">
        <v>248</v>
      </c>
      <c r="AQ1869" s="2">
        <v>46279</v>
      </c>
      <c r="AR1869" s="1" t="s">
        <v>679</v>
      </c>
      <c r="AS1869" s="1" t="s">
        <v>71</v>
      </c>
      <c r="AU1869" s="1" t="s">
        <v>79</v>
      </c>
      <c r="AV1869" s="1" t="s">
        <v>80</v>
      </c>
      <c r="AW1869" s="1">
        <v>75.62</v>
      </c>
      <c r="AX1869" s="1">
        <v>0</v>
      </c>
      <c r="AZ1869" s="1" t="s">
        <v>81</v>
      </c>
      <c r="BA1869" s="1">
        <v>1</v>
      </c>
      <c r="BB1869" s="1">
        <v>0</v>
      </c>
      <c r="BC1869" s="1">
        <v>0</v>
      </c>
      <c r="BE1869" s="1">
        <v>27387921</v>
      </c>
    </row>
    <row r="1870" spans="1:57" x14ac:dyDescent="0.25">
      <c r="A1870" s="1" t="str">
        <f>T("1946128551955337740")</f>
        <v>1946128551955337740</v>
      </c>
      <c r="B1870" s="1" t="str">
        <f>T("249129995006")</f>
        <v>249129995006</v>
      </c>
      <c r="C1870" s="1" t="str">
        <f>T("1941094503343458712")</f>
        <v>1941094503343458712</v>
      </c>
      <c r="AA1870" s="1">
        <v>1</v>
      </c>
      <c r="AC1870" s="1" t="s">
        <v>104</v>
      </c>
      <c r="AD1870" s="1" t="s">
        <v>151</v>
      </c>
      <c r="AE1870" s="1" t="s">
        <v>392</v>
      </c>
      <c r="AF1870" s="1" t="s">
        <v>107</v>
      </c>
      <c r="AG1870" s="1">
        <v>20</v>
      </c>
      <c r="AO1870" s="2">
        <v>46279</v>
      </c>
      <c r="AP1870" s="1" t="s">
        <v>248</v>
      </c>
      <c r="AQ1870" s="2">
        <v>46279</v>
      </c>
      <c r="AR1870" s="1" t="s">
        <v>806</v>
      </c>
      <c r="AS1870" s="1" t="s">
        <v>71</v>
      </c>
      <c r="AU1870" s="1" t="s">
        <v>79</v>
      </c>
      <c r="AV1870" s="1" t="s">
        <v>80</v>
      </c>
      <c r="AW1870" s="1">
        <v>38.259</v>
      </c>
      <c r="AX1870" s="1">
        <v>0</v>
      </c>
      <c r="AZ1870" s="1" t="s">
        <v>81</v>
      </c>
      <c r="BA1870" s="1">
        <v>1</v>
      </c>
      <c r="BB1870" s="1">
        <v>0</v>
      </c>
      <c r="BC1870" s="1">
        <v>0</v>
      </c>
      <c r="BE1870" s="1">
        <v>27387921</v>
      </c>
    </row>
    <row r="1871" spans="1:57" x14ac:dyDescent="0.25">
      <c r="A1871" s="1" t="str">
        <f>T("1946128552001477628")</f>
        <v>1946128552001477628</v>
      </c>
      <c r="B1871" s="1" t="str">
        <f>T("249114466804")</f>
        <v>249114466804</v>
      </c>
      <c r="C1871" s="1" t="str">
        <f>T("1941094503347651520")</f>
        <v>1941094503347651520</v>
      </c>
      <c r="M1871" s="1" t="s">
        <v>59</v>
      </c>
      <c r="O1871" s="1" t="s">
        <v>60</v>
      </c>
      <c r="P1871" s="1" t="s">
        <v>83</v>
      </c>
      <c r="Q1871" s="1" t="s">
        <v>112</v>
      </c>
      <c r="R1871" s="1" t="s">
        <v>93</v>
      </c>
      <c r="T1871" s="1" t="s">
        <v>119</v>
      </c>
      <c r="U1871" s="1" t="s">
        <v>65</v>
      </c>
      <c r="AA1871" s="1">
        <v>1</v>
      </c>
      <c r="AC1871" s="1" t="s">
        <v>104</v>
      </c>
      <c r="AD1871" s="1" t="s">
        <v>151</v>
      </c>
      <c r="AE1871" s="1" t="s">
        <v>392</v>
      </c>
      <c r="AF1871" s="1" t="s">
        <v>107</v>
      </c>
      <c r="AG1871" s="1">
        <v>28</v>
      </c>
      <c r="AO1871" s="2">
        <v>46279</v>
      </c>
      <c r="AP1871" s="1" t="s">
        <v>248</v>
      </c>
      <c r="AQ1871" s="2">
        <v>46279</v>
      </c>
      <c r="AR1871" s="1" t="s">
        <v>807</v>
      </c>
      <c r="AS1871" s="1" t="s">
        <v>71</v>
      </c>
      <c r="AU1871" s="1" t="s">
        <v>79</v>
      </c>
      <c r="AV1871" s="1" t="s">
        <v>80</v>
      </c>
      <c r="AW1871" s="1">
        <v>163.36000000000001</v>
      </c>
      <c r="AX1871" s="1">
        <v>0</v>
      </c>
      <c r="AZ1871" s="1" t="s">
        <v>81</v>
      </c>
      <c r="BA1871" s="1">
        <v>2</v>
      </c>
      <c r="BB1871" s="1">
        <v>0</v>
      </c>
      <c r="BC1871" s="1">
        <v>0</v>
      </c>
      <c r="BE1871" s="1">
        <v>27387921</v>
      </c>
    </row>
    <row r="1872" spans="1:57" x14ac:dyDescent="0.25">
      <c r="A1872" s="1" t="str">
        <f>T("1946128552005670736")</f>
        <v>1946128552005670736</v>
      </c>
      <c r="B1872" s="1" t="str">
        <f>T("249126412153")</f>
        <v>249126412153</v>
      </c>
      <c r="C1872" s="1" t="str">
        <f>T("1941094503347653120")</f>
        <v>1941094503347653120</v>
      </c>
      <c r="M1872" s="1" t="s">
        <v>59</v>
      </c>
      <c r="O1872" s="1" t="s">
        <v>60</v>
      </c>
      <c r="P1872" s="1" t="s">
        <v>83</v>
      </c>
      <c r="Q1872" s="1" t="s">
        <v>112</v>
      </c>
      <c r="R1872" s="1" t="s">
        <v>63</v>
      </c>
      <c r="S1872" s="1" t="s">
        <v>159</v>
      </c>
      <c r="U1872" s="1" t="s">
        <v>65</v>
      </c>
      <c r="V1872" s="1" t="s">
        <v>68</v>
      </c>
      <c r="W1872" s="1" t="s">
        <v>60</v>
      </c>
      <c r="AA1872" s="1">
        <v>1</v>
      </c>
      <c r="AC1872" s="1" t="s">
        <v>104</v>
      </c>
      <c r="AD1872" s="1" t="s">
        <v>151</v>
      </c>
      <c r="AE1872" s="1" t="s">
        <v>392</v>
      </c>
      <c r="AF1872" s="1" t="s">
        <v>107</v>
      </c>
      <c r="AG1872" s="1">
        <v>27</v>
      </c>
      <c r="AO1872" s="2">
        <v>46279</v>
      </c>
      <c r="AP1872" s="1" t="s">
        <v>248</v>
      </c>
      <c r="AQ1872" s="2">
        <v>46279</v>
      </c>
      <c r="AR1872" s="1" t="s">
        <v>808</v>
      </c>
      <c r="AS1872" s="1" t="s">
        <v>71</v>
      </c>
      <c r="AU1872" s="1" t="s">
        <v>78</v>
      </c>
      <c r="AV1872" s="1" t="s">
        <v>80</v>
      </c>
      <c r="AW1872" s="1">
        <v>219.62</v>
      </c>
      <c r="AX1872" s="1">
        <v>0</v>
      </c>
      <c r="AZ1872" s="1" t="s">
        <v>81</v>
      </c>
      <c r="BA1872" s="1">
        <v>2</v>
      </c>
      <c r="BB1872" s="1">
        <v>0</v>
      </c>
      <c r="BC1872" s="1">
        <v>0</v>
      </c>
      <c r="BE1872" s="1">
        <v>27387921</v>
      </c>
    </row>
    <row r="1873" spans="1:57" x14ac:dyDescent="0.25">
      <c r="A1873" s="1" t="str">
        <f>T("1946128552068587056")</f>
        <v>1946128552068587056</v>
      </c>
      <c r="B1873" s="1" t="str">
        <f>T("249129429424")</f>
        <v>249129429424</v>
      </c>
      <c r="C1873" s="1" t="str">
        <f>T("1941094503347654120")</f>
        <v>1941094503347654120</v>
      </c>
      <c r="AC1873" s="1" t="s">
        <v>104</v>
      </c>
      <c r="AD1873" s="1" t="s">
        <v>151</v>
      </c>
      <c r="AE1873" s="1" t="s">
        <v>392</v>
      </c>
      <c r="AF1873" s="1" t="s">
        <v>107</v>
      </c>
      <c r="AG1873" s="1">
        <v>34</v>
      </c>
      <c r="AO1873" s="2">
        <v>46279</v>
      </c>
      <c r="AP1873" s="1" t="s">
        <v>248</v>
      </c>
      <c r="AQ1873" s="2">
        <v>46279</v>
      </c>
      <c r="AR1873" s="1" t="s">
        <v>809</v>
      </c>
      <c r="AS1873" s="1" t="s">
        <v>71</v>
      </c>
      <c r="AU1873" s="1" t="s">
        <v>79</v>
      </c>
      <c r="AV1873" s="1" t="s">
        <v>80</v>
      </c>
      <c r="AW1873" s="1">
        <v>24.86</v>
      </c>
      <c r="AX1873" s="1">
        <v>0</v>
      </c>
      <c r="AZ1873" s="1" t="s">
        <v>81</v>
      </c>
      <c r="BA1873" s="1">
        <v>1</v>
      </c>
      <c r="BB1873" s="1">
        <v>0</v>
      </c>
      <c r="BC1873" s="1">
        <v>0</v>
      </c>
      <c r="BE1873" s="1">
        <v>27387921</v>
      </c>
    </row>
    <row r="1874" spans="1:57" x14ac:dyDescent="0.25">
      <c r="A1874" s="1" t="str">
        <f>T("1946128552068587456")</f>
        <v>1946128552068587456</v>
      </c>
      <c r="B1874" s="1" t="str">
        <f>T("249994408816")</f>
        <v>249994408816</v>
      </c>
      <c r="C1874" s="1" t="str">
        <f>T("1941094503347653520")</f>
        <v>1941094503347653520</v>
      </c>
      <c r="AC1874" s="1" t="s">
        <v>104</v>
      </c>
      <c r="AD1874" s="1" t="s">
        <v>151</v>
      </c>
      <c r="AE1874" s="1" t="s">
        <v>392</v>
      </c>
      <c r="AF1874" s="1" t="s">
        <v>107</v>
      </c>
      <c r="AG1874" s="1">
        <v>28</v>
      </c>
      <c r="AO1874" s="2">
        <v>46279</v>
      </c>
      <c r="AP1874" s="1" t="s">
        <v>248</v>
      </c>
      <c r="AS1874" s="1" t="s">
        <v>71</v>
      </c>
      <c r="AU1874" s="1" t="s">
        <v>72</v>
      </c>
      <c r="AV1874" s="1" t="s">
        <v>73</v>
      </c>
      <c r="AX1874" s="1">
        <v>0</v>
      </c>
      <c r="BA1874" s="1">
        <v>9</v>
      </c>
      <c r="BB1874" s="1">
        <v>0</v>
      </c>
      <c r="BC1874" s="1">
        <v>0</v>
      </c>
      <c r="BE1874" s="1">
        <v>27387921</v>
      </c>
    </row>
    <row r="1875" spans="1:57" x14ac:dyDescent="0.25">
      <c r="A1875" s="1" t="str">
        <f>T("1946128552131499276")</f>
        <v>1946128552131499276</v>
      </c>
      <c r="B1875" s="1" t="str">
        <f>T("249122161570")</f>
        <v>249122161570</v>
      </c>
      <c r="C1875" s="1" t="str">
        <f>T("1941094503351845128")</f>
        <v>1941094503351845128</v>
      </c>
      <c r="M1875" s="1" t="s">
        <v>59</v>
      </c>
      <c r="AA1875" s="1">
        <v>1</v>
      </c>
      <c r="AC1875" s="1" t="s">
        <v>104</v>
      </c>
      <c r="AD1875" s="1" t="s">
        <v>151</v>
      </c>
      <c r="AE1875" s="1" t="s">
        <v>392</v>
      </c>
      <c r="AF1875" s="1" t="s">
        <v>107</v>
      </c>
      <c r="AG1875" s="1">
        <v>37</v>
      </c>
      <c r="AO1875" s="2">
        <v>46279</v>
      </c>
      <c r="AP1875" s="1" t="s">
        <v>248</v>
      </c>
      <c r="AQ1875" s="2">
        <v>46279</v>
      </c>
      <c r="AR1875" s="1" t="s">
        <v>273</v>
      </c>
      <c r="AS1875" s="1" t="s">
        <v>71</v>
      </c>
      <c r="AU1875" s="1" t="s">
        <v>78</v>
      </c>
      <c r="AV1875" s="1" t="s">
        <v>80</v>
      </c>
      <c r="AW1875" s="1">
        <v>143.179</v>
      </c>
      <c r="AX1875" s="1">
        <v>0</v>
      </c>
      <c r="AZ1875" s="1" t="s">
        <v>81</v>
      </c>
      <c r="BA1875" s="1">
        <v>1</v>
      </c>
      <c r="BB1875" s="1">
        <v>0</v>
      </c>
      <c r="BC1875" s="1">
        <v>0</v>
      </c>
      <c r="BE1875" s="1">
        <v>27387921</v>
      </c>
    </row>
    <row r="1876" spans="1:57" x14ac:dyDescent="0.25">
      <c r="A1876" s="1" t="str">
        <f>T("1946128552139888392")</f>
        <v>1946128552139888392</v>
      </c>
      <c r="B1876" s="1" t="str">
        <f>T("249127911154")</f>
        <v>249127911154</v>
      </c>
      <c r="C1876" s="1" t="str">
        <f>T("1941094503351846728")</f>
        <v>1941094503351846728</v>
      </c>
      <c r="AC1876" s="1" t="s">
        <v>104</v>
      </c>
      <c r="AD1876" s="1" t="s">
        <v>151</v>
      </c>
      <c r="AE1876" s="1" t="s">
        <v>392</v>
      </c>
      <c r="AF1876" s="1" t="s">
        <v>107</v>
      </c>
      <c r="AG1876" s="1">
        <v>29</v>
      </c>
      <c r="AO1876" s="2">
        <v>46279</v>
      </c>
      <c r="AP1876" s="1" t="s">
        <v>248</v>
      </c>
      <c r="AQ1876" s="2">
        <v>46279</v>
      </c>
      <c r="AR1876" s="1" t="s">
        <v>794</v>
      </c>
      <c r="AS1876" s="1" t="s">
        <v>71</v>
      </c>
      <c r="AU1876" s="1" t="s">
        <v>79</v>
      </c>
      <c r="AV1876" s="1" t="s">
        <v>80</v>
      </c>
      <c r="AW1876" s="1">
        <v>8.64</v>
      </c>
      <c r="AX1876" s="1">
        <v>0</v>
      </c>
      <c r="AZ1876" s="1" t="s">
        <v>81</v>
      </c>
      <c r="BA1876" s="1">
        <v>7</v>
      </c>
      <c r="BB1876" s="1">
        <v>0</v>
      </c>
      <c r="BC1876" s="1">
        <v>0</v>
      </c>
      <c r="BE1876" s="1">
        <v>27387921</v>
      </c>
    </row>
    <row r="1877" spans="1:57" x14ac:dyDescent="0.25">
      <c r="A1877" s="1" t="str">
        <f>T("1946128552190219888")</f>
        <v>1946128552190219888</v>
      </c>
      <c r="B1877" s="1" t="str">
        <f>T("249124669905")</f>
        <v>249124669905</v>
      </c>
      <c r="C1877" s="1" t="str">
        <f>T("1941094503351847228")</f>
        <v>1941094503351847228</v>
      </c>
      <c r="AC1877" s="1" t="s">
        <v>104</v>
      </c>
      <c r="AD1877" s="1" t="s">
        <v>151</v>
      </c>
      <c r="AE1877" s="1" t="s">
        <v>392</v>
      </c>
      <c r="AF1877" s="1" t="s">
        <v>107</v>
      </c>
      <c r="AG1877" s="1">
        <v>31</v>
      </c>
      <c r="AO1877" s="2">
        <v>46279</v>
      </c>
      <c r="AP1877" s="1" t="s">
        <v>248</v>
      </c>
      <c r="AS1877" s="1" t="s">
        <v>71</v>
      </c>
      <c r="AU1877" s="1" t="s">
        <v>72</v>
      </c>
      <c r="AV1877" s="1" t="s">
        <v>412</v>
      </c>
      <c r="AX1877" s="1">
        <v>0</v>
      </c>
      <c r="BA1877" s="1">
        <v>9</v>
      </c>
      <c r="BB1877" s="1">
        <v>0</v>
      </c>
      <c r="BC1877" s="1">
        <v>0</v>
      </c>
      <c r="BE1877" s="1">
        <v>27387921</v>
      </c>
    </row>
    <row r="1878" spans="1:57" x14ac:dyDescent="0.25">
      <c r="A1878" s="1" t="str">
        <f>T("1946128552190221288")</f>
        <v>1946128552190221288</v>
      </c>
      <c r="B1878" s="1" t="str">
        <f>T("249128375110")</f>
        <v>249128375110</v>
      </c>
      <c r="C1878" s="1" t="str">
        <f>T("1941094503351847728")</f>
        <v>1941094503351847728</v>
      </c>
      <c r="AA1878" s="1">
        <v>1</v>
      </c>
      <c r="AC1878" s="1" t="s">
        <v>104</v>
      </c>
      <c r="AD1878" s="1" t="s">
        <v>151</v>
      </c>
      <c r="AE1878" s="1" t="s">
        <v>392</v>
      </c>
      <c r="AF1878" s="1" t="s">
        <v>107</v>
      </c>
      <c r="AG1878" s="1">
        <v>38</v>
      </c>
      <c r="AO1878" s="2">
        <v>46279</v>
      </c>
      <c r="AP1878" s="1" t="s">
        <v>248</v>
      </c>
      <c r="AQ1878" s="2">
        <v>46279</v>
      </c>
      <c r="AR1878" s="1" t="s">
        <v>810</v>
      </c>
      <c r="AS1878" s="1" t="s">
        <v>71</v>
      </c>
      <c r="AU1878" s="1" t="s">
        <v>79</v>
      </c>
      <c r="AV1878" s="1" t="s">
        <v>80</v>
      </c>
      <c r="AW1878" s="1">
        <v>63.18</v>
      </c>
      <c r="AX1878" s="1">
        <v>0</v>
      </c>
      <c r="AZ1878" s="1" t="s">
        <v>81</v>
      </c>
      <c r="BA1878" s="1">
        <v>2</v>
      </c>
      <c r="BB1878" s="1">
        <v>0</v>
      </c>
      <c r="BC1878" s="1">
        <v>0</v>
      </c>
      <c r="BE1878" s="1">
        <v>27387921</v>
      </c>
    </row>
    <row r="1879" spans="1:57" x14ac:dyDescent="0.25">
      <c r="A1879" s="1" t="str">
        <f>T("1946128552236359676")</f>
        <v>1946128552236359676</v>
      </c>
      <c r="B1879" s="1" t="str">
        <f>T("249127633600")</f>
        <v>249127633600</v>
      </c>
      <c r="C1879" s="1" t="str">
        <f>T("1941094503351848228")</f>
        <v>1941094503351848228</v>
      </c>
      <c r="AA1879" s="1">
        <v>1</v>
      </c>
      <c r="AC1879" s="1" t="s">
        <v>104</v>
      </c>
      <c r="AD1879" s="1" t="s">
        <v>151</v>
      </c>
      <c r="AE1879" s="1" t="s">
        <v>392</v>
      </c>
      <c r="AF1879" s="1" t="s">
        <v>107</v>
      </c>
      <c r="AG1879" s="1">
        <v>30</v>
      </c>
      <c r="AO1879" s="2">
        <v>46279</v>
      </c>
      <c r="AP1879" s="1" t="s">
        <v>248</v>
      </c>
      <c r="AQ1879" s="2">
        <v>46279</v>
      </c>
      <c r="AR1879" s="1" t="s">
        <v>273</v>
      </c>
      <c r="AS1879" s="1" t="s">
        <v>71</v>
      </c>
      <c r="AU1879" s="1" t="s">
        <v>79</v>
      </c>
      <c r="AV1879" s="1" t="s">
        <v>80</v>
      </c>
      <c r="AW1879" s="1">
        <v>68.78</v>
      </c>
      <c r="AX1879" s="1">
        <v>0</v>
      </c>
      <c r="AZ1879" s="1" t="s">
        <v>81</v>
      </c>
      <c r="BA1879" s="1">
        <v>1</v>
      </c>
      <c r="BB1879" s="1">
        <v>0</v>
      </c>
      <c r="BC1879" s="1">
        <v>0</v>
      </c>
      <c r="BE1879" s="1">
        <v>27387921</v>
      </c>
    </row>
    <row r="1880" spans="1:57" x14ac:dyDescent="0.25">
      <c r="A1880" s="1" t="str">
        <f>T("1946128552244748192")</f>
        <v>1946128552244748192</v>
      </c>
      <c r="B1880" s="1" t="str">
        <f>T("249111396679")</f>
        <v>249111396679</v>
      </c>
      <c r="C1880" s="1" t="str">
        <f>T("1941094503364428552")</f>
        <v>1941094503364428552</v>
      </c>
      <c r="AA1880" s="1">
        <v>1</v>
      </c>
      <c r="AC1880" s="1" t="s">
        <v>104</v>
      </c>
      <c r="AD1880" s="1" t="s">
        <v>151</v>
      </c>
      <c r="AE1880" s="1" t="s">
        <v>392</v>
      </c>
      <c r="AF1880" s="1" t="s">
        <v>107</v>
      </c>
      <c r="AG1880" s="1">
        <v>37</v>
      </c>
      <c r="AO1880" s="2">
        <v>46279</v>
      </c>
      <c r="AP1880" s="1" t="s">
        <v>248</v>
      </c>
      <c r="AQ1880" s="2">
        <v>46279</v>
      </c>
      <c r="AR1880" s="1" t="s">
        <v>683</v>
      </c>
      <c r="AS1880" s="1" t="s">
        <v>71</v>
      </c>
      <c r="AU1880" s="1" t="s">
        <v>78</v>
      </c>
      <c r="AV1880" s="1" t="s">
        <v>80</v>
      </c>
      <c r="AW1880" s="1">
        <v>134.63999999999999</v>
      </c>
      <c r="AX1880" s="1">
        <v>0</v>
      </c>
      <c r="AZ1880" s="1" t="s">
        <v>81</v>
      </c>
      <c r="BA1880" s="1">
        <v>1</v>
      </c>
      <c r="BB1880" s="1">
        <v>0</v>
      </c>
      <c r="BC1880" s="1">
        <v>0</v>
      </c>
      <c r="BE1880" s="1">
        <v>27387921</v>
      </c>
    </row>
    <row r="1881" spans="1:57" x14ac:dyDescent="0.25">
      <c r="A1881" s="1" t="str">
        <f>T("1946128552286688672")</f>
        <v>1946128552286688672</v>
      </c>
      <c r="B1881" s="1" t="str">
        <f>T("249995850546")</f>
        <v>249995850546</v>
      </c>
      <c r="C1881" s="1" t="str">
        <f>T("1941094503364430352")</f>
        <v>1941094503364430352</v>
      </c>
      <c r="AA1881" s="1">
        <v>1</v>
      </c>
      <c r="AC1881" s="1" t="s">
        <v>104</v>
      </c>
      <c r="AD1881" s="1" t="s">
        <v>151</v>
      </c>
      <c r="AE1881" s="1" t="s">
        <v>392</v>
      </c>
      <c r="AF1881" s="1" t="s">
        <v>107</v>
      </c>
      <c r="AG1881" s="1">
        <v>35</v>
      </c>
      <c r="AO1881" s="2">
        <v>46279</v>
      </c>
      <c r="AP1881" s="1" t="s">
        <v>248</v>
      </c>
      <c r="AQ1881" s="2">
        <v>46279</v>
      </c>
      <c r="AR1881" s="1" t="s">
        <v>811</v>
      </c>
      <c r="AS1881" s="1" t="s">
        <v>71</v>
      </c>
      <c r="AU1881" s="1" t="s">
        <v>79</v>
      </c>
      <c r="AV1881" s="1" t="s">
        <v>80</v>
      </c>
      <c r="AW1881" s="1">
        <v>121.66</v>
      </c>
      <c r="AX1881" s="1">
        <v>0</v>
      </c>
      <c r="AZ1881" s="1" t="s">
        <v>81</v>
      </c>
      <c r="BA1881" s="1">
        <v>1</v>
      </c>
      <c r="BB1881" s="1">
        <v>0</v>
      </c>
      <c r="BC1881" s="1">
        <v>0</v>
      </c>
      <c r="BE1881" s="1">
        <v>27387921</v>
      </c>
    </row>
    <row r="1882" spans="1:57" x14ac:dyDescent="0.25">
      <c r="A1882" s="1" t="str">
        <f>T("1946128552307662712")</f>
        <v>1946128552307662712</v>
      </c>
      <c r="B1882" s="1" t="str">
        <f>T("249913338678")</f>
        <v>249913338678</v>
      </c>
      <c r="C1882" s="1" t="str">
        <f>T("1941094503368624060")</f>
        <v>1941094503368624060</v>
      </c>
      <c r="AC1882" s="1" t="s">
        <v>104</v>
      </c>
      <c r="AD1882" s="1" t="s">
        <v>151</v>
      </c>
      <c r="AE1882" s="1" t="s">
        <v>392</v>
      </c>
      <c r="AF1882" s="1" t="s">
        <v>107</v>
      </c>
      <c r="AG1882" s="1">
        <v>29</v>
      </c>
      <c r="AO1882" s="2">
        <v>46279</v>
      </c>
      <c r="AP1882" s="1" t="s">
        <v>248</v>
      </c>
      <c r="AS1882" s="1" t="s">
        <v>71</v>
      </c>
      <c r="AU1882" s="1" t="s">
        <v>72</v>
      </c>
      <c r="AV1882" s="1" t="s">
        <v>73</v>
      </c>
      <c r="AX1882" s="1">
        <v>0</v>
      </c>
      <c r="BA1882" s="1">
        <v>9</v>
      </c>
      <c r="BB1882" s="1">
        <v>0</v>
      </c>
      <c r="BC1882" s="1">
        <v>0</v>
      </c>
      <c r="BE1882" s="1">
        <v>27387921</v>
      </c>
    </row>
    <row r="1883" spans="1:57" x14ac:dyDescent="0.25">
      <c r="A1883" s="1" t="str">
        <f>T("1946128552337022868")</f>
        <v>1946128552337022868</v>
      </c>
      <c r="B1883" s="1" t="str">
        <f>T("249962068709")</f>
        <v>249962068709</v>
      </c>
      <c r="C1883" s="1" t="str">
        <f>T("1941094503368625860")</f>
        <v>1941094503368625860</v>
      </c>
      <c r="AC1883" s="1" t="s">
        <v>344</v>
      </c>
      <c r="AD1883" s="1" t="s">
        <v>357</v>
      </c>
      <c r="AE1883" s="1" t="s">
        <v>812</v>
      </c>
      <c r="AF1883" s="1" t="s">
        <v>107</v>
      </c>
      <c r="AG1883" s="1">
        <v>36</v>
      </c>
      <c r="AO1883" s="2">
        <v>46279</v>
      </c>
      <c r="AP1883" s="1" t="s">
        <v>248</v>
      </c>
      <c r="AS1883" s="1" t="s">
        <v>71</v>
      </c>
      <c r="AU1883" s="1" t="s">
        <v>72</v>
      </c>
      <c r="AV1883" s="1" t="s">
        <v>437</v>
      </c>
      <c r="AX1883" s="1">
        <v>0</v>
      </c>
      <c r="BA1883" s="1">
        <v>9</v>
      </c>
      <c r="BB1883" s="1">
        <v>0</v>
      </c>
      <c r="BC1883" s="1">
        <v>0</v>
      </c>
      <c r="BE1883" s="1">
        <v>27387921</v>
      </c>
    </row>
    <row r="1884" spans="1:57" x14ac:dyDescent="0.25">
      <c r="A1884" s="1" t="str">
        <f>T("1946128552362187916")</f>
        <v>1946128552362187916</v>
      </c>
      <c r="B1884" s="1" t="str">
        <f>T("249909833715")</f>
        <v>249909833715</v>
      </c>
      <c r="C1884" s="1" t="str">
        <f>T("1941094503372816668")</f>
        <v>1941094503372816668</v>
      </c>
      <c r="AC1884" s="1" t="s">
        <v>344</v>
      </c>
      <c r="AD1884" s="1" t="s">
        <v>372</v>
      </c>
      <c r="AE1884" s="1" t="s">
        <v>813</v>
      </c>
      <c r="AF1884" s="1" t="s">
        <v>107</v>
      </c>
      <c r="AG1884" s="1">
        <v>45</v>
      </c>
      <c r="AO1884" s="2">
        <v>46279</v>
      </c>
      <c r="AP1884" s="1" t="s">
        <v>248</v>
      </c>
      <c r="AS1884" s="1" t="s">
        <v>71</v>
      </c>
      <c r="AU1884" s="1" t="s">
        <v>72</v>
      </c>
      <c r="AV1884" s="1" t="s">
        <v>73</v>
      </c>
      <c r="AX1884" s="1">
        <v>0</v>
      </c>
      <c r="BA1884" s="1">
        <v>9</v>
      </c>
      <c r="BB1884" s="1">
        <v>0</v>
      </c>
      <c r="BC1884" s="1">
        <v>0</v>
      </c>
      <c r="BE1884" s="1">
        <v>27387921</v>
      </c>
    </row>
    <row r="1885" spans="1:57" x14ac:dyDescent="0.25">
      <c r="A1885" s="1" t="str">
        <f>T("1946128552387351064")</f>
        <v>1946128552387351064</v>
      </c>
      <c r="B1885" s="1" t="str">
        <f>T("249907302094")</f>
        <v>249907302094</v>
      </c>
      <c r="C1885" s="1" t="str">
        <f>T("1941094503372819068")</f>
        <v>1941094503372819068</v>
      </c>
      <c r="AC1885" s="1" t="s">
        <v>344</v>
      </c>
      <c r="AD1885" s="1" t="s">
        <v>441</v>
      </c>
      <c r="AE1885" s="1" t="s">
        <v>530</v>
      </c>
      <c r="AF1885" s="1" t="s">
        <v>144</v>
      </c>
      <c r="AG1885" s="1">
        <v>35</v>
      </c>
      <c r="AO1885" s="2">
        <v>46279</v>
      </c>
      <c r="AP1885" s="1" t="s">
        <v>248</v>
      </c>
      <c r="AS1885" s="1" t="s">
        <v>71</v>
      </c>
      <c r="AU1885" s="1" t="s">
        <v>72</v>
      </c>
      <c r="AV1885" s="1" t="s">
        <v>73</v>
      </c>
      <c r="AX1885" s="1">
        <v>0</v>
      </c>
      <c r="BA1885" s="1">
        <v>9</v>
      </c>
      <c r="BB1885" s="1">
        <v>0</v>
      </c>
      <c r="BC1885" s="1">
        <v>0</v>
      </c>
      <c r="BE1885" s="1">
        <v>27387921</v>
      </c>
    </row>
    <row r="1886" spans="1:57" x14ac:dyDescent="0.25">
      <c r="A1886" s="1" t="str">
        <f>T("1946128552416711320")</f>
        <v>1946128552416711320</v>
      </c>
      <c r="B1886" s="1" t="str">
        <f>T("249911652805")</f>
        <v>249911652805</v>
      </c>
      <c r="C1886" s="1" t="str">
        <f>T("1941094503372819668")</f>
        <v>1941094503372819668</v>
      </c>
      <c r="AC1886" s="1" t="s">
        <v>344</v>
      </c>
      <c r="AD1886" s="1" t="s">
        <v>441</v>
      </c>
      <c r="AE1886" s="1" t="s">
        <v>530</v>
      </c>
      <c r="AF1886" s="1" t="s">
        <v>107</v>
      </c>
      <c r="AG1886" s="1">
        <v>47</v>
      </c>
      <c r="AO1886" s="2">
        <v>46279</v>
      </c>
      <c r="AP1886" s="1" t="s">
        <v>248</v>
      </c>
      <c r="AS1886" s="1" t="s">
        <v>71</v>
      </c>
      <c r="AU1886" s="1" t="s">
        <v>72</v>
      </c>
      <c r="AV1886" s="1" t="s">
        <v>73</v>
      </c>
      <c r="AX1886" s="1">
        <v>0</v>
      </c>
      <c r="BA1886" s="1">
        <v>9</v>
      </c>
      <c r="BB1886" s="1">
        <v>0</v>
      </c>
      <c r="BC1886" s="1">
        <v>0</v>
      </c>
      <c r="BE1886" s="1">
        <v>27387921</v>
      </c>
    </row>
    <row r="1887" spans="1:57" x14ac:dyDescent="0.25">
      <c r="A1887" s="1" t="str">
        <f>T("1946128552441877868")</f>
        <v>1946128552441877868</v>
      </c>
      <c r="B1887" s="1" t="str">
        <f>T("249960427320")</f>
        <v>249960427320</v>
      </c>
      <c r="C1887" s="1" t="str">
        <f>T("1941094503372820168")</f>
        <v>1941094503372820168</v>
      </c>
      <c r="AC1887" s="1" t="s">
        <v>344</v>
      </c>
      <c r="AD1887" s="1" t="s">
        <v>430</v>
      </c>
      <c r="AE1887" s="1" t="s">
        <v>530</v>
      </c>
      <c r="AF1887" s="1" t="s">
        <v>144</v>
      </c>
      <c r="AG1887" s="1">
        <v>20</v>
      </c>
      <c r="AO1887" s="2">
        <v>46279</v>
      </c>
      <c r="AP1887" s="1" t="s">
        <v>248</v>
      </c>
      <c r="AS1887" s="1" t="s">
        <v>71</v>
      </c>
      <c r="AU1887" s="1" t="s">
        <v>72</v>
      </c>
      <c r="AV1887" s="1" t="s">
        <v>73</v>
      </c>
      <c r="AX1887" s="1">
        <v>0</v>
      </c>
      <c r="BA1887" s="1">
        <v>9</v>
      </c>
      <c r="BB1887" s="1">
        <v>0</v>
      </c>
      <c r="BC1887" s="1">
        <v>0</v>
      </c>
      <c r="BE1887" s="1">
        <v>27387921</v>
      </c>
    </row>
    <row r="1888" spans="1:57" x14ac:dyDescent="0.25">
      <c r="A1888" s="1" t="str">
        <f>T("1946128552471236624")</f>
        <v>1946128552471236624</v>
      </c>
      <c r="B1888" s="1" t="str">
        <f>T("249962800190")</f>
        <v>249962800190</v>
      </c>
      <c r="C1888" s="1" t="str">
        <f>T("1941094503377011276")</f>
        <v>1941094503377011276</v>
      </c>
      <c r="AC1888" s="1" t="s">
        <v>344</v>
      </c>
      <c r="AD1888" s="1" t="s">
        <v>372</v>
      </c>
      <c r="AE1888" s="1" t="s">
        <v>814</v>
      </c>
      <c r="AF1888" s="1" t="s">
        <v>144</v>
      </c>
      <c r="AG1888" s="1">
        <v>55</v>
      </c>
      <c r="AO1888" s="2">
        <v>46279</v>
      </c>
      <c r="AP1888" s="1" t="s">
        <v>248</v>
      </c>
      <c r="AS1888" s="1" t="s">
        <v>71</v>
      </c>
      <c r="AU1888" s="1" t="s">
        <v>72</v>
      </c>
      <c r="AV1888" s="1" t="s">
        <v>437</v>
      </c>
      <c r="AX1888" s="1">
        <v>0</v>
      </c>
      <c r="BA1888" s="1">
        <v>9</v>
      </c>
      <c r="BB1888" s="1">
        <v>0</v>
      </c>
      <c r="BC1888" s="1">
        <v>0</v>
      </c>
      <c r="BE1888" s="1">
        <v>27387921</v>
      </c>
    </row>
    <row r="1889" spans="1:57" x14ac:dyDescent="0.25">
      <c r="A1889" s="1" t="str">
        <f>T("1946128552496406372")</f>
        <v>1946128552496406372</v>
      </c>
      <c r="B1889" s="1" t="str">
        <f>T("249990954816")</f>
        <v>249990954816</v>
      </c>
      <c r="C1889" s="1" t="str">
        <f>T("1941094503377011776")</f>
        <v>1941094503377011776</v>
      </c>
      <c r="AC1889" s="1" t="s">
        <v>344</v>
      </c>
      <c r="AD1889" s="1" t="s">
        <v>372</v>
      </c>
      <c r="AE1889" s="1" t="s">
        <v>815</v>
      </c>
      <c r="AF1889" s="1" t="s">
        <v>107</v>
      </c>
      <c r="AG1889" s="1">
        <v>50</v>
      </c>
      <c r="AO1889" s="2">
        <v>46279</v>
      </c>
      <c r="AP1889" s="1" t="s">
        <v>248</v>
      </c>
      <c r="AQ1889" s="2">
        <v>46279</v>
      </c>
      <c r="AR1889" s="1" t="s">
        <v>816</v>
      </c>
      <c r="AS1889" s="1" t="s">
        <v>71</v>
      </c>
      <c r="AU1889" s="1" t="s">
        <v>79</v>
      </c>
      <c r="AV1889" s="1" t="s">
        <v>80</v>
      </c>
      <c r="AW1889" s="1">
        <v>22.84</v>
      </c>
      <c r="AX1889" s="1">
        <v>0</v>
      </c>
      <c r="AZ1889" s="1" t="s">
        <v>81</v>
      </c>
      <c r="BA1889" s="1">
        <v>4</v>
      </c>
      <c r="BB1889" s="1">
        <v>0</v>
      </c>
      <c r="BC1889" s="1">
        <v>0</v>
      </c>
      <c r="BE1889" s="1">
        <v>27387921</v>
      </c>
    </row>
    <row r="1890" spans="1:57" x14ac:dyDescent="0.25">
      <c r="A1890" s="1" t="str">
        <f>T("1946128552521571120")</f>
        <v>1946128552521571120</v>
      </c>
      <c r="B1890" s="1" t="str">
        <f>T("249903148988")</f>
        <v>249903148988</v>
      </c>
      <c r="C1890" s="1" t="str">
        <f>T("1941094503377012376")</f>
        <v>1941094503377012376</v>
      </c>
      <c r="AC1890" s="1" t="s">
        <v>344</v>
      </c>
      <c r="AD1890" s="1" t="s">
        <v>430</v>
      </c>
      <c r="AE1890" s="1" t="s">
        <v>530</v>
      </c>
      <c r="AF1890" s="1" t="s">
        <v>144</v>
      </c>
      <c r="AG1890" s="1">
        <v>20</v>
      </c>
      <c r="AO1890" s="2">
        <v>46279</v>
      </c>
      <c r="AP1890" s="1" t="s">
        <v>248</v>
      </c>
      <c r="AS1890" s="1" t="s">
        <v>71</v>
      </c>
      <c r="AU1890" s="1" t="s">
        <v>72</v>
      </c>
      <c r="AV1890" s="1" t="s">
        <v>73</v>
      </c>
      <c r="AX1890" s="1">
        <v>0</v>
      </c>
      <c r="BA1890" s="1">
        <v>9</v>
      </c>
      <c r="BB1890" s="1">
        <v>0</v>
      </c>
      <c r="BC1890" s="1">
        <v>0</v>
      </c>
      <c r="BE1890" s="1">
        <v>27387921</v>
      </c>
    </row>
    <row r="1891" spans="1:57" x14ac:dyDescent="0.25">
      <c r="A1891" s="1" t="str">
        <f>T("1946128552550930976")</f>
        <v>1946128552550930976</v>
      </c>
      <c r="B1891" s="1" t="str">
        <f>T("249916529588")</f>
        <v>249916529588</v>
      </c>
      <c r="C1891" s="1" t="str">
        <f>T("1941094503377012876")</f>
        <v>1941094503377012876</v>
      </c>
      <c r="AC1891" s="1" t="s">
        <v>344</v>
      </c>
      <c r="AD1891" s="1" t="s">
        <v>430</v>
      </c>
      <c r="AE1891" s="1" t="s">
        <v>530</v>
      </c>
      <c r="AF1891" s="1" t="s">
        <v>107</v>
      </c>
      <c r="AG1891" s="1">
        <v>26</v>
      </c>
      <c r="AO1891" s="2">
        <v>46279</v>
      </c>
      <c r="AP1891" s="1" t="s">
        <v>248</v>
      </c>
      <c r="AS1891" s="1" t="s">
        <v>71</v>
      </c>
      <c r="AU1891" s="1" t="s">
        <v>72</v>
      </c>
      <c r="AV1891" s="1" t="s">
        <v>437</v>
      </c>
      <c r="AX1891" s="1">
        <v>0</v>
      </c>
      <c r="BA1891" s="1">
        <v>9</v>
      </c>
      <c r="BB1891" s="1">
        <v>0</v>
      </c>
      <c r="BC1891" s="1">
        <v>0</v>
      </c>
      <c r="BE1891" s="1">
        <v>27387921</v>
      </c>
    </row>
    <row r="1892" spans="1:57" x14ac:dyDescent="0.25">
      <c r="A1892" s="1" t="str">
        <f>T("1946128552576097824")</f>
        <v>1946128552576097824</v>
      </c>
      <c r="B1892" s="1" t="str">
        <f>T("249907462855")</f>
        <v>249907462855</v>
      </c>
      <c r="C1892" s="1" t="str">
        <f>T("1941094503381205084")</f>
        <v>1941094503381205084</v>
      </c>
      <c r="AC1892" s="1" t="s">
        <v>344</v>
      </c>
      <c r="AD1892" s="1" t="s">
        <v>357</v>
      </c>
      <c r="AE1892" s="1" t="s">
        <v>817</v>
      </c>
      <c r="AF1892" s="1" t="s">
        <v>107</v>
      </c>
      <c r="AG1892" s="1">
        <v>64</v>
      </c>
      <c r="AO1892" s="2">
        <v>46279</v>
      </c>
      <c r="AP1892" s="1" t="s">
        <v>248</v>
      </c>
      <c r="AS1892" s="1" t="s">
        <v>71</v>
      </c>
      <c r="AU1892" s="1" t="s">
        <v>72</v>
      </c>
      <c r="AV1892" s="1" t="s">
        <v>437</v>
      </c>
      <c r="AX1892" s="1">
        <v>0</v>
      </c>
      <c r="BA1892" s="1">
        <v>9</v>
      </c>
      <c r="BB1892" s="1">
        <v>0</v>
      </c>
      <c r="BC1892" s="1">
        <v>0</v>
      </c>
      <c r="BE1892" s="1">
        <v>27387921</v>
      </c>
    </row>
    <row r="1893" spans="1:57" x14ac:dyDescent="0.25">
      <c r="A1893" s="1" t="str">
        <f>T("1946128552609649488")</f>
        <v>1946128552609649488</v>
      </c>
      <c r="B1893" s="1" t="str">
        <f>T("249919704586")</f>
        <v>249919704586</v>
      </c>
      <c r="C1893" s="1" t="str">
        <f>T("1941094503381205584")</f>
        <v>1941094503381205584</v>
      </c>
      <c r="AC1893" s="1" t="s">
        <v>344</v>
      </c>
      <c r="AD1893" s="1" t="s">
        <v>372</v>
      </c>
      <c r="AE1893" s="1" t="s">
        <v>814</v>
      </c>
      <c r="AF1893" s="1" t="s">
        <v>144</v>
      </c>
      <c r="AG1893" s="1">
        <v>50</v>
      </c>
      <c r="AO1893" s="2">
        <v>46279</v>
      </c>
      <c r="AP1893" s="1" t="s">
        <v>248</v>
      </c>
      <c r="AS1893" s="1" t="s">
        <v>71</v>
      </c>
      <c r="AU1893" s="1" t="s">
        <v>72</v>
      </c>
      <c r="AV1893" s="1" t="s">
        <v>437</v>
      </c>
      <c r="AX1893" s="1">
        <v>0</v>
      </c>
      <c r="BA1893" s="1">
        <v>9</v>
      </c>
      <c r="BB1893" s="1">
        <v>0</v>
      </c>
      <c r="BC1893" s="1">
        <v>0</v>
      </c>
      <c r="BE1893" s="1">
        <v>27387921</v>
      </c>
    </row>
    <row r="1894" spans="1:57" x14ac:dyDescent="0.25">
      <c r="A1894" s="1" t="str">
        <f>T("1946128552634816336")</f>
        <v>1946128552634816336</v>
      </c>
      <c r="B1894" s="1" t="str">
        <f>T("249964677467")</f>
        <v>249964677467</v>
      </c>
      <c r="C1894" s="1" t="str">
        <f>T("1941094503381206184")</f>
        <v>1941094503381206184</v>
      </c>
      <c r="AC1894" s="1" t="s">
        <v>344</v>
      </c>
      <c r="AD1894" s="1" t="s">
        <v>372</v>
      </c>
      <c r="AE1894" s="1" t="s">
        <v>373</v>
      </c>
      <c r="AF1894" s="1" t="s">
        <v>107</v>
      </c>
      <c r="AG1894" s="1">
        <v>27</v>
      </c>
      <c r="AO1894" s="2">
        <v>46279</v>
      </c>
      <c r="AP1894" s="1" t="s">
        <v>248</v>
      </c>
      <c r="AS1894" s="1" t="s">
        <v>71</v>
      </c>
      <c r="AU1894" s="1" t="s">
        <v>72</v>
      </c>
      <c r="AV1894" s="1" t="s">
        <v>73</v>
      </c>
      <c r="AX1894" s="1">
        <v>0</v>
      </c>
      <c r="BA1894" s="1">
        <v>9</v>
      </c>
      <c r="BB1894" s="1">
        <v>0</v>
      </c>
      <c r="BC1894" s="1">
        <v>0</v>
      </c>
      <c r="BE1894" s="1">
        <v>27387921</v>
      </c>
    </row>
    <row r="1895" spans="1:57" x14ac:dyDescent="0.25">
      <c r="A1895" s="1" t="str">
        <f>T("1946128552655787976")</f>
        <v>1946128552655787976</v>
      </c>
      <c r="B1895" s="1" t="str">
        <f>T("249918628195")</f>
        <v>249918628195</v>
      </c>
      <c r="C1895" s="1" t="str">
        <f>T("1941094503381206584")</f>
        <v>1941094503381206584</v>
      </c>
      <c r="AC1895" s="1" t="s">
        <v>344</v>
      </c>
      <c r="AD1895" s="1" t="s">
        <v>441</v>
      </c>
      <c r="AE1895" s="1" t="s">
        <v>530</v>
      </c>
      <c r="AF1895" s="1" t="s">
        <v>144</v>
      </c>
      <c r="AG1895" s="1">
        <v>70</v>
      </c>
      <c r="AO1895" s="2">
        <v>46279</v>
      </c>
      <c r="AP1895" s="1" t="s">
        <v>248</v>
      </c>
      <c r="AS1895" s="1" t="s">
        <v>71</v>
      </c>
      <c r="AU1895" s="1" t="s">
        <v>72</v>
      </c>
      <c r="AV1895" s="1" t="s">
        <v>437</v>
      </c>
      <c r="AX1895" s="1">
        <v>0</v>
      </c>
      <c r="BA1895" s="1">
        <v>9</v>
      </c>
      <c r="BB1895" s="1">
        <v>0</v>
      </c>
      <c r="BC1895" s="1">
        <v>0</v>
      </c>
      <c r="BE1895" s="1">
        <v>27387921</v>
      </c>
    </row>
    <row r="1896" spans="1:57" x14ac:dyDescent="0.25">
      <c r="A1896" s="1" t="str">
        <f>T("1946128552701925164")</f>
        <v>1946128552701925164</v>
      </c>
      <c r="B1896" s="1" t="str">
        <f>T("249918268348")</f>
        <v>249918268348</v>
      </c>
      <c r="C1896" s="1" t="str">
        <f>T("1941094503381207084")</f>
        <v>1941094503381207084</v>
      </c>
      <c r="AC1896" s="1" t="s">
        <v>344</v>
      </c>
      <c r="AD1896" s="1" t="s">
        <v>357</v>
      </c>
      <c r="AE1896" s="1" t="s">
        <v>812</v>
      </c>
      <c r="AF1896" s="1" t="s">
        <v>107</v>
      </c>
      <c r="AG1896" s="1">
        <v>41</v>
      </c>
      <c r="AO1896" s="2">
        <v>46279</v>
      </c>
      <c r="AP1896" s="1" t="s">
        <v>248</v>
      </c>
      <c r="AS1896" s="1" t="s">
        <v>71</v>
      </c>
      <c r="AU1896" s="1" t="s">
        <v>72</v>
      </c>
      <c r="AV1896" s="1" t="s">
        <v>73</v>
      </c>
      <c r="AX1896" s="1">
        <v>0</v>
      </c>
      <c r="BA1896" s="1">
        <v>9</v>
      </c>
      <c r="BB1896" s="1">
        <v>0</v>
      </c>
      <c r="BC1896" s="1">
        <v>0</v>
      </c>
      <c r="BE1896" s="1">
        <v>27387921</v>
      </c>
    </row>
    <row r="1897" spans="1:57" x14ac:dyDescent="0.25">
      <c r="A1897" s="1" t="str">
        <f>T("1946128552718701096")</f>
        <v>1946128552718701096</v>
      </c>
      <c r="B1897" s="1" t="str">
        <f>T("249916363937")</f>
        <v>249916363937</v>
      </c>
      <c r="C1897" s="1" t="str">
        <f>T("1941094503393791308")</f>
        <v>1941094503393791308</v>
      </c>
      <c r="AC1897" s="1" t="s">
        <v>344</v>
      </c>
      <c r="AD1897" s="1" t="s">
        <v>430</v>
      </c>
      <c r="AE1897" s="1" t="s">
        <v>530</v>
      </c>
      <c r="AF1897" s="1" t="s">
        <v>144</v>
      </c>
      <c r="AG1897" s="1">
        <v>43</v>
      </c>
      <c r="AO1897" s="2">
        <v>46279</v>
      </c>
      <c r="AP1897" s="1" t="s">
        <v>248</v>
      </c>
      <c r="AS1897" s="1" t="s">
        <v>71</v>
      </c>
      <c r="AU1897" s="1" t="s">
        <v>72</v>
      </c>
      <c r="AV1897" s="1" t="s">
        <v>437</v>
      </c>
      <c r="AX1897" s="1">
        <v>0</v>
      </c>
      <c r="BA1897" s="1">
        <v>9</v>
      </c>
      <c r="BB1897" s="1">
        <v>0</v>
      </c>
      <c r="BC1897" s="1">
        <v>0</v>
      </c>
      <c r="BE1897" s="1">
        <v>27387921</v>
      </c>
    </row>
    <row r="1898" spans="1:57" x14ac:dyDescent="0.25">
      <c r="A1898" s="1" t="str">
        <f>T("1946128552752258760")</f>
        <v>1946128552752258760</v>
      </c>
      <c r="B1898" s="1" t="str">
        <f>T("249919596998")</f>
        <v>249919596998</v>
      </c>
      <c r="C1898" s="1" t="str">
        <f>T("1941094503397982216")</f>
        <v>1941094503397982216</v>
      </c>
      <c r="AC1898" s="1" t="s">
        <v>344</v>
      </c>
      <c r="AD1898" s="1" t="s">
        <v>372</v>
      </c>
      <c r="AE1898" s="1" t="s">
        <v>813</v>
      </c>
      <c r="AF1898" s="1" t="s">
        <v>144</v>
      </c>
      <c r="AG1898" s="1">
        <v>28</v>
      </c>
      <c r="AO1898" s="2">
        <v>46279</v>
      </c>
      <c r="AP1898" s="1" t="s">
        <v>248</v>
      </c>
      <c r="AS1898" s="1" t="s">
        <v>71</v>
      </c>
      <c r="AU1898" s="1" t="s">
        <v>72</v>
      </c>
      <c r="AV1898" s="1" t="s">
        <v>437</v>
      </c>
      <c r="AX1898" s="1">
        <v>0</v>
      </c>
      <c r="BA1898" s="1">
        <v>9</v>
      </c>
      <c r="BB1898" s="1">
        <v>0</v>
      </c>
      <c r="BC1898" s="1">
        <v>0</v>
      </c>
      <c r="BE1898" s="1">
        <v>27387921</v>
      </c>
    </row>
    <row r="1899" spans="1:57" x14ac:dyDescent="0.25">
      <c r="A1899" s="1" t="str">
        <f>T("1946128552781615316")</f>
        <v>1946128552781615316</v>
      </c>
      <c r="B1899" s="1" t="str">
        <f>T("249915146554")</f>
        <v>249915146554</v>
      </c>
      <c r="C1899" s="1" t="str">
        <f>T("1941094503397982716")</f>
        <v>1941094503397982716</v>
      </c>
      <c r="AC1899" s="1" t="s">
        <v>344</v>
      </c>
      <c r="AD1899" s="1" t="s">
        <v>372</v>
      </c>
      <c r="AE1899" s="1" t="s">
        <v>815</v>
      </c>
      <c r="AF1899" s="1" t="s">
        <v>107</v>
      </c>
      <c r="AG1899" s="1">
        <v>66</v>
      </c>
      <c r="AO1899" s="2">
        <v>46279</v>
      </c>
      <c r="AP1899" s="1" t="s">
        <v>248</v>
      </c>
      <c r="AS1899" s="1" t="s">
        <v>71</v>
      </c>
      <c r="AU1899" s="1" t="s">
        <v>72</v>
      </c>
      <c r="AV1899" s="1" t="s">
        <v>437</v>
      </c>
      <c r="AX1899" s="1">
        <v>0</v>
      </c>
      <c r="BA1899" s="1">
        <v>9</v>
      </c>
      <c r="BB1899" s="1">
        <v>0</v>
      </c>
      <c r="BC1899" s="1">
        <v>0</v>
      </c>
      <c r="BE1899" s="1">
        <v>27387921</v>
      </c>
    </row>
    <row r="1900" spans="1:57" x14ac:dyDescent="0.25">
      <c r="A1900" s="1" t="str">
        <f>T("1946128552810977872")</f>
        <v>1946128552810977872</v>
      </c>
      <c r="B1900" s="1" t="str">
        <f>T("249917578656")</f>
        <v>249917578656</v>
      </c>
      <c r="C1900" s="1" t="str">
        <f>T("1941094503397983916")</f>
        <v>1941094503397983916</v>
      </c>
      <c r="AC1900" s="1" t="s">
        <v>344</v>
      </c>
      <c r="AD1900" s="1" t="s">
        <v>372</v>
      </c>
      <c r="AE1900" s="1" t="s">
        <v>818</v>
      </c>
      <c r="AF1900" s="1" t="s">
        <v>144</v>
      </c>
      <c r="AG1900" s="1">
        <v>59</v>
      </c>
      <c r="AO1900" s="2">
        <v>46279</v>
      </c>
      <c r="AP1900" s="1" t="s">
        <v>248</v>
      </c>
      <c r="AS1900" s="1" t="s">
        <v>71</v>
      </c>
      <c r="AU1900" s="1" t="s">
        <v>72</v>
      </c>
      <c r="AV1900" s="1" t="s">
        <v>437</v>
      </c>
      <c r="AX1900" s="1">
        <v>0</v>
      </c>
      <c r="BA1900" s="1">
        <v>9</v>
      </c>
      <c r="BB1900" s="1">
        <v>0</v>
      </c>
      <c r="BC1900" s="1">
        <v>0</v>
      </c>
      <c r="BE1900" s="1">
        <v>27387921</v>
      </c>
    </row>
    <row r="1901" spans="1:57" x14ac:dyDescent="0.25">
      <c r="A1901" s="1" t="str">
        <f>T("1946128552844531536")</f>
        <v>1946128552844531536</v>
      </c>
      <c r="B1901" s="1" t="str">
        <f>T("249126599704")</f>
        <v>249126599704</v>
      </c>
      <c r="C1901" s="1" t="str">
        <f>T("1941094503397985116")</f>
        <v>1941094503397985116</v>
      </c>
      <c r="AA1901" s="1">
        <v>1</v>
      </c>
      <c r="AC1901" s="1" t="s">
        <v>344</v>
      </c>
      <c r="AD1901" s="1" t="s">
        <v>372</v>
      </c>
      <c r="AE1901" s="1" t="s">
        <v>818</v>
      </c>
      <c r="AF1901" s="1" t="s">
        <v>107</v>
      </c>
      <c r="AG1901" s="1">
        <v>53</v>
      </c>
      <c r="AO1901" s="2">
        <v>46279</v>
      </c>
      <c r="AP1901" s="1" t="s">
        <v>248</v>
      </c>
      <c r="AQ1901" s="2">
        <v>46279</v>
      </c>
      <c r="AR1901" s="1" t="s">
        <v>819</v>
      </c>
      <c r="AS1901" s="1" t="s">
        <v>71</v>
      </c>
      <c r="AU1901" s="1" t="s">
        <v>79</v>
      </c>
      <c r="AV1901" s="1" t="s">
        <v>80</v>
      </c>
      <c r="AW1901" s="1">
        <v>63.74</v>
      </c>
      <c r="AX1901" s="1">
        <v>0</v>
      </c>
      <c r="AZ1901" s="1" t="s">
        <v>81</v>
      </c>
      <c r="BA1901" s="1">
        <v>1</v>
      </c>
      <c r="BB1901" s="1">
        <v>0</v>
      </c>
      <c r="BC1901" s="1">
        <v>0</v>
      </c>
      <c r="BE1901" s="1">
        <v>27387921</v>
      </c>
    </row>
    <row r="1902" spans="1:57" x14ac:dyDescent="0.25">
      <c r="A1902" s="1" t="str">
        <f>T("1946128552869698784")</f>
        <v>1946128552869698784</v>
      </c>
      <c r="B1902" s="1" t="str">
        <f>T("249919104263")</f>
        <v>249919104263</v>
      </c>
      <c r="C1902" s="1" t="str">
        <f>T("1941094503397985816")</f>
        <v>1941094503397985816</v>
      </c>
      <c r="AC1902" s="1" t="s">
        <v>344</v>
      </c>
      <c r="AD1902" s="1" t="s">
        <v>441</v>
      </c>
      <c r="AE1902" s="1" t="s">
        <v>530</v>
      </c>
      <c r="AF1902" s="1" t="s">
        <v>107</v>
      </c>
      <c r="AG1902" s="1">
        <v>75</v>
      </c>
      <c r="AO1902" s="2">
        <v>46279</v>
      </c>
      <c r="AP1902" s="1" t="s">
        <v>248</v>
      </c>
      <c r="AS1902" s="1" t="s">
        <v>71</v>
      </c>
      <c r="AU1902" s="1" t="s">
        <v>72</v>
      </c>
      <c r="AV1902" s="1" t="s">
        <v>73</v>
      </c>
      <c r="AX1902" s="1">
        <v>0</v>
      </c>
      <c r="BA1902" s="1">
        <v>9</v>
      </c>
      <c r="BB1902" s="1">
        <v>0</v>
      </c>
      <c r="BC1902" s="1">
        <v>0</v>
      </c>
      <c r="BE1902" s="1">
        <v>27387921</v>
      </c>
    </row>
    <row r="1903" spans="1:57" x14ac:dyDescent="0.25">
      <c r="A1903" s="1" t="str">
        <f>T("1946128552894862732")</f>
        <v>1946128552894862732</v>
      </c>
      <c r="B1903" s="1" t="str">
        <f>T("249969639384")</f>
        <v>249969639384</v>
      </c>
      <c r="C1903" s="1" t="str">
        <f>T("1941094503406372532")</f>
        <v>1941094503406372532</v>
      </c>
      <c r="AC1903" s="1" t="s">
        <v>344</v>
      </c>
      <c r="AD1903" s="1" t="s">
        <v>441</v>
      </c>
      <c r="AE1903" s="1" t="s">
        <v>530</v>
      </c>
      <c r="AF1903" s="1" t="s">
        <v>144</v>
      </c>
      <c r="AG1903" s="1">
        <v>35</v>
      </c>
      <c r="AO1903" s="2">
        <v>46279</v>
      </c>
      <c r="AP1903" s="1" t="s">
        <v>248</v>
      </c>
      <c r="AS1903" s="1" t="s">
        <v>71</v>
      </c>
      <c r="AU1903" s="1" t="s">
        <v>72</v>
      </c>
      <c r="AV1903" s="1" t="s">
        <v>73</v>
      </c>
      <c r="AX1903" s="1">
        <v>0</v>
      </c>
      <c r="BA1903" s="1">
        <v>9</v>
      </c>
      <c r="BB1903" s="1">
        <v>0</v>
      </c>
      <c r="BC1903" s="1">
        <v>0</v>
      </c>
      <c r="BE1903" s="1">
        <v>27387921</v>
      </c>
    </row>
    <row r="1904" spans="1:57" x14ac:dyDescent="0.25">
      <c r="A1904" s="1" t="str">
        <f>T("1946128552940999820")</f>
        <v>1946128552940999820</v>
      </c>
      <c r="B1904" s="1" t="str">
        <f>T("249917111352")</f>
        <v>249917111352</v>
      </c>
      <c r="C1904" s="1" t="str">
        <f>T("1941094503406374632")</f>
        <v>1941094503406374632</v>
      </c>
      <c r="AC1904" s="1" t="s">
        <v>344</v>
      </c>
      <c r="AD1904" s="1" t="s">
        <v>372</v>
      </c>
      <c r="AE1904" s="1" t="s">
        <v>815</v>
      </c>
      <c r="AF1904" s="1" t="s">
        <v>144</v>
      </c>
      <c r="AG1904" s="1">
        <v>40</v>
      </c>
      <c r="AO1904" s="2">
        <v>46279</v>
      </c>
      <c r="AP1904" s="1" t="s">
        <v>248</v>
      </c>
      <c r="AS1904" s="1" t="s">
        <v>71</v>
      </c>
      <c r="AU1904" s="1" t="s">
        <v>72</v>
      </c>
      <c r="AV1904" s="1" t="s">
        <v>437</v>
      </c>
      <c r="AX1904" s="1">
        <v>0</v>
      </c>
      <c r="BA1904" s="1">
        <v>9</v>
      </c>
      <c r="BB1904" s="1">
        <v>0</v>
      </c>
      <c r="BC1904" s="1">
        <v>0</v>
      </c>
      <c r="BE1904" s="1">
        <v>27387921</v>
      </c>
    </row>
    <row r="1905" spans="1:57" x14ac:dyDescent="0.25">
      <c r="A1905" s="1" t="str">
        <f>T("1946128552945196428")</f>
        <v>1946128552945196428</v>
      </c>
      <c r="B1905" s="1" t="str">
        <f>T("249907065139")</f>
        <v>249907065139</v>
      </c>
      <c r="C1905" s="1" t="str">
        <f>T("1941094503410565740")</f>
        <v>1941094503410565740</v>
      </c>
      <c r="AC1905" s="1" t="s">
        <v>344</v>
      </c>
      <c r="AD1905" s="1" t="s">
        <v>372</v>
      </c>
      <c r="AE1905" s="1" t="s">
        <v>820</v>
      </c>
      <c r="AF1905" s="1" t="s">
        <v>107</v>
      </c>
      <c r="AG1905" s="1">
        <v>27</v>
      </c>
      <c r="AO1905" s="2">
        <v>46279</v>
      </c>
      <c r="AP1905" s="1" t="s">
        <v>248</v>
      </c>
      <c r="AS1905" s="1" t="s">
        <v>71</v>
      </c>
      <c r="AU1905" s="1" t="s">
        <v>72</v>
      </c>
      <c r="AV1905" s="1" t="s">
        <v>73</v>
      </c>
      <c r="AX1905" s="1">
        <v>0</v>
      </c>
      <c r="BA1905" s="1">
        <v>9</v>
      </c>
      <c r="BB1905" s="1">
        <v>0</v>
      </c>
      <c r="BC1905" s="1">
        <v>0</v>
      </c>
      <c r="BE1905" s="1">
        <v>27387921</v>
      </c>
    </row>
    <row r="1906" spans="1:57" x14ac:dyDescent="0.25">
      <c r="A1906" s="1" t="str">
        <f>T("1946128552991334216")</f>
        <v>1946128552991334216</v>
      </c>
      <c r="B1906" s="1" t="str">
        <f>T("249907863306")</f>
        <v>249907863306</v>
      </c>
      <c r="C1906" s="1" t="str">
        <f>T("1941094503410568940")</f>
        <v>1941094503410568940</v>
      </c>
      <c r="AC1906" s="1" t="s">
        <v>344</v>
      </c>
      <c r="AD1906" s="1" t="s">
        <v>357</v>
      </c>
      <c r="AE1906" s="1" t="s">
        <v>812</v>
      </c>
      <c r="AF1906" s="1" t="s">
        <v>107</v>
      </c>
      <c r="AG1906" s="1">
        <v>30</v>
      </c>
      <c r="AO1906" s="2">
        <v>46279</v>
      </c>
      <c r="AP1906" s="1" t="s">
        <v>248</v>
      </c>
      <c r="AS1906" s="1" t="s">
        <v>71</v>
      </c>
      <c r="AU1906" s="1" t="s">
        <v>72</v>
      </c>
      <c r="AV1906" s="1" t="s">
        <v>73</v>
      </c>
      <c r="AX1906" s="1">
        <v>0</v>
      </c>
      <c r="BA1906" s="1">
        <v>9</v>
      </c>
      <c r="BB1906" s="1">
        <v>0</v>
      </c>
      <c r="BC1906" s="1">
        <v>0</v>
      </c>
      <c r="BE1906" s="1">
        <v>27387921</v>
      </c>
    </row>
    <row r="1907" spans="1:57" x14ac:dyDescent="0.25">
      <c r="A1907" s="1" t="str">
        <f>T("1946128552999719832")</f>
        <v>1946128552999719832</v>
      </c>
      <c r="B1907" s="1" t="str">
        <f>T("249990151356")</f>
        <v>249990151356</v>
      </c>
      <c r="C1907" s="1" t="str">
        <f>T("1941094503414759648")</f>
        <v>1941094503414759648</v>
      </c>
      <c r="AC1907" s="1" t="s">
        <v>344</v>
      </c>
      <c r="AD1907" s="1" t="s">
        <v>372</v>
      </c>
      <c r="AE1907" s="1" t="s">
        <v>815</v>
      </c>
      <c r="AF1907" s="1" t="s">
        <v>107</v>
      </c>
      <c r="AG1907" s="1">
        <v>52</v>
      </c>
      <c r="AO1907" s="2">
        <v>46279</v>
      </c>
      <c r="AP1907" s="1" t="s">
        <v>248</v>
      </c>
      <c r="AS1907" s="1" t="s">
        <v>71</v>
      </c>
      <c r="AU1907" s="1" t="s">
        <v>72</v>
      </c>
      <c r="AV1907" s="1" t="s">
        <v>73</v>
      </c>
      <c r="AX1907" s="1">
        <v>0</v>
      </c>
      <c r="BA1907" s="1">
        <v>9</v>
      </c>
      <c r="BB1907" s="1">
        <v>0</v>
      </c>
      <c r="BC1907" s="1">
        <v>0</v>
      </c>
      <c r="BE1907" s="1">
        <v>27387921</v>
      </c>
    </row>
    <row r="1908" spans="1:57" x14ac:dyDescent="0.25">
      <c r="A1908" s="1" t="str">
        <f>T("1946128553054246536")</f>
        <v>1946128553054246536</v>
      </c>
      <c r="B1908" s="1" t="str">
        <f>T("249902490105")</f>
        <v>249902490105</v>
      </c>
      <c r="C1908" s="1" t="str">
        <f>T("1941094503414762448")</f>
        <v>1941094503414762448</v>
      </c>
      <c r="AC1908" s="1" t="s">
        <v>344</v>
      </c>
      <c r="AD1908" s="1" t="s">
        <v>372</v>
      </c>
      <c r="AE1908" s="1" t="s">
        <v>814</v>
      </c>
      <c r="AF1908" s="1" t="s">
        <v>144</v>
      </c>
      <c r="AG1908" s="1">
        <v>62</v>
      </c>
      <c r="AO1908" s="2">
        <v>46279</v>
      </c>
      <c r="AP1908" s="1" t="s">
        <v>248</v>
      </c>
      <c r="AS1908" s="1" t="s">
        <v>71</v>
      </c>
      <c r="AU1908" s="1" t="s">
        <v>72</v>
      </c>
      <c r="AV1908" s="1" t="s">
        <v>437</v>
      </c>
      <c r="AX1908" s="1">
        <v>0</v>
      </c>
      <c r="BA1908" s="1">
        <v>9</v>
      </c>
      <c r="BB1908" s="1">
        <v>0</v>
      </c>
      <c r="BC1908" s="1">
        <v>0</v>
      </c>
      <c r="BE1908" s="1">
        <v>27387921</v>
      </c>
    </row>
    <row r="1909" spans="1:57" x14ac:dyDescent="0.25">
      <c r="A1909" s="1" t="str">
        <f>T("1946128553054247436")</f>
        <v>1946128553054247436</v>
      </c>
      <c r="B1909" s="1" t="str">
        <f>T("249122858793")</f>
        <v>249122858793</v>
      </c>
      <c r="C1909" s="1" t="str">
        <f>T("1941094503414761948")</f>
        <v>1941094503414761948</v>
      </c>
      <c r="AC1909" s="1" t="s">
        <v>344</v>
      </c>
      <c r="AD1909" s="1" t="s">
        <v>430</v>
      </c>
      <c r="AE1909" s="1" t="s">
        <v>530</v>
      </c>
      <c r="AF1909" s="1" t="s">
        <v>107</v>
      </c>
      <c r="AG1909" s="1">
        <v>22</v>
      </c>
      <c r="AO1909" s="2">
        <v>46279</v>
      </c>
      <c r="AP1909" s="1" t="s">
        <v>248</v>
      </c>
      <c r="AS1909" s="1" t="s">
        <v>71</v>
      </c>
      <c r="AU1909" s="1" t="s">
        <v>72</v>
      </c>
      <c r="AV1909" s="1" t="s">
        <v>115</v>
      </c>
      <c r="AX1909" s="1">
        <v>0</v>
      </c>
      <c r="BA1909" s="1">
        <v>9</v>
      </c>
      <c r="BB1909" s="1">
        <v>0</v>
      </c>
      <c r="BC1909" s="1">
        <v>0</v>
      </c>
      <c r="BE1909" s="1">
        <v>27387921</v>
      </c>
    </row>
    <row r="1910" spans="1:57" x14ac:dyDescent="0.25">
      <c r="A1910" s="1" t="str">
        <f>T("1946128553108771340")</f>
        <v>1946128553108771340</v>
      </c>
      <c r="B1910" s="1" t="str">
        <f>T("249910914822")</f>
        <v>249910914822</v>
      </c>
      <c r="C1910" s="1" t="str">
        <f>T("1941094503414762948")</f>
        <v>1941094503414762948</v>
      </c>
      <c r="AC1910" s="1" t="s">
        <v>344</v>
      </c>
      <c r="AD1910" s="1" t="s">
        <v>441</v>
      </c>
      <c r="AE1910" s="1" t="s">
        <v>530</v>
      </c>
      <c r="AF1910" s="1" t="s">
        <v>144</v>
      </c>
      <c r="AG1910" s="1">
        <v>55</v>
      </c>
      <c r="AO1910" s="2">
        <v>46279</v>
      </c>
      <c r="AP1910" s="1" t="s">
        <v>248</v>
      </c>
      <c r="AS1910" s="1" t="s">
        <v>71</v>
      </c>
      <c r="AU1910" s="1" t="s">
        <v>72</v>
      </c>
      <c r="AV1910" s="1" t="s">
        <v>437</v>
      </c>
      <c r="AX1910" s="1">
        <v>0</v>
      </c>
      <c r="BA1910" s="1">
        <v>9</v>
      </c>
      <c r="BB1910" s="1">
        <v>0</v>
      </c>
      <c r="BC1910" s="1">
        <v>0</v>
      </c>
      <c r="BE1910" s="1">
        <v>27387921</v>
      </c>
    </row>
    <row r="1911" spans="1:57" x14ac:dyDescent="0.25">
      <c r="A1911" s="1" t="str">
        <f>T("1946128553108773440")</f>
        <v>1946128553108773440</v>
      </c>
      <c r="B1911" s="1" t="str">
        <f>T("249964679983")</f>
        <v>249964679983</v>
      </c>
      <c r="C1911" s="1" t="str">
        <f>T("1941094503418954356")</f>
        <v>1941094503418954356</v>
      </c>
      <c r="AC1911" s="1" t="s">
        <v>344</v>
      </c>
      <c r="AD1911" s="1" t="s">
        <v>441</v>
      </c>
      <c r="AE1911" s="1" t="s">
        <v>530</v>
      </c>
      <c r="AF1911" s="1" t="s">
        <v>107</v>
      </c>
      <c r="AG1911" s="1">
        <v>20</v>
      </c>
      <c r="AO1911" s="2">
        <v>46279</v>
      </c>
      <c r="AP1911" s="1" t="s">
        <v>248</v>
      </c>
      <c r="AS1911" s="1" t="s">
        <v>71</v>
      </c>
      <c r="AU1911" s="1" t="s">
        <v>72</v>
      </c>
      <c r="AV1911" s="1" t="s">
        <v>437</v>
      </c>
      <c r="AX1911" s="1">
        <v>0</v>
      </c>
      <c r="BA1911" s="1">
        <v>9</v>
      </c>
      <c r="BB1911" s="1">
        <v>0</v>
      </c>
      <c r="BC1911" s="1">
        <v>0</v>
      </c>
      <c r="BE1911" s="1">
        <v>27387921</v>
      </c>
    </row>
    <row r="1912" spans="1:57" x14ac:dyDescent="0.25">
      <c r="A1912" s="1" t="str">
        <f>T("1946128553171685960")</f>
        <v>1946128553171685960</v>
      </c>
      <c r="B1912" s="1" t="str">
        <f>T("249900439691")</f>
        <v>249900439691</v>
      </c>
      <c r="C1912" s="1" t="str">
        <f>T("1941094503418955156")</f>
        <v>1941094503418955156</v>
      </c>
      <c r="AC1912" s="1" t="s">
        <v>344</v>
      </c>
      <c r="AD1912" s="1" t="s">
        <v>372</v>
      </c>
      <c r="AE1912" s="1" t="s">
        <v>373</v>
      </c>
      <c r="AF1912" s="1" t="s">
        <v>107</v>
      </c>
      <c r="AG1912" s="1">
        <v>46</v>
      </c>
      <c r="AO1912" s="2">
        <v>46279</v>
      </c>
      <c r="AP1912" s="1" t="s">
        <v>248</v>
      </c>
      <c r="AS1912" s="1" t="s">
        <v>71</v>
      </c>
      <c r="AU1912" s="1" t="s">
        <v>72</v>
      </c>
      <c r="AV1912" s="1" t="s">
        <v>73</v>
      </c>
      <c r="AX1912" s="1">
        <v>0</v>
      </c>
      <c r="BA1912" s="1">
        <v>9</v>
      </c>
      <c r="BB1912" s="1">
        <v>0</v>
      </c>
      <c r="BC1912" s="1">
        <v>0</v>
      </c>
      <c r="BE1912" s="1">
        <v>27387921</v>
      </c>
    </row>
    <row r="1913" spans="1:57" x14ac:dyDescent="0.25">
      <c r="A1913" s="1" t="str">
        <f>T("1946128553171686260")</f>
        <v>1946128553171686260</v>
      </c>
      <c r="B1913" s="1" t="str">
        <f>T("249999874741")</f>
        <v>249999874741</v>
      </c>
      <c r="C1913" s="1" t="str">
        <f>T("1941094503418954756")</f>
        <v>1941094503418954756</v>
      </c>
      <c r="M1913" s="1" t="s">
        <v>133</v>
      </c>
      <c r="N1913" s="1" t="s">
        <v>60</v>
      </c>
      <c r="O1913" s="1" t="s">
        <v>60</v>
      </c>
      <c r="P1913" s="1" t="s">
        <v>61</v>
      </c>
      <c r="Q1913" s="1" t="s">
        <v>92</v>
      </c>
      <c r="R1913" s="1" t="s">
        <v>93</v>
      </c>
      <c r="T1913" s="1" t="s">
        <v>464</v>
      </c>
      <c r="U1913" s="1" t="s">
        <v>65</v>
      </c>
      <c r="V1913" s="1" t="s">
        <v>68</v>
      </c>
      <c r="W1913" s="1" t="s">
        <v>67</v>
      </c>
      <c r="X1913" s="1" t="s">
        <v>68</v>
      </c>
      <c r="Y1913" s="1" t="s">
        <v>160</v>
      </c>
      <c r="AA1913" s="1">
        <v>1</v>
      </c>
      <c r="AB1913" s="1">
        <v>1</v>
      </c>
      <c r="AC1913" s="1" t="s">
        <v>344</v>
      </c>
      <c r="AD1913" s="1" t="s">
        <v>372</v>
      </c>
      <c r="AE1913" s="1" t="s">
        <v>813</v>
      </c>
      <c r="AF1913" s="1" t="s">
        <v>144</v>
      </c>
      <c r="AG1913" s="1">
        <v>50</v>
      </c>
      <c r="AO1913" s="2">
        <v>46279</v>
      </c>
      <c r="AP1913" s="1" t="s">
        <v>248</v>
      </c>
      <c r="AQ1913" s="2">
        <v>46279</v>
      </c>
      <c r="AR1913" s="1" t="s">
        <v>676</v>
      </c>
      <c r="AS1913" s="1" t="s">
        <v>71</v>
      </c>
      <c r="AU1913" s="1" t="s">
        <v>78</v>
      </c>
      <c r="AV1913" s="1" t="s">
        <v>80</v>
      </c>
      <c r="AW1913" s="1">
        <v>404.3</v>
      </c>
      <c r="AX1913" s="1">
        <v>0</v>
      </c>
      <c r="AZ1913" s="1" t="s">
        <v>81</v>
      </c>
      <c r="BA1913" s="1">
        <v>1</v>
      </c>
      <c r="BB1913" s="1">
        <v>0</v>
      </c>
      <c r="BC1913" s="1">
        <v>0</v>
      </c>
      <c r="BE1913" s="1">
        <v>27387921</v>
      </c>
    </row>
    <row r="1914" spans="1:57" x14ac:dyDescent="0.25">
      <c r="A1914" s="1" t="str">
        <f>T("1946128553217825348")</f>
        <v>1946128553217825348</v>
      </c>
      <c r="B1914" s="1" t="str">
        <f>T("249904094892")</f>
        <v>249904094892</v>
      </c>
      <c r="C1914" s="1" t="str">
        <f>T("1941094503418955556")</f>
        <v>1941094503418955556</v>
      </c>
      <c r="AC1914" s="1" t="s">
        <v>344</v>
      </c>
      <c r="AD1914" s="1" t="s">
        <v>441</v>
      </c>
      <c r="AE1914" s="1" t="s">
        <v>530</v>
      </c>
      <c r="AF1914" s="1" t="s">
        <v>107</v>
      </c>
      <c r="AG1914" s="1">
        <v>40</v>
      </c>
      <c r="AO1914" s="2">
        <v>46279</v>
      </c>
      <c r="AP1914" s="1" t="s">
        <v>248</v>
      </c>
      <c r="AS1914" s="1" t="s">
        <v>71</v>
      </c>
      <c r="AU1914" s="1" t="s">
        <v>72</v>
      </c>
      <c r="AV1914" s="1" t="s">
        <v>73</v>
      </c>
      <c r="AX1914" s="1">
        <v>0</v>
      </c>
      <c r="BA1914" s="1">
        <v>9</v>
      </c>
      <c r="BB1914" s="1">
        <v>0</v>
      </c>
      <c r="BC1914" s="1">
        <v>0</v>
      </c>
      <c r="BE1914" s="1">
        <v>27387921</v>
      </c>
    </row>
    <row r="1915" spans="1:57" x14ac:dyDescent="0.25">
      <c r="A1915" s="1" t="str">
        <f>T("1946128553222019856")</f>
        <v>1946128553222019856</v>
      </c>
      <c r="B1915" s="1" t="str">
        <f>T("249910973317")</f>
        <v>249910973317</v>
      </c>
      <c r="C1915" s="1" t="str">
        <f>T("1941094503418957356")</f>
        <v>1941094503418957356</v>
      </c>
      <c r="AC1915" s="1" t="s">
        <v>344</v>
      </c>
      <c r="AD1915" s="1" t="s">
        <v>430</v>
      </c>
      <c r="AE1915" s="1" t="s">
        <v>530</v>
      </c>
      <c r="AF1915" s="1" t="s">
        <v>144</v>
      </c>
      <c r="AG1915" s="1">
        <v>47</v>
      </c>
      <c r="AO1915" s="2">
        <v>46279</v>
      </c>
      <c r="AP1915" s="1" t="s">
        <v>248</v>
      </c>
      <c r="AS1915" s="1" t="s">
        <v>71</v>
      </c>
      <c r="AU1915" s="1" t="s">
        <v>72</v>
      </c>
      <c r="AV1915" s="1" t="s">
        <v>73</v>
      </c>
      <c r="AX1915" s="1">
        <v>0</v>
      </c>
      <c r="BA1915" s="1">
        <v>9</v>
      </c>
      <c r="BB1915" s="1">
        <v>0</v>
      </c>
      <c r="BC1915" s="1">
        <v>0</v>
      </c>
      <c r="BE1915" s="1">
        <v>27387921</v>
      </c>
    </row>
    <row r="1916" spans="1:57" x14ac:dyDescent="0.25">
      <c r="A1916" s="1" t="str">
        <f>T("1946128553268155844")</f>
        <v>1946128553268155844</v>
      </c>
      <c r="B1916" s="1" t="str">
        <f>T("249916359284")</f>
        <v>249916359284</v>
      </c>
      <c r="C1916" s="1" t="str">
        <f>T("1941094503423148064")</f>
        <v>1941094503423148064</v>
      </c>
      <c r="AC1916" s="1" t="s">
        <v>344</v>
      </c>
      <c r="AD1916" s="1" t="s">
        <v>430</v>
      </c>
      <c r="AE1916" s="1" t="s">
        <v>530</v>
      </c>
      <c r="AF1916" s="1" t="s">
        <v>107</v>
      </c>
      <c r="AG1916" s="1">
        <v>33</v>
      </c>
      <c r="AO1916" s="2">
        <v>46279</v>
      </c>
      <c r="AP1916" s="1" t="s">
        <v>248</v>
      </c>
      <c r="AS1916" s="1" t="s">
        <v>71</v>
      </c>
      <c r="AU1916" s="1" t="s">
        <v>72</v>
      </c>
      <c r="AV1916" s="1" t="s">
        <v>437</v>
      </c>
      <c r="AX1916" s="1">
        <v>0</v>
      </c>
      <c r="BA1916" s="1">
        <v>9</v>
      </c>
      <c r="BB1916" s="1">
        <v>0</v>
      </c>
      <c r="BC1916" s="1">
        <v>0</v>
      </c>
      <c r="BE1916" s="1">
        <v>27387921</v>
      </c>
    </row>
    <row r="1917" spans="1:57" x14ac:dyDescent="0.25">
      <c r="A1917" s="1" t="str">
        <f>T("1946128553276546060")</f>
        <v>1946128553276546060</v>
      </c>
      <c r="B1917" s="1" t="str">
        <f>T("249961772215")</f>
        <v>249961772215</v>
      </c>
      <c r="C1917" s="1" t="str">
        <f>T("1941094503423148464")</f>
        <v>1941094503423148464</v>
      </c>
      <c r="AC1917" s="1" t="s">
        <v>344</v>
      </c>
      <c r="AD1917" s="1" t="s">
        <v>441</v>
      </c>
      <c r="AE1917" s="1" t="s">
        <v>530</v>
      </c>
      <c r="AF1917" s="1" t="s">
        <v>107</v>
      </c>
      <c r="AG1917" s="1">
        <v>33</v>
      </c>
      <c r="AO1917" s="2">
        <v>46279</v>
      </c>
      <c r="AP1917" s="1" t="s">
        <v>248</v>
      </c>
      <c r="AS1917" s="1" t="s">
        <v>71</v>
      </c>
      <c r="AU1917" s="1" t="s">
        <v>72</v>
      </c>
      <c r="AV1917" s="1" t="s">
        <v>73</v>
      </c>
      <c r="AX1917" s="1">
        <v>0</v>
      </c>
      <c r="BA1917" s="1">
        <v>9</v>
      </c>
      <c r="BB1917" s="1">
        <v>0</v>
      </c>
      <c r="BC1917" s="1">
        <v>0</v>
      </c>
      <c r="BE1917" s="1">
        <v>27387921</v>
      </c>
    </row>
    <row r="1918" spans="1:57" x14ac:dyDescent="0.25">
      <c r="A1918" s="1" t="str">
        <f>T("1946128553331070664")</f>
        <v>1946128553331070664</v>
      </c>
      <c r="B1918" s="1" t="str">
        <f>T("249911976513")</f>
        <v>249911976513</v>
      </c>
      <c r="C1918" s="1" t="str">
        <f>T("1941094503423148864")</f>
        <v>1941094503423148864</v>
      </c>
      <c r="AC1918" s="1" t="s">
        <v>344</v>
      </c>
      <c r="AD1918" s="1" t="s">
        <v>441</v>
      </c>
      <c r="AE1918" s="1" t="s">
        <v>530</v>
      </c>
      <c r="AF1918" s="1" t="s">
        <v>107</v>
      </c>
      <c r="AG1918" s="1">
        <v>50</v>
      </c>
      <c r="AO1918" s="2">
        <v>46279</v>
      </c>
      <c r="AP1918" s="1" t="s">
        <v>248</v>
      </c>
      <c r="AS1918" s="1" t="s">
        <v>71</v>
      </c>
      <c r="AU1918" s="1" t="s">
        <v>72</v>
      </c>
      <c r="AV1918" s="1" t="s">
        <v>437</v>
      </c>
      <c r="AX1918" s="1">
        <v>0</v>
      </c>
      <c r="BA1918" s="1">
        <v>9</v>
      </c>
      <c r="BB1918" s="1">
        <v>0</v>
      </c>
      <c r="BC1918" s="1">
        <v>0</v>
      </c>
      <c r="BE1918" s="1">
        <v>27387921</v>
      </c>
    </row>
    <row r="1919" spans="1:57" x14ac:dyDescent="0.25">
      <c r="A1919" s="1" t="str">
        <f>T("1946128553335264572")</f>
        <v>1946128553335264572</v>
      </c>
      <c r="B1919" s="1" t="str">
        <f>T("249903642231")</f>
        <v>249903642231</v>
      </c>
      <c r="C1919" s="1" t="str">
        <f>T("1941094503423149264")</f>
        <v>1941094503423149264</v>
      </c>
      <c r="AC1919" s="1" t="s">
        <v>344</v>
      </c>
      <c r="AD1919" s="1" t="s">
        <v>372</v>
      </c>
      <c r="AE1919" s="1" t="s">
        <v>813</v>
      </c>
      <c r="AF1919" s="1" t="s">
        <v>144</v>
      </c>
      <c r="AG1919" s="1">
        <v>30</v>
      </c>
      <c r="AO1919" s="2">
        <v>46279</v>
      </c>
      <c r="AP1919" s="1" t="s">
        <v>248</v>
      </c>
      <c r="AS1919" s="1" t="s">
        <v>71</v>
      </c>
      <c r="AU1919" s="1" t="s">
        <v>72</v>
      </c>
      <c r="AV1919" s="1" t="s">
        <v>73</v>
      </c>
      <c r="AX1919" s="1">
        <v>0</v>
      </c>
      <c r="BA1919" s="1">
        <v>9</v>
      </c>
      <c r="BB1919" s="1">
        <v>0</v>
      </c>
      <c r="BC1919" s="1">
        <v>0</v>
      </c>
      <c r="BE1919" s="1">
        <v>27387921</v>
      </c>
    </row>
    <row r="1920" spans="1:57" x14ac:dyDescent="0.25">
      <c r="A1920" s="1" t="str">
        <f>T("1946128553385598368")</f>
        <v>1946128553385598368</v>
      </c>
      <c r="B1920" s="1" t="str">
        <f>T("249990584760")</f>
        <v>249990584760</v>
      </c>
      <c r="C1920" s="1" t="str">
        <f>T("1941094503423149664")</f>
        <v>1941094503423149664</v>
      </c>
      <c r="AC1920" s="1" t="s">
        <v>344</v>
      </c>
      <c r="AD1920" s="1" t="s">
        <v>372</v>
      </c>
      <c r="AE1920" s="1" t="s">
        <v>820</v>
      </c>
      <c r="AF1920" s="1" t="s">
        <v>107</v>
      </c>
      <c r="AG1920" s="1">
        <v>70</v>
      </c>
      <c r="AO1920" s="2">
        <v>46279</v>
      </c>
      <c r="AP1920" s="1" t="s">
        <v>248</v>
      </c>
      <c r="AS1920" s="1" t="s">
        <v>71</v>
      </c>
      <c r="AU1920" s="1" t="s">
        <v>72</v>
      </c>
      <c r="AV1920" s="1" t="s">
        <v>73</v>
      </c>
      <c r="AX1920" s="1">
        <v>0</v>
      </c>
      <c r="BA1920" s="1">
        <v>9</v>
      </c>
      <c r="BB1920" s="1">
        <v>0</v>
      </c>
      <c r="BC1920" s="1">
        <v>0</v>
      </c>
      <c r="BE1920" s="1">
        <v>27387921</v>
      </c>
    </row>
    <row r="1921" spans="1:57" x14ac:dyDescent="0.25">
      <c r="A1921" s="1" t="str">
        <f>T("1946128553402373400")</f>
        <v>1946128553402373400</v>
      </c>
      <c r="B1921" s="1" t="str">
        <f>T("249961407301")</f>
        <v>249961407301</v>
      </c>
      <c r="C1921" s="1" t="str">
        <f>T("1941094503423150064")</f>
        <v>1941094503423150064</v>
      </c>
      <c r="AC1921" s="1" t="s">
        <v>344</v>
      </c>
      <c r="AD1921" s="1" t="s">
        <v>372</v>
      </c>
      <c r="AE1921" s="1" t="s">
        <v>814</v>
      </c>
      <c r="AF1921" s="1" t="s">
        <v>144</v>
      </c>
      <c r="AG1921" s="1">
        <v>38</v>
      </c>
      <c r="AO1921" s="2">
        <v>46279</v>
      </c>
      <c r="AP1921" s="1" t="s">
        <v>248</v>
      </c>
      <c r="AS1921" s="1" t="s">
        <v>71</v>
      </c>
      <c r="AU1921" s="1" t="s">
        <v>72</v>
      </c>
      <c r="AV1921" s="1" t="s">
        <v>73</v>
      </c>
      <c r="AX1921" s="1">
        <v>0</v>
      </c>
      <c r="BA1921" s="1">
        <v>9</v>
      </c>
      <c r="BB1921" s="1">
        <v>0</v>
      </c>
      <c r="BC1921" s="1">
        <v>0</v>
      </c>
      <c r="BE1921" s="1">
        <v>27387921</v>
      </c>
    </row>
    <row r="1922" spans="1:57" x14ac:dyDescent="0.25">
      <c r="A1922" s="1" t="str">
        <f>T("1946128553444317980")</f>
        <v>1946128553444317980</v>
      </c>
      <c r="B1922" s="1" t="str">
        <f>T("249900459663")</f>
        <v>249900459663</v>
      </c>
      <c r="C1922" s="1" t="str">
        <f>T("1941094503423150664")</f>
        <v>1941094503423150664</v>
      </c>
      <c r="AC1922" s="1" t="s">
        <v>344</v>
      </c>
      <c r="AD1922" s="1" t="s">
        <v>441</v>
      </c>
      <c r="AE1922" s="1" t="s">
        <v>530</v>
      </c>
      <c r="AF1922" s="1" t="s">
        <v>107</v>
      </c>
      <c r="AG1922" s="1">
        <v>65</v>
      </c>
      <c r="AO1922" s="2">
        <v>46279</v>
      </c>
      <c r="AP1922" s="1" t="s">
        <v>248</v>
      </c>
      <c r="AS1922" s="1" t="s">
        <v>71</v>
      </c>
      <c r="AU1922" s="1" t="s">
        <v>72</v>
      </c>
      <c r="AV1922" s="1" t="s">
        <v>437</v>
      </c>
      <c r="AX1922" s="1">
        <v>0</v>
      </c>
      <c r="BA1922" s="1">
        <v>9</v>
      </c>
      <c r="BB1922" s="1">
        <v>0</v>
      </c>
      <c r="BC1922" s="1">
        <v>0</v>
      </c>
      <c r="BE1922" s="1">
        <v>27387921</v>
      </c>
    </row>
    <row r="1923" spans="1:57" x14ac:dyDescent="0.25">
      <c r="A1923" s="1" t="str">
        <f>T("1946128553461093612")</f>
        <v>1946128553461093612</v>
      </c>
      <c r="B1923" s="1" t="str">
        <f>T("249900415030")</f>
        <v>249900415030</v>
      </c>
      <c r="C1923" s="1" t="str">
        <f>T("1941094503423151264")</f>
        <v>1941094503423151264</v>
      </c>
      <c r="AC1923" s="1" t="s">
        <v>344</v>
      </c>
      <c r="AD1923" s="1" t="s">
        <v>441</v>
      </c>
      <c r="AE1923" s="1" t="s">
        <v>530</v>
      </c>
      <c r="AF1923" s="1" t="s">
        <v>107</v>
      </c>
      <c r="AG1923" s="1">
        <v>22</v>
      </c>
      <c r="AO1923" s="2">
        <v>46279</v>
      </c>
      <c r="AP1923" s="1" t="s">
        <v>248</v>
      </c>
      <c r="AS1923" s="1" t="s">
        <v>71</v>
      </c>
      <c r="AU1923" s="1" t="s">
        <v>72</v>
      </c>
      <c r="AV1923" s="1" t="s">
        <v>437</v>
      </c>
      <c r="AX1923" s="1">
        <v>0</v>
      </c>
      <c r="BA1923" s="1">
        <v>9</v>
      </c>
      <c r="BB1923" s="1">
        <v>0</v>
      </c>
      <c r="BC1923" s="1">
        <v>0</v>
      </c>
      <c r="BE1923" s="1">
        <v>27387921</v>
      </c>
    </row>
    <row r="1924" spans="1:57" x14ac:dyDescent="0.25">
      <c r="A1924" s="1" t="str">
        <f>T("1946143650526992780")</f>
        <v>1946143650526992780</v>
      </c>
      <c r="B1924" s="1" t="str">
        <f>T("249904189215")</f>
        <v>249904189215</v>
      </c>
      <c r="C1924" s="1" t="str">
        <f>T("1941094503427342872")</f>
        <v>1941094503427342872</v>
      </c>
      <c r="AC1924" s="1" t="s">
        <v>344</v>
      </c>
      <c r="AD1924" s="1" t="s">
        <v>441</v>
      </c>
      <c r="AE1924" s="1" t="s">
        <v>530</v>
      </c>
      <c r="AF1924" s="1" t="s">
        <v>144</v>
      </c>
      <c r="AG1924" s="1">
        <v>34</v>
      </c>
      <c r="AO1924" s="2">
        <v>46279</v>
      </c>
      <c r="AP1924" s="1" t="s">
        <v>821</v>
      </c>
      <c r="AS1924" s="1" t="s">
        <v>71</v>
      </c>
      <c r="AU1924" s="1" t="s">
        <v>72</v>
      </c>
      <c r="AV1924" s="1" t="s">
        <v>437</v>
      </c>
      <c r="AX1924" s="1">
        <v>0</v>
      </c>
      <c r="BA1924" s="1">
        <v>9</v>
      </c>
      <c r="BB1924" s="1">
        <v>0</v>
      </c>
      <c r="BC1924" s="1">
        <v>0</v>
      </c>
      <c r="BE1924" s="1">
        <v>27388054</v>
      </c>
    </row>
    <row r="1925" spans="1:57" x14ac:dyDescent="0.25">
      <c r="A1925" s="1" t="str">
        <f>T("1946143650531184988")</f>
        <v>1946143650531184988</v>
      </c>
      <c r="B1925" s="1" t="str">
        <f>T("249912455828")</f>
        <v>249912455828</v>
      </c>
      <c r="C1925" s="1" t="str">
        <f>T("1941094503427345872")</f>
        <v>1941094503427345872</v>
      </c>
      <c r="AC1925" s="1" t="s">
        <v>344</v>
      </c>
      <c r="AD1925" s="1" t="s">
        <v>430</v>
      </c>
      <c r="AE1925" s="1" t="s">
        <v>530</v>
      </c>
      <c r="AF1925" s="1" t="s">
        <v>107</v>
      </c>
      <c r="AG1925" s="1">
        <v>23</v>
      </c>
      <c r="AO1925" s="2">
        <v>46279</v>
      </c>
      <c r="AP1925" s="1" t="s">
        <v>821</v>
      </c>
      <c r="AS1925" s="1" t="s">
        <v>71</v>
      </c>
      <c r="AU1925" s="1" t="s">
        <v>72</v>
      </c>
      <c r="AV1925" s="1" t="s">
        <v>437</v>
      </c>
      <c r="AX1925" s="1">
        <v>0</v>
      </c>
      <c r="BA1925" s="1">
        <v>9</v>
      </c>
      <c r="BB1925" s="1">
        <v>0</v>
      </c>
      <c r="BC1925" s="1">
        <v>0</v>
      </c>
      <c r="BE1925" s="1">
        <v>27388054</v>
      </c>
    </row>
    <row r="1926" spans="1:57" x14ac:dyDescent="0.25">
      <c r="A1926" s="1" t="str">
        <f>T("1946143650535382196")</f>
        <v>1946143650535382196</v>
      </c>
      <c r="B1926" s="1" t="str">
        <f>T("249916381196")</f>
        <v>249916381196</v>
      </c>
      <c r="C1926" s="1" t="str">
        <f>T("1941094503427345372")</f>
        <v>1941094503427345372</v>
      </c>
      <c r="AC1926" s="1" t="s">
        <v>344</v>
      </c>
      <c r="AD1926" s="1" t="s">
        <v>441</v>
      </c>
      <c r="AE1926" s="1" t="s">
        <v>530</v>
      </c>
      <c r="AF1926" s="1" t="s">
        <v>144</v>
      </c>
      <c r="AG1926" s="1">
        <v>65</v>
      </c>
      <c r="AO1926" s="2">
        <v>46279</v>
      </c>
      <c r="AP1926" s="1" t="s">
        <v>821</v>
      </c>
      <c r="AS1926" s="1" t="s">
        <v>71</v>
      </c>
      <c r="AU1926" s="1" t="s">
        <v>72</v>
      </c>
      <c r="AV1926" s="1" t="s">
        <v>437</v>
      </c>
      <c r="AX1926" s="1">
        <v>0</v>
      </c>
      <c r="BA1926" s="1">
        <v>9</v>
      </c>
      <c r="BB1926" s="1">
        <v>0</v>
      </c>
      <c r="BC1926" s="1">
        <v>0</v>
      </c>
      <c r="BE1926" s="1">
        <v>27388054</v>
      </c>
    </row>
    <row r="1927" spans="1:57" x14ac:dyDescent="0.25">
      <c r="A1927" s="1" t="str">
        <f>T("1946143650539573304")</f>
        <v>1946143650539573304</v>
      </c>
      <c r="B1927" s="1" t="str">
        <f>T("249900349630")</f>
        <v>249900349630</v>
      </c>
      <c r="C1927" s="1" t="str">
        <f>T("1941094503427344572")</f>
        <v>1941094503427344572</v>
      </c>
      <c r="AC1927" s="1" t="s">
        <v>344</v>
      </c>
      <c r="AD1927" s="1" t="s">
        <v>430</v>
      </c>
      <c r="AE1927" s="1" t="s">
        <v>530</v>
      </c>
      <c r="AF1927" s="1" t="s">
        <v>144</v>
      </c>
      <c r="AG1927" s="1">
        <v>42</v>
      </c>
      <c r="AO1927" s="2">
        <v>46279</v>
      </c>
      <c r="AP1927" s="1" t="s">
        <v>821</v>
      </c>
      <c r="AS1927" s="1" t="s">
        <v>71</v>
      </c>
      <c r="AU1927" s="1" t="s">
        <v>72</v>
      </c>
      <c r="AV1927" s="1" t="s">
        <v>73</v>
      </c>
      <c r="AX1927" s="1">
        <v>0</v>
      </c>
      <c r="BA1927" s="1">
        <v>9</v>
      </c>
      <c r="BB1927" s="1">
        <v>0</v>
      </c>
      <c r="BC1927" s="1">
        <v>0</v>
      </c>
      <c r="BE1927" s="1">
        <v>27388054</v>
      </c>
    </row>
    <row r="1928" spans="1:57" x14ac:dyDescent="0.25">
      <c r="A1928" s="1" t="str">
        <f>T("1946143650636042288")</f>
        <v>1946143650636042288</v>
      </c>
      <c r="B1928" s="1" t="str">
        <f>T("249960818006")</f>
        <v>249960818006</v>
      </c>
      <c r="C1928" s="1" t="str">
        <f>T("1941094503431536780")</f>
        <v>1941094503431536780</v>
      </c>
      <c r="AC1928" s="1" t="s">
        <v>344</v>
      </c>
      <c r="AD1928" s="1" t="s">
        <v>441</v>
      </c>
      <c r="AE1928" s="1" t="s">
        <v>530</v>
      </c>
      <c r="AF1928" s="1" t="s">
        <v>144</v>
      </c>
      <c r="AG1928" s="1">
        <v>50</v>
      </c>
      <c r="AO1928" s="2">
        <v>46279</v>
      </c>
      <c r="AP1928" s="1" t="s">
        <v>821</v>
      </c>
      <c r="AS1928" s="1" t="s">
        <v>71</v>
      </c>
      <c r="AU1928" s="1" t="s">
        <v>72</v>
      </c>
      <c r="AV1928" s="1" t="s">
        <v>437</v>
      </c>
      <c r="AX1928" s="1">
        <v>0</v>
      </c>
      <c r="BA1928" s="1">
        <v>9</v>
      </c>
      <c r="BB1928" s="1">
        <v>0</v>
      </c>
      <c r="BC1928" s="1">
        <v>0</v>
      </c>
      <c r="BE1928" s="1">
        <v>27388054</v>
      </c>
    </row>
    <row r="1929" spans="1:57" x14ac:dyDescent="0.25">
      <c r="A1929" s="1" t="str">
        <f>T("1946143650669598452")</f>
        <v>1946143650669598452</v>
      </c>
      <c r="B1929" s="1" t="str">
        <f>T("249913114291")</f>
        <v>249913114291</v>
      </c>
      <c r="C1929" s="1" t="str">
        <f>T("1941094503435732588")</f>
        <v>1941094503435732588</v>
      </c>
      <c r="AC1929" s="1" t="s">
        <v>344</v>
      </c>
      <c r="AD1929" s="1" t="s">
        <v>430</v>
      </c>
      <c r="AE1929" s="1" t="s">
        <v>530</v>
      </c>
      <c r="AF1929" s="1" t="s">
        <v>107</v>
      </c>
      <c r="AG1929" s="1">
        <v>38</v>
      </c>
      <c r="AO1929" s="2">
        <v>46279</v>
      </c>
      <c r="AP1929" s="1" t="s">
        <v>821</v>
      </c>
      <c r="AS1929" s="1" t="s">
        <v>71</v>
      </c>
      <c r="AU1929" s="1" t="s">
        <v>72</v>
      </c>
      <c r="AV1929" s="1" t="s">
        <v>437</v>
      </c>
      <c r="AX1929" s="1">
        <v>0</v>
      </c>
      <c r="BA1929" s="1">
        <v>9</v>
      </c>
      <c r="BB1929" s="1">
        <v>0</v>
      </c>
      <c r="BC1929" s="1">
        <v>0</v>
      </c>
      <c r="BE1929" s="1">
        <v>27388054</v>
      </c>
    </row>
    <row r="1930" spans="1:57" x14ac:dyDescent="0.25">
      <c r="A1930" s="1" t="str">
        <f>T("1946143650669598952")</f>
        <v>1946143650669598952</v>
      </c>
      <c r="B1930" s="1" t="str">
        <f>T("249912948924")</f>
        <v>249912948924</v>
      </c>
      <c r="C1930" s="1" t="str">
        <f>T("1941094503435733388")</f>
        <v>1941094503435733388</v>
      </c>
      <c r="AC1930" s="1" t="s">
        <v>344</v>
      </c>
      <c r="AD1930" s="1" t="s">
        <v>372</v>
      </c>
      <c r="AE1930" s="1" t="s">
        <v>813</v>
      </c>
      <c r="AF1930" s="1" t="s">
        <v>107</v>
      </c>
      <c r="AG1930" s="1">
        <v>58</v>
      </c>
      <c r="AO1930" s="2">
        <v>46279</v>
      </c>
      <c r="AP1930" s="1" t="s">
        <v>821</v>
      </c>
      <c r="AS1930" s="1" t="s">
        <v>71</v>
      </c>
      <c r="AU1930" s="1" t="s">
        <v>72</v>
      </c>
      <c r="AV1930" s="1" t="s">
        <v>437</v>
      </c>
      <c r="AX1930" s="1">
        <v>0</v>
      </c>
      <c r="BA1930" s="1">
        <v>9</v>
      </c>
      <c r="BB1930" s="1">
        <v>0</v>
      </c>
      <c r="BC1930" s="1">
        <v>0</v>
      </c>
      <c r="BE1930" s="1">
        <v>27388054</v>
      </c>
    </row>
    <row r="1931" spans="1:57" x14ac:dyDescent="0.25">
      <c r="A1931" s="1" t="str">
        <f>T("1946143650698958108")</f>
        <v>1946143650698958108</v>
      </c>
      <c r="B1931" s="1" t="str">
        <f>T("249910498341")</f>
        <v>249910498341</v>
      </c>
      <c r="C1931" s="1" t="str">
        <f>T("1941094503435733888")</f>
        <v>1941094503435733888</v>
      </c>
      <c r="AC1931" s="1" t="s">
        <v>344</v>
      </c>
      <c r="AD1931" s="1" t="s">
        <v>357</v>
      </c>
      <c r="AE1931" s="1" t="s">
        <v>812</v>
      </c>
      <c r="AF1931" s="1" t="s">
        <v>107</v>
      </c>
      <c r="AG1931" s="1">
        <v>48</v>
      </c>
      <c r="AO1931" s="2">
        <v>46279</v>
      </c>
      <c r="AP1931" s="1" t="s">
        <v>821</v>
      </c>
      <c r="AS1931" s="1" t="s">
        <v>71</v>
      </c>
      <c r="AU1931" s="1" t="s">
        <v>72</v>
      </c>
      <c r="AV1931" s="1" t="s">
        <v>73</v>
      </c>
      <c r="AX1931" s="1">
        <v>0</v>
      </c>
      <c r="BA1931" s="1">
        <v>9</v>
      </c>
      <c r="BB1931" s="1">
        <v>0</v>
      </c>
      <c r="BC1931" s="1">
        <v>0</v>
      </c>
      <c r="BE1931" s="1">
        <v>27388054</v>
      </c>
    </row>
    <row r="1932" spans="1:57" x14ac:dyDescent="0.25">
      <c r="A1932" s="1" t="str">
        <f>T("1946143650698960808")</f>
        <v>1946143650698960808</v>
      </c>
      <c r="B1932" s="1" t="str">
        <f>T("249962399620")</f>
        <v>249962399620</v>
      </c>
      <c r="C1932" s="1" t="str">
        <f>T("1941094503435734488")</f>
        <v>1941094503435734488</v>
      </c>
      <c r="AC1932" s="1" t="s">
        <v>344</v>
      </c>
      <c r="AD1932" s="1" t="s">
        <v>430</v>
      </c>
      <c r="AE1932" s="1" t="s">
        <v>530</v>
      </c>
      <c r="AF1932" s="1" t="s">
        <v>144</v>
      </c>
      <c r="AG1932" s="1">
        <v>26</v>
      </c>
      <c r="AO1932" s="2">
        <v>46279</v>
      </c>
      <c r="AP1932" s="1" t="s">
        <v>821</v>
      </c>
      <c r="AS1932" s="1" t="s">
        <v>71</v>
      </c>
      <c r="AU1932" s="1" t="s">
        <v>72</v>
      </c>
      <c r="AV1932" s="1" t="s">
        <v>437</v>
      </c>
      <c r="AX1932" s="1">
        <v>0</v>
      </c>
      <c r="BA1932" s="1">
        <v>9</v>
      </c>
      <c r="BB1932" s="1">
        <v>0</v>
      </c>
      <c r="BC1932" s="1">
        <v>0</v>
      </c>
      <c r="BE1932" s="1">
        <v>27388054</v>
      </c>
    </row>
    <row r="1933" spans="1:57" x14ac:dyDescent="0.25">
      <c r="A1933" s="1" t="str">
        <f>T("1946143650715737540")</f>
        <v>1946143650715737540</v>
      </c>
      <c r="B1933" s="1" t="str">
        <f>T("249914546720")</f>
        <v>249914546720</v>
      </c>
      <c r="C1933" s="1" t="str">
        <f>T("1941094503435734988")</f>
        <v>1941094503435734988</v>
      </c>
      <c r="AC1933" s="1" t="s">
        <v>344</v>
      </c>
      <c r="AD1933" s="1" t="s">
        <v>441</v>
      </c>
      <c r="AE1933" s="1" t="s">
        <v>530</v>
      </c>
      <c r="AF1933" s="1" t="s">
        <v>107</v>
      </c>
      <c r="AG1933" s="1">
        <v>50</v>
      </c>
      <c r="AO1933" s="2">
        <v>46279</v>
      </c>
      <c r="AP1933" s="1" t="s">
        <v>821</v>
      </c>
      <c r="AS1933" s="1" t="s">
        <v>71</v>
      </c>
      <c r="AU1933" s="1" t="s">
        <v>72</v>
      </c>
      <c r="AV1933" s="1" t="s">
        <v>73</v>
      </c>
      <c r="AX1933" s="1">
        <v>0</v>
      </c>
      <c r="BA1933" s="1">
        <v>9</v>
      </c>
      <c r="BB1933" s="1">
        <v>0</v>
      </c>
      <c r="BC1933" s="1">
        <v>0</v>
      </c>
      <c r="BE1933" s="1">
        <v>27388054</v>
      </c>
    </row>
    <row r="1934" spans="1:57" x14ac:dyDescent="0.25">
      <c r="A1934" s="1" t="str">
        <f>T("1946143650736705980")</f>
        <v>1946143650736705980</v>
      </c>
      <c r="B1934" s="1" t="str">
        <f>T("249965312554")</f>
        <v>249965312554</v>
      </c>
      <c r="C1934" s="1" t="str">
        <f>T("1941094503439925596")</f>
        <v>1941094503439925596</v>
      </c>
      <c r="AC1934" s="1" t="s">
        <v>344</v>
      </c>
      <c r="AD1934" s="1" t="s">
        <v>430</v>
      </c>
      <c r="AE1934" s="1" t="s">
        <v>530</v>
      </c>
      <c r="AF1934" s="1" t="s">
        <v>144</v>
      </c>
      <c r="AG1934" s="1">
        <v>45</v>
      </c>
      <c r="AO1934" s="2">
        <v>46279</v>
      </c>
      <c r="AP1934" s="1" t="s">
        <v>821</v>
      </c>
      <c r="AS1934" s="1" t="s">
        <v>71</v>
      </c>
      <c r="AU1934" s="1" t="s">
        <v>72</v>
      </c>
      <c r="AV1934" s="1" t="s">
        <v>73</v>
      </c>
      <c r="AX1934" s="1">
        <v>0</v>
      </c>
      <c r="BA1934" s="1">
        <v>9</v>
      </c>
      <c r="BB1934" s="1">
        <v>0</v>
      </c>
      <c r="BC1934" s="1">
        <v>0</v>
      </c>
      <c r="BE1934" s="1">
        <v>27388054</v>
      </c>
    </row>
    <row r="1935" spans="1:57" x14ac:dyDescent="0.25">
      <c r="A1935" s="1" t="str">
        <f>T("1946143650753485512")</f>
        <v>1946143650753485512</v>
      </c>
      <c r="B1935" s="1" t="str">
        <f>T("249909391205")</f>
        <v>249909391205</v>
      </c>
      <c r="C1935" s="1" t="str">
        <f>T("1941094503456702628")</f>
        <v>1941094503456702628</v>
      </c>
      <c r="AC1935" s="1" t="s">
        <v>344</v>
      </c>
      <c r="AD1935" s="1" t="s">
        <v>372</v>
      </c>
      <c r="AE1935" s="1" t="s">
        <v>813</v>
      </c>
      <c r="AF1935" s="1" t="s">
        <v>144</v>
      </c>
      <c r="AG1935" s="1">
        <v>40</v>
      </c>
      <c r="AO1935" s="2">
        <v>46279</v>
      </c>
      <c r="AP1935" s="1" t="s">
        <v>821</v>
      </c>
      <c r="AS1935" s="1" t="s">
        <v>71</v>
      </c>
      <c r="AU1935" s="1" t="s">
        <v>72</v>
      </c>
      <c r="AV1935" s="1" t="s">
        <v>73</v>
      </c>
      <c r="AX1935" s="1">
        <v>0</v>
      </c>
      <c r="BA1935" s="1">
        <v>9</v>
      </c>
      <c r="BB1935" s="1">
        <v>0</v>
      </c>
      <c r="BC1935" s="1">
        <v>0</v>
      </c>
      <c r="BE1935" s="1">
        <v>27388054</v>
      </c>
    </row>
    <row r="1936" spans="1:57" x14ac:dyDescent="0.25">
      <c r="A1936" s="1" t="str">
        <f>T("1946143650757679220")</f>
        <v>1946143650757679220</v>
      </c>
      <c r="B1936" s="1" t="str">
        <f>T("249116789549")</f>
        <v>249116789549</v>
      </c>
      <c r="C1936" s="1" t="str">
        <f>T("1941094503452511420")</f>
        <v>1941094503452511420</v>
      </c>
      <c r="AC1936" s="1" t="s">
        <v>344</v>
      </c>
      <c r="AD1936" s="1" t="s">
        <v>372</v>
      </c>
      <c r="AE1936" s="1" t="s">
        <v>820</v>
      </c>
      <c r="AF1936" s="1" t="s">
        <v>144</v>
      </c>
      <c r="AG1936" s="1">
        <v>19</v>
      </c>
      <c r="AO1936" s="2">
        <v>46279</v>
      </c>
      <c r="AP1936" s="1" t="s">
        <v>821</v>
      </c>
      <c r="AS1936" s="1" t="s">
        <v>71</v>
      </c>
      <c r="AU1936" s="1" t="s">
        <v>72</v>
      </c>
      <c r="AV1936" s="1" t="s">
        <v>115</v>
      </c>
      <c r="AX1936" s="1">
        <v>0</v>
      </c>
      <c r="BA1936" s="1">
        <v>9</v>
      </c>
      <c r="BB1936" s="1">
        <v>0</v>
      </c>
      <c r="BC1936" s="1">
        <v>0</v>
      </c>
      <c r="BE1936" s="1">
        <v>27388054</v>
      </c>
    </row>
    <row r="1937" spans="1:57" x14ac:dyDescent="0.25">
      <c r="A1937" s="1" t="str">
        <f>T("1946143650778650160")</f>
        <v>1946143650778650160</v>
      </c>
      <c r="B1937" s="1" t="str">
        <f>T("249918974041")</f>
        <v>249918974041</v>
      </c>
      <c r="C1937" s="1" t="str">
        <f>T("1941094503456705028")</f>
        <v>1941094503456705028</v>
      </c>
      <c r="AC1937" s="1" t="s">
        <v>344</v>
      </c>
      <c r="AD1937" s="1" t="s">
        <v>372</v>
      </c>
      <c r="AE1937" s="1" t="s">
        <v>818</v>
      </c>
      <c r="AF1937" s="1" t="s">
        <v>144</v>
      </c>
      <c r="AG1937" s="1">
        <v>50</v>
      </c>
      <c r="AO1937" s="2">
        <v>46279</v>
      </c>
      <c r="AP1937" s="1" t="s">
        <v>821</v>
      </c>
      <c r="AS1937" s="1" t="s">
        <v>71</v>
      </c>
      <c r="AU1937" s="1" t="s">
        <v>72</v>
      </c>
      <c r="AV1937" s="1" t="s">
        <v>437</v>
      </c>
      <c r="AX1937" s="1">
        <v>0</v>
      </c>
      <c r="BA1937" s="1">
        <v>9</v>
      </c>
      <c r="BB1937" s="1">
        <v>0</v>
      </c>
      <c r="BC1937" s="1">
        <v>0</v>
      </c>
      <c r="BE1937" s="1">
        <v>27388054</v>
      </c>
    </row>
    <row r="1938" spans="1:57" x14ac:dyDescent="0.25">
      <c r="A1938" s="1" t="str">
        <f>T("1946143650799623800")</f>
        <v>1946143650799623800</v>
      </c>
      <c r="B1938" s="1" t="str">
        <f>T("249913416718")</f>
        <v>249913416718</v>
      </c>
      <c r="C1938" s="1" t="str">
        <f>T("1941094503460896936")</f>
        <v>1941094503460896936</v>
      </c>
      <c r="AC1938" s="1" t="s">
        <v>344</v>
      </c>
      <c r="AD1938" s="1" t="s">
        <v>372</v>
      </c>
      <c r="AE1938" s="1" t="s">
        <v>818</v>
      </c>
      <c r="AF1938" s="1" t="s">
        <v>107</v>
      </c>
      <c r="AG1938" s="1">
        <v>55</v>
      </c>
      <c r="AO1938" s="2">
        <v>46279</v>
      </c>
      <c r="AP1938" s="1" t="s">
        <v>821</v>
      </c>
      <c r="AS1938" s="1" t="s">
        <v>71</v>
      </c>
      <c r="AU1938" s="1" t="s">
        <v>72</v>
      </c>
      <c r="AV1938" s="1" t="s">
        <v>73</v>
      </c>
      <c r="AX1938" s="1">
        <v>0</v>
      </c>
      <c r="BA1938" s="1">
        <v>9</v>
      </c>
      <c r="BB1938" s="1">
        <v>0</v>
      </c>
      <c r="BC1938" s="1">
        <v>0</v>
      </c>
      <c r="BE1938" s="1">
        <v>27388054</v>
      </c>
    </row>
    <row r="1939" spans="1:57" x14ac:dyDescent="0.25">
      <c r="A1939" s="1" t="str">
        <f>T("1946143650803815108")</f>
        <v>1946143650803815108</v>
      </c>
      <c r="B1939" s="1" t="str">
        <f>T("249911020872")</f>
        <v>249911020872</v>
      </c>
      <c r="C1939" s="1" t="str">
        <f>T("1941094503456705628")</f>
        <v>1941094503456705628</v>
      </c>
      <c r="AC1939" s="1" t="s">
        <v>344</v>
      </c>
      <c r="AD1939" s="1" t="s">
        <v>441</v>
      </c>
      <c r="AE1939" s="1" t="s">
        <v>530</v>
      </c>
      <c r="AF1939" s="1" t="s">
        <v>144</v>
      </c>
      <c r="AG1939" s="1">
        <v>75</v>
      </c>
      <c r="AO1939" s="2">
        <v>46279</v>
      </c>
      <c r="AP1939" s="1" t="s">
        <v>821</v>
      </c>
      <c r="AS1939" s="1" t="s">
        <v>71</v>
      </c>
      <c r="AU1939" s="1" t="s">
        <v>72</v>
      </c>
      <c r="AV1939" s="1" t="s">
        <v>437</v>
      </c>
      <c r="AX1939" s="1">
        <v>0</v>
      </c>
      <c r="BA1939" s="1">
        <v>9</v>
      </c>
      <c r="BB1939" s="1">
        <v>0</v>
      </c>
      <c r="BC1939" s="1">
        <v>0</v>
      </c>
      <c r="BE1939" s="1">
        <v>27388054</v>
      </c>
    </row>
    <row r="1940" spans="1:57" x14ac:dyDescent="0.25">
      <c r="A1940" s="1" t="str">
        <f>T("1946143650820593240")</f>
        <v>1946143650820593240</v>
      </c>
      <c r="B1940" s="1" t="str">
        <f>T("249915585915")</f>
        <v>249915585915</v>
      </c>
      <c r="C1940" s="1" t="str">
        <f>T("1941094503465093544")</f>
        <v>1941094503465093544</v>
      </c>
      <c r="AC1940" s="1" t="s">
        <v>344</v>
      </c>
      <c r="AD1940" s="1" t="s">
        <v>441</v>
      </c>
      <c r="AE1940" s="1" t="s">
        <v>530</v>
      </c>
      <c r="AF1940" s="1" t="s">
        <v>107</v>
      </c>
      <c r="AG1940" s="1">
        <v>75</v>
      </c>
      <c r="AO1940" s="2">
        <v>46279</v>
      </c>
      <c r="AP1940" s="1" t="s">
        <v>821</v>
      </c>
      <c r="AS1940" s="1" t="s">
        <v>71</v>
      </c>
      <c r="AU1940" s="1" t="s">
        <v>72</v>
      </c>
      <c r="AV1940" s="1" t="s">
        <v>437</v>
      </c>
      <c r="AX1940" s="1">
        <v>0</v>
      </c>
      <c r="BA1940" s="1">
        <v>9</v>
      </c>
      <c r="BB1940" s="1">
        <v>0</v>
      </c>
      <c r="BC1940" s="1">
        <v>0</v>
      </c>
      <c r="BE1940" s="1">
        <v>27388054</v>
      </c>
    </row>
    <row r="1941" spans="1:57" x14ac:dyDescent="0.25">
      <c r="A1941" s="1" t="str">
        <f>T("1946143650849953996")</f>
        <v>1946143650849953996</v>
      </c>
      <c r="B1941" s="1" t="str">
        <f>T("249917929712")</f>
        <v>249917929712</v>
      </c>
      <c r="C1941" s="1" t="str">
        <f>T("1941094503469285752")</f>
        <v>1941094503469285752</v>
      </c>
      <c r="AC1941" s="1" t="s">
        <v>344</v>
      </c>
      <c r="AD1941" s="1" t="s">
        <v>372</v>
      </c>
      <c r="AE1941" s="1" t="s">
        <v>818</v>
      </c>
      <c r="AF1941" s="1" t="s">
        <v>107</v>
      </c>
      <c r="AG1941" s="1">
        <v>65</v>
      </c>
      <c r="AO1941" s="2">
        <v>46279</v>
      </c>
      <c r="AP1941" s="1" t="s">
        <v>821</v>
      </c>
      <c r="AS1941" s="1" t="s">
        <v>71</v>
      </c>
      <c r="AU1941" s="1" t="s">
        <v>72</v>
      </c>
      <c r="AV1941" s="1" t="s">
        <v>437</v>
      </c>
      <c r="AX1941" s="1">
        <v>0</v>
      </c>
      <c r="BA1941" s="1">
        <v>9</v>
      </c>
      <c r="BB1941" s="1">
        <v>0</v>
      </c>
      <c r="BC1941" s="1">
        <v>0</v>
      </c>
      <c r="BE1941" s="1">
        <v>27388054</v>
      </c>
    </row>
    <row r="1942" spans="1:57" x14ac:dyDescent="0.25">
      <c r="A1942" s="1" t="str">
        <f>T("1946143650862538620")</f>
        <v>1946143650862538620</v>
      </c>
      <c r="B1942" s="1" t="str">
        <f>T("249918714150")</f>
        <v>249918714150</v>
      </c>
      <c r="C1942" s="1" t="str">
        <f>T("1941094503481871676")</f>
        <v>1941094503481871676</v>
      </c>
      <c r="AC1942" s="1" t="s">
        <v>344</v>
      </c>
      <c r="AD1942" s="1" t="s">
        <v>441</v>
      </c>
      <c r="AE1942" s="1" t="s">
        <v>530</v>
      </c>
      <c r="AF1942" s="1" t="s">
        <v>107</v>
      </c>
      <c r="AG1942" s="1">
        <v>45</v>
      </c>
      <c r="AO1942" s="2">
        <v>46279</v>
      </c>
      <c r="AP1942" s="1" t="s">
        <v>821</v>
      </c>
      <c r="AS1942" s="1" t="s">
        <v>71</v>
      </c>
      <c r="AU1942" s="1" t="s">
        <v>72</v>
      </c>
      <c r="AV1942" s="1" t="s">
        <v>73</v>
      </c>
      <c r="AX1942" s="1">
        <v>0</v>
      </c>
      <c r="BA1942" s="1">
        <v>9</v>
      </c>
      <c r="BB1942" s="1">
        <v>0</v>
      </c>
      <c r="BC1942" s="1">
        <v>0</v>
      </c>
      <c r="BE1942" s="1">
        <v>27388054</v>
      </c>
    </row>
    <row r="1943" spans="1:57" x14ac:dyDescent="0.25">
      <c r="A1943" s="1" t="str">
        <f>T("1946143650887702268")</f>
        <v>1946143650887702268</v>
      </c>
      <c r="B1943" s="1" t="str">
        <f>T("249914226720")</f>
        <v>249914226720</v>
      </c>
      <c r="C1943" s="1" t="str">
        <f>T("1941094503486066684")</f>
        <v>1941094503486066684</v>
      </c>
      <c r="AC1943" s="1" t="s">
        <v>344</v>
      </c>
      <c r="AD1943" s="1" t="s">
        <v>441</v>
      </c>
      <c r="AE1943" s="1" t="s">
        <v>530</v>
      </c>
      <c r="AF1943" s="1" t="s">
        <v>144</v>
      </c>
      <c r="AG1943" s="1">
        <v>50</v>
      </c>
      <c r="AO1943" s="2">
        <v>46279</v>
      </c>
      <c r="AP1943" s="1" t="s">
        <v>821</v>
      </c>
      <c r="AS1943" s="1" t="s">
        <v>71</v>
      </c>
      <c r="AU1943" s="1" t="s">
        <v>72</v>
      </c>
      <c r="AV1943" s="1" t="s">
        <v>437</v>
      </c>
      <c r="AX1943" s="1">
        <v>0</v>
      </c>
      <c r="BA1943" s="1">
        <v>9</v>
      </c>
      <c r="BB1943" s="1">
        <v>0</v>
      </c>
      <c r="BC1943" s="1">
        <v>0</v>
      </c>
      <c r="BE1943" s="1">
        <v>27388054</v>
      </c>
    </row>
    <row r="1944" spans="1:57" x14ac:dyDescent="0.25">
      <c r="A1944" s="1" t="str">
        <f>T("1946143650891896576")</f>
        <v>1946143650891896576</v>
      </c>
      <c r="B1944" s="1" t="str">
        <f>T("249904676011")</f>
        <v>249904676011</v>
      </c>
      <c r="C1944" s="1" t="str">
        <f>T("1941094503486062684")</f>
        <v>1941094503486062684</v>
      </c>
      <c r="AC1944" s="1" t="s">
        <v>344</v>
      </c>
      <c r="AD1944" s="1" t="s">
        <v>441</v>
      </c>
      <c r="AE1944" s="1" t="s">
        <v>530</v>
      </c>
      <c r="AF1944" s="1" t="s">
        <v>107</v>
      </c>
      <c r="AG1944" s="1">
        <v>25</v>
      </c>
      <c r="AO1944" s="2">
        <v>46279</v>
      </c>
      <c r="AP1944" s="1" t="s">
        <v>821</v>
      </c>
      <c r="AS1944" s="1" t="s">
        <v>71</v>
      </c>
      <c r="AU1944" s="1" t="s">
        <v>72</v>
      </c>
      <c r="AV1944" s="1" t="s">
        <v>73</v>
      </c>
      <c r="AX1944" s="1">
        <v>0</v>
      </c>
      <c r="BA1944" s="1">
        <v>9</v>
      </c>
      <c r="BB1944" s="1">
        <v>0</v>
      </c>
      <c r="BC1944" s="1">
        <v>0</v>
      </c>
      <c r="BE1944" s="1">
        <v>27388054</v>
      </c>
    </row>
    <row r="1945" spans="1:57" x14ac:dyDescent="0.25">
      <c r="A1945" s="1" t="str">
        <f>T("1946143650904479300")</f>
        <v>1946143650904479300</v>
      </c>
      <c r="B1945" s="1" t="str">
        <f>T("249969417563")</f>
        <v>249969417563</v>
      </c>
      <c r="C1945" s="1" t="str">
        <f>T("1941094503523811756")</f>
        <v>1941094503523811756</v>
      </c>
      <c r="AC1945" s="1" t="s">
        <v>344</v>
      </c>
      <c r="AD1945" s="1" t="s">
        <v>441</v>
      </c>
      <c r="AE1945" s="1" t="s">
        <v>530</v>
      </c>
      <c r="AF1945" s="1" t="s">
        <v>107</v>
      </c>
      <c r="AG1945" s="1">
        <v>35</v>
      </c>
      <c r="AO1945" s="2">
        <v>46279</v>
      </c>
      <c r="AP1945" s="1" t="s">
        <v>821</v>
      </c>
      <c r="AS1945" s="1" t="s">
        <v>71</v>
      </c>
      <c r="AU1945" s="1" t="s">
        <v>72</v>
      </c>
      <c r="AV1945" s="1" t="s">
        <v>73</v>
      </c>
      <c r="AX1945" s="1">
        <v>0</v>
      </c>
      <c r="BA1945" s="1">
        <v>9</v>
      </c>
      <c r="BB1945" s="1">
        <v>0</v>
      </c>
      <c r="BC1945" s="1">
        <v>0</v>
      </c>
      <c r="BE1945" s="1">
        <v>27388054</v>
      </c>
    </row>
    <row r="1946" spans="1:57" x14ac:dyDescent="0.25">
      <c r="A1946" s="1" t="str">
        <f>T("1946143650917062424")</f>
        <v>1946143650917062424</v>
      </c>
      <c r="B1946" s="1" t="str">
        <f>T("249918103026")</f>
        <v>249918103026</v>
      </c>
      <c r="C1946" s="1" t="str">
        <f>T("1941094503523814256")</f>
        <v>1941094503523814256</v>
      </c>
      <c r="AC1946" s="1" t="s">
        <v>344</v>
      </c>
      <c r="AD1946" s="1" t="s">
        <v>372</v>
      </c>
      <c r="AE1946" s="1" t="s">
        <v>820</v>
      </c>
      <c r="AF1946" s="1" t="s">
        <v>144</v>
      </c>
      <c r="AG1946" s="1">
        <v>45</v>
      </c>
      <c r="AO1946" s="2">
        <v>46279</v>
      </c>
      <c r="AP1946" s="1" t="s">
        <v>821</v>
      </c>
      <c r="AS1946" s="1" t="s">
        <v>71</v>
      </c>
      <c r="AU1946" s="1" t="s">
        <v>72</v>
      </c>
      <c r="AV1946" s="1" t="s">
        <v>73</v>
      </c>
      <c r="AX1946" s="1">
        <v>0</v>
      </c>
      <c r="BA1946" s="1">
        <v>9</v>
      </c>
      <c r="BB1946" s="1">
        <v>0</v>
      </c>
      <c r="BC1946" s="1">
        <v>0</v>
      </c>
      <c r="BE1946" s="1">
        <v>27388054</v>
      </c>
    </row>
    <row r="1947" spans="1:57" x14ac:dyDescent="0.25">
      <c r="A1947" s="1" t="str">
        <f>T("1946143650946421780")</f>
        <v>1946143650946421780</v>
      </c>
      <c r="B1947" s="1" t="str">
        <f>T("249121201142")</f>
        <v>249121201142</v>
      </c>
      <c r="C1947" s="1" t="str">
        <f>T("1941094503532200772")</f>
        <v>1941094503532200772</v>
      </c>
      <c r="AA1947" s="1">
        <v>1</v>
      </c>
      <c r="AC1947" s="1" t="s">
        <v>344</v>
      </c>
      <c r="AD1947" s="1" t="s">
        <v>372</v>
      </c>
      <c r="AE1947" s="1" t="s">
        <v>818</v>
      </c>
      <c r="AF1947" s="1" t="s">
        <v>107</v>
      </c>
      <c r="AG1947" s="1">
        <v>64</v>
      </c>
      <c r="AO1947" s="2">
        <v>46279</v>
      </c>
      <c r="AP1947" s="1" t="s">
        <v>821</v>
      </c>
      <c r="AS1947" s="1" t="s">
        <v>71</v>
      </c>
      <c r="AU1947" s="1" t="s">
        <v>72</v>
      </c>
      <c r="AV1947" s="1" t="s">
        <v>73</v>
      </c>
      <c r="AX1947" s="1">
        <v>0</v>
      </c>
      <c r="BA1947" s="1">
        <v>9</v>
      </c>
      <c r="BB1947" s="1">
        <v>0</v>
      </c>
      <c r="BC1947" s="1">
        <v>0</v>
      </c>
      <c r="BE1947" s="1">
        <v>27388054</v>
      </c>
    </row>
    <row r="1948" spans="1:57" x14ac:dyDescent="0.25">
      <c r="A1948" s="1" t="str">
        <f>T("1946143650959004904")</f>
        <v>1946143650959004904</v>
      </c>
      <c r="B1948" s="1" t="str">
        <f>T("249901934041")</f>
        <v>249901934041</v>
      </c>
      <c r="C1948" s="1" t="str">
        <f>T("1941094503532203572")</f>
        <v>1941094503532203572</v>
      </c>
      <c r="AC1948" s="1" t="s">
        <v>344</v>
      </c>
      <c r="AD1948" s="1" t="s">
        <v>430</v>
      </c>
      <c r="AE1948" s="1" t="s">
        <v>530</v>
      </c>
      <c r="AF1948" s="1" t="s">
        <v>144</v>
      </c>
      <c r="AG1948" s="1">
        <v>46</v>
      </c>
      <c r="AO1948" s="2">
        <v>46279</v>
      </c>
      <c r="AP1948" s="1" t="s">
        <v>821</v>
      </c>
      <c r="AS1948" s="1" t="s">
        <v>71</v>
      </c>
      <c r="AU1948" s="1" t="s">
        <v>72</v>
      </c>
      <c r="AV1948" s="1" t="s">
        <v>73</v>
      </c>
      <c r="AX1948" s="1">
        <v>0</v>
      </c>
      <c r="BA1948" s="1">
        <v>9</v>
      </c>
      <c r="BB1948" s="1">
        <v>0</v>
      </c>
      <c r="BC1948" s="1">
        <v>0</v>
      </c>
      <c r="BE1948" s="1">
        <v>27388054</v>
      </c>
    </row>
    <row r="1949" spans="1:57" x14ac:dyDescent="0.25">
      <c r="A1949" s="1" t="str">
        <f>T("1946143650959006604")</f>
        <v>1946143650959006604</v>
      </c>
      <c r="B1949" s="1" t="str">
        <f>T("249903760004")</f>
        <v>249903760004</v>
      </c>
      <c r="C1949" s="1" t="str">
        <f>T("1941094503536394580")</f>
        <v>1941094503536394580</v>
      </c>
      <c r="AC1949" s="1" t="s">
        <v>344</v>
      </c>
      <c r="AD1949" s="1" t="s">
        <v>441</v>
      </c>
      <c r="AE1949" s="1" t="s">
        <v>530</v>
      </c>
      <c r="AF1949" s="1" t="s">
        <v>107</v>
      </c>
      <c r="AG1949" s="1">
        <v>40</v>
      </c>
      <c r="AO1949" s="2">
        <v>46279</v>
      </c>
      <c r="AP1949" s="1" t="s">
        <v>821</v>
      </c>
      <c r="AS1949" s="1" t="s">
        <v>71</v>
      </c>
      <c r="AU1949" s="1" t="s">
        <v>72</v>
      </c>
      <c r="AV1949" s="1" t="s">
        <v>437</v>
      </c>
      <c r="AX1949" s="1">
        <v>0</v>
      </c>
      <c r="BA1949" s="1">
        <v>9</v>
      </c>
      <c r="BB1949" s="1">
        <v>0</v>
      </c>
      <c r="BC1949" s="1">
        <v>0</v>
      </c>
      <c r="BE1949" s="1">
        <v>27388054</v>
      </c>
    </row>
    <row r="1950" spans="1:57" x14ac:dyDescent="0.25">
      <c r="A1950" s="1" t="str">
        <f>T("1946143650975783336")</f>
        <v>1946143650975783336</v>
      </c>
      <c r="B1950" s="1" t="str">
        <f>T("249908509527")</f>
        <v>249908509527</v>
      </c>
      <c r="C1950" s="1" t="str">
        <f>T("1941094503536397680")</f>
        <v>1941094503536397680</v>
      </c>
      <c r="AC1950" s="1" t="s">
        <v>344</v>
      </c>
      <c r="AD1950" s="1" t="s">
        <v>372</v>
      </c>
      <c r="AE1950" s="1" t="s">
        <v>813</v>
      </c>
      <c r="AF1950" s="1" t="s">
        <v>144</v>
      </c>
      <c r="AG1950" s="1">
        <v>30</v>
      </c>
      <c r="AO1950" s="2">
        <v>46279</v>
      </c>
      <c r="AP1950" s="1" t="s">
        <v>821</v>
      </c>
      <c r="AS1950" s="1" t="s">
        <v>71</v>
      </c>
      <c r="AU1950" s="1" t="s">
        <v>72</v>
      </c>
      <c r="AV1950" s="1" t="s">
        <v>437</v>
      </c>
      <c r="AX1950" s="1">
        <v>0</v>
      </c>
      <c r="BA1950" s="1">
        <v>9</v>
      </c>
      <c r="BB1950" s="1">
        <v>0</v>
      </c>
      <c r="BC1950" s="1">
        <v>0</v>
      </c>
      <c r="BE1950" s="1">
        <v>27388054</v>
      </c>
    </row>
    <row r="1951" spans="1:57" x14ac:dyDescent="0.25">
      <c r="A1951" s="1" t="str">
        <f>T("1946143650996752876")</f>
        <v>1946143650996752876</v>
      </c>
      <c r="B1951" s="1" t="str">
        <f>T("249995688831")</f>
        <v>249995688831</v>
      </c>
      <c r="C1951" s="1" t="str">
        <f>T("1941094503540588888")</f>
        <v>1941094503540588888</v>
      </c>
      <c r="AC1951" s="1" t="s">
        <v>344</v>
      </c>
      <c r="AD1951" s="1" t="s">
        <v>372</v>
      </c>
      <c r="AE1951" s="1" t="s">
        <v>820</v>
      </c>
      <c r="AF1951" s="1" t="s">
        <v>107</v>
      </c>
      <c r="AG1951" s="1">
        <v>32</v>
      </c>
      <c r="AO1951" s="2">
        <v>46279</v>
      </c>
      <c r="AP1951" s="1" t="s">
        <v>821</v>
      </c>
      <c r="AQ1951" s="2">
        <v>46279</v>
      </c>
      <c r="AR1951" s="1" t="s">
        <v>822</v>
      </c>
      <c r="AS1951" s="1" t="s">
        <v>71</v>
      </c>
      <c r="AU1951" s="1" t="s">
        <v>79</v>
      </c>
      <c r="AV1951" s="1" t="s">
        <v>80</v>
      </c>
      <c r="AW1951" s="1">
        <v>9.6</v>
      </c>
      <c r="AX1951" s="1">
        <v>0</v>
      </c>
      <c r="AZ1951" s="1" t="s">
        <v>81</v>
      </c>
      <c r="BA1951" s="1">
        <v>3</v>
      </c>
      <c r="BB1951" s="1">
        <v>0</v>
      </c>
      <c r="BC1951" s="1">
        <v>0</v>
      </c>
      <c r="BE1951" s="1">
        <v>27388054</v>
      </c>
    </row>
    <row r="1952" spans="1:57" x14ac:dyDescent="0.25">
      <c r="A1952" s="1" t="str">
        <f>T("1946143651013531708")</f>
        <v>1946143651013531708</v>
      </c>
      <c r="B1952" s="1" t="str">
        <f>T("249907033999")</f>
        <v>249907033999</v>
      </c>
      <c r="C1952" s="1" t="str">
        <f>T("1941094503540589588")</f>
        <v>1941094503540589588</v>
      </c>
      <c r="AC1952" s="1" t="s">
        <v>344</v>
      </c>
      <c r="AD1952" s="1" t="s">
        <v>372</v>
      </c>
      <c r="AE1952" s="1" t="s">
        <v>814</v>
      </c>
      <c r="AF1952" s="1" t="s">
        <v>107</v>
      </c>
      <c r="AG1952" s="1">
        <v>64</v>
      </c>
      <c r="AO1952" s="2">
        <v>46279</v>
      </c>
      <c r="AP1952" s="1" t="s">
        <v>821</v>
      </c>
      <c r="AS1952" s="1" t="s">
        <v>71</v>
      </c>
      <c r="AU1952" s="1" t="s">
        <v>72</v>
      </c>
      <c r="AV1952" s="1" t="s">
        <v>437</v>
      </c>
      <c r="AX1952" s="1">
        <v>0</v>
      </c>
      <c r="BA1952" s="1">
        <v>9</v>
      </c>
      <c r="BB1952" s="1">
        <v>0</v>
      </c>
      <c r="BC1952" s="1">
        <v>0</v>
      </c>
      <c r="BE1952" s="1">
        <v>27388054</v>
      </c>
    </row>
    <row r="1953" spans="1:57" x14ac:dyDescent="0.25">
      <c r="A1953" s="1" t="str">
        <f>T("1946143651013531908")</f>
        <v>1946143651013531908</v>
      </c>
      <c r="B1953" s="1" t="str">
        <f>T("249901593466")</f>
        <v>249901593466</v>
      </c>
      <c r="C1953" s="1" t="str">
        <f>T("1941094503544782996")</f>
        <v>1941094503544782996</v>
      </c>
      <c r="AC1953" s="1" t="s">
        <v>344</v>
      </c>
      <c r="AD1953" s="1" t="s">
        <v>441</v>
      </c>
      <c r="AE1953" s="1" t="s">
        <v>530</v>
      </c>
      <c r="AF1953" s="1" t="s">
        <v>144</v>
      </c>
      <c r="AG1953" s="1">
        <v>50</v>
      </c>
      <c r="AO1953" s="2">
        <v>46279</v>
      </c>
      <c r="AP1953" s="1" t="s">
        <v>821</v>
      </c>
      <c r="AS1953" s="1" t="s">
        <v>71</v>
      </c>
      <c r="AU1953" s="1" t="s">
        <v>72</v>
      </c>
      <c r="AV1953" s="1" t="s">
        <v>73</v>
      </c>
      <c r="AX1953" s="1">
        <v>0</v>
      </c>
      <c r="BA1953" s="1">
        <v>9</v>
      </c>
      <c r="BB1953" s="1">
        <v>0</v>
      </c>
      <c r="BC1953" s="1">
        <v>0</v>
      </c>
      <c r="BE1953" s="1">
        <v>27388054</v>
      </c>
    </row>
    <row r="1954" spans="1:57" x14ac:dyDescent="0.25">
      <c r="A1954" s="1" t="str">
        <f>T("1946143651026115832")</f>
        <v>1946143651026115832</v>
      </c>
      <c r="B1954" s="1" t="str">
        <f>T("249911596760")</f>
        <v>249911596760</v>
      </c>
      <c r="C1954" s="1" t="str">
        <f>T("1941094503544783496")</f>
        <v>1941094503544783496</v>
      </c>
      <c r="AC1954" s="1" t="s">
        <v>344</v>
      </c>
      <c r="AD1954" s="1" t="s">
        <v>372</v>
      </c>
      <c r="AE1954" s="1" t="s">
        <v>820</v>
      </c>
      <c r="AF1954" s="1" t="s">
        <v>144</v>
      </c>
      <c r="AG1954" s="1">
        <v>35</v>
      </c>
      <c r="AO1954" s="2">
        <v>46279</v>
      </c>
      <c r="AP1954" s="1" t="s">
        <v>821</v>
      </c>
      <c r="AS1954" s="1" t="s">
        <v>71</v>
      </c>
      <c r="AU1954" s="1" t="s">
        <v>72</v>
      </c>
      <c r="AV1954" s="1" t="s">
        <v>73</v>
      </c>
      <c r="AX1954" s="1">
        <v>0</v>
      </c>
      <c r="BA1954" s="1">
        <v>9</v>
      </c>
      <c r="BB1954" s="1">
        <v>0</v>
      </c>
      <c r="BC1954" s="1">
        <v>0</v>
      </c>
      <c r="BE1954" s="1">
        <v>27388054</v>
      </c>
    </row>
    <row r="1955" spans="1:57" x14ac:dyDescent="0.25">
      <c r="A1955" s="1" t="str">
        <f>T("1946143651042893464")</f>
        <v>1946143651042893464</v>
      </c>
      <c r="B1955" s="1" t="str">
        <f>T("249927662102")</f>
        <v>249927662102</v>
      </c>
      <c r="C1955" s="1" t="str">
        <f>T("1941094503544783996")</f>
        <v>1941094503544783996</v>
      </c>
      <c r="M1955" s="1" t="s">
        <v>59</v>
      </c>
      <c r="O1955" s="1" t="s">
        <v>65</v>
      </c>
      <c r="P1955" s="1" t="s">
        <v>91</v>
      </c>
      <c r="Q1955" s="1" t="s">
        <v>112</v>
      </c>
      <c r="R1955" s="1" t="s">
        <v>93</v>
      </c>
      <c r="T1955" s="1" t="s">
        <v>95</v>
      </c>
      <c r="U1955" s="1" t="s">
        <v>65</v>
      </c>
      <c r="V1955" s="1" t="s">
        <v>66</v>
      </c>
      <c r="W1955" s="1" t="s">
        <v>60</v>
      </c>
      <c r="X1955" s="1" t="s">
        <v>103</v>
      </c>
      <c r="Y1955" s="1" t="s">
        <v>69</v>
      </c>
      <c r="AA1955" s="1">
        <v>1</v>
      </c>
      <c r="AB1955" s="1">
        <v>1</v>
      </c>
      <c r="AC1955" s="1" t="s">
        <v>344</v>
      </c>
      <c r="AD1955" s="1" t="s">
        <v>372</v>
      </c>
      <c r="AE1955" s="1" t="s">
        <v>814</v>
      </c>
      <c r="AF1955" s="1" t="s">
        <v>144</v>
      </c>
      <c r="AG1955" s="1">
        <v>28</v>
      </c>
      <c r="AO1955" s="2">
        <v>46279</v>
      </c>
      <c r="AP1955" s="1" t="s">
        <v>821</v>
      </c>
      <c r="AQ1955" s="2">
        <v>46279</v>
      </c>
      <c r="AR1955" s="1" t="s">
        <v>823</v>
      </c>
      <c r="AS1955" s="1" t="s">
        <v>71</v>
      </c>
      <c r="AU1955" s="1" t="s">
        <v>78</v>
      </c>
      <c r="AV1955" s="1" t="s">
        <v>80</v>
      </c>
      <c r="AW1955" s="1">
        <v>267.52</v>
      </c>
      <c r="AX1955" s="1">
        <v>0</v>
      </c>
      <c r="AZ1955" s="1" t="s">
        <v>81</v>
      </c>
      <c r="BA1955" s="1">
        <v>7</v>
      </c>
      <c r="BB1955" s="1">
        <v>0</v>
      </c>
      <c r="BC1955" s="1">
        <v>0</v>
      </c>
      <c r="BE1955" s="1">
        <v>27388054</v>
      </c>
    </row>
    <row r="1956" spans="1:57" x14ac:dyDescent="0.25">
      <c r="A1956" s="1" t="str">
        <f>T("1946143651068057712")</f>
        <v>1946143651068057712</v>
      </c>
      <c r="B1956" s="1" t="str">
        <f>T("249962142372")</f>
        <v>249962142372</v>
      </c>
      <c r="C1956" s="1" t="str">
        <f>T("1941094503544784496")</f>
        <v>1941094503544784496</v>
      </c>
      <c r="AC1956" s="1" t="s">
        <v>344</v>
      </c>
      <c r="AD1956" s="1" t="s">
        <v>441</v>
      </c>
      <c r="AE1956" s="1" t="s">
        <v>530</v>
      </c>
      <c r="AF1956" s="1" t="s">
        <v>144</v>
      </c>
      <c r="AG1956" s="1">
        <v>18</v>
      </c>
      <c r="AO1956" s="2">
        <v>46279</v>
      </c>
      <c r="AP1956" s="1" t="s">
        <v>821</v>
      </c>
      <c r="AS1956" s="1" t="s">
        <v>71</v>
      </c>
      <c r="AU1956" s="1" t="s">
        <v>72</v>
      </c>
      <c r="AV1956" s="1" t="s">
        <v>437</v>
      </c>
      <c r="AX1956" s="1">
        <v>0</v>
      </c>
      <c r="BA1956" s="1">
        <v>9</v>
      </c>
      <c r="BB1956" s="1">
        <v>0</v>
      </c>
      <c r="BC1956" s="1">
        <v>0</v>
      </c>
      <c r="BE1956" s="1">
        <v>27388054</v>
      </c>
    </row>
    <row r="1957" spans="1:57" x14ac:dyDescent="0.25">
      <c r="A1957" s="1" t="str">
        <f>T("1946143651072252120")</f>
        <v>1946143651072252120</v>
      </c>
      <c r="B1957" s="1" t="str">
        <f>T("249926408845")</f>
        <v>249926408845</v>
      </c>
      <c r="C1957" s="1" t="str">
        <f>T("1941094503544784796")</f>
        <v>1941094503544784796</v>
      </c>
      <c r="AA1957" s="1">
        <v>1</v>
      </c>
      <c r="AC1957" s="1" t="s">
        <v>344</v>
      </c>
      <c r="AD1957" s="1" t="s">
        <v>372</v>
      </c>
      <c r="AE1957" s="1" t="s">
        <v>818</v>
      </c>
      <c r="AF1957" s="1" t="s">
        <v>107</v>
      </c>
      <c r="AG1957" s="1">
        <v>57</v>
      </c>
      <c r="AO1957" s="2">
        <v>46279</v>
      </c>
      <c r="AP1957" s="1" t="s">
        <v>821</v>
      </c>
      <c r="AQ1957" s="2">
        <v>46279</v>
      </c>
      <c r="AR1957" s="1" t="s">
        <v>824</v>
      </c>
      <c r="AS1957" s="1" t="s">
        <v>71</v>
      </c>
      <c r="AU1957" s="1" t="s">
        <v>79</v>
      </c>
      <c r="AV1957" s="1" t="s">
        <v>80</v>
      </c>
      <c r="AW1957" s="1">
        <v>134.26</v>
      </c>
      <c r="AX1957" s="1">
        <v>0</v>
      </c>
      <c r="AZ1957" s="1" t="s">
        <v>81</v>
      </c>
      <c r="BA1957" s="1">
        <v>1</v>
      </c>
      <c r="BB1957" s="1">
        <v>0</v>
      </c>
      <c r="BC1957" s="1">
        <v>0</v>
      </c>
      <c r="BE1957" s="1">
        <v>27388054</v>
      </c>
    </row>
    <row r="1958" spans="1:57" x14ac:dyDescent="0.25">
      <c r="A1958" s="1" t="str">
        <f>T("1946143651072252820")</f>
        <v>1946143651072252820</v>
      </c>
      <c r="B1958" s="1" t="str">
        <f>T("249964883283")</f>
        <v>249964883283</v>
      </c>
      <c r="C1958" s="1" t="str">
        <f>T("1941094503548978204")</f>
        <v>1941094503548978204</v>
      </c>
      <c r="AC1958" s="1" t="s">
        <v>344</v>
      </c>
      <c r="AD1958" s="1" t="s">
        <v>441</v>
      </c>
      <c r="AE1958" s="1" t="s">
        <v>530</v>
      </c>
      <c r="AF1958" s="1" t="s">
        <v>144</v>
      </c>
      <c r="AG1958" s="1">
        <v>27</v>
      </c>
      <c r="AO1958" s="2">
        <v>46279</v>
      </c>
      <c r="AP1958" s="1" t="s">
        <v>821</v>
      </c>
      <c r="AS1958" s="1" t="s">
        <v>71</v>
      </c>
      <c r="AU1958" s="1" t="s">
        <v>72</v>
      </c>
      <c r="AV1958" s="1" t="s">
        <v>73</v>
      </c>
      <c r="AX1958" s="1">
        <v>0</v>
      </c>
      <c r="BA1958" s="1">
        <v>9</v>
      </c>
      <c r="BB1958" s="1">
        <v>0</v>
      </c>
      <c r="BC1958" s="1">
        <v>0</v>
      </c>
      <c r="BE1958" s="1">
        <v>27388054</v>
      </c>
    </row>
    <row r="1959" spans="1:57" x14ac:dyDescent="0.25">
      <c r="A1959" s="1" t="str">
        <f>T("1946143651089030052")</f>
        <v>1946143651089030052</v>
      </c>
      <c r="B1959" s="1" t="str">
        <f>T("249924421593")</f>
        <v>249924421593</v>
      </c>
      <c r="C1959" s="1" t="str">
        <f>T("1941094503548978904")</f>
        <v>1941094503548978904</v>
      </c>
      <c r="AC1959" s="1" t="s">
        <v>344</v>
      </c>
      <c r="AD1959" s="1" t="s">
        <v>372</v>
      </c>
      <c r="AE1959" s="1" t="s">
        <v>820</v>
      </c>
      <c r="AF1959" s="1" t="s">
        <v>107</v>
      </c>
      <c r="AG1959" s="1">
        <v>32</v>
      </c>
      <c r="AO1959" s="2">
        <v>46279</v>
      </c>
      <c r="AP1959" s="1" t="s">
        <v>821</v>
      </c>
      <c r="AS1959" s="1" t="s">
        <v>71</v>
      </c>
      <c r="AU1959" s="1" t="s">
        <v>72</v>
      </c>
      <c r="AV1959" s="1" t="s">
        <v>73</v>
      </c>
      <c r="AX1959" s="1">
        <v>0</v>
      </c>
      <c r="BA1959" s="1">
        <v>9</v>
      </c>
      <c r="BB1959" s="1">
        <v>0</v>
      </c>
      <c r="BC1959" s="1">
        <v>0</v>
      </c>
      <c r="BE1959" s="1">
        <v>27388054</v>
      </c>
    </row>
    <row r="1960" spans="1:57" x14ac:dyDescent="0.25">
      <c r="A1960" s="1" t="str">
        <f>T("1946143651126778624")</f>
        <v>1946143651126778624</v>
      </c>
      <c r="B1960" s="1" t="str">
        <f>T("249969255298")</f>
        <v>249969255298</v>
      </c>
      <c r="C1960" s="1" t="str">
        <f>T("1941094503548979704")</f>
        <v>1941094503548979704</v>
      </c>
      <c r="AC1960" s="1" t="s">
        <v>344</v>
      </c>
      <c r="AD1960" s="1" t="s">
        <v>430</v>
      </c>
      <c r="AE1960" s="1" t="s">
        <v>530</v>
      </c>
      <c r="AF1960" s="1" t="s">
        <v>107</v>
      </c>
      <c r="AG1960" s="1">
        <v>20</v>
      </c>
      <c r="AO1960" s="2">
        <v>46279</v>
      </c>
      <c r="AP1960" s="1" t="s">
        <v>821</v>
      </c>
      <c r="AS1960" s="1" t="s">
        <v>71</v>
      </c>
      <c r="AU1960" s="1" t="s">
        <v>72</v>
      </c>
      <c r="AV1960" s="1" t="s">
        <v>437</v>
      </c>
      <c r="AX1960" s="1">
        <v>0</v>
      </c>
      <c r="BA1960" s="1">
        <v>9</v>
      </c>
      <c r="BB1960" s="1">
        <v>0</v>
      </c>
      <c r="BC1960" s="1">
        <v>0</v>
      </c>
      <c r="BE1960" s="1">
        <v>27388054</v>
      </c>
    </row>
    <row r="1961" spans="1:57" x14ac:dyDescent="0.25">
      <c r="A1961" s="1" t="str">
        <f>T("1946143651130972832")</f>
        <v>1946143651130972832</v>
      </c>
      <c r="B1961" s="1" t="str">
        <f>T("249911496058")</f>
        <v>249911496058</v>
      </c>
      <c r="C1961" s="1" t="str">
        <f>T("1941094503548980604")</f>
        <v>1941094503548980604</v>
      </c>
      <c r="AC1961" s="1" t="s">
        <v>344</v>
      </c>
      <c r="AD1961" s="1" t="s">
        <v>430</v>
      </c>
      <c r="AE1961" s="1" t="s">
        <v>530</v>
      </c>
      <c r="AF1961" s="1" t="s">
        <v>107</v>
      </c>
      <c r="AG1961" s="1">
        <v>33</v>
      </c>
      <c r="AO1961" s="2">
        <v>46279</v>
      </c>
      <c r="AP1961" s="1" t="s">
        <v>821</v>
      </c>
      <c r="AS1961" s="1" t="s">
        <v>71</v>
      </c>
      <c r="AU1961" s="1" t="s">
        <v>72</v>
      </c>
      <c r="AV1961" s="1" t="s">
        <v>437</v>
      </c>
      <c r="AX1961" s="1">
        <v>0</v>
      </c>
      <c r="BA1961" s="1">
        <v>9</v>
      </c>
      <c r="BB1961" s="1">
        <v>0</v>
      </c>
      <c r="BC1961" s="1">
        <v>0</v>
      </c>
      <c r="BE1961" s="1">
        <v>27388054</v>
      </c>
    </row>
    <row r="1962" spans="1:57" x14ac:dyDescent="0.25">
      <c r="A1962" s="1" t="str">
        <f>T("1946143651135166040")</f>
        <v>1946143651135166040</v>
      </c>
      <c r="B1962" s="1" t="str">
        <f>T("249914247258")</f>
        <v>249914247258</v>
      </c>
      <c r="C1962" s="1" t="str">
        <f>T("1941094503548979304")</f>
        <v>1941094503548979304</v>
      </c>
      <c r="AC1962" s="1" t="s">
        <v>344</v>
      </c>
      <c r="AD1962" s="1" t="s">
        <v>441</v>
      </c>
      <c r="AE1962" s="1" t="s">
        <v>530</v>
      </c>
      <c r="AF1962" s="1" t="s">
        <v>144</v>
      </c>
      <c r="AG1962" s="1">
        <v>25</v>
      </c>
      <c r="AO1962" s="2">
        <v>46279</v>
      </c>
      <c r="AP1962" s="1" t="s">
        <v>821</v>
      </c>
      <c r="AS1962" s="1" t="s">
        <v>71</v>
      </c>
      <c r="AU1962" s="1" t="s">
        <v>72</v>
      </c>
      <c r="AV1962" s="1" t="s">
        <v>73</v>
      </c>
      <c r="AX1962" s="1">
        <v>0</v>
      </c>
      <c r="BA1962" s="1">
        <v>9</v>
      </c>
      <c r="BB1962" s="1">
        <v>0</v>
      </c>
      <c r="BC1962" s="1">
        <v>0</v>
      </c>
      <c r="BE1962" s="1">
        <v>27388054</v>
      </c>
    </row>
    <row r="1963" spans="1:57" x14ac:dyDescent="0.25">
      <c r="A1963" s="1" t="str">
        <f>T("1946143651143554056")</f>
        <v>1946143651143554056</v>
      </c>
      <c r="B1963" s="1" t="str">
        <f>T("249922920130")</f>
        <v>249922920130</v>
      </c>
      <c r="C1963" s="1" t="str">
        <f>T("1941094503553174712")</f>
        <v>1941094503553174712</v>
      </c>
      <c r="AA1963" s="1">
        <v>1</v>
      </c>
      <c r="AC1963" s="1" t="s">
        <v>344</v>
      </c>
      <c r="AD1963" s="1" t="s">
        <v>372</v>
      </c>
      <c r="AE1963" s="1" t="s">
        <v>814</v>
      </c>
      <c r="AF1963" s="1" t="s">
        <v>144</v>
      </c>
      <c r="AG1963" s="1">
        <v>45</v>
      </c>
      <c r="AO1963" s="2">
        <v>46279</v>
      </c>
      <c r="AP1963" s="1" t="s">
        <v>821</v>
      </c>
      <c r="AQ1963" s="2">
        <v>46279</v>
      </c>
      <c r="AR1963" s="1" t="s">
        <v>824</v>
      </c>
      <c r="AS1963" s="1" t="s">
        <v>71</v>
      </c>
      <c r="AU1963" s="1" t="s">
        <v>79</v>
      </c>
      <c r="AV1963" s="1" t="s">
        <v>80</v>
      </c>
      <c r="AW1963" s="1">
        <v>57.86</v>
      </c>
      <c r="AX1963" s="1">
        <v>0</v>
      </c>
      <c r="AZ1963" s="1" t="s">
        <v>81</v>
      </c>
      <c r="BA1963" s="1">
        <v>1</v>
      </c>
      <c r="BB1963" s="1">
        <v>0</v>
      </c>
      <c r="BC1963" s="1">
        <v>0</v>
      </c>
      <c r="BE1963" s="1">
        <v>27388054</v>
      </c>
    </row>
    <row r="1964" spans="1:57" x14ac:dyDescent="0.25">
      <c r="A1964" s="1" t="str">
        <f>T("1946143651177111120")</f>
        <v>1946143651177111120</v>
      </c>
      <c r="B1964" s="1" t="str">
        <f>T("249908229407")</f>
        <v>249908229407</v>
      </c>
      <c r="C1964" s="1" t="str">
        <f>T("1941094503553175312")</f>
        <v>1941094503553175312</v>
      </c>
      <c r="AC1964" s="1" t="s">
        <v>344</v>
      </c>
      <c r="AD1964" s="1" t="s">
        <v>441</v>
      </c>
      <c r="AE1964" s="1" t="s">
        <v>530</v>
      </c>
      <c r="AF1964" s="1" t="s">
        <v>144</v>
      </c>
      <c r="AG1964" s="1">
        <v>37</v>
      </c>
      <c r="AO1964" s="2">
        <v>46279</v>
      </c>
      <c r="AP1964" s="1" t="s">
        <v>821</v>
      </c>
      <c r="AS1964" s="1" t="s">
        <v>71</v>
      </c>
      <c r="AU1964" s="1" t="s">
        <v>72</v>
      </c>
      <c r="AV1964" s="1" t="s">
        <v>73</v>
      </c>
      <c r="AX1964" s="1">
        <v>0</v>
      </c>
      <c r="BA1964" s="1">
        <v>9</v>
      </c>
      <c r="BB1964" s="1">
        <v>0</v>
      </c>
      <c r="BC1964" s="1">
        <v>0</v>
      </c>
      <c r="BE1964" s="1">
        <v>27388054</v>
      </c>
    </row>
    <row r="1965" spans="1:57" x14ac:dyDescent="0.25">
      <c r="A1965" s="1" t="str">
        <f>T("1946143651181303328")</f>
        <v>1946143651181303328</v>
      </c>
      <c r="B1965" s="1" t="str">
        <f>T("249906006443")</f>
        <v>249906006443</v>
      </c>
      <c r="C1965" s="1" t="str">
        <f>T("1941094503557366320")</f>
        <v>1941094503557366320</v>
      </c>
      <c r="AC1965" s="1" t="s">
        <v>344</v>
      </c>
      <c r="AD1965" s="1" t="s">
        <v>441</v>
      </c>
      <c r="AE1965" s="1" t="s">
        <v>530</v>
      </c>
      <c r="AF1965" s="1" t="s">
        <v>107</v>
      </c>
      <c r="AG1965" s="1">
        <v>35</v>
      </c>
      <c r="AO1965" s="2">
        <v>46279</v>
      </c>
      <c r="AP1965" s="1" t="s">
        <v>821</v>
      </c>
      <c r="AS1965" s="1" t="s">
        <v>71</v>
      </c>
      <c r="AU1965" s="1" t="s">
        <v>72</v>
      </c>
      <c r="AV1965" s="1" t="s">
        <v>437</v>
      </c>
      <c r="AX1965" s="1">
        <v>0</v>
      </c>
      <c r="BA1965" s="1">
        <v>9</v>
      </c>
      <c r="BB1965" s="1">
        <v>0</v>
      </c>
      <c r="BC1965" s="1">
        <v>0</v>
      </c>
      <c r="BE1965" s="1">
        <v>27388054</v>
      </c>
    </row>
    <row r="1966" spans="1:57" x14ac:dyDescent="0.25">
      <c r="A1966" s="1" t="str">
        <f>T("1946143651189692444")</f>
        <v>1946143651189692444</v>
      </c>
      <c r="B1966" s="1" t="str">
        <f>T("249961337879")</f>
        <v>249961337879</v>
      </c>
      <c r="C1966" s="1" t="str">
        <f>T("1941094503557367320")</f>
        <v>1941094503557367320</v>
      </c>
      <c r="AC1966" s="1" t="s">
        <v>344</v>
      </c>
      <c r="AD1966" s="1" t="s">
        <v>430</v>
      </c>
      <c r="AE1966" s="1" t="s">
        <v>530</v>
      </c>
      <c r="AF1966" s="1" t="s">
        <v>107</v>
      </c>
      <c r="AG1966" s="1">
        <v>23</v>
      </c>
      <c r="AO1966" s="2">
        <v>46279</v>
      </c>
      <c r="AP1966" s="1" t="s">
        <v>821</v>
      </c>
      <c r="AS1966" s="1" t="s">
        <v>71</v>
      </c>
      <c r="AU1966" s="1" t="s">
        <v>72</v>
      </c>
      <c r="AV1966" s="1" t="s">
        <v>437</v>
      </c>
      <c r="AX1966" s="1">
        <v>0</v>
      </c>
      <c r="BA1966" s="1">
        <v>9</v>
      </c>
      <c r="BB1966" s="1">
        <v>0</v>
      </c>
      <c r="BC1966" s="1">
        <v>0</v>
      </c>
      <c r="BE1966" s="1">
        <v>27388054</v>
      </c>
    </row>
    <row r="1967" spans="1:57" x14ac:dyDescent="0.25">
      <c r="A1967" s="1" t="str">
        <f>T("1946143651198079760")</f>
        <v>1946143651198079760</v>
      </c>
      <c r="B1967" s="1" t="str">
        <f>T("249915833664")</f>
        <v>249915833664</v>
      </c>
      <c r="C1967" s="1" t="str">
        <f>T("1941094503557367920")</f>
        <v>1941094503557367920</v>
      </c>
      <c r="AC1967" s="1" t="s">
        <v>344</v>
      </c>
      <c r="AD1967" s="1" t="s">
        <v>430</v>
      </c>
      <c r="AE1967" s="1" t="s">
        <v>530</v>
      </c>
      <c r="AF1967" s="1" t="s">
        <v>144</v>
      </c>
      <c r="AG1967" s="1">
        <v>35</v>
      </c>
      <c r="AO1967" s="2">
        <v>46279</v>
      </c>
      <c r="AP1967" s="1" t="s">
        <v>821</v>
      </c>
      <c r="AS1967" s="1" t="s">
        <v>71</v>
      </c>
      <c r="AU1967" s="1" t="s">
        <v>72</v>
      </c>
      <c r="AV1967" s="1" t="s">
        <v>437</v>
      </c>
      <c r="AX1967" s="1">
        <v>0</v>
      </c>
      <c r="BA1967" s="1">
        <v>9</v>
      </c>
      <c r="BB1967" s="1">
        <v>0</v>
      </c>
      <c r="BC1967" s="1">
        <v>0</v>
      </c>
      <c r="BE1967" s="1">
        <v>27388054</v>
      </c>
    </row>
    <row r="1968" spans="1:57" x14ac:dyDescent="0.25">
      <c r="A1968" s="1" t="str">
        <f>T("1946143651240024040")</f>
        <v>1946143651240024040</v>
      </c>
      <c r="B1968" s="1" t="str">
        <f>T("249920602326")</f>
        <v>249920602326</v>
      </c>
      <c r="C1968" s="1" t="str">
        <f>T("1941094503561562128")</f>
        <v>1941094503561562128</v>
      </c>
      <c r="AA1968" s="1">
        <v>1</v>
      </c>
      <c r="AC1968" s="1" t="s">
        <v>344</v>
      </c>
      <c r="AD1968" s="1" t="s">
        <v>372</v>
      </c>
      <c r="AE1968" s="1" t="s">
        <v>820</v>
      </c>
      <c r="AF1968" s="1" t="s">
        <v>107</v>
      </c>
      <c r="AG1968" s="1">
        <v>28</v>
      </c>
      <c r="AO1968" s="2">
        <v>46279</v>
      </c>
      <c r="AP1968" s="1" t="s">
        <v>821</v>
      </c>
      <c r="AS1968" s="1" t="s">
        <v>71</v>
      </c>
      <c r="AU1968" s="1" t="s">
        <v>72</v>
      </c>
      <c r="AV1968" s="1" t="s">
        <v>73</v>
      </c>
      <c r="AX1968" s="1">
        <v>0</v>
      </c>
      <c r="BA1968" s="1">
        <v>9</v>
      </c>
      <c r="BB1968" s="1">
        <v>0</v>
      </c>
      <c r="BC1968" s="1">
        <v>0</v>
      </c>
      <c r="BE1968" s="1">
        <v>27388054</v>
      </c>
    </row>
    <row r="1969" spans="1:57" x14ac:dyDescent="0.25">
      <c r="A1969" s="1" t="str">
        <f>T("1946143651240024440")</f>
        <v>1946143651240024440</v>
      </c>
      <c r="B1969" s="1" t="str">
        <f>T("249992450111")</f>
        <v>249992450111</v>
      </c>
      <c r="C1969" s="1" t="str">
        <f>T("1941094503557368420")</f>
        <v>1941094503557368420</v>
      </c>
      <c r="AA1969" s="1">
        <v>1</v>
      </c>
      <c r="AC1969" s="1" t="s">
        <v>344</v>
      </c>
      <c r="AD1969" s="1" t="s">
        <v>372</v>
      </c>
      <c r="AE1969" s="1" t="s">
        <v>814</v>
      </c>
      <c r="AF1969" s="1" t="s">
        <v>107</v>
      </c>
      <c r="AG1969" s="1">
        <v>35</v>
      </c>
      <c r="AO1969" s="2">
        <v>46279</v>
      </c>
      <c r="AP1969" s="1" t="s">
        <v>821</v>
      </c>
      <c r="AQ1969" s="2">
        <v>46279</v>
      </c>
      <c r="AR1969" s="1" t="s">
        <v>825</v>
      </c>
      <c r="AS1969" s="1" t="s">
        <v>71</v>
      </c>
      <c r="AU1969" s="1" t="s">
        <v>79</v>
      </c>
      <c r="AV1969" s="1" t="s">
        <v>80</v>
      </c>
      <c r="AW1969" s="1">
        <v>38.82</v>
      </c>
      <c r="AX1969" s="1">
        <v>0</v>
      </c>
      <c r="AZ1969" s="1" t="s">
        <v>81</v>
      </c>
      <c r="BA1969" s="1">
        <v>5</v>
      </c>
      <c r="BB1969" s="1">
        <v>0</v>
      </c>
      <c r="BC1969" s="1">
        <v>0</v>
      </c>
      <c r="BE1969" s="1">
        <v>27388054</v>
      </c>
    </row>
    <row r="1970" spans="1:57" x14ac:dyDescent="0.25">
      <c r="A1970" s="1" t="str">
        <f>T("1946143651240025040")</f>
        <v>1946143651240025040</v>
      </c>
      <c r="B1970" s="1" t="str">
        <f>T("249919406913")</f>
        <v>249919406913</v>
      </c>
      <c r="C1970" s="1" t="str">
        <f>T("1941094503561563628")</f>
        <v>1941094503561563628</v>
      </c>
      <c r="AC1970" s="1" t="s">
        <v>344</v>
      </c>
      <c r="AD1970" s="1" t="s">
        <v>441</v>
      </c>
      <c r="AE1970" s="1" t="s">
        <v>530</v>
      </c>
      <c r="AF1970" s="1" t="s">
        <v>144</v>
      </c>
      <c r="AG1970" s="1">
        <v>35</v>
      </c>
      <c r="AO1970" s="2">
        <v>46279</v>
      </c>
      <c r="AP1970" s="1" t="s">
        <v>821</v>
      </c>
      <c r="AS1970" s="1" t="s">
        <v>71</v>
      </c>
      <c r="AU1970" s="1" t="s">
        <v>72</v>
      </c>
      <c r="AV1970" s="1" t="s">
        <v>437</v>
      </c>
      <c r="AX1970" s="1">
        <v>0</v>
      </c>
      <c r="BA1970" s="1">
        <v>9</v>
      </c>
      <c r="BB1970" s="1">
        <v>0</v>
      </c>
      <c r="BC1970" s="1">
        <v>0</v>
      </c>
      <c r="BE1970" s="1">
        <v>27388054</v>
      </c>
    </row>
    <row r="1971" spans="1:57" x14ac:dyDescent="0.25">
      <c r="A1971" s="1" t="str">
        <f>T("1946143651252608864")</f>
        <v>1946143651252608864</v>
      </c>
      <c r="B1971" s="1" t="str">
        <f>T("249965769955")</f>
        <v>249965769955</v>
      </c>
      <c r="C1971" s="1" t="str">
        <f>T("1941094503565757336")</f>
        <v>1941094503565757336</v>
      </c>
      <c r="AC1971" s="1" t="s">
        <v>344</v>
      </c>
      <c r="AD1971" s="1" t="s">
        <v>372</v>
      </c>
      <c r="AE1971" s="1" t="s">
        <v>815</v>
      </c>
      <c r="AF1971" s="1" t="s">
        <v>144</v>
      </c>
      <c r="AG1971" s="1">
        <v>45</v>
      </c>
      <c r="AO1971" s="2">
        <v>46279</v>
      </c>
      <c r="AP1971" s="1" t="s">
        <v>821</v>
      </c>
      <c r="AS1971" s="1" t="s">
        <v>71</v>
      </c>
      <c r="AU1971" s="1" t="s">
        <v>72</v>
      </c>
      <c r="AV1971" s="1" t="s">
        <v>73</v>
      </c>
      <c r="AX1971" s="1">
        <v>0</v>
      </c>
      <c r="BA1971" s="1">
        <v>9</v>
      </c>
      <c r="BB1971" s="1">
        <v>0</v>
      </c>
      <c r="BC1971" s="1">
        <v>0</v>
      </c>
      <c r="BE1971" s="1">
        <v>27388054</v>
      </c>
    </row>
    <row r="1972" spans="1:57" x14ac:dyDescent="0.25">
      <c r="A1972" s="1" t="str">
        <f>T("1946143651298745652")</f>
        <v>1946143651298745652</v>
      </c>
      <c r="B1972" s="1" t="str">
        <f>T("249919494287")</f>
        <v>249919494287</v>
      </c>
      <c r="C1972" s="1" t="str">
        <f>T("1941094503590920584")</f>
        <v>1941094503590920584</v>
      </c>
      <c r="AC1972" s="1" t="s">
        <v>344</v>
      </c>
      <c r="AD1972" s="1" t="s">
        <v>430</v>
      </c>
      <c r="AE1972" s="1" t="s">
        <v>530</v>
      </c>
      <c r="AF1972" s="1" t="s">
        <v>107</v>
      </c>
      <c r="AG1972" s="1">
        <v>51</v>
      </c>
      <c r="AO1972" s="2">
        <v>46279</v>
      </c>
      <c r="AP1972" s="1" t="s">
        <v>821</v>
      </c>
      <c r="AS1972" s="1" t="s">
        <v>71</v>
      </c>
      <c r="AU1972" s="1" t="s">
        <v>72</v>
      </c>
      <c r="AV1972" s="1" t="s">
        <v>73</v>
      </c>
      <c r="AX1972" s="1">
        <v>0</v>
      </c>
      <c r="BA1972" s="1">
        <v>9</v>
      </c>
      <c r="BB1972" s="1">
        <v>0</v>
      </c>
      <c r="BC1972" s="1">
        <v>0</v>
      </c>
      <c r="BE1972" s="1">
        <v>27388054</v>
      </c>
    </row>
    <row r="1973" spans="1:57" x14ac:dyDescent="0.25">
      <c r="A1973" s="1" t="str">
        <f>T("1946143651319715892")</f>
        <v>1946143651319715892</v>
      </c>
      <c r="B1973" s="1" t="str">
        <f>T("249911376537")</f>
        <v>249911376537</v>
      </c>
      <c r="C1973" s="1" t="str">
        <f>T("1941094503595116492")</f>
        <v>1941094503595116492</v>
      </c>
      <c r="AC1973" s="1" t="s">
        <v>344</v>
      </c>
      <c r="AD1973" s="1" t="s">
        <v>430</v>
      </c>
      <c r="AE1973" s="1" t="s">
        <v>530</v>
      </c>
      <c r="AF1973" s="1" t="s">
        <v>107</v>
      </c>
      <c r="AG1973" s="1">
        <v>33</v>
      </c>
      <c r="AO1973" s="2">
        <v>46279</v>
      </c>
      <c r="AP1973" s="1" t="s">
        <v>821</v>
      </c>
      <c r="AS1973" s="1" t="s">
        <v>71</v>
      </c>
      <c r="AU1973" s="1" t="s">
        <v>72</v>
      </c>
      <c r="AV1973" s="1" t="s">
        <v>73</v>
      </c>
      <c r="AX1973" s="1">
        <v>0</v>
      </c>
      <c r="BA1973" s="1">
        <v>9</v>
      </c>
      <c r="BB1973" s="1">
        <v>0</v>
      </c>
      <c r="BC1973" s="1">
        <v>0</v>
      </c>
      <c r="BE1973" s="1">
        <v>27388054</v>
      </c>
    </row>
    <row r="1974" spans="1:57" x14ac:dyDescent="0.25">
      <c r="A1974" s="1" t="str">
        <f>T("1946143651323908900")</f>
        <v>1946143651323908900</v>
      </c>
      <c r="B1974" s="1" t="str">
        <f>T("249961842009")</f>
        <v>249961842009</v>
      </c>
      <c r="C1974" s="1" t="str">
        <f>T("1941094503595115992")</f>
        <v>1941094503595115992</v>
      </c>
      <c r="AC1974" s="1" t="s">
        <v>344</v>
      </c>
      <c r="AD1974" s="1" t="s">
        <v>430</v>
      </c>
      <c r="AE1974" s="1" t="s">
        <v>530</v>
      </c>
      <c r="AF1974" s="1" t="s">
        <v>107</v>
      </c>
      <c r="AG1974" s="1">
        <v>60</v>
      </c>
      <c r="AO1974" s="2">
        <v>46279</v>
      </c>
      <c r="AP1974" s="1" t="s">
        <v>821</v>
      </c>
      <c r="AS1974" s="1" t="s">
        <v>71</v>
      </c>
      <c r="AU1974" s="1" t="s">
        <v>72</v>
      </c>
      <c r="AV1974" s="1" t="s">
        <v>126</v>
      </c>
      <c r="AX1974" s="1">
        <v>0</v>
      </c>
      <c r="BA1974" s="1">
        <v>9</v>
      </c>
      <c r="BB1974" s="1">
        <v>0</v>
      </c>
      <c r="BC1974" s="1">
        <v>0</v>
      </c>
      <c r="BE1974" s="1">
        <v>27388054</v>
      </c>
    </row>
    <row r="1975" spans="1:57" x14ac:dyDescent="0.25">
      <c r="A1975" s="1" t="str">
        <f>T("1946143651323909300")</f>
        <v>1946143651323909300</v>
      </c>
      <c r="B1975" s="1" t="str">
        <f>T("249918952658")</f>
        <v>249918952658</v>
      </c>
      <c r="C1975" s="1" t="str">
        <f>T("1941094503595115192")</f>
        <v>1941094503595115192</v>
      </c>
      <c r="AC1975" s="1" t="s">
        <v>344</v>
      </c>
      <c r="AD1975" s="1" t="s">
        <v>372</v>
      </c>
      <c r="AE1975" s="1" t="s">
        <v>815</v>
      </c>
      <c r="AF1975" s="1" t="s">
        <v>144</v>
      </c>
      <c r="AG1975" s="1">
        <v>38</v>
      </c>
      <c r="AO1975" s="2">
        <v>46279</v>
      </c>
      <c r="AP1975" s="1" t="s">
        <v>821</v>
      </c>
      <c r="AS1975" s="1" t="s">
        <v>71</v>
      </c>
      <c r="AU1975" s="1" t="s">
        <v>72</v>
      </c>
      <c r="AV1975" s="1" t="s">
        <v>437</v>
      </c>
      <c r="AX1975" s="1">
        <v>0</v>
      </c>
      <c r="BA1975" s="1">
        <v>9</v>
      </c>
      <c r="BB1975" s="1">
        <v>0</v>
      </c>
      <c r="BC1975" s="1">
        <v>0</v>
      </c>
      <c r="BE1975" s="1">
        <v>27388054</v>
      </c>
    </row>
    <row r="1976" spans="1:57" x14ac:dyDescent="0.25">
      <c r="A1976" s="1" t="str">
        <f>T("1946143651374241996")</f>
        <v>1946143651374241996</v>
      </c>
      <c r="B1976" s="1" t="str">
        <f>T("249908222947")</f>
        <v>249908222947</v>
      </c>
      <c r="C1976" s="1" t="str">
        <f>T("1941094503595116892")</f>
        <v>1941094503595116892</v>
      </c>
      <c r="AC1976" s="1" t="s">
        <v>344</v>
      </c>
      <c r="AD1976" s="1" t="s">
        <v>441</v>
      </c>
      <c r="AE1976" s="1" t="s">
        <v>530</v>
      </c>
      <c r="AF1976" s="1" t="s">
        <v>144</v>
      </c>
      <c r="AG1976" s="1">
        <v>68</v>
      </c>
      <c r="AO1976" s="2">
        <v>46279</v>
      </c>
      <c r="AP1976" s="1" t="s">
        <v>821</v>
      </c>
      <c r="AS1976" s="1" t="s">
        <v>71</v>
      </c>
      <c r="AU1976" s="1" t="s">
        <v>72</v>
      </c>
      <c r="AV1976" s="1" t="s">
        <v>437</v>
      </c>
      <c r="AX1976" s="1">
        <v>0</v>
      </c>
      <c r="BA1976" s="1">
        <v>9</v>
      </c>
      <c r="BB1976" s="1">
        <v>0</v>
      </c>
      <c r="BC1976" s="1">
        <v>0</v>
      </c>
      <c r="BE1976" s="1">
        <v>27388054</v>
      </c>
    </row>
    <row r="1977" spans="1:57" x14ac:dyDescent="0.25">
      <c r="A1977" s="1" t="str">
        <f>T("1946143651382630412")</f>
        <v>1946143651382630412</v>
      </c>
      <c r="B1977" s="1" t="str">
        <f>T("249114926376")</f>
        <v>249114926376</v>
      </c>
      <c r="C1977" s="1" t="str">
        <f>T("1941094503595117292")</f>
        <v>1941094503595117292</v>
      </c>
      <c r="M1977" s="1" t="s">
        <v>148</v>
      </c>
      <c r="N1977" s="1" t="s">
        <v>60</v>
      </c>
      <c r="O1977" s="1" t="s">
        <v>65</v>
      </c>
      <c r="P1977" s="1" t="s">
        <v>61</v>
      </c>
      <c r="Q1977" s="1" t="s">
        <v>101</v>
      </c>
      <c r="R1977" s="1" t="s">
        <v>93</v>
      </c>
      <c r="T1977" s="1" t="s">
        <v>95</v>
      </c>
      <c r="AA1977" s="1">
        <v>1</v>
      </c>
      <c r="AC1977" s="1" t="s">
        <v>344</v>
      </c>
      <c r="AD1977" s="1" t="s">
        <v>372</v>
      </c>
      <c r="AE1977" s="1" t="s">
        <v>820</v>
      </c>
      <c r="AF1977" s="1" t="s">
        <v>107</v>
      </c>
      <c r="AG1977" s="1">
        <v>32</v>
      </c>
      <c r="AO1977" s="2">
        <v>46279</v>
      </c>
      <c r="AP1977" s="1" t="s">
        <v>821</v>
      </c>
      <c r="AQ1977" s="2">
        <v>46279</v>
      </c>
      <c r="AR1977" s="1" t="s">
        <v>826</v>
      </c>
      <c r="AS1977" s="1" t="s">
        <v>71</v>
      </c>
      <c r="AU1977" s="1" t="s">
        <v>79</v>
      </c>
      <c r="AV1977" s="1" t="s">
        <v>80</v>
      </c>
      <c r="AW1977" s="1">
        <v>180.2</v>
      </c>
      <c r="AX1977" s="1">
        <v>0</v>
      </c>
      <c r="AZ1977" s="1" t="s">
        <v>81</v>
      </c>
      <c r="BA1977" s="1">
        <v>4</v>
      </c>
      <c r="BB1977" s="1">
        <v>0</v>
      </c>
      <c r="BC1977" s="1">
        <v>0</v>
      </c>
      <c r="BE1977" s="1">
        <v>27388054</v>
      </c>
    </row>
    <row r="1978" spans="1:57" x14ac:dyDescent="0.25">
      <c r="A1978" s="1" t="str">
        <f>T("1946143651386824820")</f>
        <v>1946143651386824820</v>
      </c>
      <c r="B1978" s="1" t="str">
        <f>T("249906006421")</f>
        <v>249906006421</v>
      </c>
      <c r="C1978" s="1" t="str">
        <f>T("1941094503599311900")</f>
        <v>1941094503599311900</v>
      </c>
      <c r="AC1978" s="1" t="s">
        <v>344</v>
      </c>
      <c r="AD1978" s="1" t="s">
        <v>441</v>
      </c>
      <c r="AE1978" s="1" t="s">
        <v>530</v>
      </c>
      <c r="AF1978" s="1" t="s">
        <v>107</v>
      </c>
      <c r="AG1978" s="1">
        <v>40</v>
      </c>
      <c r="AO1978" s="2">
        <v>46279</v>
      </c>
      <c r="AP1978" s="1" t="s">
        <v>821</v>
      </c>
      <c r="AS1978" s="1" t="s">
        <v>71</v>
      </c>
      <c r="AU1978" s="1" t="s">
        <v>72</v>
      </c>
      <c r="AV1978" s="1" t="s">
        <v>437</v>
      </c>
      <c r="AX1978" s="1">
        <v>0</v>
      </c>
      <c r="BA1978" s="1">
        <v>9</v>
      </c>
      <c r="BB1978" s="1">
        <v>0</v>
      </c>
      <c r="BC1978" s="1">
        <v>0</v>
      </c>
      <c r="BE1978" s="1">
        <v>27388054</v>
      </c>
    </row>
    <row r="1979" spans="1:57" x14ac:dyDescent="0.25">
      <c r="A1979" s="1" t="str">
        <f>T("1946143651399408244")</f>
        <v>1946143651399408244</v>
      </c>
      <c r="B1979" s="1" t="str">
        <f>T("249960168015")</f>
        <v>249960168015</v>
      </c>
      <c r="C1979" s="1" t="str">
        <f>T("1941094503599312700")</f>
        <v>1941094503599312700</v>
      </c>
      <c r="AC1979" s="1" t="s">
        <v>344</v>
      </c>
      <c r="AD1979" s="1" t="s">
        <v>441</v>
      </c>
      <c r="AE1979" s="1" t="s">
        <v>530</v>
      </c>
      <c r="AF1979" s="1" t="s">
        <v>144</v>
      </c>
      <c r="AG1979" s="1">
        <v>45</v>
      </c>
      <c r="AO1979" s="2">
        <v>46279</v>
      </c>
      <c r="AP1979" s="1" t="s">
        <v>821</v>
      </c>
      <c r="AS1979" s="1" t="s">
        <v>71</v>
      </c>
      <c r="AU1979" s="1" t="s">
        <v>72</v>
      </c>
      <c r="AV1979" s="1" t="s">
        <v>73</v>
      </c>
      <c r="AX1979" s="1">
        <v>0</v>
      </c>
      <c r="BA1979" s="1">
        <v>9</v>
      </c>
      <c r="BB1979" s="1">
        <v>0</v>
      </c>
      <c r="BC1979" s="1">
        <v>0</v>
      </c>
      <c r="BE1979" s="1">
        <v>27388054</v>
      </c>
    </row>
    <row r="1980" spans="1:57" x14ac:dyDescent="0.25">
      <c r="A1980" s="1" t="str">
        <f>T("1946143651432962608")</f>
        <v>1946143651432962608</v>
      </c>
      <c r="B1980" s="1" t="str">
        <f>T("249964370177")</f>
        <v>249964370177</v>
      </c>
      <c r="C1980" s="1" t="str">
        <f>T("1941094503603504308")</f>
        <v>1941094503603504308</v>
      </c>
      <c r="AC1980" s="1" t="s">
        <v>344</v>
      </c>
      <c r="AD1980" s="1" t="s">
        <v>372</v>
      </c>
      <c r="AE1980" s="1" t="s">
        <v>818</v>
      </c>
      <c r="AF1980" s="1" t="s">
        <v>107</v>
      </c>
      <c r="AG1980" s="1">
        <v>90</v>
      </c>
      <c r="AO1980" s="2">
        <v>46279</v>
      </c>
      <c r="AP1980" s="1" t="s">
        <v>821</v>
      </c>
      <c r="AS1980" s="1" t="s">
        <v>71</v>
      </c>
      <c r="AU1980" s="1" t="s">
        <v>72</v>
      </c>
      <c r="AV1980" s="1" t="s">
        <v>126</v>
      </c>
      <c r="AX1980" s="1">
        <v>0</v>
      </c>
      <c r="BA1980" s="1">
        <v>9</v>
      </c>
      <c r="BB1980" s="1">
        <v>0</v>
      </c>
      <c r="BC1980" s="1">
        <v>0</v>
      </c>
      <c r="BE1980" s="1">
        <v>27388054</v>
      </c>
    </row>
    <row r="1981" spans="1:57" x14ac:dyDescent="0.25">
      <c r="A1981" s="1" t="str">
        <f>T("1946143651437154516")</f>
        <v>1946143651437154516</v>
      </c>
      <c r="B1981" s="1" t="str">
        <f>T("249963345674")</f>
        <v>249963345674</v>
      </c>
      <c r="C1981" s="1" t="str">
        <f>T("1941094503603503708")</f>
        <v>1941094503603503708</v>
      </c>
      <c r="AC1981" s="1" t="s">
        <v>344</v>
      </c>
      <c r="AD1981" s="1" t="s">
        <v>441</v>
      </c>
      <c r="AE1981" s="1" t="s">
        <v>530</v>
      </c>
      <c r="AF1981" s="1" t="s">
        <v>144</v>
      </c>
      <c r="AG1981" s="1">
        <v>25</v>
      </c>
      <c r="AO1981" s="2">
        <v>46279</v>
      </c>
      <c r="AP1981" s="1" t="s">
        <v>821</v>
      </c>
      <c r="AS1981" s="1" t="s">
        <v>71</v>
      </c>
      <c r="AU1981" s="1" t="s">
        <v>72</v>
      </c>
      <c r="AV1981" s="1" t="s">
        <v>437</v>
      </c>
      <c r="AX1981" s="1">
        <v>0</v>
      </c>
      <c r="BA1981" s="1">
        <v>9</v>
      </c>
      <c r="BB1981" s="1">
        <v>0</v>
      </c>
      <c r="BC1981" s="1">
        <v>0</v>
      </c>
      <c r="BE1981" s="1">
        <v>27388054</v>
      </c>
    </row>
    <row r="1982" spans="1:57" x14ac:dyDescent="0.25">
      <c r="A1982" s="1" t="str">
        <f>T("1946143651441349824")</f>
        <v>1946143651441349824</v>
      </c>
      <c r="B1982" s="1" t="str">
        <f>T("249960918067")</f>
        <v>249960918067</v>
      </c>
      <c r="C1982" s="1" t="str">
        <f>T("1941094503603504908")</f>
        <v>1941094503603504908</v>
      </c>
      <c r="AC1982" s="1" t="s">
        <v>344</v>
      </c>
      <c r="AD1982" s="1" t="s">
        <v>430</v>
      </c>
      <c r="AE1982" s="1" t="s">
        <v>530</v>
      </c>
      <c r="AF1982" s="1" t="s">
        <v>144</v>
      </c>
      <c r="AG1982" s="1">
        <v>45</v>
      </c>
      <c r="AO1982" s="2">
        <v>46279</v>
      </c>
      <c r="AP1982" s="1" t="s">
        <v>821</v>
      </c>
      <c r="AS1982" s="1" t="s">
        <v>71</v>
      </c>
      <c r="AU1982" s="1" t="s">
        <v>72</v>
      </c>
      <c r="AV1982" s="1" t="s">
        <v>73</v>
      </c>
      <c r="AX1982" s="1">
        <v>0</v>
      </c>
      <c r="BA1982" s="1">
        <v>9</v>
      </c>
      <c r="BB1982" s="1">
        <v>0</v>
      </c>
      <c r="BC1982" s="1">
        <v>0</v>
      </c>
      <c r="BE1982" s="1">
        <v>27388054</v>
      </c>
    </row>
    <row r="1983" spans="1:57" x14ac:dyDescent="0.25">
      <c r="A1983" s="1" t="str">
        <f>T("1946143651453931848")</f>
        <v>1946143651453931848</v>
      </c>
      <c r="B1983" s="1" t="str">
        <f>T("249914416893")</f>
        <v>249914416893</v>
      </c>
      <c r="C1983" s="1" t="str">
        <f>T("1941094503611894024")</f>
        <v>1941094503611894024</v>
      </c>
      <c r="AC1983" s="1" t="s">
        <v>344</v>
      </c>
      <c r="AD1983" s="1" t="s">
        <v>430</v>
      </c>
      <c r="AE1983" s="1" t="s">
        <v>530</v>
      </c>
      <c r="AF1983" s="1" t="s">
        <v>107</v>
      </c>
      <c r="AG1983" s="1">
        <v>61</v>
      </c>
      <c r="AO1983" s="2">
        <v>46279</v>
      </c>
      <c r="AP1983" s="1" t="s">
        <v>821</v>
      </c>
      <c r="AS1983" s="1" t="s">
        <v>71</v>
      </c>
      <c r="AU1983" s="1" t="s">
        <v>72</v>
      </c>
      <c r="AV1983" s="1" t="s">
        <v>437</v>
      </c>
      <c r="AX1983" s="1">
        <v>0</v>
      </c>
      <c r="BA1983" s="1">
        <v>9</v>
      </c>
      <c r="BB1983" s="1">
        <v>0</v>
      </c>
      <c r="BC1983" s="1">
        <v>0</v>
      </c>
      <c r="BE1983" s="1">
        <v>27388054</v>
      </c>
    </row>
    <row r="1984" spans="1:57" x14ac:dyDescent="0.25">
      <c r="A1984" s="1" t="str">
        <f>T("1946143651487486912")</f>
        <v>1946143651487486912</v>
      </c>
      <c r="B1984" s="1" t="str">
        <f>T("249909072561")</f>
        <v>249909072561</v>
      </c>
      <c r="C1984" s="1" t="str">
        <f>T("1941094503620283640")</f>
        <v>1941094503620283640</v>
      </c>
      <c r="AC1984" s="1" t="s">
        <v>344</v>
      </c>
      <c r="AD1984" s="1" t="s">
        <v>357</v>
      </c>
      <c r="AE1984" s="1" t="s">
        <v>812</v>
      </c>
      <c r="AF1984" s="1" t="s">
        <v>107</v>
      </c>
      <c r="AG1984" s="1">
        <v>60</v>
      </c>
      <c r="AO1984" s="2">
        <v>46279</v>
      </c>
      <c r="AP1984" s="1" t="s">
        <v>821</v>
      </c>
      <c r="AS1984" s="1" t="s">
        <v>71</v>
      </c>
      <c r="AU1984" s="1" t="s">
        <v>72</v>
      </c>
      <c r="AV1984" s="1" t="s">
        <v>437</v>
      </c>
      <c r="AX1984" s="1">
        <v>0</v>
      </c>
      <c r="BA1984" s="1">
        <v>9</v>
      </c>
      <c r="BB1984" s="1">
        <v>0</v>
      </c>
      <c r="BC1984" s="1">
        <v>0</v>
      </c>
      <c r="BE1984" s="1">
        <v>27388054</v>
      </c>
    </row>
    <row r="1985" spans="1:57" x14ac:dyDescent="0.25">
      <c r="A1985" s="1" t="str">
        <f>T("1946143651500070136")</f>
        <v>1946143651500070136</v>
      </c>
      <c r="B1985" s="1" t="str">
        <f>T("249969081001")</f>
        <v>249969081001</v>
      </c>
      <c r="C1985" s="1" t="str">
        <f>T("1941094503624476048")</f>
        <v>1941094503624476048</v>
      </c>
      <c r="AC1985" s="1" t="s">
        <v>344</v>
      </c>
      <c r="AD1985" s="1" t="s">
        <v>372</v>
      </c>
      <c r="AE1985" s="1" t="s">
        <v>814</v>
      </c>
      <c r="AF1985" s="1" t="s">
        <v>107</v>
      </c>
      <c r="AG1985" s="1">
        <v>46</v>
      </c>
      <c r="AO1985" s="2">
        <v>46279</v>
      </c>
      <c r="AP1985" s="1" t="s">
        <v>821</v>
      </c>
      <c r="AS1985" s="1" t="s">
        <v>71</v>
      </c>
      <c r="AU1985" s="1" t="s">
        <v>72</v>
      </c>
      <c r="AV1985" s="1" t="s">
        <v>73</v>
      </c>
      <c r="AX1985" s="1">
        <v>0</v>
      </c>
      <c r="BA1985" s="1">
        <v>9</v>
      </c>
      <c r="BB1985" s="1">
        <v>0</v>
      </c>
      <c r="BC1985" s="1">
        <v>0</v>
      </c>
      <c r="BE1985" s="1">
        <v>27388054</v>
      </c>
    </row>
    <row r="1986" spans="1:57" x14ac:dyDescent="0.25">
      <c r="A1986" s="1" t="str">
        <f>T("1946143651508458452")</f>
        <v>1946143651508458452</v>
      </c>
      <c r="B1986" s="1" t="str">
        <f>T("249915264108")</f>
        <v>249915264108</v>
      </c>
      <c r="C1986" s="1" t="str">
        <f>T("1941094503632865464")</f>
        <v>1941094503632865464</v>
      </c>
      <c r="AC1986" s="1" t="s">
        <v>344</v>
      </c>
      <c r="AD1986" s="1" t="s">
        <v>441</v>
      </c>
      <c r="AE1986" s="1" t="s">
        <v>530</v>
      </c>
      <c r="AF1986" s="1" t="s">
        <v>107</v>
      </c>
      <c r="AG1986" s="1">
        <v>35</v>
      </c>
      <c r="AO1986" s="2">
        <v>46279</v>
      </c>
      <c r="AP1986" s="1" t="s">
        <v>821</v>
      </c>
      <c r="AS1986" s="1" t="s">
        <v>71</v>
      </c>
      <c r="AU1986" s="1" t="s">
        <v>72</v>
      </c>
      <c r="AV1986" s="1" t="s">
        <v>73</v>
      </c>
      <c r="AX1986" s="1">
        <v>0</v>
      </c>
      <c r="BA1986" s="1">
        <v>9</v>
      </c>
      <c r="BB1986" s="1">
        <v>0</v>
      </c>
      <c r="BC1986" s="1">
        <v>0</v>
      </c>
      <c r="BE1986" s="1">
        <v>27388054</v>
      </c>
    </row>
    <row r="1987" spans="1:57" x14ac:dyDescent="0.25">
      <c r="A1987" s="1" t="str">
        <f>T("1946143651521043676")</f>
        <v>1946143651521043676</v>
      </c>
      <c r="B1987" s="1" t="str">
        <f>T("249968801433")</f>
        <v>249968801433</v>
      </c>
      <c r="C1987" s="1" t="str">
        <f>T("1941094503653837304")</f>
        <v>1941094503653837304</v>
      </c>
      <c r="AC1987" s="1" t="s">
        <v>344</v>
      </c>
      <c r="AD1987" s="1" t="s">
        <v>430</v>
      </c>
      <c r="AE1987" s="1" t="s">
        <v>530</v>
      </c>
      <c r="AF1987" s="1" t="s">
        <v>144</v>
      </c>
      <c r="AG1987" s="1">
        <v>23</v>
      </c>
      <c r="AO1987" s="2">
        <v>46279</v>
      </c>
      <c r="AP1987" s="1" t="s">
        <v>821</v>
      </c>
      <c r="AS1987" s="1" t="s">
        <v>71</v>
      </c>
      <c r="AU1987" s="1" t="s">
        <v>72</v>
      </c>
      <c r="AV1987" s="1" t="s">
        <v>73</v>
      </c>
      <c r="AX1987" s="1">
        <v>0</v>
      </c>
      <c r="BA1987" s="1">
        <v>9</v>
      </c>
      <c r="BB1987" s="1">
        <v>0</v>
      </c>
      <c r="BC1987" s="1">
        <v>0</v>
      </c>
      <c r="BE1987" s="1">
        <v>27388054</v>
      </c>
    </row>
    <row r="1988" spans="1:57" x14ac:dyDescent="0.25">
      <c r="A1988" s="1" t="str">
        <f>T("1946143651542012116")</f>
        <v>1946143651542012116</v>
      </c>
      <c r="B1988" s="1" t="str">
        <f>T("249906443290")</f>
        <v>249906443290</v>
      </c>
      <c r="C1988" s="1" t="str">
        <f>T("1941094503658030712")</f>
        <v>1941094503658030712</v>
      </c>
      <c r="AC1988" s="1" t="s">
        <v>344</v>
      </c>
      <c r="AD1988" s="1" t="s">
        <v>372</v>
      </c>
      <c r="AE1988" s="1" t="s">
        <v>815</v>
      </c>
      <c r="AF1988" s="1" t="s">
        <v>144</v>
      </c>
      <c r="AG1988" s="1">
        <v>45</v>
      </c>
      <c r="AO1988" s="2">
        <v>46279</v>
      </c>
      <c r="AP1988" s="1" t="s">
        <v>821</v>
      </c>
      <c r="AS1988" s="1" t="s">
        <v>71</v>
      </c>
      <c r="AU1988" s="1" t="s">
        <v>72</v>
      </c>
      <c r="AV1988" s="1" t="s">
        <v>73</v>
      </c>
      <c r="AX1988" s="1">
        <v>0</v>
      </c>
      <c r="BA1988" s="1">
        <v>9</v>
      </c>
      <c r="BB1988" s="1">
        <v>0</v>
      </c>
      <c r="BC1988" s="1">
        <v>0</v>
      </c>
      <c r="BE1988" s="1">
        <v>27388054</v>
      </c>
    </row>
    <row r="1989" spans="1:57" x14ac:dyDescent="0.25">
      <c r="A1989" s="1" t="str">
        <f>T("1946143651554596640")</f>
        <v>1946143651554596640</v>
      </c>
      <c r="B1989" s="1" t="str">
        <f>T("249903193727")</f>
        <v>249903193727</v>
      </c>
      <c r="C1989" s="1" t="str">
        <f>T("1941094503662225720")</f>
        <v>1941094503662225720</v>
      </c>
      <c r="AC1989" s="1" t="s">
        <v>344</v>
      </c>
      <c r="AD1989" s="1" t="s">
        <v>372</v>
      </c>
      <c r="AE1989" s="1" t="s">
        <v>815</v>
      </c>
      <c r="AF1989" s="1" t="s">
        <v>107</v>
      </c>
      <c r="AG1989" s="1">
        <v>70</v>
      </c>
      <c r="AO1989" s="2">
        <v>46279</v>
      </c>
      <c r="AP1989" s="1" t="s">
        <v>821</v>
      </c>
      <c r="AS1989" s="1" t="s">
        <v>71</v>
      </c>
      <c r="AU1989" s="1" t="s">
        <v>72</v>
      </c>
      <c r="AV1989" s="1" t="s">
        <v>437</v>
      </c>
      <c r="AX1989" s="1">
        <v>0</v>
      </c>
      <c r="BA1989" s="1">
        <v>9</v>
      </c>
      <c r="BB1989" s="1">
        <v>0</v>
      </c>
      <c r="BC1989" s="1">
        <v>0</v>
      </c>
      <c r="BE1989" s="1">
        <v>27388054</v>
      </c>
    </row>
    <row r="1990" spans="1:57" x14ac:dyDescent="0.25">
      <c r="A1990" s="1" t="str">
        <f>T("1946143651562983856")</f>
        <v>1946143651562983856</v>
      </c>
      <c r="B1990" s="1" t="str">
        <f>T("249960581720")</f>
        <v>249960581720</v>
      </c>
      <c r="C1990" s="1" t="str">
        <f>T("1941094503679003452")</f>
        <v>1941094503679003452</v>
      </c>
      <c r="AC1990" s="1" t="s">
        <v>344</v>
      </c>
      <c r="AD1990" s="1" t="s">
        <v>372</v>
      </c>
      <c r="AE1990" s="1" t="s">
        <v>373</v>
      </c>
      <c r="AF1990" s="1" t="s">
        <v>107</v>
      </c>
      <c r="AG1990" s="1">
        <v>49</v>
      </c>
      <c r="AO1990" s="2">
        <v>46279</v>
      </c>
      <c r="AP1990" s="1" t="s">
        <v>821</v>
      </c>
      <c r="AS1990" s="1" t="s">
        <v>71</v>
      </c>
      <c r="AU1990" s="1" t="s">
        <v>72</v>
      </c>
      <c r="AV1990" s="1" t="s">
        <v>73</v>
      </c>
      <c r="AX1990" s="1">
        <v>0</v>
      </c>
      <c r="BA1990" s="1">
        <v>9</v>
      </c>
      <c r="BB1990" s="1">
        <v>0</v>
      </c>
      <c r="BC1990" s="1">
        <v>0</v>
      </c>
      <c r="BE1990" s="1">
        <v>27388054</v>
      </c>
    </row>
    <row r="1991" spans="1:57" x14ac:dyDescent="0.25">
      <c r="A1991" s="1" t="str">
        <f>T("1946143651583955396")</f>
        <v>1946143651583955396</v>
      </c>
      <c r="B1991" s="1" t="str">
        <f>T("249990176895")</f>
        <v>249990176895</v>
      </c>
      <c r="C1991" s="1" t="str">
        <f>T("1941094503683196960")</f>
        <v>1941094503683196960</v>
      </c>
      <c r="AC1991" s="1" t="s">
        <v>344</v>
      </c>
      <c r="AD1991" s="1" t="s">
        <v>372</v>
      </c>
      <c r="AE1991" s="1" t="s">
        <v>814</v>
      </c>
      <c r="AF1991" s="1" t="s">
        <v>144</v>
      </c>
      <c r="AG1991" s="1">
        <v>31</v>
      </c>
      <c r="AO1991" s="2">
        <v>46279</v>
      </c>
      <c r="AP1991" s="1" t="s">
        <v>821</v>
      </c>
      <c r="AS1991" s="1" t="s">
        <v>71</v>
      </c>
      <c r="AU1991" s="1" t="s">
        <v>72</v>
      </c>
      <c r="AV1991" s="1" t="s">
        <v>73</v>
      </c>
      <c r="AX1991" s="1">
        <v>0</v>
      </c>
      <c r="BA1991" s="1">
        <v>9</v>
      </c>
      <c r="BB1991" s="1">
        <v>0</v>
      </c>
      <c r="BC1991" s="1">
        <v>0</v>
      </c>
      <c r="BE1991" s="1">
        <v>27388054</v>
      </c>
    </row>
    <row r="1992" spans="1:57" x14ac:dyDescent="0.25">
      <c r="A1992" s="1" t="str">
        <f>T("1946143651592346912")</f>
        <v>1946143651592346912</v>
      </c>
      <c r="B1992" s="1" t="str">
        <f>T("249919397303")</f>
        <v>249919397303</v>
      </c>
      <c r="C1992" s="1" t="str">
        <f>T("1941094503687389668")</f>
        <v>1941094503687389668</v>
      </c>
      <c r="AC1992" s="1" t="s">
        <v>344</v>
      </c>
      <c r="AD1992" s="1" t="s">
        <v>372</v>
      </c>
      <c r="AE1992" s="1" t="s">
        <v>815</v>
      </c>
      <c r="AF1992" s="1" t="s">
        <v>107</v>
      </c>
      <c r="AG1992" s="1">
        <v>49</v>
      </c>
      <c r="AO1992" s="2">
        <v>46279</v>
      </c>
      <c r="AP1992" s="1" t="s">
        <v>821</v>
      </c>
      <c r="AS1992" s="1" t="s">
        <v>71</v>
      </c>
      <c r="AU1992" s="1" t="s">
        <v>72</v>
      </c>
      <c r="AV1992" s="1" t="s">
        <v>73</v>
      </c>
      <c r="AX1992" s="1">
        <v>0</v>
      </c>
      <c r="BA1992" s="1">
        <v>9</v>
      </c>
      <c r="BB1992" s="1">
        <v>0</v>
      </c>
      <c r="BC1992" s="1">
        <v>0</v>
      </c>
      <c r="BE1992" s="1">
        <v>27388054</v>
      </c>
    </row>
    <row r="1993" spans="1:57" x14ac:dyDescent="0.25">
      <c r="A1993" s="1" t="str">
        <f>T("1946143651613317952")</f>
        <v>1946143651613317952</v>
      </c>
      <c r="B1993" s="1" t="str">
        <f>T("249119599749")</f>
        <v>249119599749</v>
      </c>
      <c r="C1993" s="1" t="str">
        <f>T("1941094503687390368")</f>
        <v>1941094503687390368</v>
      </c>
      <c r="AC1993" s="1" t="s">
        <v>344</v>
      </c>
      <c r="AD1993" s="1" t="s">
        <v>372</v>
      </c>
      <c r="AE1993" s="1" t="s">
        <v>813</v>
      </c>
      <c r="AF1993" s="1" t="s">
        <v>107</v>
      </c>
      <c r="AG1993" s="1">
        <v>52</v>
      </c>
      <c r="AO1993" s="2">
        <v>46279</v>
      </c>
      <c r="AP1993" s="1" t="s">
        <v>821</v>
      </c>
      <c r="AS1993" s="1" t="s">
        <v>71</v>
      </c>
      <c r="AU1993" s="1" t="s">
        <v>72</v>
      </c>
      <c r="AV1993" s="1" t="s">
        <v>412</v>
      </c>
      <c r="AX1993" s="1">
        <v>0</v>
      </c>
      <c r="BA1993" s="1">
        <v>9</v>
      </c>
      <c r="BB1993" s="1">
        <v>0</v>
      </c>
      <c r="BC1993" s="1">
        <v>0</v>
      </c>
      <c r="BE1993" s="1">
        <v>27388054</v>
      </c>
    </row>
    <row r="1994" spans="1:57" x14ac:dyDescent="0.25">
      <c r="A1994" s="1" t="str">
        <f>T("1946143651613318952")</f>
        <v>1946143651613318952</v>
      </c>
      <c r="B1994" s="1" t="str">
        <f>T("249967665763")</f>
        <v>249967665763</v>
      </c>
      <c r="C1994" s="1" t="str">
        <f>T("1941094503687391168")</f>
        <v>1941094503687391168</v>
      </c>
      <c r="AC1994" s="1" t="s">
        <v>344</v>
      </c>
      <c r="AD1994" s="1" t="s">
        <v>372</v>
      </c>
      <c r="AE1994" s="1" t="s">
        <v>815</v>
      </c>
      <c r="AF1994" s="1" t="s">
        <v>107</v>
      </c>
      <c r="AG1994" s="1">
        <v>75</v>
      </c>
      <c r="AO1994" s="2">
        <v>46279</v>
      </c>
      <c r="AP1994" s="1" t="s">
        <v>821</v>
      </c>
      <c r="AS1994" s="1" t="s">
        <v>71</v>
      </c>
      <c r="AU1994" s="1" t="s">
        <v>72</v>
      </c>
      <c r="AV1994" s="1" t="s">
        <v>437</v>
      </c>
      <c r="AX1994" s="1">
        <v>0</v>
      </c>
      <c r="BA1994" s="1">
        <v>9</v>
      </c>
      <c r="BB1994" s="1">
        <v>0</v>
      </c>
      <c r="BC1994" s="1">
        <v>0</v>
      </c>
      <c r="BE1994" s="1">
        <v>27388054</v>
      </c>
    </row>
    <row r="1995" spans="1:57" x14ac:dyDescent="0.25">
      <c r="A1995" s="1" t="str">
        <f>T("1946143651638481100")</f>
        <v>1946143651638481100</v>
      </c>
      <c r="B1995" s="1" t="str">
        <f>T("249974255408")</f>
        <v>249974255408</v>
      </c>
      <c r="C1995" s="1" t="str">
        <f>T("1941094503687391768")</f>
        <v>1941094503687391768</v>
      </c>
      <c r="AC1995" s="1" t="s">
        <v>344</v>
      </c>
      <c r="AD1995" s="1" t="s">
        <v>357</v>
      </c>
      <c r="AE1995" s="1" t="s">
        <v>812</v>
      </c>
      <c r="AF1995" s="1" t="s">
        <v>107</v>
      </c>
      <c r="AG1995" s="1">
        <v>42</v>
      </c>
      <c r="AO1995" s="2">
        <v>46279</v>
      </c>
      <c r="AP1995" s="1" t="s">
        <v>821</v>
      </c>
      <c r="AS1995" s="1" t="s">
        <v>71</v>
      </c>
      <c r="AU1995" s="1" t="s">
        <v>72</v>
      </c>
      <c r="AV1995" s="1" t="s">
        <v>73</v>
      </c>
      <c r="AX1995" s="1">
        <v>0</v>
      </c>
      <c r="BA1995" s="1">
        <v>9</v>
      </c>
      <c r="BB1995" s="1">
        <v>0</v>
      </c>
      <c r="BC1995" s="1">
        <v>0</v>
      </c>
      <c r="BE1995" s="1">
        <v>27388054</v>
      </c>
    </row>
    <row r="1996" spans="1:57" x14ac:dyDescent="0.25">
      <c r="A1996" s="1" t="str">
        <f>T("1946143651646873416")</f>
        <v>1946143651646873416</v>
      </c>
      <c r="B1996" s="1" t="str">
        <f>T("249910463202")</f>
        <v>249910463202</v>
      </c>
      <c r="C1996" s="1" t="str">
        <f>T("1941094503687392268")</f>
        <v>1941094503687392268</v>
      </c>
      <c r="AC1996" s="1" t="s">
        <v>344</v>
      </c>
      <c r="AD1996" s="1" t="s">
        <v>372</v>
      </c>
      <c r="AE1996" s="1" t="s">
        <v>815</v>
      </c>
      <c r="AF1996" s="1" t="s">
        <v>144</v>
      </c>
      <c r="AG1996" s="1">
        <v>26</v>
      </c>
      <c r="AO1996" s="2">
        <v>46279</v>
      </c>
      <c r="AP1996" s="1" t="s">
        <v>821</v>
      </c>
      <c r="AS1996" s="1" t="s">
        <v>71</v>
      </c>
      <c r="AU1996" s="1" t="s">
        <v>72</v>
      </c>
      <c r="AV1996" s="1" t="s">
        <v>437</v>
      </c>
      <c r="AX1996" s="1">
        <v>0</v>
      </c>
      <c r="BA1996" s="1">
        <v>9</v>
      </c>
      <c r="BB1996" s="1">
        <v>0</v>
      </c>
      <c r="BC1996" s="1">
        <v>0</v>
      </c>
      <c r="BE1996" s="1">
        <v>27388054</v>
      </c>
    </row>
    <row r="1997" spans="1:57" x14ac:dyDescent="0.25">
      <c r="A1997" s="1" t="str">
        <f>T("1946143651663649248")</f>
        <v>1946143651663649248</v>
      </c>
      <c r="B1997" s="1" t="str">
        <f>T("249908867598")</f>
        <v>249908867598</v>
      </c>
      <c r="C1997" s="1" t="str">
        <f>T("1941094503687392868")</f>
        <v>1941094503687392868</v>
      </c>
      <c r="AC1997" s="1" t="s">
        <v>344</v>
      </c>
      <c r="AD1997" s="1" t="s">
        <v>441</v>
      </c>
      <c r="AE1997" s="1" t="s">
        <v>530</v>
      </c>
      <c r="AF1997" s="1" t="s">
        <v>107</v>
      </c>
      <c r="AG1997" s="1">
        <v>28</v>
      </c>
      <c r="AO1997" s="2">
        <v>46279</v>
      </c>
      <c r="AP1997" s="1" t="s">
        <v>821</v>
      </c>
      <c r="AS1997" s="1" t="s">
        <v>71</v>
      </c>
      <c r="AU1997" s="1" t="s">
        <v>72</v>
      </c>
      <c r="AV1997" s="1" t="s">
        <v>73</v>
      </c>
      <c r="AX1997" s="1">
        <v>0</v>
      </c>
      <c r="BA1997" s="1">
        <v>9</v>
      </c>
      <c r="BB1997" s="1">
        <v>0</v>
      </c>
      <c r="BC1997" s="1">
        <v>0</v>
      </c>
      <c r="BE1997" s="1">
        <v>27388054</v>
      </c>
    </row>
    <row r="1998" spans="1:57" x14ac:dyDescent="0.25">
      <c r="A1998" s="1" t="str">
        <f>T("1946143651667841256")</f>
        <v>1946143651667841256</v>
      </c>
      <c r="B1998" s="1" t="str">
        <f>T("249962393063")</f>
        <v>249962393063</v>
      </c>
      <c r="C1998" s="1" t="str">
        <f>T("1941094503699974992")</f>
        <v>1941094503699974992</v>
      </c>
      <c r="AC1998" s="1" t="s">
        <v>344</v>
      </c>
      <c r="AD1998" s="1" t="s">
        <v>430</v>
      </c>
      <c r="AE1998" s="1" t="s">
        <v>530</v>
      </c>
      <c r="AF1998" s="1" t="s">
        <v>107</v>
      </c>
      <c r="AG1998" s="1">
        <v>40</v>
      </c>
      <c r="AO1998" s="2">
        <v>46279</v>
      </c>
      <c r="AP1998" s="1" t="s">
        <v>821</v>
      </c>
      <c r="AS1998" s="1" t="s">
        <v>71</v>
      </c>
      <c r="AU1998" s="1" t="s">
        <v>72</v>
      </c>
      <c r="AV1998" s="1" t="s">
        <v>126</v>
      </c>
      <c r="AX1998" s="1">
        <v>0</v>
      </c>
      <c r="BA1998" s="1">
        <v>9</v>
      </c>
      <c r="BB1998" s="1">
        <v>0</v>
      </c>
      <c r="BC1998" s="1">
        <v>0</v>
      </c>
      <c r="BE1998" s="1">
        <v>27388054</v>
      </c>
    </row>
    <row r="1999" spans="1:57" x14ac:dyDescent="0.25">
      <c r="A1999" s="1" t="str">
        <f>T("1946143651709787436")</f>
        <v>1946143651709787436</v>
      </c>
      <c r="B1999" s="1" t="str">
        <f>T("249902662099")</f>
        <v>249902662099</v>
      </c>
      <c r="C1999" s="1" t="str">
        <f>T("1941094503699975792")</f>
        <v>1941094503699975792</v>
      </c>
      <c r="AC1999" s="1" t="s">
        <v>344</v>
      </c>
      <c r="AD1999" s="1" t="s">
        <v>441</v>
      </c>
      <c r="AE1999" s="1" t="s">
        <v>530</v>
      </c>
      <c r="AF1999" s="1" t="s">
        <v>107</v>
      </c>
      <c r="AG1999" s="1">
        <v>32</v>
      </c>
      <c r="AO1999" s="2">
        <v>46279</v>
      </c>
      <c r="AP1999" s="1" t="s">
        <v>821</v>
      </c>
      <c r="AS1999" s="1" t="s">
        <v>71</v>
      </c>
      <c r="AU1999" s="1" t="s">
        <v>72</v>
      </c>
      <c r="AV1999" s="1" t="s">
        <v>73</v>
      </c>
      <c r="AX1999" s="1">
        <v>0</v>
      </c>
      <c r="BA1999" s="1">
        <v>9</v>
      </c>
      <c r="BB1999" s="1">
        <v>0</v>
      </c>
      <c r="BC1999" s="1">
        <v>0</v>
      </c>
      <c r="BE1999" s="1">
        <v>27388054</v>
      </c>
    </row>
    <row r="2000" spans="1:57" x14ac:dyDescent="0.25">
      <c r="A2000" s="1" t="str">
        <f>T("1946143651709787536")</f>
        <v>1946143651709787536</v>
      </c>
      <c r="B2000" s="1" t="str">
        <f>T("249904780396")</f>
        <v>249904780396</v>
      </c>
      <c r="C2000" s="1" t="str">
        <f>T("1941094503704166800")</f>
        <v>1941094503704166800</v>
      </c>
      <c r="AC2000" s="1" t="s">
        <v>344</v>
      </c>
      <c r="AD2000" s="1" t="s">
        <v>441</v>
      </c>
      <c r="AE2000" s="1" t="s">
        <v>530</v>
      </c>
      <c r="AF2000" s="1" t="s">
        <v>144</v>
      </c>
      <c r="AG2000" s="1">
        <v>48</v>
      </c>
      <c r="AO2000" s="2">
        <v>46279</v>
      </c>
      <c r="AP2000" s="1" t="s">
        <v>821</v>
      </c>
      <c r="AS2000" s="1" t="s">
        <v>71</v>
      </c>
      <c r="AU2000" s="1" t="s">
        <v>72</v>
      </c>
      <c r="AV2000" s="1" t="s">
        <v>73</v>
      </c>
      <c r="AX2000" s="1">
        <v>0</v>
      </c>
      <c r="BA2000" s="1">
        <v>9</v>
      </c>
      <c r="BB2000" s="1">
        <v>0</v>
      </c>
      <c r="BC2000" s="1">
        <v>0</v>
      </c>
      <c r="BE2000" s="1">
        <v>27388054</v>
      </c>
    </row>
    <row r="2001" spans="1:57" x14ac:dyDescent="0.25">
      <c r="A2001" s="1" t="str">
        <f>T("1946143651730758776")</f>
        <v>1946143651730758776</v>
      </c>
      <c r="B2001" s="1" t="str">
        <f>T("249910581059")</f>
        <v>249910581059</v>
      </c>
      <c r="C2001" s="1" t="str">
        <f>T("1941094503704167800")</f>
        <v>1941094503704167800</v>
      </c>
      <c r="AC2001" s="1" t="s">
        <v>344</v>
      </c>
      <c r="AD2001" s="1" t="s">
        <v>372</v>
      </c>
      <c r="AE2001" s="1" t="s">
        <v>815</v>
      </c>
      <c r="AF2001" s="1" t="s">
        <v>107</v>
      </c>
      <c r="AG2001" s="1">
        <v>48</v>
      </c>
      <c r="AO2001" s="2">
        <v>46279</v>
      </c>
      <c r="AP2001" s="1" t="s">
        <v>821</v>
      </c>
      <c r="AS2001" s="1" t="s">
        <v>71</v>
      </c>
      <c r="AU2001" s="1" t="s">
        <v>72</v>
      </c>
      <c r="AV2001" s="1" t="s">
        <v>73</v>
      </c>
      <c r="AX2001" s="1">
        <v>0</v>
      </c>
      <c r="BA2001" s="1">
        <v>9</v>
      </c>
      <c r="BB2001" s="1">
        <v>0</v>
      </c>
      <c r="BC2001" s="1">
        <v>0</v>
      </c>
      <c r="BE2001" s="1">
        <v>27388054</v>
      </c>
    </row>
    <row r="2002" spans="1:57" x14ac:dyDescent="0.25">
      <c r="A2002" s="1" t="str">
        <f>T("1946143651730759176")</f>
        <v>1946143651730759176</v>
      </c>
      <c r="B2002" s="1" t="str">
        <f>T("249910427325")</f>
        <v>249910427325</v>
      </c>
      <c r="C2002" s="1" t="str">
        <f>T("1941094503704167300")</f>
        <v>1941094503704167300</v>
      </c>
      <c r="AC2002" s="1" t="s">
        <v>344</v>
      </c>
      <c r="AD2002" s="1" t="s">
        <v>372</v>
      </c>
      <c r="AE2002" s="1" t="s">
        <v>818</v>
      </c>
      <c r="AF2002" s="1" t="s">
        <v>107</v>
      </c>
      <c r="AG2002" s="1">
        <v>50</v>
      </c>
      <c r="AO2002" s="2">
        <v>46279</v>
      </c>
      <c r="AP2002" s="1" t="s">
        <v>821</v>
      </c>
      <c r="AS2002" s="1" t="s">
        <v>71</v>
      </c>
      <c r="AU2002" s="1" t="s">
        <v>72</v>
      </c>
      <c r="AV2002" s="1" t="s">
        <v>73</v>
      </c>
      <c r="AX2002" s="1">
        <v>0</v>
      </c>
      <c r="BA2002" s="1">
        <v>9</v>
      </c>
      <c r="BB2002" s="1">
        <v>0</v>
      </c>
      <c r="BC2002" s="1">
        <v>0</v>
      </c>
      <c r="BE2002" s="1">
        <v>27388054</v>
      </c>
    </row>
    <row r="2003" spans="1:57" x14ac:dyDescent="0.25">
      <c r="A2003" s="1" t="str">
        <f>T("1946143651764313140")</f>
        <v>1946143651764313140</v>
      </c>
      <c r="B2003" s="1" t="str">
        <f>T("249911394841")</f>
        <v>249911394841</v>
      </c>
      <c r="C2003" s="1" t="str">
        <f>T("1941094503704168400")</f>
        <v>1941094503704168400</v>
      </c>
      <c r="AC2003" s="1" t="s">
        <v>344</v>
      </c>
      <c r="AD2003" s="1" t="s">
        <v>430</v>
      </c>
      <c r="AE2003" s="1" t="s">
        <v>530</v>
      </c>
      <c r="AF2003" s="1" t="s">
        <v>107</v>
      </c>
      <c r="AG2003" s="1">
        <v>52</v>
      </c>
      <c r="AO2003" s="2">
        <v>46279</v>
      </c>
      <c r="AP2003" s="1" t="s">
        <v>821</v>
      </c>
      <c r="AS2003" s="1" t="s">
        <v>71</v>
      </c>
      <c r="AU2003" s="1" t="s">
        <v>72</v>
      </c>
      <c r="AV2003" s="1" t="s">
        <v>73</v>
      </c>
      <c r="AX2003" s="1">
        <v>0</v>
      </c>
      <c r="BA2003" s="1">
        <v>9</v>
      </c>
      <c r="BB2003" s="1">
        <v>0</v>
      </c>
      <c r="BC2003" s="1">
        <v>0</v>
      </c>
      <c r="BE2003" s="1">
        <v>27388054</v>
      </c>
    </row>
    <row r="2004" spans="1:57" x14ac:dyDescent="0.25">
      <c r="A2004" s="1" t="str">
        <f>T("1946143651768506748")</f>
        <v>1946143651768506748</v>
      </c>
      <c r="B2004" s="1" t="str">
        <f>T("249905485529")</f>
        <v>249905485529</v>
      </c>
      <c r="C2004" s="1" t="str">
        <f>T("1941094503704169700")</f>
        <v>1941094503704169700</v>
      </c>
      <c r="AC2004" s="1" t="s">
        <v>344</v>
      </c>
      <c r="AD2004" s="1" t="s">
        <v>430</v>
      </c>
      <c r="AE2004" s="1" t="s">
        <v>530</v>
      </c>
      <c r="AF2004" s="1" t="s">
        <v>107</v>
      </c>
      <c r="AG2004" s="1">
        <v>20</v>
      </c>
      <c r="AO2004" s="2">
        <v>46279</v>
      </c>
      <c r="AP2004" s="1" t="s">
        <v>821</v>
      </c>
      <c r="AS2004" s="1" t="s">
        <v>71</v>
      </c>
      <c r="AU2004" s="1" t="s">
        <v>72</v>
      </c>
      <c r="AV2004" s="1" t="s">
        <v>73</v>
      </c>
      <c r="AX2004" s="1">
        <v>0</v>
      </c>
      <c r="BA2004" s="1">
        <v>9</v>
      </c>
      <c r="BB2004" s="1">
        <v>0</v>
      </c>
      <c r="BC2004" s="1">
        <v>0</v>
      </c>
      <c r="BE2004" s="1">
        <v>27388054</v>
      </c>
    </row>
    <row r="2005" spans="1:57" x14ac:dyDescent="0.25">
      <c r="A2005" s="1" t="str">
        <f>T("1946143651785284780")</f>
        <v>1946143651785284780</v>
      </c>
      <c r="B2005" s="1" t="str">
        <f>T("249916786731")</f>
        <v>249916786731</v>
      </c>
      <c r="C2005" s="1" t="str">
        <f>T("1941094503704170300")</f>
        <v>1941094503704170300</v>
      </c>
      <c r="AC2005" s="1" t="s">
        <v>344</v>
      </c>
      <c r="AD2005" s="1" t="s">
        <v>372</v>
      </c>
      <c r="AE2005" s="1" t="s">
        <v>813</v>
      </c>
      <c r="AF2005" s="1" t="s">
        <v>107</v>
      </c>
      <c r="AG2005" s="1">
        <v>27</v>
      </c>
      <c r="AO2005" s="2">
        <v>46279</v>
      </c>
      <c r="AP2005" s="1" t="s">
        <v>821</v>
      </c>
      <c r="AS2005" s="1" t="s">
        <v>71</v>
      </c>
      <c r="AU2005" s="1" t="s">
        <v>72</v>
      </c>
      <c r="AV2005" s="1" t="s">
        <v>126</v>
      </c>
      <c r="AX2005" s="1">
        <v>0</v>
      </c>
      <c r="BA2005" s="1">
        <v>9</v>
      </c>
      <c r="BB2005" s="1">
        <v>0</v>
      </c>
      <c r="BC2005" s="1">
        <v>0</v>
      </c>
      <c r="BE2005" s="1">
        <v>27388054</v>
      </c>
    </row>
    <row r="2006" spans="1:57" x14ac:dyDescent="0.25">
      <c r="A2006" s="1" t="str">
        <f>T("1946143651793672096")</f>
        <v>1946143651793672096</v>
      </c>
      <c r="B2006" s="1" t="str">
        <f>T("249910133572")</f>
        <v>249910133572</v>
      </c>
      <c r="C2006" s="1" t="str">
        <f>T("1941094503708361008")</f>
        <v>1941094503708361008</v>
      </c>
      <c r="AC2006" s="1" t="s">
        <v>344</v>
      </c>
      <c r="AD2006" s="1" t="s">
        <v>357</v>
      </c>
      <c r="AE2006" s="1" t="s">
        <v>817</v>
      </c>
      <c r="AF2006" s="1" t="s">
        <v>107</v>
      </c>
      <c r="AG2006" s="1">
        <v>52</v>
      </c>
      <c r="AO2006" s="2">
        <v>46279</v>
      </c>
      <c r="AP2006" s="1" t="s">
        <v>821</v>
      </c>
      <c r="AS2006" s="1" t="s">
        <v>71</v>
      </c>
      <c r="AU2006" s="1" t="s">
        <v>72</v>
      </c>
      <c r="AV2006" s="1" t="s">
        <v>73</v>
      </c>
      <c r="AX2006" s="1">
        <v>0</v>
      </c>
      <c r="BA2006" s="1">
        <v>9</v>
      </c>
      <c r="BB2006" s="1">
        <v>0</v>
      </c>
      <c r="BC2006" s="1">
        <v>0</v>
      </c>
      <c r="BE2006" s="1">
        <v>27388054</v>
      </c>
    </row>
    <row r="2007" spans="1:57" x14ac:dyDescent="0.25">
      <c r="A2007" s="1" t="str">
        <f>T("1946143651823033752")</f>
        <v>1946143651823033752</v>
      </c>
      <c r="B2007" s="1" t="str">
        <f>T("249910272850")</f>
        <v>249910272850</v>
      </c>
      <c r="C2007" s="1" t="str">
        <f>T("1941094503708362008")</f>
        <v>1941094503708362008</v>
      </c>
      <c r="AC2007" s="1" t="s">
        <v>344</v>
      </c>
      <c r="AD2007" s="1" t="s">
        <v>441</v>
      </c>
      <c r="AE2007" s="1" t="s">
        <v>530</v>
      </c>
      <c r="AF2007" s="1" t="s">
        <v>107</v>
      </c>
      <c r="AG2007" s="1">
        <v>50</v>
      </c>
      <c r="AO2007" s="2">
        <v>46279</v>
      </c>
      <c r="AP2007" s="1" t="s">
        <v>821</v>
      </c>
      <c r="AS2007" s="1" t="s">
        <v>71</v>
      </c>
      <c r="AU2007" s="1" t="s">
        <v>72</v>
      </c>
      <c r="AV2007" s="1" t="s">
        <v>437</v>
      </c>
      <c r="AX2007" s="1">
        <v>0</v>
      </c>
      <c r="BA2007" s="1">
        <v>9</v>
      </c>
      <c r="BB2007" s="1">
        <v>0</v>
      </c>
      <c r="BC2007" s="1">
        <v>0</v>
      </c>
      <c r="BE2007" s="1">
        <v>27388054</v>
      </c>
    </row>
    <row r="2008" spans="1:57" x14ac:dyDescent="0.25">
      <c r="A2008" s="1" t="str">
        <f>T("1946143651831421068")</f>
        <v>1946143651831421068</v>
      </c>
      <c r="B2008" s="1" t="str">
        <f>T("249966813108")</f>
        <v>249966813108</v>
      </c>
      <c r="C2008" s="1" t="str">
        <f>T("1941094503708362808")</f>
        <v>1941094503708362808</v>
      </c>
      <c r="AC2008" s="1" t="s">
        <v>344</v>
      </c>
      <c r="AD2008" s="1" t="s">
        <v>441</v>
      </c>
      <c r="AE2008" s="1" t="s">
        <v>530</v>
      </c>
      <c r="AF2008" s="1" t="s">
        <v>107</v>
      </c>
      <c r="AG2008" s="1">
        <v>40</v>
      </c>
      <c r="AO2008" s="2">
        <v>46279</v>
      </c>
      <c r="AP2008" s="1" t="s">
        <v>821</v>
      </c>
      <c r="AS2008" s="1" t="s">
        <v>71</v>
      </c>
      <c r="AU2008" s="1" t="s">
        <v>72</v>
      </c>
      <c r="AV2008" s="1" t="s">
        <v>73</v>
      </c>
      <c r="AX2008" s="1">
        <v>0</v>
      </c>
      <c r="BA2008" s="1">
        <v>9</v>
      </c>
      <c r="BB2008" s="1">
        <v>0</v>
      </c>
      <c r="BC2008" s="1">
        <v>0</v>
      </c>
      <c r="BE2008" s="1">
        <v>27388054</v>
      </c>
    </row>
    <row r="2009" spans="1:57" x14ac:dyDescent="0.25">
      <c r="A2009" s="1" t="str">
        <f>T("1946143651856585816")</f>
        <v>1946143651856585816</v>
      </c>
      <c r="B2009" s="1" t="str">
        <f>T("249920945886")</f>
        <v>249920945886</v>
      </c>
      <c r="C2009" s="1" t="str">
        <f>T("1941094503708363508")</f>
        <v>1941094503708363508</v>
      </c>
      <c r="AC2009" s="1" t="s">
        <v>344</v>
      </c>
      <c r="AD2009" s="1" t="s">
        <v>372</v>
      </c>
      <c r="AE2009" s="1" t="s">
        <v>820</v>
      </c>
      <c r="AF2009" s="1" t="s">
        <v>107</v>
      </c>
      <c r="AG2009" s="1">
        <v>45</v>
      </c>
      <c r="AO2009" s="2">
        <v>46279</v>
      </c>
      <c r="AP2009" s="1" t="s">
        <v>821</v>
      </c>
      <c r="AS2009" s="1" t="s">
        <v>71</v>
      </c>
      <c r="AU2009" s="1" t="s">
        <v>72</v>
      </c>
      <c r="AV2009" s="1" t="s">
        <v>73</v>
      </c>
      <c r="AX2009" s="1">
        <v>0</v>
      </c>
      <c r="BA2009" s="1">
        <v>9</v>
      </c>
      <c r="BB2009" s="1">
        <v>0</v>
      </c>
      <c r="BC2009" s="1">
        <v>0</v>
      </c>
      <c r="BE2009" s="1">
        <v>27388054</v>
      </c>
    </row>
    <row r="2010" spans="1:57" x14ac:dyDescent="0.25">
      <c r="A2010" s="1" t="str">
        <f>T("1946143651864973732")</f>
        <v>1946143651864973732</v>
      </c>
      <c r="B2010" s="1" t="str">
        <f>T("249919115961")</f>
        <v>249919115961</v>
      </c>
      <c r="C2010" s="1" t="str">
        <f>T("1941094503708364008")</f>
        <v>1941094503708364008</v>
      </c>
      <c r="AC2010" s="1" t="s">
        <v>344</v>
      </c>
      <c r="AD2010" s="1" t="s">
        <v>372</v>
      </c>
      <c r="AE2010" s="1" t="s">
        <v>818</v>
      </c>
      <c r="AF2010" s="1" t="s">
        <v>144</v>
      </c>
      <c r="AG2010" s="1">
        <v>59</v>
      </c>
      <c r="AO2010" s="2">
        <v>46279</v>
      </c>
      <c r="AP2010" s="1" t="s">
        <v>821</v>
      </c>
      <c r="AS2010" s="1" t="s">
        <v>71</v>
      </c>
      <c r="AU2010" s="1" t="s">
        <v>72</v>
      </c>
      <c r="AV2010" s="1" t="s">
        <v>437</v>
      </c>
      <c r="AX2010" s="1">
        <v>0</v>
      </c>
      <c r="BA2010" s="1">
        <v>9</v>
      </c>
      <c r="BB2010" s="1">
        <v>0</v>
      </c>
      <c r="BC2010" s="1">
        <v>0</v>
      </c>
      <c r="BE2010" s="1">
        <v>27388054</v>
      </c>
    </row>
    <row r="2011" spans="1:57" x14ac:dyDescent="0.25">
      <c r="A2011" s="1" t="str">
        <f>T("1946143651890140180")</f>
        <v>1946143651890140180</v>
      </c>
      <c r="B2011" s="1" t="str">
        <f>T("249960910628")</f>
        <v>249960910628</v>
      </c>
      <c r="C2011" s="1" t="str">
        <f>T("1941094503712557716")</f>
        <v>1941094503712557716</v>
      </c>
      <c r="AC2011" s="1" t="s">
        <v>344</v>
      </c>
      <c r="AD2011" s="1" t="s">
        <v>372</v>
      </c>
      <c r="AE2011" s="1" t="s">
        <v>827</v>
      </c>
      <c r="AF2011" s="1" t="s">
        <v>144</v>
      </c>
      <c r="AG2011" s="1">
        <v>70</v>
      </c>
      <c r="AO2011" s="2">
        <v>46279</v>
      </c>
      <c r="AP2011" s="1" t="s">
        <v>821</v>
      </c>
      <c r="AS2011" s="1" t="s">
        <v>71</v>
      </c>
      <c r="AU2011" s="1" t="s">
        <v>72</v>
      </c>
      <c r="AV2011" s="1" t="s">
        <v>126</v>
      </c>
      <c r="AX2011" s="1">
        <v>0</v>
      </c>
      <c r="BA2011" s="1">
        <v>9</v>
      </c>
      <c r="BB2011" s="1">
        <v>0</v>
      </c>
      <c r="BC2011" s="1">
        <v>0</v>
      </c>
      <c r="BE2011" s="1">
        <v>27388054</v>
      </c>
    </row>
    <row r="2012" spans="1:57" x14ac:dyDescent="0.25">
      <c r="A2012" s="1" t="str">
        <f>T("1946143651894333488")</f>
        <v>1946143651894333488</v>
      </c>
      <c r="B2012" s="1" t="str">
        <f>T("249127559270")</f>
        <v>249127559270</v>
      </c>
      <c r="C2012" s="1" t="str">
        <f>T("1941094503712555616")</f>
        <v>1941094503712555616</v>
      </c>
      <c r="AA2012" s="1">
        <v>1</v>
      </c>
      <c r="AC2012" s="1" t="s">
        <v>344</v>
      </c>
      <c r="AD2012" s="1" t="s">
        <v>372</v>
      </c>
      <c r="AE2012" s="1" t="s">
        <v>820</v>
      </c>
      <c r="AF2012" s="1" t="s">
        <v>107</v>
      </c>
      <c r="AG2012" s="1">
        <v>60</v>
      </c>
      <c r="AO2012" s="2">
        <v>46279</v>
      </c>
      <c r="AP2012" s="1" t="s">
        <v>821</v>
      </c>
      <c r="AQ2012" s="2">
        <v>46279</v>
      </c>
      <c r="AR2012" s="1" t="s">
        <v>828</v>
      </c>
      <c r="AS2012" s="1" t="s">
        <v>71</v>
      </c>
      <c r="AU2012" s="1" t="s">
        <v>79</v>
      </c>
      <c r="AV2012" s="1" t="s">
        <v>80</v>
      </c>
      <c r="AW2012" s="1">
        <v>92.06</v>
      </c>
      <c r="AX2012" s="1">
        <v>0</v>
      </c>
      <c r="AZ2012" s="1" t="s">
        <v>81</v>
      </c>
      <c r="BA2012" s="1">
        <v>2</v>
      </c>
      <c r="BB2012" s="1">
        <v>0</v>
      </c>
      <c r="BC2012" s="1">
        <v>0</v>
      </c>
      <c r="BE2012" s="1">
        <v>27388054</v>
      </c>
    </row>
    <row r="2013" spans="1:57" x14ac:dyDescent="0.25">
      <c r="A2013" s="1" t="str">
        <f>T("1946143651915307228")</f>
        <v>1946143651915307228</v>
      </c>
      <c r="B2013" s="1" t="str">
        <f>T("249911736419")</f>
        <v>249911736419</v>
      </c>
      <c r="C2013" s="1" t="str">
        <f>T("1941094503716750524")</f>
        <v>1941094503716750524</v>
      </c>
      <c r="AC2013" s="1" t="s">
        <v>344</v>
      </c>
      <c r="AD2013" s="1" t="s">
        <v>441</v>
      </c>
      <c r="AE2013" s="1" t="s">
        <v>530</v>
      </c>
      <c r="AF2013" s="1" t="s">
        <v>107</v>
      </c>
      <c r="AG2013" s="1">
        <v>45</v>
      </c>
      <c r="AO2013" s="2">
        <v>46279</v>
      </c>
      <c r="AP2013" s="1" t="s">
        <v>821</v>
      </c>
      <c r="AS2013" s="1" t="s">
        <v>71</v>
      </c>
      <c r="AU2013" s="1" t="s">
        <v>72</v>
      </c>
      <c r="AV2013" s="1" t="s">
        <v>126</v>
      </c>
      <c r="AX2013" s="1">
        <v>0</v>
      </c>
      <c r="BA2013" s="1">
        <v>9</v>
      </c>
      <c r="BB2013" s="1">
        <v>0</v>
      </c>
      <c r="BC2013" s="1">
        <v>0</v>
      </c>
      <c r="BE2013" s="1">
        <v>27388054</v>
      </c>
    </row>
    <row r="2014" spans="1:57" x14ac:dyDescent="0.25">
      <c r="A2014" s="1" t="str">
        <f>T("1946143651919501336")</f>
        <v>1946143651919501336</v>
      </c>
      <c r="B2014" s="1" t="str">
        <f>T("249903379436")</f>
        <v>249903379436</v>
      </c>
      <c r="C2014" s="1" t="str">
        <f>T("1941094503716751424")</f>
        <v>1941094503716751424</v>
      </c>
      <c r="AC2014" s="1" t="s">
        <v>344</v>
      </c>
      <c r="AD2014" s="1" t="s">
        <v>430</v>
      </c>
      <c r="AE2014" s="1" t="s">
        <v>530</v>
      </c>
      <c r="AF2014" s="1" t="s">
        <v>144</v>
      </c>
      <c r="AG2014" s="1">
        <v>24</v>
      </c>
      <c r="AO2014" s="2">
        <v>46279</v>
      </c>
      <c r="AP2014" s="1" t="s">
        <v>821</v>
      </c>
      <c r="AS2014" s="1" t="s">
        <v>71</v>
      </c>
      <c r="AU2014" s="1" t="s">
        <v>72</v>
      </c>
      <c r="AV2014" s="1" t="s">
        <v>73</v>
      </c>
      <c r="AX2014" s="1">
        <v>0</v>
      </c>
      <c r="BA2014" s="1">
        <v>9</v>
      </c>
      <c r="BB2014" s="1">
        <v>0</v>
      </c>
      <c r="BC2014" s="1">
        <v>0</v>
      </c>
      <c r="BE2014" s="1">
        <v>27388054</v>
      </c>
    </row>
    <row r="2015" spans="1:57" x14ac:dyDescent="0.25">
      <c r="A2015" s="1" t="str">
        <f>T("1946143651948862792")</f>
        <v>1946143651948862792</v>
      </c>
      <c r="B2015" s="1" t="str">
        <f>T("249962912604")</f>
        <v>249962912604</v>
      </c>
      <c r="C2015" s="1" t="str">
        <f>T("1941094503716751924")</f>
        <v>1941094503716751924</v>
      </c>
      <c r="AC2015" s="1" t="s">
        <v>344</v>
      </c>
      <c r="AD2015" s="1" t="s">
        <v>372</v>
      </c>
      <c r="AE2015" s="1" t="s">
        <v>815</v>
      </c>
      <c r="AF2015" s="1" t="s">
        <v>107</v>
      </c>
      <c r="AG2015" s="1">
        <v>60</v>
      </c>
      <c r="AO2015" s="2">
        <v>46279</v>
      </c>
      <c r="AP2015" s="1" t="s">
        <v>821</v>
      </c>
      <c r="AS2015" s="1" t="s">
        <v>71</v>
      </c>
      <c r="AU2015" s="1" t="s">
        <v>72</v>
      </c>
      <c r="AV2015" s="1" t="s">
        <v>126</v>
      </c>
      <c r="AX2015" s="1">
        <v>0</v>
      </c>
      <c r="BA2015" s="1">
        <v>9</v>
      </c>
      <c r="BB2015" s="1">
        <v>0</v>
      </c>
      <c r="BC2015" s="1">
        <v>0</v>
      </c>
      <c r="BE2015" s="1">
        <v>27388054</v>
      </c>
    </row>
    <row r="2016" spans="1:57" x14ac:dyDescent="0.25">
      <c r="A2016" s="1" t="str">
        <f>T("1946143651957251308")</f>
        <v>1946143651957251308</v>
      </c>
      <c r="B2016" s="1" t="str">
        <f>T("249917972025")</f>
        <v>249917972025</v>
      </c>
      <c r="C2016" s="1" t="str">
        <f>T("1941094503716752424")</f>
        <v>1941094503716752424</v>
      </c>
      <c r="AC2016" s="1" t="s">
        <v>344</v>
      </c>
      <c r="AD2016" s="1" t="s">
        <v>357</v>
      </c>
      <c r="AE2016" s="1" t="s">
        <v>817</v>
      </c>
      <c r="AF2016" s="1" t="s">
        <v>107</v>
      </c>
      <c r="AG2016" s="1">
        <v>63</v>
      </c>
      <c r="AO2016" s="2">
        <v>46279</v>
      </c>
      <c r="AP2016" s="1" t="s">
        <v>821</v>
      </c>
      <c r="AS2016" s="1" t="s">
        <v>71</v>
      </c>
      <c r="AU2016" s="1" t="s">
        <v>72</v>
      </c>
      <c r="AV2016" s="1" t="s">
        <v>437</v>
      </c>
      <c r="AX2016" s="1">
        <v>0</v>
      </c>
      <c r="BA2016" s="1">
        <v>9</v>
      </c>
      <c r="BB2016" s="1">
        <v>0</v>
      </c>
      <c r="BC2016" s="1">
        <v>0</v>
      </c>
      <c r="BE2016" s="1">
        <v>27388054</v>
      </c>
    </row>
    <row r="2017" spans="1:57" x14ac:dyDescent="0.25">
      <c r="A2017" s="1" t="str">
        <f>T("1946143651965639224")</f>
        <v>1946143651965639224</v>
      </c>
      <c r="B2017" s="1" t="str">
        <f>T("249910874630")</f>
        <v>249910874630</v>
      </c>
      <c r="C2017" s="1" t="str">
        <f>T("1941094503716753024")</f>
        <v>1941094503716753024</v>
      </c>
      <c r="AC2017" s="1" t="s">
        <v>344</v>
      </c>
      <c r="AD2017" s="1" t="s">
        <v>430</v>
      </c>
      <c r="AE2017" s="1" t="s">
        <v>530</v>
      </c>
      <c r="AF2017" s="1" t="s">
        <v>144</v>
      </c>
      <c r="AG2017" s="1">
        <v>22</v>
      </c>
      <c r="AO2017" s="2">
        <v>46279</v>
      </c>
      <c r="AP2017" s="1" t="s">
        <v>821</v>
      </c>
      <c r="AS2017" s="1" t="s">
        <v>71</v>
      </c>
      <c r="AU2017" s="1" t="s">
        <v>72</v>
      </c>
      <c r="AV2017" s="1" t="s">
        <v>437</v>
      </c>
      <c r="AX2017" s="1">
        <v>0</v>
      </c>
      <c r="BA2017" s="1">
        <v>9</v>
      </c>
      <c r="BB2017" s="1">
        <v>0</v>
      </c>
      <c r="BC2017" s="1">
        <v>0</v>
      </c>
      <c r="BE2017" s="1">
        <v>27388054</v>
      </c>
    </row>
    <row r="2018" spans="1:57" x14ac:dyDescent="0.25">
      <c r="A2018" s="1" t="str">
        <f>T("1946143651978220048")</f>
        <v>1946143651978220048</v>
      </c>
      <c r="B2018" s="1" t="str">
        <f>T("249905651516")</f>
        <v>249905651516</v>
      </c>
      <c r="C2018" s="1" t="str">
        <f>T("1941094503720943832")</f>
        <v>1941094503720943832</v>
      </c>
      <c r="AC2018" s="1" t="s">
        <v>344</v>
      </c>
      <c r="AD2018" s="1" t="s">
        <v>372</v>
      </c>
      <c r="AE2018" s="1" t="s">
        <v>813</v>
      </c>
      <c r="AF2018" s="1" t="s">
        <v>107</v>
      </c>
      <c r="AG2018" s="1">
        <v>65</v>
      </c>
      <c r="AO2018" s="2">
        <v>46279</v>
      </c>
      <c r="AP2018" s="1" t="s">
        <v>821</v>
      </c>
      <c r="AS2018" s="1" t="s">
        <v>71</v>
      </c>
      <c r="AU2018" s="1" t="s">
        <v>72</v>
      </c>
      <c r="AV2018" s="1" t="s">
        <v>437</v>
      </c>
      <c r="AX2018" s="1">
        <v>0</v>
      </c>
      <c r="BA2018" s="1">
        <v>9</v>
      </c>
      <c r="BB2018" s="1">
        <v>0</v>
      </c>
      <c r="BC2018" s="1">
        <v>0</v>
      </c>
      <c r="BE2018" s="1">
        <v>27388054</v>
      </c>
    </row>
    <row r="2019" spans="1:57" x14ac:dyDescent="0.25">
      <c r="A2019" s="1" t="str">
        <f>T("1946143652032746852")</f>
        <v>1946143652032746852</v>
      </c>
      <c r="B2019" s="1" t="str">
        <f>T("249916054119")</f>
        <v>249916054119</v>
      </c>
      <c r="C2019" s="1" t="str">
        <f>T("1941094503720944332")</f>
        <v>1941094503720944332</v>
      </c>
      <c r="AC2019" s="1" t="s">
        <v>344</v>
      </c>
      <c r="AD2019" s="1" t="s">
        <v>430</v>
      </c>
      <c r="AE2019" s="1" t="s">
        <v>530</v>
      </c>
      <c r="AF2019" s="1" t="s">
        <v>107</v>
      </c>
      <c r="AG2019" s="1">
        <v>35</v>
      </c>
      <c r="AO2019" s="2">
        <v>46279</v>
      </c>
      <c r="AP2019" s="1" t="s">
        <v>821</v>
      </c>
      <c r="AS2019" s="1" t="s">
        <v>71</v>
      </c>
      <c r="AU2019" s="1" t="s">
        <v>72</v>
      </c>
      <c r="AV2019" s="1" t="s">
        <v>437</v>
      </c>
      <c r="AX2019" s="1">
        <v>0</v>
      </c>
      <c r="BA2019" s="1">
        <v>9</v>
      </c>
      <c r="BB2019" s="1">
        <v>0</v>
      </c>
      <c r="BC2019" s="1">
        <v>0</v>
      </c>
      <c r="BE2019" s="1">
        <v>27388054</v>
      </c>
    </row>
    <row r="2020" spans="1:57" x14ac:dyDescent="0.25">
      <c r="A2020" s="1" t="str">
        <f>T("1946143652032748252")</f>
        <v>1946143652032748252</v>
      </c>
      <c r="B2020" s="1" t="str">
        <f>T("249122159558")</f>
        <v>249122159558</v>
      </c>
      <c r="C2020" s="1" t="str">
        <f>T("1941094503720944832")</f>
        <v>1941094503720944832</v>
      </c>
      <c r="AC2020" s="1" t="s">
        <v>344</v>
      </c>
      <c r="AD2020" s="1" t="s">
        <v>372</v>
      </c>
      <c r="AE2020" s="1" t="s">
        <v>820</v>
      </c>
      <c r="AF2020" s="1" t="s">
        <v>107</v>
      </c>
      <c r="AG2020" s="1">
        <v>40</v>
      </c>
      <c r="AO2020" s="2">
        <v>46279</v>
      </c>
      <c r="AP2020" s="1" t="s">
        <v>821</v>
      </c>
      <c r="AS2020" s="1" t="s">
        <v>71</v>
      </c>
      <c r="AU2020" s="1" t="s">
        <v>72</v>
      </c>
      <c r="AV2020" s="1" t="s">
        <v>73</v>
      </c>
      <c r="AX2020" s="1">
        <v>0</v>
      </c>
      <c r="BA2020" s="1">
        <v>9</v>
      </c>
      <c r="BB2020" s="1">
        <v>0</v>
      </c>
      <c r="BC2020" s="1">
        <v>0</v>
      </c>
      <c r="BE2020" s="1">
        <v>27388054</v>
      </c>
    </row>
    <row r="2021" spans="1:57" x14ac:dyDescent="0.25">
      <c r="A2021" s="1" t="str">
        <f>T("1946143652041134768")</f>
        <v>1946143652041134768</v>
      </c>
      <c r="B2021" s="1" t="str">
        <f>T("249917490337")</f>
        <v>249917490337</v>
      </c>
      <c r="C2021" s="1" t="str">
        <f>T("1941094503720946032")</f>
        <v>1941094503720946032</v>
      </c>
      <c r="AC2021" s="1" t="s">
        <v>344</v>
      </c>
      <c r="AD2021" s="1" t="s">
        <v>372</v>
      </c>
      <c r="AE2021" s="1" t="s">
        <v>813</v>
      </c>
      <c r="AF2021" s="1" t="s">
        <v>107</v>
      </c>
      <c r="AG2021" s="1">
        <v>26</v>
      </c>
      <c r="AO2021" s="2">
        <v>46279</v>
      </c>
      <c r="AP2021" s="1" t="s">
        <v>821</v>
      </c>
      <c r="AS2021" s="1" t="s">
        <v>71</v>
      </c>
      <c r="AU2021" s="1" t="s">
        <v>72</v>
      </c>
      <c r="AV2021" s="1" t="s">
        <v>73</v>
      </c>
      <c r="AX2021" s="1">
        <v>0</v>
      </c>
      <c r="BA2021" s="1">
        <v>9</v>
      </c>
      <c r="BB2021" s="1">
        <v>0</v>
      </c>
      <c r="BC2021" s="1">
        <v>0</v>
      </c>
      <c r="BE2021" s="1">
        <v>27388054</v>
      </c>
    </row>
    <row r="2022" spans="1:57" x14ac:dyDescent="0.25">
      <c r="A2022" s="1" t="str">
        <f>T("1946143652053719492")</f>
        <v>1946143652053719492</v>
      </c>
      <c r="B2022" s="1" t="str">
        <f>T("249911150607")</f>
        <v>249911150607</v>
      </c>
      <c r="C2022" s="1" t="str">
        <f>T("1941094503720946432")</f>
        <v>1941094503720946432</v>
      </c>
      <c r="AC2022" s="1" t="s">
        <v>344</v>
      </c>
      <c r="AD2022" s="1" t="s">
        <v>372</v>
      </c>
      <c r="AE2022" s="1" t="s">
        <v>818</v>
      </c>
      <c r="AF2022" s="1" t="s">
        <v>107</v>
      </c>
      <c r="AG2022" s="1">
        <v>61</v>
      </c>
      <c r="AO2022" s="2">
        <v>46279</v>
      </c>
      <c r="AP2022" s="1" t="s">
        <v>821</v>
      </c>
      <c r="AS2022" s="1" t="s">
        <v>71</v>
      </c>
      <c r="AU2022" s="1" t="s">
        <v>72</v>
      </c>
      <c r="AV2022" s="1" t="s">
        <v>437</v>
      </c>
      <c r="AX2022" s="1">
        <v>0</v>
      </c>
      <c r="BA2022" s="1">
        <v>9</v>
      </c>
      <c r="BB2022" s="1">
        <v>0</v>
      </c>
      <c r="BC2022" s="1">
        <v>0</v>
      </c>
      <c r="BE2022" s="1">
        <v>27388054</v>
      </c>
    </row>
    <row r="2023" spans="1:57" x14ac:dyDescent="0.25">
      <c r="A2023" s="1" t="str">
        <f>T("1946143652104051288")</f>
        <v>1946143652104051288</v>
      </c>
      <c r="B2023" s="1" t="str">
        <f>T("249964398057")</f>
        <v>249964398057</v>
      </c>
      <c r="C2023" s="1" t="str">
        <f>T("1941094503725140240")</f>
        <v>1941094503725140240</v>
      </c>
      <c r="AC2023" s="1" t="s">
        <v>344</v>
      </c>
      <c r="AD2023" s="1" t="s">
        <v>441</v>
      </c>
      <c r="AE2023" s="1" t="s">
        <v>530</v>
      </c>
      <c r="AF2023" s="1" t="s">
        <v>144</v>
      </c>
      <c r="AG2023" s="1">
        <v>40</v>
      </c>
      <c r="AO2023" s="2">
        <v>46279</v>
      </c>
      <c r="AP2023" s="1" t="s">
        <v>821</v>
      </c>
      <c r="AS2023" s="1" t="s">
        <v>71</v>
      </c>
      <c r="AU2023" s="1" t="s">
        <v>72</v>
      </c>
      <c r="AV2023" s="1" t="s">
        <v>437</v>
      </c>
      <c r="AX2023" s="1">
        <v>0</v>
      </c>
      <c r="BA2023" s="1">
        <v>9</v>
      </c>
      <c r="BB2023" s="1">
        <v>0</v>
      </c>
      <c r="BC2023" s="1">
        <v>0</v>
      </c>
      <c r="BE2023" s="1">
        <v>27388054</v>
      </c>
    </row>
    <row r="2024" spans="1:57" x14ac:dyDescent="0.25">
      <c r="A2024" s="1" t="str">
        <f>T("1946188945105294732")</f>
        <v>1946188945105294732</v>
      </c>
      <c r="B2024" s="1" t="str">
        <f>T("249961068187")</f>
        <v>249961068187</v>
      </c>
      <c r="C2024" s="1" t="str">
        <f>T("1941094503725141340")</f>
        <v>1941094503725141340</v>
      </c>
      <c r="AC2024" s="1" t="s">
        <v>344</v>
      </c>
      <c r="AD2024" s="1" t="s">
        <v>372</v>
      </c>
      <c r="AE2024" s="1" t="s">
        <v>815</v>
      </c>
      <c r="AF2024" s="1" t="s">
        <v>107</v>
      </c>
      <c r="AG2024" s="1">
        <v>40</v>
      </c>
      <c r="AO2024" s="2">
        <v>46279</v>
      </c>
      <c r="AP2024" s="1" t="s">
        <v>301</v>
      </c>
      <c r="AS2024" s="1" t="s">
        <v>71</v>
      </c>
      <c r="AU2024" s="1" t="s">
        <v>72</v>
      </c>
      <c r="AV2024" s="1" t="s">
        <v>73</v>
      </c>
      <c r="AX2024" s="1">
        <v>0</v>
      </c>
      <c r="BA2024" s="1">
        <v>9</v>
      </c>
      <c r="BB2024" s="1">
        <v>0</v>
      </c>
      <c r="BC2024" s="1">
        <v>0</v>
      </c>
      <c r="BE2024" s="1">
        <v>27388085</v>
      </c>
    </row>
    <row r="2025" spans="1:57" x14ac:dyDescent="0.25">
      <c r="A2025" s="1" t="str">
        <f>T("1946188945105295332")</f>
        <v>1946188945105295332</v>
      </c>
      <c r="B2025" s="1" t="str">
        <f>T("249914006407")</f>
        <v>249914006407</v>
      </c>
      <c r="C2025" s="1" t="str">
        <f>T("1941094503729332348")</f>
        <v>1941094503729332348</v>
      </c>
      <c r="AC2025" s="1" t="s">
        <v>344</v>
      </c>
      <c r="AD2025" s="1" t="s">
        <v>430</v>
      </c>
      <c r="AE2025" s="1" t="s">
        <v>530</v>
      </c>
      <c r="AF2025" s="1" t="s">
        <v>144</v>
      </c>
      <c r="AG2025" s="1">
        <v>50</v>
      </c>
      <c r="AO2025" s="2">
        <v>46279</v>
      </c>
      <c r="AP2025" s="1" t="s">
        <v>301</v>
      </c>
      <c r="AS2025" s="1" t="s">
        <v>71</v>
      </c>
      <c r="AU2025" s="1" t="s">
        <v>72</v>
      </c>
      <c r="AV2025" s="1" t="s">
        <v>73</v>
      </c>
      <c r="AX2025" s="1">
        <v>0</v>
      </c>
      <c r="BA2025" s="1">
        <v>9</v>
      </c>
      <c r="BB2025" s="1">
        <v>0</v>
      </c>
      <c r="BC2025" s="1">
        <v>0</v>
      </c>
      <c r="BE2025" s="1">
        <v>27388085</v>
      </c>
    </row>
    <row r="2026" spans="1:57" x14ac:dyDescent="0.25">
      <c r="A2026" s="1" t="str">
        <f>T("1946188945109489240")</f>
        <v>1946188945109489240</v>
      </c>
      <c r="B2026" s="1" t="str">
        <f>T("249909507775")</f>
        <v>249909507775</v>
      </c>
      <c r="C2026" s="1" t="str">
        <f>T("1941094503725140840")</f>
        <v>1941094503725140840</v>
      </c>
      <c r="AC2026" s="1" t="s">
        <v>344</v>
      </c>
      <c r="AD2026" s="1" t="s">
        <v>430</v>
      </c>
      <c r="AE2026" s="1" t="s">
        <v>530</v>
      </c>
      <c r="AF2026" s="1" t="s">
        <v>107</v>
      </c>
      <c r="AG2026" s="1">
        <v>33</v>
      </c>
      <c r="AO2026" s="2">
        <v>46279</v>
      </c>
      <c r="AP2026" s="1" t="s">
        <v>301</v>
      </c>
      <c r="AS2026" s="1" t="s">
        <v>71</v>
      </c>
      <c r="AU2026" s="1" t="s">
        <v>72</v>
      </c>
      <c r="AV2026" s="1" t="s">
        <v>437</v>
      </c>
      <c r="AX2026" s="1">
        <v>0</v>
      </c>
      <c r="BA2026" s="1">
        <v>9</v>
      </c>
      <c r="BB2026" s="1">
        <v>0</v>
      </c>
      <c r="BC2026" s="1">
        <v>0</v>
      </c>
      <c r="BE2026" s="1">
        <v>27388085</v>
      </c>
    </row>
    <row r="2027" spans="1:57" x14ac:dyDescent="0.25">
      <c r="A2027" s="1" t="str">
        <f>T("1946188945109489840")</f>
        <v>1946188945109489840</v>
      </c>
      <c r="B2027" s="1" t="str">
        <f>T("249962791485")</f>
        <v>249962791485</v>
      </c>
      <c r="C2027" s="1" t="str">
        <f>T("1941094503725141740")</f>
        <v>1941094503725141740</v>
      </c>
      <c r="AC2027" s="1" t="s">
        <v>344</v>
      </c>
      <c r="AD2027" s="1" t="s">
        <v>430</v>
      </c>
      <c r="AE2027" s="1" t="s">
        <v>530</v>
      </c>
      <c r="AF2027" s="1" t="s">
        <v>144</v>
      </c>
      <c r="AG2027" s="1">
        <v>27</v>
      </c>
      <c r="AO2027" s="2">
        <v>46279</v>
      </c>
      <c r="AP2027" s="1" t="s">
        <v>301</v>
      </c>
      <c r="AS2027" s="1" t="s">
        <v>71</v>
      </c>
      <c r="AU2027" s="1" t="s">
        <v>72</v>
      </c>
      <c r="AV2027" s="1" t="s">
        <v>73</v>
      </c>
      <c r="AX2027" s="1">
        <v>0</v>
      </c>
      <c r="BA2027" s="1">
        <v>9</v>
      </c>
      <c r="BB2027" s="1">
        <v>0</v>
      </c>
      <c r="BC2027" s="1">
        <v>0</v>
      </c>
      <c r="BE2027" s="1">
        <v>27388085</v>
      </c>
    </row>
    <row r="2028" spans="1:57" x14ac:dyDescent="0.25">
      <c r="A2028" s="1" t="str">
        <f>T("1946188945222733956")</f>
        <v>1946188945222733956</v>
      </c>
      <c r="B2028" s="1" t="str">
        <f>T("249914498855")</f>
        <v>249914498855</v>
      </c>
      <c r="C2028" s="1" t="str">
        <f>T("1941094503729332748")</f>
        <v>1941094503729332748</v>
      </c>
      <c r="AC2028" s="1" t="s">
        <v>344</v>
      </c>
      <c r="AD2028" s="1" t="s">
        <v>430</v>
      </c>
      <c r="AE2028" s="1" t="s">
        <v>530</v>
      </c>
      <c r="AF2028" s="1" t="s">
        <v>107</v>
      </c>
      <c r="AG2028" s="1">
        <v>28</v>
      </c>
      <c r="AO2028" s="2">
        <v>46279</v>
      </c>
      <c r="AP2028" s="1" t="s">
        <v>301</v>
      </c>
      <c r="AS2028" s="1" t="s">
        <v>71</v>
      </c>
      <c r="AU2028" s="1" t="s">
        <v>72</v>
      </c>
      <c r="AV2028" s="1" t="s">
        <v>437</v>
      </c>
      <c r="AX2028" s="1">
        <v>0</v>
      </c>
      <c r="BA2028" s="1">
        <v>9</v>
      </c>
      <c r="BB2028" s="1">
        <v>0</v>
      </c>
      <c r="BC2028" s="1">
        <v>0</v>
      </c>
      <c r="BE2028" s="1">
        <v>27388085</v>
      </c>
    </row>
    <row r="2029" spans="1:57" x14ac:dyDescent="0.25">
      <c r="A2029" s="1" t="str">
        <f>T("1946188945222734256")</f>
        <v>1946188945222734256</v>
      </c>
      <c r="B2029" s="1" t="str">
        <f>T("249910156939")</f>
        <v>249910156939</v>
      </c>
      <c r="C2029" s="1" t="str">
        <f>T("1941094503729333048")</f>
        <v>1941094503729333048</v>
      </c>
      <c r="AC2029" s="1" t="s">
        <v>344</v>
      </c>
      <c r="AD2029" s="1" t="s">
        <v>357</v>
      </c>
      <c r="AE2029" s="1" t="s">
        <v>817</v>
      </c>
      <c r="AF2029" s="1" t="s">
        <v>107</v>
      </c>
      <c r="AG2029" s="1">
        <v>48</v>
      </c>
      <c r="AO2029" s="2">
        <v>46279</v>
      </c>
      <c r="AP2029" s="1" t="s">
        <v>301</v>
      </c>
      <c r="AS2029" s="1" t="s">
        <v>71</v>
      </c>
      <c r="AU2029" s="1" t="s">
        <v>72</v>
      </c>
      <c r="AV2029" s="1" t="s">
        <v>73</v>
      </c>
      <c r="AX2029" s="1">
        <v>0</v>
      </c>
      <c r="BA2029" s="1">
        <v>9</v>
      </c>
      <c r="BB2029" s="1">
        <v>0</v>
      </c>
      <c r="BC2029" s="1">
        <v>0</v>
      </c>
      <c r="BE2029" s="1">
        <v>27388085</v>
      </c>
    </row>
    <row r="2030" spans="1:57" x14ac:dyDescent="0.25">
      <c r="A2030" s="1" t="str">
        <f>T("1946188945226928564")</f>
        <v>1946188945226928564</v>
      </c>
      <c r="B2030" s="1" t="str">
        <f>T("249999421812")</f>
        <v>249999421812</v>
      </c>
      <c r="C2030" s="1" t="str">
        <f>T("1941094503729333348")</f>
        <v>1941094503729333348</v>
      </c>
      <c r="AA2030" s="1">
        <v>1</v>
      </c>
      <c r="AC2030" s="1" t="s">
        <v>344</v>
      </c>
      <c r="AD2030" s="1" t="s">
        <v>372</v>
      </c>
      <c r="AE2030" s="1" t="s">
        <v>814</v>
      </c>
      <c r="AF2030" s="1" t="s">
        <v>144</v>
      </c>
      <c r="AG2030" s="1">
        <v>25</v>
      </c>
      <c r="AO2030" s="2">
        <v>46279</v>
      </c>
      <c r="AP2030" s="1" t="s">
        <v>301</v>
      </c>
      <c r="AQ2030" s="2">
        <v>46279</v>
      </c>
      <c r="AR2030" s="1" t="s">
        <v>711</v>
      </c>
      <c r="AS2030" s="1" t="s">
        <v>71</v>
      </c>
      <c r="AU2030" s="1" t="s">
        <v>79</v>
      </c>
      <c r="AV2030" s="1" t="s">
        <v>80</v>
      </c>
      <c r="AW2030" s="1">
        <v>64.58</v>
      </c>
      <c r="AX2030" s="1">
        <v>0</v>
      </c>
      <c r="AZ2030" s="1" t="s">
        <v>81</v>
      </c>
      <c r="BA2030" s="1">
        <v>1</v>
      </c>
      <c r="BB2030" s="1">
        <v>0</v>
      </c>
      <c r="BC2030" s="1">
        <v>0</v>
      </c>
      <c r="BE2030" s="1">
        <v>27388085</v>
      </c>
    </row>
    <row r="2031" spans="1:57" x14ac:dyDescent="0.25">
      <c r="A2031" s="1" t="str">
        <f>T("1946188945247903404")</f>
        <v>1946188945247903404</v>
      </c>
      <c r="B2031" s="1" t="str">
        <f>T("249904459780")</f>
        <v>249904459780</v>
      </c>
      <c r="C2031" s="1" t="str">
        <f>T("1941094503729333748")</f>
        <v>1941094503729333748</v>
      </c>
      <c r="AC2031" s="1" t="s">
        <v>344</v>
      </c>
      <c r="AD2031" s="1" t="s">
        <v>430</v>
      </c>
      <c r="AE2031" s="1" t="s">
        <v>530</v>
      </c>
      <c r="AF2031" s="1" t="s">
        <v>107</v>
      </c>
      <c r="AG2031" s="1">
        <v>22</v>
      </c>
      <c r="AO2031" s="2">
        <v>46279</v>
      </c>
      <c r="AP2031" s="1" t="s">
        <v>301</v>
      </c>
      <c r="AS2031" s="1" t="s">
        <v>71</v>
      </c>
      <c r="AU2031" s="1" t="s">
        <v>72</v>
      </c>
      <c r="AV2031" s="1" t="s">
        <v>437</v>
      </c>
      <c r="AX2031" s="1">
        <v>0</v>
      </c>
      <c r="BA2031" s="1">
        <v>9</v>
      </c>
      <c r="BB2031" s="1">
        <v>0</v>
      </c>
      <c r="BC2031" s="1">
        <v>0</v>
      </c>
      <c r="BE2031" s="1">
        <v>27388085</v>
      </c>
    </row>
    <row r="2032" spans="1:57" x14ac:dyDescent="0.25">
      <c r="A2032" s="1" t="str">
        <f>T("1946188945281457268")</f>
        <v>1946188945281457268</v>
      </c>
      <c r="B2032" s="1" t="str">
        <f>T("249918016217")</f>
        <v>249918016217</v>
      </c>
      <c r="C2032" s="1" t="str">
        <f>T("1941094503729335748")</f>
        <v>1941094503729335748</v>
      </c>
      <c r="AC2032" s="1" t="s">
        <v>344</v>
      </c>
      <c r="AD2032" s="1" t="s">
        <v>441</v>
      </c>
      <c r="AE2032" s="1" t="s">
        <v>530</v>
      </c>
      <c r="AF2032" s="1" t="s">
        <v>107</v>
      </c>
      <c r="AG2032" s="1">
        <v>45</v>
      </c>
      <c r="AO2032" s="2">
        <v>46279</v>
      </c>
      <c r="AP2032" s="1" t="s">
        <v>301</v>
      </c>
      <c r="AS2032" s="1" t="s">
        <v>71</v>
      </c>
      <c r="AU2032" s="1" t="s">
        <v>72</v>
      </c>
      <c r="AV2032" s="1" t="s">
        <v>437</v>
      </c>
      <c r="AX2032" s="1">
        <v>0</v>
      </c>
      <c r="BA2032" s="1">
        <v>9</v>
      </c>
      <c r="BB2032" s="1">
        <v>0</v>
      </c>
      <c r="BC2032" s="1">
        <v>0</v>
      </c>
      <c r="BE2032" s="1">
        <v>27388085</v>
      </c>
    </row>
    <row r="2033" spans="1:57" x14ac:dyDescent="0.25">
      <c r="A2033" s="1" t="str">
        <f>T("1946188945285652476")</f>
        <v>1946188945285652476</v>
      </c>
      <c r="B2033" s="1" t="str">
        <f>T("249901832564")</f>
        <v>249901832564</v>
      </c>
      <c r="C2033" s="1" t="str">
        <f>T("1941094503729336248")</f>
        <v>1941094503729336248</v>
      </c>
      <c r="AC2033" s="1" t="s">
        <v>344</v>
      </c>
      <c r="AD2033" s="1" t="s">
        <v>430</v>
      </c>
      <c r="AE2033" s="1" t="s">
        <v>530</v>
      </c>
      <c r="AF2033" s="1" t="s">
        <v>144</v>
      </c>
      <c r="AG2033" s="1">
        <v>22</v>
      </c>
      <c r="AO2033" s="2">
        <v>46279</v>
      </c>
      <c r="AP2033" s="1" t="s">
        <v>301</v>
      </c>
      <c r="AS2033" s="1" t="s">
        <v>71</v>
      </c>
      <c r="AU2033" s="1" t="s">
        <v>72</v>
      </c>
      <c r="AV2033" s="1" t="s">
        <v>73</v>
      </c>
      <c r="AX2033" s="1">
        <v>0</v>
      </c>
      <c r="BA2033" s="1">
        <v>9</v>
      </c>
      <c r="BB2033" s="1">
        <v>0</v>
      </c>
      <c r="BC2033" s="1">
        <v>0</v>
      </c>
      <c r="BE2033" s="1">
        <v>27388085</v>
      </c>
    </row>
    <row r="2034" spans="1:57" x14ac:dyDescent="0.25">
      <c r="A2034" s="1" t="str">
        <f>T("1946188945294037392")</f>
        <v>1946188945294037392</v>
      </c>
      <c r="B2034" s="1" t="str">
        <f>T("249905902141")</f>
        <v>249905902141</v>
      </c>
      <c r="C2034" s="1" t="str">
        <f>T("1941094503733526856")</f>
        <v>1941094503733526856</v>
      </c>
      <c r="AC2034" s="1" t="s">
        <v>344</v>
      </c>
      <c r="AD2034" s="1" t="s">
        <v>357</v>
      </c>
      <c r="AE2034" s="1" t="s">
        <v>817</v>
      </c>
      <c r="AF2034" s="1" t="s">
        <v>107</v>
      </c>
      <c r="AG2034" s="1">
        <v>50</v>
      </c>
      <c r="AO2034" s="2">
        <v>46279</v>
      </c>
      <c r="AP2034" s="1" t="s">
        <v>301</v>
      </c>
      <c r="AS2034" s="1" t="s">
        <v>71</v>
      </c>
      <c r="AU2034" s="1" t="s">
        <v>75</v>
      </c>
      <c r="AV2034" s="1" t="s">
        <v>590</v>
      </c>
      <c r="AX2034" s="1">
        <v>0</v>
      </c>
      <c r="BA2034" s="1">
        <v>9</v>
      </c>
      <c r="BB2034" s="1">
        <v>0</v>
      </c>
      <c r="BC2034" s="1">
        <v>0</v>
      </c>
      <c r="BE2034" s="1">
        <v>27388085</v>
      </c>
    </row>
    <row r="2035" spans="1:57" x14ac:dyDescent="0.25">
      <c r="A2035" s="1" t="str">
        <f>T("1946188945331787464")</f>
        <v>1946188945331787464</v>
      </c>
      <c r="B2035" s="1" t="str">
        <f>T("249967866198")</f>
        <v>249967866198</v>
      </c>
      <c r="C2035" s="1" t="str">
        <f>T("1941094503733530356")</f>
        <v>1941094503733530356</v>
      </c>
      <c r="AC2035" s="1" t="s">
        <v>344</v>
      </c>
      <c r="AD2035" s="1" t="s">
        <v>372</v>
      </c>
      <c r="AE2035" s="1" t="s">
        <v>815</v>
      </c>
      <c r="AF2035" s="1" t="s">
        <v>144</v>
      </c>
      <c r="AG2035" s="1">
        <v>60</v>
      </c>
      <c r="AO2035" s="2">
        <v>46279</v>
      </c>
      <c r="AP2035" s="1" t="s">
        <v>301</v>
      </c>
      <c r="AS2035" s="1" t="s">
        <v>71</v>
      </c>
      <c r="AU2035" s="1" t="s">
        <v>72</v>
      </c>
      <c r="AV2035" s="1" t="s">
        <v>73</v>
      </c>
      <c r="AX2035" s="1">
        <v>0</v>
      </c>
      <c r="BA2035" s="1">
        <v>9</v>
      </c>
      <c r="BB2035" s="1">
        <v>0</v>
      </c>
      <c r="BC2035" s="1">
        <v>0</v>
      </c>
      <c r="BE2035" s="1">
        <v>27388085</v>
      </c>
    </row>
    <row r="2036" spans="1:57" x14ac:dyDescent="0.25">
      <c r="A2036" s="1" t="str">
        <f>T("1946188945340176380")</f>
        <v>1946188945340176380</v>
      </c>
      <c r="B2036" s="1" t="str">
        <f>T("249909353576")</f>
        <v>249909353576</v>
      </c>
      <c r="C2036" s="1" t="str">
        <f>T("1941094503737721164")</f>
        <v>1941094503737721164</v>
      </c>
      <c r="AC2036" s="1" t="s">
        <v>344</v>
      </c>
      <c r="AD2036" s="1" t="s">
        <v>430</v>
      </c>
      <c r="AE2036" s="1" t="s">
        <v>530</v>
      </c>
      <c r="AF2036" s="1" t="s">
        <v>107</v>
      </c>
      <c r="AG2036" s="1">
        <v>20</v>
      </c>
      <c r="AO2036" s="2">
        <v>46279</v>
      </c>
      <c r="AP2036" s="1" t="s">
        <v>301</v>
      </c>
      <c r="AS2036" s="1" t="s">
        <v>71</v>
      </c>
      <c r="AU2036" s="1" t="s">
        <v>72</v>
      </c>
      <c r="AV2036" s="1" t="s">
        <v>437</v>
      </c>
      <c r="AX2036" s="1">
        <v>0</v>
      </c>
      <c r="BA2036" s="1">
        <v>9</v>
      </c>
      <c r="BB2036" s="1">
        <v>0</v>
      </c>
      <c r="BC2036" s="1">
        <v>0</v>
      </c>
      <c r="BE2036" s="1">
        <v>27388085</v>
      </c>
    </row>
    <row r="2037" spans="1:57" x14ac:dyDescent="0.25">
      <c r="A2037" s="1" t="str">
        <f>T("1946188945344371688")</f>
        <v>1946188945344371688</v>
      </c>
      <c r="B2037" s="1" t="str">
        <f>T("249902501025")</f>
        <v>249902501025</v>
      </c>
      <c r="C2037" s="1" t="str">
        <f>T("1941094503737721664")</f>
        <v>1941094503737721664</v>
      </c>
      <c r="AC2037" s="1" t="s">
        <v>344</v>
      </c>
      <c r="AD2037" s="1" t="s">
        <v>372</v>
      </c>
      <c r="AE2037" s="1" t="s">
        <v>813</v>
      </c>
      <c r="AF2037" s="1" t="s">
        <v>144</v>
      </c>
      <c r="AG2037" s="1">
        <v>46</v>
      </c>
      <c r="AO2037" s="2">
        <v>46279</v>
      </c>
      <c r="AP2037" s="1" t="s">
        <v>301</v>
      </c>
      <c r="AS2037" s="1" t="s">
        <v>71</v>
      </c>
      <c r="AU2037" s="1" t="s">
        <v>72</v>
      </c>
      <c r="AV2037" s="1" t="s">
        <v>73</v>
      </c>
      <c r="AX2037" s="1">
        <v>0</v>
      </c>
      <c r="BA2037" s="1">
        <v>9</v>
      </c>
      <c r="BB2037" s="1">
        <v>0</v>
      </c>
      <c r="BC2037" s="1">
        <v>0</v>
      </c>
      <c r="BE2037" s="1">
        <v>27388085</v>
      </c>
    </row>
    <row r="2038" spans="1:57" x14ac:dyDescent="0.25">
      <c r="A2038" s="1" t="str">
        <f>T("1946188945352761204")</f>
        <v>1946188945352761204</v>
      </c>
      <c r="B2038" s="1" t="str">
        <f>T("249919673285")</f>
        <v>249919673285</v>
      </c>
      <c r="C2038" s="1" t="str">
        <f>T("1941094503733529556")</f>
        <v>1941094503733529556</v>
      </c>
      <c r="AC2038" s="1" t="s">
        <v>344</v>
      </c>
      <c r="AD2038" s="1" t="s">
        <v>357</v>
      </c>
      <c r="AE2038" s="1" t="s">
        <v>812</v>
      </c>
      <c r="AF2038" s="1" t="s">
        <v>107</v>
      </c>
      <c r="AG2038" s="1">
        <v>48</v>
      </c>
      <c r="AO2038" s="2">
        <v>46279</v>
      </c>
      <c r="AP2038" s="1" t="s">
        <v>301</v>
      </c>
      <c r="AS2038" s="1" t="s">
        <v>71</v>
      </c>
      <c r="AU2038" s="1" t="s">
        <v>72</v>
      </c>
      <c r="AV2038" s="1" t="s">
        <v>437</v>
      </c>
      <c r="AX2038" s="1">
        <v>0</v>
      </c>
      <c r="BA2038" s="1">
        <v>9</v>
      </c>
      <c r="BB2038" s="1">
        <v>0</v>
      </c>
      <c r="BC2038" s="1">
        <v>0</v>
      </c>
      <c r="BE2038" s="1">
        <v>27388085</v>
      </c>
    </row>
    <row r="2039" spans="1:57" x14ac:dyDescent="0.25">
      <c r="A2039" s="1" t="str">
        <f>T("1946188945365341428")</f>
        <v>1946188945365341428</v>
      </c>
      <c r="B2039" s="1" t="str">
        <f>T("249913469583")</f>
        <v>249913469583</v>
      </c>
      <c r="C2039" s="1" t="str">
        <f>T("1941094503737722464")</f>
        <v>1941094503737722464</v>
      </c>
      <c r="AC2039" s="1" t="s">
        <v>344</v>
      </c>
      <c r="AD2039" s="1" t="s">
        <v>441</v>
      </c>
      <c r="AE2039" s="1" t="s">
        <v>530</v>
      </c>
      <c r="AF2039" s="1" t="s">
        <v>107</v>
      </c>
      <c r="AG2039" s="1">
        <v>45</v>
      </c>
      <c r="AO2039" s="2">
        <v>46279</v>
      </c>
      <c r="AP2039" s="1" t="s">
        <v>301</v>
      </c>
      <c r="AS2039" s="1" t="s">
        <v>71</v>
      </c>
      <c r="AU2039" s="1" t="s">
        <v>72</v>
      </c>
      <c r="AV2039" s="1" t="s">
        <v>437</v>
      </c>
      <c r="AX2039" s="1">
        <v>0</v>
      </c>
      <c r="BA2039" s="1">
        <v>9</v>
      </c>
      <c r="BB2039" s="1">
        <v>0</v>
      </c>
      <c r="BC2039" s="1">
        <v>0</v>
      </c>
      <c r="BE2039" s="1">
        <v>27388085</v>
      </c>
    </row>
    <row r="2040" spans="1:57" x14ac:dyDescent="0.25">
      <c r="A2040" s="1" t="str">
        <f>T("1946188945369536836")</f>
        <v>1946188945369536836</v>
      </c>
      <c r="B2040" s="1" t="str">
        <f>T("249966814261")</f>
        <v>249966814261</v>
      </c>
      <c r="C2040" s="1" t="str">
        <f>T("1941094503737722064")</f>
        <v>1941094503737722064</v>
      </c>
      <c r="AC2040" s="1" t="s">
        <v>344</v>
      </c>
      <c r="AD2040" s="1" t="s">
        <v>441</v>
      </c>
      <c r="AE2040" s="1" t="s">
        <v>530</v>
      </c>
      <c r="AF2040" s="1" t="s">
        <v>107</v>
      </c>
      <c r="AG2040" s="1">
        <v>79</v>
      </c>
      <c r="AO2040" s="2">
        <v>46279</v>
      </c>
      <c r="AP2040" s="1" t="s">
        <v>301</v>
      </c>
      <c r="AS2040" s="1" t="s">
        <v>71</v>
      </c>
      <c r="AU2040" s="1" t="s">
        <v>72</v>
      </c>
      <c r="AV2040" s="1" t="s">
        <v>73</v>
      </c>
      <c r="AX2040" s="1">
        <v>0</v>
      </c>
      <c r="BA2040" s="1">
        <v>9</v>
      </c>
      <c r="BB2040" s="1">
        <v>0</v>
      </c>
      <c r="BC2040" s="1">
        <v>0</v>
      </c>
      <c r="BE2040" s="1">
        <v>27388085</v>
      </c>
    </row>
    <row r="2041" spans="1:57" x14ac:dyDescent="0.25">
      <c r="A2041" s="1" t="str">
        <f>T("1946188945415673924")</f>
        <v>1946188945415673924</v>
      </c>
      <c r="B2041" s="1" t="str">
        <f>T("249966056080")</f>
        <v>249966056080</v>
      </c>
      <c r="C2041" s="1" t="str">
        <f>T("1941094503737723164")</f>
        <v>1941094503737723164</v>
      </c>
      <c r="AC2041" s="1" t="s">
        <v>344</v>
      </c>
      <c r="AD2041" s="1" t="s">
        <v>430</v>
      </c>
      <c r="AE2041" s="1" t="s">
        <v>530</v>
      </c>
      <c r="AF2041" s="1" t="s">
        <v>107</v>
      </c>
      <c r="AG2041" s="1">
        <v>34</v>
      </c>
      <c r="AO2041" s="2">
        <v>46279</v>
      </c>
      <c r="AP2041" s="1" t="s">
        <v>301</v>
      </c>
      <c r="AS2041" s="1" t="s">
        <v>71</v>
      </c>
      <c r="AU2041" s="1" t="s">
        <v>72</v>
      </c>
      <c r="AV2041" s="1" t="s">
        <v>73</v>
      </c>
      <c r="AX2041" s="1">
        <v>0</v>
      </c>
      <c r="BA2041" s="1">
        <v>9</v>
      </c>
      <c r="BB2041" s="1">
        <v>0</v>
      </c>
      <c r="BC2041" s="1">
        <v>0</v>
      </c>
      <c r="BE2041" s="1">
        <v>27388085</v>
      </c>
    </row>
    <row r="2042" spans="1:57" x14ac:dyDescent="0.25">
      <c r="A2042" s="1" t="str">
        <f>T("1946188945415675024")</f>
        <v>1946188945415675024</v>
      </c>
      <c r="B2042" s="1" t="str">
        <f>T("249906484780")</f>
        <v>249906484780</v>
      </c>
      <c r="C2042" s="1" t="str">
        <f>T("1941094503737723564")</f>
        <v>1941094503737723564</v>
      </c>
      <c r="AC2042" s="1" t="s">
        <v>344</v>
      </c>
      <c r="AD2042" s="1" t="s">
        <v>372</v>
      </c>
      <c r="AE2042" s="1" t="s">
        <v>814</v>
      </c>
      <c r="AF2042" s="1" t="s">
        <v>144</v>
      </c>
      <c r="AG2042" s="1">
        <v>39</v>
      </c>
      <c r="AO2042" s="2">
        <v>46279</v>
      </c>
      <c r="AP2042" s="1" t="s">
        <v>301</v>
      </c>
      <c r="AS2042" s="1" t="s">
        <v>71</v>
      </c>
      <c r="AU2042" s="1" t="s">
        <v>72</v>
      </c>
      <c r="AV2042" s="1" t="s">
        <v>437</v>
      </c>
      <c r="AX2042" s="1">
        <v>0</v>
      </c>
      <c r="BA2042" s="1">
        <v>9</v>
      </c>
      <c r="BB2042" s="1">
        <v>0</v>
      </c>
      <c r="BC2042" s="1">
        <v>0</v>
      </c>
      <c r="BE2042" s="1">
        <v>27388085</v>
      </c>
    </row>
    <row r="2043" spans="1:57" x14ac:dyDescent="0.25">
      <c r="A2043" s="1" t="str">
        <f>T("1946188945424063640")</f>
        <v>1946188945424063640</v>
      </c>
      <c r="B2043" s="1" t="str">
        <f>T("249903688873")</f>
        <v>249903688873</v>
      </c>
      <c r="C2043" s="1" t="str">
        <f>T("1941094503741915672")</f>
        <v>1941094503741915672</v>
      </c>
      <c r="AC2043" s="1" t="s">
        <v>344</v>
      </c>
      <c r="AD2043" s="1" t="s">
        <v>430</v>
      </c>
      <c r="AE2043" s="1" t="s">
        <v>530</v>
      </c>
      <c r="AF2043" s="1" t="s">
        <v>144</v>
      </c>
      <c r="AG2043" s="1">
        <v>45</v>
      </c>
      <c r="AO2043" s="2">
        <v>46279</v>
      </c>
      <c r="AP2043" s="1" t="s">
        <v>301</v>
      </c>
      <c r="AS2043" s="1" t="s">
        <v>71</v>
      </c>
      <c r="AU2043" s="1" t="s">
        <v>72</v>
      </c>
      <c r="AV2043" s="1" t="s">
        <v>73</v>
      </c>
      <c r="AX2043" s="1">
        <v>0</v>
      </c>
      <c r="BA2043" s="1">
        <v>9</v>
      </c>
      <c r="BB2043" s="1">
        <v>0</v>
      </c>
      <c r="BC2043" s="1">
        <v>0</v>
      </c>
      <c r="BE2043" s="1">
        <v>27388085</v>
      </c>
    </row>
    <row r="2044" spans="1:57" x14ac:dyDescent="0.25">
      <c r="A2044" s="1" t="str">
        <f>T("1946188945428256848")</f>
        <v>1946188945428256848</v>
      </c>
      <c r="B2044" s="1" t="str">
        <f>T("249969388722")</f>
        <v>249969388722</v>
      </c>
      <c r="C2044" s="1" t="str">
        <f>T("1941094503741916272")</f>
        <v>1941094503741916272</v>
      </c>
      <c r="AC2044" s="1" t="s">
        <v>344</v>
      </c>
      <c r="AD2044" s="1" t="s">
        <v>441</v>
      </c>
      <c r="AE2044" s="1" t="s">
        <v>530</v>
      </c>
      <c r="AF2044" s="1" t="s">
        <v>107</v>
      </c>
      <c r="AG2044" s="1">
        <v>22</v>
      </c>
      <c r="AO2044" s="2">
        <v>46279</v>
      </c>
      <c r="AP2044" s="1" t="s">
        <v>301</v>
      </c>
      <c r="AS2044" s="1" t="s">
        <v>71</v>
      </c>
      <c r="AU2044" s="1" t="s">
        <v>72</v>
      </c>
      <c r="AV2044" s="1" t="s">
        <v>437</v>
      </c>
      <c r="AX2044" s="1">
        <v>0</v>
      </c>
      <c r="BA2044" s="1">
        <v>9</v>
      </c>
      <c r="BB2044" s="1">
        <v>0</v>
      </c>
      <c r="BC2044" s="1">
        <v>0</v>
      </c>
      <c r="BE2044" s="1">
        <v>27388085</v>
      </c>
    </row>
    <row r="2045" spans="1:57" x14ac:dyDescent="0.25">
      <c r="A2045" s="1" t="str">
        <f>T("1946188945440838372")</f>
        <v>1946188945440838372</v>
      </c>
      <c r="B2045" s="1" t="str">
        <f>T("249904237133")</f>
        <v>249904237133</v>
      </c>
      <c r="C2045" s="1" t="str">
        <f>T("1941094503741917572")</f>
        <v>1941094503741917572</v>
      </c>
      <c r="AC2045" s="1" t="s">
        <v>344</v>
      </c>
      <c r="AD2045" s="1" t="s">
        <v>372</v>
      </c>
      <c r="AE2045" s="1" t="s">
        <v>813</v>
      </c>
      <c r="AF2045" s="1" t="s">
        <v>144</v>
      </c>
      <c r="AG2045" s="1">
        <v>26</v>
      </c>
      <c r="AO2045" s="2">
        <v>46279</v>
      </c>
      <c r="AP2045" s="1" t="s">
        <v>301</v>
      </c>
      <c r="AS2045" s="1" t="s">
        <v>71</v>
      </c>
      <c r="AU2045" s="1" t="s">
        <v>72</v>
      </c>
      <c r="AV2045" s="1" t="s">
        <v>437</v>
      </c>
      <c r="AX2045" s="1">
        <v>0</v>
      </c>
      <c r="BA2045" s="1">
        <v>9</v>
      </c>
      <c r="BB2045" s="1">
        <v>0</v>
      </c>
      <c r="BC2045" s="1">
        <v>0</v>
      </c>
      <c r="BE2045" s="1">
        <v>27388085</v>
      </c>
    </row>
    <row r="2046" spans="1:57" x14ac:dyDescent="0.25">
      <c r="A2046" s="1" t="str">
        <f>T("1946188945449229788")</f>
        <v>1946188945449229788</v>
      </c>
      <c r="B2046" s="1" t="str">
        <f>T("249918750545")</f>
        <v>249918750545</v>
      </c>
      <c r="C2046" s="1" t="str">
        <f>T("1941094503746111380")</f>
        <v>1941094503746111380</v>
      </c>
      <c r="AC2046" s="1" t="s">
        <v>344</v>
      </c>
      <c r="AD2046" s="1" t="s">
        <v>357</v>
      </c>
      <c r="AE2046" s="1" t="s">
        <v>817</v>
      </c>
      <c r="AF2046" s="1" t="s">
        <v>107</v>
      </c>
      <c r="AG2046" s="1">
        <v>70</v>
      </c>
      <c r="AO2046" s="2">
        <v>46279</v>
      </c>
      <c r="AP2046" s="1" t="s">
        <v>301</v>
      </c>
      <c r="AS2046" s="1" t="s">
        <v>71</v>
      </c>
      <c r="AU2046" s="1" t="s">
        <v>75</v>
      </c>
      <c r="AV2046" s="1" t="s">
        <v>590</v>
      </c>
      <c r="AX2046" s="1">
        <v>0</v>
      </c>
      <c r="BA2046" s="1">
        <v>7</v>
      </c>
      <c r="BB2046" s="1">
        <v>0</v>
      </c>
      <c r="BC2046" s="1">
        <v>0</v>
      </c>
      <c r="BE2046" s="1">
        <v>27388085</v>
      </c>
    </row>
    <row r="2047" spans="1:57" x14ac:dyDescent="0.25">
      <c r="A2047" s="1" t="str">
        <f>T("1946188945466007020")</f>
        <v>1946188945466007020</v>
      </c>
      <c r="B2047" s="1" t="str">
        <f>T("249918864132")</f>
        <v>249918864132</v>
      </c>
      <c r="C2047" s="1" t="str">
        <f>T("1941094503746112680")</f>
        <v>1941094503746112680</v>
      </c>
      <c r="AC2047" s="1" t="s">
        <v>344</v>
      </c>
      <c r="AD2047" s="1" t="s">
        <v>441</v>
      </c>
      <c r="AE2047" s="1" t="s">
        <v>530</v>
      </c>
      <c r="AF2047" s="1" t="s">
        <v>107</v>
      </c>
      <c r="AG2047" s="1">
        <v>34</v>
      </c>
      <c r="AO2047" s="2">
        <v>46279</v>
      </c>
      <c r="AP2047" s="1" t="s">
        <v>301</v>
      </c>
      <c r="AS2047" s="1" t="s">
        <v>71</v>
      </c>
      <c r="AU2047" s="1" t="s">
        <v>72</v>
      </c>
      <c r="AV2047" s="1" t="s">
        <v>73</v>
      </c>
      <c r="AX2047" s="1">
        <v>0</v>
      </c>
      <c r="BA2047" s="1">
        <v>9</v>
      </c>
      <c r="BB2047" s="1">
        <v>0</v>
      </c>
      <c r="BC2047" s="1">
        <v>0</v>
      </c>
      <c r="BE2047" s="1">
        <v>27388085</v>
      </c>
    </row>
    <row r="2048" spans="1:57" x14ac:dyDescent="0.25">
      <c r="A2048" s="1" t="str">
        <f>T("1946188945466007520")</f>
        <v>1946188945466007520</v>
      </c>
      <c r="B2048" s="1" t="str">
        <f>T("249915499124")</f>
        <v>249915499124</v>
      </c>
      <c r="C2048" s="1" t="str">
        <f>T("1941094503746112080")</f>
        <v>1941094503746112080</v>
      </c>
      <c r="AC2048" s="1" t="s">
        <v>344</v>
      </c>
      <c r="AD2048" s="1" t="s">
        <v>372</v>
      </c>
      <c r="AE2048" s="1" t="s">
        <v>820</v>
      </c>
      <c r="AF2048" s="1" t="s">
        <v>107</v>
      </c>
      <c r="AG2048" s="1">
        <v>57</v>
      </c>
      <c r="AO2048" s="2">
        <v>46279</v>
      </c>
      <c r="AP2048" s="1" t="s">
        <v>301</v>
      </c>
      <c r="AS2048" s="1" t="s">
        <v>71</v>
      </c>
      <c r="AU2048" s="1" t="s">
        <v>72</v>
      </c>
      <c r="AV2048" s="1" t="s">
        <v>73</v>
      </c>
      <c r="AX2048" s="1">
        <v>0</v>
      </c>
      <c r="BA2048" s="1">
        <v>9</v>
      </c>
      <c r="BB2048" s="1">
        <v>0</v>
      </c>
      <c r="BC2048" s="1">
        <v>0</v>
      </c>
      <c r="BE2048" s="1">
        <v>27388085</v>
      </c>
    </row>
    <row r="2049" spans="1:57" x14ac:dyDescent="0.25">
      <c r="A2049" s="1" t="str">
        <f>T("1946188945482782152")</f>
        <v>1946188945482782152</v>
      </c>
      <c r="B2049" s="1" t="str">
        <f>T("249969499463")</f>
        <v>249969499463</v>
      </c>
      <c r="C2049" s="1" t="str">
        <f>T("1941094503750305788")</f>
        <v>1941094503750305788</v>
      </c>
      <c r="AC2049" s="1" t="s">
        <v>344</v>
      </c>
      <c r="AD2049" s="1" t="s">
        <v>372</v>
      </c>
      <c r="AE2049" s="1" t="s">
        <v>818</v>
      </c>
      <c r="AF2049" s="1" t="s">
        <v>107</v>
      </c>
      <c r="AG2049" s="1">
        <v>51</v>
      </c>
      <c r="AO2049" s="2">
        <v>46279</v>
      </c>
      <c r="AP2049" s="1" t="s">
        <v>301</v>
      </c>
      <c r="AS2049" s="1" t="s">
        <v>71</v>
      </c>
      <c r="AU2049" s="1" t="s">
        <v>72</v>
      </c>
      <c r="AV2049" s="1" t="s">
        <v>73</v>
      </c>
      <c r="AX2049" s="1">
        <v>0</v>
      </c>
      <c r="BA2049" s="1">
        <v>9</v>
      </c>
      <c r="BB2049" s="1">
        <v>0</v>
      </c>
      <c r="BC2049" s="1">
        <v>0</v>
      </c>
      <c r="BE2049" s="1">
        <v>27388085</v>
      </c>
    </row>
    <row r="2050" spans="1:57" x14ac:dyDescent="0.25">
      <c r="A2050" s="1" t="str">
        <f>T("1946188945482782852")</f>
        <v>1946188945482782852</v>
      </c>
      <c r="B2050" s="1" t="str">
        <f>T("249963012689")</f>
        <v>249963012689</v>
      </c>
      <c r="C2050" s="1" t="str">
        <f>T("1941094503750306788")</f>
        <v>1941094503750306788</v>
      </c>
      <c r="AC2050" s="1" t="s">
        <v>344</v>
      </c>
      <c r="AD2050" s="1" t="s">
        <v>441</v>
      </c>
      <c r="AE2050" s="1" t="s">
        <v>530</v>
      </c>
      <c r="AF2050" s="1" t="s">
        <v>144</v>
      </c>
      <c r="AG2050" s="1">
        <v>55</v>
      </c>
      <c r="AO2050" s="2">
        <v>46279</v>
      </c>
      <c r="AP2050" s="1" t="s">
        <v>301</v>
      </c>
      <c r="AS2050" s="1" t="s">
        <v>71</v>
      </c>
      <c r="AU2050" s="1" t="s">
        <v>72</v>
      </c>
      <c r="AV2050" s="1" t="s">
        <v>437</v>
      </c>
      <c r="AX2050" s="1">
        <v>0</v>
      </c>
      <c r="BA2050" s="1">
        <v>9</v>
      </c>
      <c r="BB2050" s="1">
        <v>0</v>
      </c>
      <c r="BC2050" s="1">
        <v>0</v>
      </c>
      <c r="BE2050" s="1">
        <v>27388085</v>
      </c>
    </row>
    <row r="2051" spans="1:57" x14ac:dyDescent="0.25">
      <c r="A2051" s="1" t="str">
        <f>T("1946188945512142908")</f>
        <v>1946188945512142908</v>
      </c>
      <c r="B2051" s="1" t="str">
        <f>T("249994835915")</f>
        <v>249994835915</v>
      </c>
      <c r="C2051" s="1" t="str">
        <f>T("1941094503758692804")</f>
        <v>1941094503758692804</v>
      </c>
      <c r="M2051" s="1" t="s">
        <v>59</v>
      </c>
      <c r="O2051" s="1" t="s">
        <v>65</v>
      </c>
      <c r="P2051" s="1" t="s">
        <v>83</v>
      </c>
      <c r="Q2051" s="1" t="s">
        <v>101</v>
      </c>
      <c r="R2051" s="1" t="s">
        <v>84</v>
      </c>
      <c r="AA2051" s="1">
        <v>1</v>
      </c>
      <c r="AC2051" s="1" t="s">
        <v>344</v>
      </c>
      <c r="AD2051" s="1" t="s">
        <v>372</v>
      </c>
      <c r="AE2051" s="1" t="s">
        <v>814</v>
      </c>
      <c r="AF2051" s="1" t="s">
        <v>144</v>
      </c>
      <c r="AG2051" s="1">
        <v>52</v>
      </c>
      <c r="AO2051" s="2">
        <v>46279</v>
      </c>
      <c r="AP2051" s="1" t="s">
        <v>301</v>
      </c>
      <c r="AQ2051" s="2">
        <v>46279</v>
      </c>
      <c r="AR2051" s="1" t="s">
        <v>700</v>
      </c>
      <c r="AS2051" s="1" t="s">
        <v>71</v>
      </c>
      <c r="AU2051" s="1" t="s">
        <v>78</v>
      </c>
      <c r="AV2051" s="1" t="s">
        <v>80</v>
      </c>
      <c r="AW2051" s="1">
        <v>151.36000000000001</v>
      </c>
      <c r="AX2051" s="1">
        <v>0</v>
      </c>
      <c r="AZ2051" s="1" t="s">
        <v>81</v>
      </c>
      <c r="BA2051" s="1">
        <v>1</v>
      </c>
      <c r="BB2051" s="1">
        <v>0</v>
      </c>
      <c r="BC2051" s="1">
        <v>0</v>
      </c>
      <c r="BE2051" s="1">
        <v>27388085</v>
      </c>
    </row>
    <row r="2052" spans="1:57" x14ac:dyDescent="0.25">
      <c r="A2052" s="1" t="str">
        <f>T("1946188945520530424")</f>
        <v>1946188945520530424</v>
      </c>
      <c r="B2052" s="1" t="str">
        <f>T("249928894583")</f>
        <v>249928894583</v>
      </c>
      <c r="C2052" s="1" t="str">
        <f>T("1941094503754500296")</f>
        <v>1941094503754500296</v>
      </c>
      <c r="AC2052" s="1" t="s">
        <v>344</v>
      </c>
      <c r="AD2052" s="1" t="s">
        <v>372</v>
      </c>
      <c r="AE2052" s="1" t="s">
        <v>814</v>
      </c>
      <c r="AF2052" s="1" t="s">
        <v>144</v>
      </c>
      <c r="AG2052" s="1">
        <v>33</v>
      </c>
      <c r="AO2052" s="2">
        <v>46279</v>
      </c>
      <c r="AP2052" s="1" t="s">
        <v>301</v>
      </c>
      <c r="AS2052" s="1" t="s">
        <v>71</v>
      </c>
      <c r="AU2052" s="1" t="s">
        <v>72</v>
      </c>
      <c r="AV2052" s="1" t="s">
        <v>73</v>
      </c>
      <c r="AX2052" s="1">
        <v>0</v>
      </c>
      <c r="BA2052" s="1">
        <v>9</v>
      </c>
      <c r="BB2052" s="1">
        <v>0</v>
      </c>
      <c r="BC2052" s="1">
        <v>0</v>
      </c>
      <c r="BE2052" s="1">
        <v>27388085</v>
      </c>
    </row>
    <row r="2053" spans="1:57" x14ac:dyDescent="0.25">
      <c r="A2053" s="1" t="str">
        <f>T("1946188945520531424")</f>
        <v>1946188945520531424</v>
      </c>
      <c r="B2053" s="1" t="str">
        <f>T("249962860889")</f>
        <v>249962860889</v>
      </c>
      <c r="C2053" s="1" t="str">
        <f>T("1941094503758693204")</f>
        <v>1941094503758693204</v>
      </c>
      <c r="AC2053" s="1" t="s">
        <v>344</v>
      </c>
      <c r="AD2053" s="1" t="s">
        <v>372</v>
      </c>
      <c r="AE2053" s="1" t="s">
        <v>815</v>
      </c>
      <c r="AF2053" s="1" t="s">
        <v>107</v>
      </c>
      <c r="AG2053" s="1">
        <v>60</v>
      </c>
      <c r="AO2053" s="2">
        <v>46279</v>
      </c>
      <c r="AP2053" s="1" t="s">
        <v>301</v>
      </c>
      <c r="AS2053" s="1" t="s">
        <v>71</v>
      </c>
      <c r="AU2053" s="1" t="s">
        <v>72</v>
      </c>
      <c r="AV2053" s="1" t="s">
        <v>437</v>
      </c>
      <c r="AX2053" s="1">
        <v>0</v>
      </c>
      <c r="BA2053" s="1">
        <v>9</v>
      </c>
      <c r="BB2053" s="1">
        <v>0</v>
      </c>
      <c r="BC2053" s="1">
        <v>0</v>
      </c>
      <c r="BE2053" s="1">
        <v>27388085</v>
      </c>
    </row>
    <row r="2054" spans="1:57" x14ac:dyDescent="0.25">
      <c r="A2054" s="1" t="str">
        <f>T("1946188945537309556")</f>
        <v>1946188945537309556</v>
      </c>
      <c r="B2054" s="1" t="str">
        <f>T("249997751978")</f>
        <v>249997751978</v>
      </c>
      <c r="C2054" s="1" t="str">
        <f>T("1941094503762888212")</f>
        <v>1941094503762888212</v>
      </c>
      <c r="AA2054" s="1">
        <v>1</v>
      </c>
      <c r="AC2054" s="1" t="s">
        <v>344</v>
      </c>
      <c r="AD2054" s="1" t="s">
        <v>372</v>
      </c>
      <c r="AE2054" s="1" t="s">
        <v>818</v>
      </c>
      <c r="AF2054" s="1" t="s">
        <v>144</v>
      </c>
      <c r="AG2054" s="1">
        <v>45</v>
      </c>
      <c r="AO2054" s="2">
        <v>46279</v>
      </c>
      <c r="AP2054" s="1" t="s">
        <v>301</v>
      </c>
      <c r="AQ2054" s="2">
        <v>46279</v>
      </c>
      <c r="AR2054" s="1" t="s">
        <v>829</v>
      </c>
      <c r="AS2054" s="1" t="s">
        <v>71</v>
      </c>
      <c r="AU2054" s="1" t="s">
        <v>78</v>
      </c>
      <c r="AV2054" s="1" t="s">
        <v>80</v>
      </c>
      <c r="AW2054" s="1">
        <v>134.96</v>
      </c>
      <c r="AX2054" s="1">
        <v>0</v>
      </c>
      <c r="AZ2054" s="1" t="s">
        <v>81</v>
      </c>
      <c r="BA2054" s="1">
        <v>7</v>
      </c>
      <c r="BB2054" s="1">
        <v>0</v>
      </c>
      <c r="BC2054" s="1">
        <v>0</v>
      </c>
      <c r="BE2054" s="1">
        <v>27388085</v>
      </c>
    </row>
    <row r="2055" spans="1:57" x14ac:dyDescent="0.25">
      <c r="A2055" s="1" t="str">
        <f>T("1946188945549891580")</f>
        <v>1946188945549891580</v>
      </c>
      <c r="B2055" s="1" t="str">
        <f>T("249967648005")</f>
        <v>249967648005</v>
      </c>
      <c r="C2055" s="1" t="str">
        <f>T("1941094503762886912")</f>
        <v>1941094503762886912</v>
      </c>
      <c r="AC2055" s="1" t="s">
        <v>344</v>
      </c>
      <c r="AD2055" s="1" t="s">
        <v>441</v>
      </c>
      <c r="AE2055" s="1" t="s">
        <v>530</v>
      </c>
      <c r="AF2055" s="1" t="s">
        <v>107</v>
      </c>
      <c r="AG2055" s="1">
        <v>40</v>
      </c>
      <c r="AO2055" s="2">
        <v>46279</v>
      </c>
      <c r="AP2055" s="1" t="s">
        <v>301</v>
      </c>
      <c r="AS2055" s="1" t="s">
        <v>71</v>
      </c>
      <c r="AU2055" s="1" t="s">
        <v>72</v>
      </c>
      <c r="AV2055" s="1" t="s">
        <v>437</v>
      </c>
      <c r="AX2055" s="1">
        <v>0</v>
      </c>
      <c r="BA2055" s="1">
        <v>9</v>
      </c>
      <c r="BB2055" s="1">
        <v>0</v>
      </c>
      <c r="BC2055" s="1">
        <v>0</v>
      </c>
      <c r="BE2055" s="1">
        <v>27388085</v>
      </c>
    </row>
    <row r="2056" spans="1:57" x14ac:dyDescent="0.25">
      <c r="A2056" s="1" t="str">
        <f>T("1946188945549892580")</f>
        <v>1946188945549892580</v>
      </c>
      <c r="B2056" s="1" t="str">
        <f>T("249919286356")</f>
        <v>249919286356</v>
      </c>
      <c r="C2056" s="1" t="str">
        <f>T("1941094503767081420")</f>
        <v>1941094503767081420</v>
      </c>
      <c r="AC2056" s="1" t="s">
        <v>344</v>
      </c>
      <c r="AD2056" s="1" t="s">
        <v>372</v>
      </c>
      <c r="AE2056" s="1" t="s">
        <v>820</v>
      </c>
      <c r="AF2056" s="1" t="s">
        <v>144</v>
      </c>
      <c r="AG2056" s="1">
        <v>20</v>
      </c>
      <c r="AO2056" s="2">
        <v>46279</v>
      </c>
      <c r="AP2056" s="1" t="s">
        <v>301</v>
      </c>
      <c r="AS2056" s="1" t="s">
        <v>71</v>
      </c>
      <c r="AU2056" s="1" t="s">
        <v>72</v>
      </c>
      <c r="AV2056" s="1" t="s">
        <v>73</v>
      </c>
      <c r="AX2056" s="1">
        <v>0</v>
      </c>
      <c r="BA2056" s="1">
        <v>9</v>
      </c>
      <c r="BB2056" s="1">
        <v>0</v>
      </c>
      <c r="BC2056" s="1">
        <v>0</v>
      </c>
      <c r="BE2056" s="1">
        <v>27388085</v>
      </c>
    </row>
    <row r="2057" spans="1:57" x14ac:dyDescent="0.25">
      <c r="A2057" s="1" t="str">
        <f>T("1946188945570862420")</f>
        <v>1946188945570862420</v>
      </c>
      <c r="B2057" s="1" t="str">
        <f>T("249965891402")</f>
        <v>249965891402</v>
      </c>
      <c r="C2057" s="1" t="str">
        <f>T("1941094503767082620")</f>
        <v>1941094503767082620</v>
      </c>
      <c r="AC2057" s="1" t="s">
        <v>344</v>
      </c>
      <c r="AD2057" s="1" t="s">
        <v>430</v>
      </c>
      <c r="AE2057" s="1" t="s">
        <v>530</v>
      </c>
      <c r="AF2057" s="1" t="s">
        <v>144</v>
      </c>
      <c r="AG2057" s="1">
        <v>43</v>
      </c>
      <c r="AO2057" s="2">
        <v>46279</v>
      </c>
      <c r="AP2057" s="1" t="s">
        <v>301</v>
      </c>
      <c r="AS2057" s="1" t="s">
        <v>71</v>
      </c>
      <c r="AU2057" s="1" t="s">
        <v>72</v>
      </c>
      <c r="AV2057" s="1" t="s">
        <v>73</v>
      </c>
      <c r="AX2057" s="1">
        <v>0</v>
      </c>
      <c r="BA2057" s="1">
        <v>9</v>
      </c>
      <c r="BB2057" s="1">
        <v>0</v>
      </c>
      <c r="BC2057" s="1">
        <v>0</v>
      </c>
      <c r="BE2057" s="1">
        <v>27388085</v>
      </c>
    </row>
    <row r="2058" spans="1:57" x14ac:dyDescent="0.25">
      <c r="A2058" s="1" t="str">
        <f>T("1946188945579253636")</f>
        <v>1946188945579253636</v>
      </c>
      <c r="B2058" s="1" t="str">
        <f>T("249966474505")</f>
        <v>249966474505</v>
      </c>
      <c r="C2058" s="1" t="str">
        <f>T("1941094503767084220")</f>
        <v>1941094503767084220</v>
      </c>
      <c r="AC2058" s="1" t="s">
        <v>344</v>
      </c>
      <c r="AD2058" s="1" t="s">
        <v>430</v>
      </c>
      <c r="AE2058" s="1" t="s">
        <v>530</v>
      </c>
      <c r="AF2058" s="1" t="s">
        <v>144</v>
      </c>
      <c r="AG2058" s="1">
        <v>32</v>
      </c>
      <c r="AO2058" s="2">
        <v>46279</v>
      </c>
      <c r="AP2058" s="1" t="s">
        <v>301</v>
      </c>
      <c r="AS2058" s="1" t="s">
        <v>71</v>
      </c>
      <c r="AU2058" s="1" t="s">
        <v>72</v>
      </c>
      <c r="AV2058" s="1" t="s">
        <v>437</v>
      </c>
      <c r="AX2058" s="1">
        <v>0</v>
      </c>
      <c r="BA2058" s="1">
        <v>9</v>
      </c>
      <c r="BB2058" s="1">
        <v>0</v>
      </c>
      <c r="BC2058" s="1">
        <v>0</v>
      </c>
      <c r="BE2058" s="1">
        <v>27388085</v>
      </c>
    </row>
    <row r="2059" spans="1:57" x14ac:dyDescent="0.25">
      <c r="A2059" s="1" t="str">
        <f>T("1946188945583447644")</f>
        <v>1946188945583447644</v>
      </c>
      <c r="B2059" s="1" t="str">
        <f>T("249901661718")</f>
        <v>249901661718</v>
      </c>
      <c r="C2059" s="1" t="str">
        <f>T("1941094503771277328")</f>
        <v>1941094503771277328</v>
      </c>
      <c r="AC2059" s="1" t="s">
        <v>344</v>
      </c>
      <c r="AD2059" s="1" t="s">
        <v>430</v>
      </c>
      <c r="AE2059" s="1" t="s">
        <v>530</v>
      </c>
      <c r="AF2059" s="1" t="s">
        <v>144</v>
      </c>
      <c r="AG2059" s="1">
        <v>27</v>
      </c>
      <c r="AO2059" s="2">
        <v>46279</v>
      </c>
      <c r="AP2059" s="1" t="s">
        <v>301</v>
      </c>
      <c r="AS2059" s="1" t="s">
        <v>71</v>
      </c>
      <c r="AU2059" s="1" t="s">
        <v>72</v>
      </c>
      <c r="AV2059" s="1" t="s">
        <v>73</v>
      </c>
      <c r="AX2059" s="1">
        <v>0</v>
      </c>
      <c r="BA2059" s="1">
        <v>9</v>
      </c>
      <c r="BB2059" s="1">
        <v>0</v>
      </c>
      <c r="BC2059" s="1">
        <v>0</v>
      </c>
      <c r="BE2059" s="1">
        <v>27388085</v>
      </c>
    </row>
    <row r="2060" spans="1:57" x14ac:dyDescent="0.25">
      <c r="A2060" s="1" t="str">
        <f>T("1946188945596027868")</f>
        <v>1946188945596027868</v>
      </c>
      <c r="B2060" s="1" t="str">
        <f>T("249911295280")</f>
        <v>249911295280</v>
      </c>
      <c r="C2060" s="1" t="str">
        <f>T("1941094503771278028")</f>
        <v>1941094503771278028</v>
      </c>
      <c r="AC2060" s="1" t="s">
        <v>344</v>
      </c>
      <c r="AD2060" s="1" t="s">
        <v>430</v>
      </c>
      <c r="AE2060" s="1" t="s">
        <v>530</v>
      </c>
      <c r="AF2060" s="1" t="s">
        <v>144</v>
      </c>
      <c r="AG2060" s="1">
        <v>50</v>
      </c>
      <c r="AO2060" s="2">
        <v>46279</v>
      </c>
      <c r="AP2060" s="1" t="s">
        <v>301</v>
      </c>
      <c r="AS2060" s="1" t="s">
        <v>71</v>
      </c>
      <c r="AU2060" s="1" t="s">
        <v>72</v>
      </c>
      <c r="AV2060" s="1" t="s">
        <v>437</v>
      </c>
      <c r="AX2060" s="1">
        <v>0</v>
      </c>
      <c r="BA2060" s="1">
        <v>9</v>
      </c>
      <c r="BB2060" s="1">
        <v>0</v>
      </c>
      <c r="BC2060" s="1">
        <v>0</v>
      </c>
      <c r="BE2060" s="1">
        <v>27388085</v>
      </c>
    </row>
    <row r="2061" spans="1:57" x14ac:dyDescent="0.25">
      <c r="A2061" s="1" t="str">
        <f>T("1946188945608613492")</f>
        <v>1946188945608613492</v>
      </c>
      <c r="B2061" s="1" t="str">
        <f>T("249922566623")</f>
        <v>249922566623</v>
      </c>
      <c r="C2061" s="1" t="str">
        <f>T("1941094503771278928")</f>
        <v>1941094503771278928</v>
      </c>
      <c r="AC2061" s="1" t="s">
        <v>344</v>
      </c>
      <c r="AD2061" s="1" t="s">
        <v>372</v>
      </c>
      <c r="AE2061" s="1" t="s">
        <v>814</v>
      </c>
      <c r="AF2061" s="1" t="s">
        <v>144</v>
      </c>
      <c r="AG2061" s="1">
        <v>35</v>
      </c>
      <c r="AO2061" s="2">
        <v>46279</v>
      </c>
      <c r="AP2061" s="1" t="s">
        <v>301</v>
      </c>
      <c r="AQ2061" s="2">
        <v>46279</v>
      </c>
      <c r="AR2061" s="1" t="s">
        <v>830</v>
      </c>
      <c r="AS2061" s="1" t="s">
        <v>71</v>
      </c>
      <c r="AU2061" s="1" t="s">
        <v>79</v>
      </c>
      <c r="AV2061" s="1" t="s">
        <v>80</v>
      </c>
      <c r="AW2061" s="1">
        <v>10.78</v>
      </c>
      <c r="AX2061" s="1">
        <v>0</v>
      </c>
      <c r="AZ2061" s="1" t="s">
        <v>81</v>
      </c>
      <c r="BA2061" s="1">
        <v>7</v>
      </c>
      <c r="BB2061" s="1">
        <v>0</v>
      </c>
      <c r="BC2061" s="1">
        <v>0</v>
      </c>
      <c r="BE2061" s="1">
        <v>27388085</v>
      </c>
    </row>
    <row r="2062" spans="1:57" x14ac:dyDescent="0.25">
      <c r="A2062" s="1" t="str">
        <f>T("1946188945612808100")</f>
        <v>1946188945612808100</v>
      </c>
      <c r="B2062" s="1" t="str">
        <f>T("249918891036")</f>
        <v>249918891036</v>
      </c>
      <c r="C2062" s="1" t="str">
        <f>T("1941094503775469636")</f>
        <v>1941094503775469636</v>
      </c>
      <c r="AC2062" s="1" t="s">
        <v>344</v>
      </c>
      <c r="AD2062" s="1" t="s">
        <v>430</v>
      </c>
      <c r="AE2062" s="1" t="s">
        <v>530</v>
      </c>
      <c r="AF2062" s="1" t="s">
        <v>107</v>
      </c>
      <c r="AG2062" s="1">
        <v>28</v>
      </c>
      <c r="AO2062" s="2">
        <v>46279</v>
      </c>
      <c r="AP2062" s="1" t="s">
        <v>301</v>
      </c>
      <c r="AS2062" s="1" t="s">
        <v>71</v>
      </c>
      <c r="AU2062" s="1" t="s">
        <v>72</v>
      </c>
      <c r="AV2062" s="1" t="s">
        <v>73</v>
      </c>
      <c r="AX2062" s="1">
        <v>0</v>
      </c>
      <c r="BA2062" s="1">
        <v>9</v>
      </c>
      <c r="BB2062" s="1">
        <v>0</v>
      </c>
      <c r="BC2062" s="1">
        <v>0</v>
      </c>
      <c r="BE2062" s="1">
        <v>27388085</v>
      </c>
    </row>
    <row r="2063" spans="1:57" x14ac:dyDescent="0.25">
      <c r="A2063" s="1" t="str">
        <f>T("1946188945642164756")</f>
        <v>1946188945642164756</v>
      </c>
      <c r="B2063" s="1" t="str">
        <f>T("249928675040")</f>
        <v>249928675040</v>
      </c>
      <c r="C2063" s="1" t="str">
        <f>T("1941094503775472836")</f>
        <v>1941094503775472836</v>
      </c>
      <c r="AC2063" s="1" t="s">
        <v>344</v>
      </c>
      <c r="AD2063" s="1" t="s">
        <v>372</v>
      </c>
      <c r="AE2063" s="1" t="s">
        <v>820</v>
      </c>
      <c r="AF2063" s="1" t="s">
        <v>107</v>
      </c>
      <c r="AG2063" s="1">
        <v>45</v>
      </c>
      <c r="AO2063" s="2">
        <v>46279</v>
      </c>
      <c r="AP2063" s="1" t="s">
        <v>301</v>
      </c>
      <c r="AQ2063" s="2">
        <v>46279</v>
      </c>
      <c r="AR2063" s="1" t="s">
        <v>831</v>
      </c>
      <c r="AS2063" s="1" t="s">
        <v>71</v>
      </c>
      <c r="AU2063" s="1" t="s">
        <v>79</v>
      </c>
      <c r="AV2063" s="1" t="s">
        <v>80</v>
      </c>
      <c r="AW2063" s="1">
        <v>7.48</v>
      </c>
      <c r="AX2063" s="1">
        <v>0</v>
      </c>
      <c r="AZ2063" s="1" t="s">
        <v>81</v>
      </c>
      <c r="BA2063" s="1">
        <v>6</v>
      </c>
      <c r="BB2063" s="1">
        <v>0</v>
      </c>
      <c r="BC2063" s="1">
        <v>0</v>
      </c>
      <c r="BE2063" s="1">
        <v>27388085</v>
      </c>
    </row>
    <row r="2064" spans="1:57" x14ac:dyDescent="0.25">
      <c r="A2064" s="1" t="str">
        <f>T("1946188945642165956")</f>
        <v>1946188945642165956</v>
      </c>
      <c r="B2064" s="1" t="str">
        <f>T("249117786431")</f>
        <v>249117786431</v>
      </c>
      <c r="C2064" s="1" t="str">
        <f>T("1941094503775470536")</f>
        <v>1941094503775470536</v>
      </c>
      <c r="M2064" s="1" t="s">
        <v>59</v>
      </c>
      <c r="O2064" s="1" t="s">
        <v>60</v>
      </c>
      <c r="P2064" s="1" t="s">
        <v>91</v>
      </c>
      <c r="Q2064" s="1" t="s">
        <v>112</v>
      </c>
      <c r="R2064" s="1" t="s">
        <v>63</v>
      </c>
      <c r="S2064" s="1" t="s">
        <v>64</v>
      </c>
      <c r="U2064" s="1" t="s">
        <v>65</v>
      </c>
      <c r="V2064" s="1" t="s">
        <v>68</v>
      </c>
      <c r="W2064" s="1" t="s">
        <v>60</v>
      </c>
      <c r="X2064" s="1" t="s">
        <v>68</v>
      </c>
      <c r="Y2064" s="1" t="s">
        <v>160</v>
      </c>
      <c r="AA2064" s="1">
        <v>1</v>
      </c>
      <c r="AB2064" s="1">
        <v>1</v>
      </c>
      <c r="AC2064" s="1" t="s">
        <v>344</v>
      </c>
      <c r="AD2064" s="1" t="s">
        <v>430</v>
      </c>
      <c r="AE2064" s="1" t="s">
        <v>530</v>
      </c>
      <c r="AF2064" s="1" t="s">
        <v>107</v>
      </c>
      <c r="AG2064" s="1">
        <v>40</v>
      </c>
      <c r="AO2064" s="2">
        <v>46279</v>
      </c>
      <c r="AP2064" s="1" t="s">
        <v>301</v>
      </c>
      <c r="AQ2064" s="2">
        <v>46279</v>
      </c>
      <c r="AR2064" s="1" t="s">
        <v>704</v>
      </c>
      <c r="AS2064" s="1" t="s">
        <v>71</v>
      </c>
      <c r="AU2064" s="1" t="s">
        <v>78</v>
      </c>
      <c r="AV2064" s="1" t="s">
        <v>80</v>
      </c>
      <c r="AW2064" s="1">
        <v>296.12</v>
      </c>
      <c r="AX2064" s="1">
        <v>0</v>
      </c>
      <c r="AZ2064" s="1" t="s">
        <v>81</v>
      </c>
      <c r="BA2064" s="1">
        <v>1</v>
      </c>
      <c r="BB2064" s="1">
        <v>0</v>
      </c>
      <c r="BC2064" s="1">
        <v>0</v>
      </c>
      <c r="BE2064" s="1">
        <v>27388085</v>
      </c>
    </row>
    <row r="2065" spans="1:57" x14ac:dyDescent="0.25">
      <c r="A2065" s="1" t="str">
        <f>T("1946188945650553472")</f>
        <v>1946188945650553472</v>
      </c>
      <c r="B2065" s="1" t="str">
        <f>T("249913746487")</f>
        <v>249913746487</v>
      </c>
      <c r="C2065" s="1" t="str">
        <f>T("1941094503779664044")</f>
        <v>1941094503779664044</v>
      </c>
      <c r="AC2065" s="1" t="s">
        <v>344</v>
      </c>
      <c r="AD2065" s="1" t="s">
        <v>430</v>
      </c>
      <c r="AE2065" s="1" t="s">
        <v>530</v>
      </c>
      <c r="AF2065" s="1" t="s">
        <v>107</v>
      </c>
      <c r="AG2065" s="1">
        <v>35</v>
      </c>
      <c r="AO2065" s="2">
        <v>46279</v>
      </c>
      <c r="AP2065" s="1" t="s">
        <v>301</v>
      </c>
      <c r="AS2065" s="1" t="s">
        <v>71</v>
      </c>
      <c r="AU2065" s="1" t="s">
        <v>72</v>
      </c>
      <c r="AV2065" s="1" t="s">
        <v>437</v>
      </c>
      <c r="AX2065" s="1">
        <v>0</v>
      </c>
      <c r="BA2065" s="1">
        <v>9</v>
      </c>
      <c r="BB2065" s="1">
        <v>0</v>
      </c>
      <c r="BC2065" s="1">
        <v>0</v>
      </c>
      <c r="BE2065" s="1">
        <v>27388085</v>
      </c>
    </row>
    <row r="2066" spans="1:57" x14ac:dyDescent="0.25">
      <c r="A2066" s="1" t="str">
        <f>T("1946188945650555672")</f>
        <v>1946188945650555672</v>
      </c>
      <c r="B2066" s="1" t="str">
        <f>T("249999444045")</f>
        <v>249999444045</v>
      </c>
      <c r="C2066" s="1" t="str">
        <f>T("1941094503775473336")</f>
        <v>1941094503775473336</v>
      </c>
      <c r="AC2066" s="1" t="s">
        <v>344</v>
      </c>
      <c r="AD2066" s="1" t="s">
        <v>372</v>
      </c>
      <c r="AE2066" s="1" t="s">
        <v>813</v>
      </c>
      <c r="AF2066" s="1" t="s">
        <v>144</v>
      </c>
      <c r="AG2066" s="1">
        <v>47</v>
      </c>
      <c r="AO2066" s="2">
        <v>46279</v>
      </c>
      <c r="AP2066" s="1" t="s">
        <v>301</v>
      </c>
      <c r="AS2066" s="1" t="s">
        <v>71</v>
      </c>
      <c r="AU2066" s="1" t="s">
        <v>72</v>
      </c>
      <c r="AV2066" s="1" t="s">
        <v>334</v>
      </c>
      <c r="AX2066" s="1">
        <v>0</v>
      </c>
      <c r="BA2066" s="1">
        <v>9</v>
      </c>
      <c r="BB2066" s="1">
        <v>0</v>
      </c>
      <c r="BC2066" s="1">
        <v>0</v>
      </c>
      <c r="BE2066" s="1">
        <v>27388085</v>
      </c>
    </row>
    <row r="2067" spans="1:57" x14ac:dyDescent="0.25">
      <c r="A2067" s="1" t="str">
        <f>T("1946188945663136896")</f>
        <v>1946188945663136896</v>
      </c>
      <c r="B2067" s="1" t="str">
        <f>T("24991120060")</f>
        <v>24991120060</v>
      </c>
      <c r="C2067" s="1" t="str">
        <f>T("1941094503779664444")</f>
        <v>1941094503779664444</v>
      </c>
      <c r="AC2067" s="1" t="s">
        <v>344</v>
      </c>
      <c r="AD2067" s="1" t="s">
        <v>441</v>
      </c>
      <c r="AE2067" s="1" t="s">
        <v>530</v>
      </c>
      <c r="AF2067" s="1" t="s">
        <v>144</v>
      </c>
      <c r="AG2067" s="1">
        <v>45</v>
      </c>
      <c r="AO2067" s="2">
        <v>46279</v>
      </c>
      <c r="AP2067" s="1" t="s">
        <v>301</v>
      </c>
      <c r="AS2067" s="1" t="s">
        <v>71</v>
      </c>
      <c r="AU2067" s="1" t="s">
        <v>72</v>
      </c>
      <c r="AV2067" s="1" t="s">
        <v>73</v>
      </c>
      <c r="AX2067" s="1">
        <v>0</v>
      </c>
      <c r="BA2067" s="1">
        <v>9</v>
      </c>
      <c r="BB2067" s="1">
        <v>0</v>
      </c>
      <c r="BC2067" s="1">
        <v>0</v>
      </c>
      <c r="BE2067" s="1">
        <v>27388085</v>
      </c>
    </row>
    <row r="2068" spans="1:57" x14ac:dyDescent="0.25">
      <c r="A2068" s="1" t="str">
        <f>T("1946188945667332304")</f>
        <v>1946188945667332304</v>
      </c>
      <c r="B2068" s="1" t="str">
        <f>T("249903828577")</f>
        <v>249903828577</v>
      </c>
      <c r="C2068" s="1" t="str">
        <f>T("1941094503779665044")</f>
        <v>1941094503779665044</v>
      </c>
      <c r="AC2068" s="1" t="s">
        <v>344</v>
      </c>
      <c r="AD2068" s="1" t="s">
        <v>372</v>
      </c>
      <c r="AE2068" s="1" t="s">
        <v>815</v>
      </c>
      <c r="AF2068" s="1" t="s">
        <v>144</v>
      </c>
      <c r="AG2068" s="1">
        <v>23</v>
      </c>
      <c r="AO2068" s="2">
        <v>46279</v>
      </c>
      <c r="AP2068" s="1" t="s">
        <v>301</v>
      </c>
      <c r="AS2068" s="1" t="s">
        <v>71</v>
      </c>
      <c r="AU2068" s="1" t="s">
        <v>72</v>
      </c>
      <c r="AV2068" s="1" t="s">
        <v>73</v>
      </c>
      <c r="AX2068" s="1">
        <v>0</v>
      </c>
      <c r="BA2068" s="1">
        <v>9</v>
      </c>
      <c r="BB2068" s="1">
        <v>0</v>
      </c>
      <c r="BC2068" s="1">
        <v>0</v>
      </c>
      <c r="BE2068" s="1">
        <v>27388085</v>
      </c>
    </row>
    <row r="2069" spans="1:57" x14ac:dyDescent="0.25">
      <c r="A2069" s="1" t="str">
        <f>T("1946188945692499752")</f>
        <v>1946188945692499752</v>
      </c>
      <c r="B2069" s="1" t="str">
        <f>T("249961651123")</f>
        <v>249961651123</v>
      </c>
      <c r="C2069" s="1" t="str">
        <f>T("1941094503779665544")</f>
        <v>1941094503779665544</v>
      </c>
      <c r="AC2069" s="1" t="s">
        <v>344</v>
      </c>
      <c r="AD2069" s="1" t="s">
        <v>372</v>
      </c>
      <c r="AE2069" s="1" t="s">
        <v>814</v>
      </c>
      <c r="AF2069" s="1" t="s">
        <v>144</v>
      </c>
      <c r="AG2069" s="1">
        <v>46</v>
      </c>
      <c r="AO2069" s="2">
        <v>46279</v>
      </c>
      <c r="AP2069" s="1" t="s">
        <v>301</v>
      </c>
      <c r="AS2069" s="1" t="s">
        <v>71</v>
      </c>
      <c r="AU2069" s="1" t="s">
        <v>72</v>
      </c>
      <c r="AV2069" s="1" t="s">
        <v>73</v>
      </c>
      <c r="AX2069" s="1">
        <v>0</v>
      </c>
      <c r="BA2069" s="1">
        <v>9</v>
      </c>
      <c r="BB2069" s="1">
        <v>0</v>
      </c>
      <c r="BC2069" s="1">
        <v>0</v>
      </c>
      <c r="BE2069" s="1">
        <v>27388085</v>
      </c>
    </row>
    <row r="2070" spans="1:57" x14ac:dyDescent="0.25">
      <c r="A2070" s="1" t="str">
        <f>T("1946188945705081176")</f>
        <v>1946188945705081176</v>
      </c>
      <c r="B2070" s="1" t="str">
        <f>T("249903028058")</f>
        <v>249903028058</v>
      </c>
      <c r="C2070" s="1" t="str">
        <f>T("1941094503783859252")</f>
        <v>1941094503783859252</v>
      </c>
      <c r="AC2070" s="1" t="s">
        <v>344</v>
      </c>
      <c r="AD2070" s="1" t="s">
        <v>357</v>
      </c>
      <c r="AE2070" s="1" t="s">
        <v>812</v>
      </c>
      <c r="AF2070" s="1" t="s">
        <v>107</v>
      </c>
      <c r="AG2070" s="1">
        <v>46</v>
      </c>
      <c r="AO2070" s="2">
        <v>46279</v>
      </c>
      <c r="AP2070" s="1" t="s">
        <v>301</v>
      </c>
      <c r="AS2070" s="1" t="s">
        <v>71</v>
      </c>
      <c r="AU2070" s="1" t="s">
        <v>72</v>
      </c>
      <c r="AV2070" s="1" t="s">
        <v>73</v>
      </c>
      <c r="AX2070" s="1">
        <v>0</v>
      </c>
      <c r="BA2070" s="1">
        <v>9</v>
      </c>
      <c r="BB2070" s="1">
        <v>0</v>
      </c>
      <c r="BC2070" s="1">
        <v>0</v>
      </c>
      <c r="BE2070" s="1">
        <v>27388085</v>
      </c>
    </row>
    <row r="2071" spans="1:57" x14ac:dyDescent="0.25">
      <c r="A2071" s="1" t="str">
        <f>T("1946188945709277084")</f>
        <v>1946188945709277084</v>
      </c>
      <c r="B2071" s="1" t="str">
        <f>T("249909473022")</f>
        <v>249909473022</v>
      </c>
      <c r="C2071" s="1" t="str">
        <f>T("1941094503779666444")</f>
        <v>1941094503779666444</v>
      </c>
      <c r="AC2071" s="1" t="s">
        <v>344</v>
      </c>
      <c r="AD2071" s="1" t="s">
        <v>430</v>
      </c>
      <c r="AE2071" s="1" t="s">
        <v>530</v>
      </c>
      <c r="AF2071" s="1" t="s">
        <v>144</v>
      </c>
      <c r="AG2071" s="1">
        <v>44</v>
      </c>
      <c r="AO2071" s="2">
        <v>46279</v>
      </c>
      <c r="AP2071" s="1" t="s">
        <v>301</v>
      </c>
      <c r="AS2071" s="1" t="s">
        <v>71</v>
      </c>
      <c r="AU2071" s="1" t="s">
        <v>72</v>
      </c>
      <c r="AV2071" s="1" t="s">
        <v>437</v>
      </c>
      <c r="AX2071" s="1">
        <v>0</v>
      </c>
      <c r="BA2071" s="1">
        <v>9</v>
      </c>
      <c r="BB2071" s="1">
        <v>0</v>
      </c>
      <c r="BC2071" s="1">
        <v>0</v>
      </c>
      <c r="BE2071" s="1">
        <v>27388085</v>
      </c>
    </row>
    <row r="2072" spans="1:57" x14ac:dyDescent="0.25">
      <c r="A2072" s="1" t="str">
        <f>T("1946188945717662800")</f>
        <v>1946188945717662800</v>
      </c>
      <c r="B2072" s="1" t="str">
        <f>T("249913786253")</f>
        <v>249913786253</v>
      </c>
      <c r="C2072" s="1" t="str">
        <f>T("1941094503783860452")</f>
        <v>1941094503783860452</v>
      </c>
      <c r="AC2072" s="1" t="s">
        <v>344</v>
      </c>
      <c r="AD2072" s="1" t="s">
        <v>441</v>
      </c>
      <c r="AE2072" s="1" t="s">
        <v>530</v>
      </c>
      <c r="AF2072" s="1" t="s">
        <v>107</v>
      </c>
      <c r="AG2072" s="1">
        <v>55</v>
      </c>
      <c r="AO2072" s="2">
        <v>46279</v>
      </c>
      <c r="AP2072" s="1" t="s">
        <v>301</v>
      </c>
      <c r="AS2072" s="1" t="s">
        <v>71</v>
      </c>
      <c r="AU2072" s="1" t="s">
        <v>72</v>
      </c>
      <c r="AV2072" s="1" t="s">
        <v>73</v>
      </c>
      <c r="AX2072" s="1">
        <v>0</v>
      </c>
      <c r="BA2072" s="1">
        <v>9</v>
      </c>
      <c r="BB2072" s="1">
        <v>0</v>
      </c>
      <c r="BC2072" s="1">
        <v>0</v>
      </c>
      <c r="BE2072" s="1">
        <v>27388085</v>
      </c>
    </row>
    <row r="2073" spans="1:57" x14ac:dyDescent="0.25">
      <c r="A2073" s="1" t="str">
        <f>T("1946188945721857108")</f>
        <v>1946188945721857108</v>
      </c>
      <c r="B2073" s="1" t="str">
        <f>T("249960341913")</f>
        <v>249960341913</v>
      </c>
      <c r="C2073" s="1" t="str">
        <f>T("1941094503783859952")</f>
        <v>1941094503783859952</v>
      </c>
      <c r="AC2073" s="1" t="s">
        <v>344</v>
      </c>
      <c r="AD2073" s="1" t="s">
        <v>430</v>
      </c>
      <c r="AE2073" s="1" t="s">
        <v>530</v>
      </c>
      <c r="AF2073" s="1" t="s">
        <v>144</v>
      </c>
      <c r="AG2073" s="1">
        <v>43</v>
      </c>
      <c r="AO2073" s="2">
        <v>46279</v>
      </c>
      <c r="AP2073" s="1" t="s">
        <v>301</v>
      </c>
      <c r="AS2073" s="1" t="s">
        <v>71</v>
      </c>
      <c r="AU2073" s="1" t="s">
        <v>72</v>
      </c>
      <c r="AV2073" s="1" t="s">
        <v>73</v>
      </c>
      <c r="AX2073" s="1">
        <v>0</v>
      </c>
      <c r="BA2073" s="1">
        <v>9</v>
      </c>
      <c r="BB2073" s="1">
        <v>0</v>
      </c>
      <c r="BC2073" s="1">
        <v>0</v>
      </c>
      <c r="BE2073" s="1">
        <v>27388085</v>
      </c>
    </row>
    <row r="2074" spans="1:57" x14ac:dyDescent="0.25">
      <c r="A2074" s="1" t="str">
        <f>T("1946188945721858108")</f>
        <v>1946188945721858108</v>
      </c>
      <c r="B2074" s="1" t="str">
        <f>T("249907393929")</f>
        <v>249907393929</v>
      </c>
      <c r="C2074" s="1" t="str">
        <f>T("1941094503783860952")</f>
        <v>1941094503783860952</v>
      </c>
      <c r="AC2074" s="1" t="s">
        <v>344</v>
      </c>
      <c r="AD2074" s="1" t="s">
        <v>372</v>
      </c>
      <c r="AE2074" s="1" t="s">
        <v>818</v>
      </c>
      <c r="AF2074" s="1" t="s">
        <v>144</v>
      </c>
      <c r="AG2074" s="1">
        <v>58</v>
      </c>
      <c r="AO2074" s="2">
        <v>46279</v>
      </c>
      <c r="AP2074" s="1" t="s">
        <v>301</v>
      </c>
      <c r="AS2074" s="1" t="s">
        <v>71</v>
      </c>
      <c r="AU2074" s="1" t="s">
        <v>72</v>
      </c>
      <c r="AV2074" s="1" t="s">
        <v>73</v>
      </c>
      <c r="AX2074" s="1">
        <v>0</v>
      </c>
      <c r="BA2074" s="1">
        <v>9</v>
      </c>
      <c r="BB2074" s="1">
        <v>0</v>
      </c>
      <c r="BC2074" s="1">
        <v>0</v>
      </c>
      <c r="BE2074" s="1">
        <v>27388085</v>
      </c>
    </row>
    <row r="2075" spans="1:57" x14ac:dyDescent="0.25">
      <c r="A2075" s="1" t="str">
        <f>T("1946188945755411272")</f>
        <v>1946188945755411272</v>
      </c>
      <c r="B2075" s="1" t="str">
        <f>T("249900237486")</f>
        <v>249900237486</v>
      </c>
      <c r="C2075" s="1" t="str">
        <f>T("1941094503788053960")</f>
        <v>1941094503788053960</v>
      </c>
      <c r="AC2075" s="1" t="s">
        <v>344</v>
      </c>
      <c r="AD2075" s="1" t="s">
        <v>372</v>
      </c>
      <c r="AE2075" s="1" t="s">
        <v>815</v>
      </c>
      <c r="AF2075" s="1" t="s">
        <v>144</v>
      </c>
      <c r="AG2075" s="1">
        <v>34</v>
      </c>
      <c r="AO2075" s="2">
        <v>46279</v>
      </c>
      <c r="AP2075" s="1" t="s">
        <v>301</v>
      </c>
      <c r="AS2075" s="1" t="s">
        <v>71</v>
      </c>
      <c r="AU2075" s="1" t="s">
        <v>72</v>
      </c>
      <c r="AV2075" s="1" t="s">
        <v>437</v>
      </c>
      <c r="AX2075" s="1">
        <v>0</v>
      </c>
      <c r="BA2075" s="1">
        <v>9</v>
      </c>
      <c r="BB2075" s="1">
        <v>0</v>
      </c>
      <c r="BC2075" s="1">
        <v>0</v>
      </c>
      <c r="BE2075" s="1">
        <v>27388085</v>
      </c>
    </row>
    <row r="2076" spans="1:57" x14ac:dyDescent="0.25">
      <c r="A2076" s="1" t="str">
        <f>T("1946188945755412472")</f>
        <v>1946188945755412472</v>
      </c>
      <c r="B2076" s="1" t="str">
        <f>T("249901760387")</f>
        <v>249901760387</v>
      </c>
      <c r="C2076" s="1" t="str">
        <f>T("1941094503788053360")</f>
        <v>1941094503788053360</v>
      </c>
      <c r="AC2076" s="1" t="s">
        <v>344</v>
      </c>
      <c r="AD2076" s="1" t="s">
        <v>430</v>
      </c>
      <c r="AE2076" s="1" t="s">
        <v>530</v>
      </c>
      <c r="AF2076" s="1" t="s">
        <v>144</v>
      </c>
      <c r="AG2076" s="1">
        <v>24</v>
      </c>
      <c r="AO2076" s="2">
        <v>46279</v>
      </c>
      <c r="AP2076" s="1" t="s">
        <v>301</v>
      </c>
      <c r="AS2076" s="1" t="s">
        <v>71</v>
      </c>
      <c r="AU2076" s="1" t="s">
        <v>72</v>
      </c>
      <c r="AV2076" s="1" t="s">
        <v>437</v>
      </c>
      <c r="AX2076" s="1">
        <v>0</v>
      </c>
      <c r="BA2076" s="1">
        <v>9</v>
      </c>
      <c r="BB2076" s="1">
        <v>0</v>
      </c>
      <c r="BC2076" s="1">
        <v>0</v>
      </c>
      <c r="BE2076" s="1">
        <v>27388085</v>
      </c>
    </row>
    <row r="2077" spans="1:57" x14ac:dyDescent="0.25">
      <c r="A2077" s="1" t="str">
        <f>T("1946188945767995696")</f>
        <v>1946188945767995696</v>
      </c>
      <c r="B2077" s="1" t="str">
        <f>T("249922674663")</f>
        <v>249922674663</v>
      </c>
      <c r="C2077" s="1" t="str">
        <f>T("1941094503788054960")</f>
        <v>1941094503788054960</v>
      </c>
      <c r="AC2077" s="1" t="s">
        <v>344</v>
      </c>
      <c r="AD2077" s="1" t="s">
        <v>372</v>
      </c>
      <c r="AE2077" s="1" t="s">
        <v>814</v>
      </c>
      <c r="AF2077" s="1" t="s">
        <v>144</v>
      </c>
      <c r="AG2077" s="1">
        <v>70</v>
      </c>
      <c r="AO2077" s="2">
        <v>46279</v>
      </c>
      <c r="AP2077" s="1" t="s">
        <v>301</v>
      </c>
      <c r="AS2077" s="1" t="s">
        <v>71</v>
      </c>
      <c r="AU2077" s="1" t="s">
        <v>72</v>
      </c>
      <c r="AV2077" s="1" t="s">
        <v>73</v>
      </c>
      <c r="AX2077" s="1">
        <v>0</v>
      </c>
      <c r="BA2077" s="1">
        <v>9</v>
      </c>
      <c r="BB2077" s="1">
        <v>0</v>
      </c>
      <c r="BC2077" s="1">
        <v>0</v>
      </c>
      <c r="BE2077" s="1">
        <v>27388085</v>
      </c>
    </row>
    <row r="2078" spans="1:57" x14ac:dyDescent="0.25">
      <c r="A2078" s="1" t="str">
        <f>T("1946188945776382012")</f>
        <v>1946188945776382012</v>
      </c>
      <c r="B2078" s="1" t="str">
        <f>T("249907078288")</f>
        <v>249907078288</v>
      </c>
      <c r="C2078" s="1" t="str">
        <f>T("1941094503788054460")</f>
        <v>1941094503788054460</v>
      </c>
      <c r="AC2078" s="1" t="s">
        <v>344</v>
      </c>
      <c r="AD2078" s="1" t="s">
        <v>372</v>
      </c>
      <c r="AE2078" s="1" t="s">
        <v>813</v>
      </c>
      <c r="AF2078" s="1" t="s">
        <v>144</v>
      </c>
      <c r="AG2078" s="1">
        <v>40</v>
      </c>
      <c r="AO2078" s="2">
        <v>46279</v>
      </c>
      <c r="AP2078" s="1" t="s">
        <v>301</v>
      </c>
      <c r="AS2078" s="1" t="s">
        <v>71</v>
      </c>
      <c r="AU2078" s="1" t="s">
        <v>72</v>
      </c>
      <c r="AV2078" s="1" t="s">
        <v>437</v>
      </c>
      <c r="AX2078" s="1">
        <v>0</v>
      </c>
      <c r="BA2078" s="1">
        <v>9</v>
      </c>
      <c r="BB2078" s="1">
        <v>0</v>
      </c>
      <c r="BC2078" s="1">
        <v>0</v>
      </c>
      <c r="BE2078" s="1">
        <v>27388085</v>
      </c>
    </row>
    <row r="2079" spans="1:57" x14ac:dyDescent="0.25">
      <c r="A2079" s="1" t="str">
        <f>T("1946188945780576720")</f>
        <v>1946188945780576720</v>
      </c>
      <c r="B2079" s="1" t="str">
        <f>T("249900281257")</f>
        <v>249900281257</v>
      </c>
      <c r="C2079" s="1" t="str">
        <f>T("1941094503792248168")</f>
        <v>1941094503792248168</v>
      </c>
      <c r="AC2079" s="1" t="s">
        <v>344</v>
      </c>
      <c r="AD2079" s="1" t="s">
        <v>441</v>
      </c>
      <c r="AE2079" s="1" t="s">
        <v>530</v>
      </c>
      <c r="AF2079" s="1" t="s">
        <v>107</v>
      </c>
      <c r="AG2079" s="1">
        <v>40</v>
      </c>
      <c r="AO2079" s="2">
        <v>46279</v>
      </c>
      <c r="AP2079" s="1" t="s">
        <v>301</v>
      </c>
      <c r="AS2079" s="1" t="s">
        <v>71</v>
      </c>
      <c r="AU2079" s="1" t="s">
        <v>72</v>
      </c>
      <c r="AV2079" s="1" t="s">
        <v>73</v>
      </c>
      <c r="AX2079" s="1">
        <v>0</v>
      </c>
      <c r="BA2079" s="1">
        <v>9</v>
      </c>
      <c r="BB2079" s="1">
        <v>0</v>
      </c>
      <c r="BC2079" s="1">
        <v>0</v>
      </c>
      <c r="BE2079" s="1">
        <v>27388085</v>
      </c>
    </row>
    <row r="2080" spans="1:57" x14ac:dyDescent="0.25">
      <c r="A2080" s="1" t="str">
        <f>T("1946188945780579920")</f>
        <v>1946188945780579920</v>
      </c>
      <c r="B2080" s="1" t="str">
        <f>T("249963534506")</f>
        <v>249963534506</v>
      </c>
      <c r="C2080" s="1" t="str">
        <f>T("1941094503792247368")</f>
        <v>1941094503792247368</v>
      </c>
      <c r="AC2080" s="1" t="s">
        <v>344</v>
      </c>
      <c r="AD2080" s="1" t="s">
        <v>441</v>
      </c>
      <c r="AE2080" s="1" t="s">
        <v>530</v>
      </c>
      <c r="AF2080" s="1" t="s">
        <v>107</v>
      </c>
      <c r="AG2080" s="1">
        <v>45</v>
      </c>
      <c r="AO2080" s="2">
        <v>46279</v>
      </c>
      <c r="AP2080" s="1" t="s">
        <v>301</v>
      </c>
      <c r="AS2080" s="1" t="s">
        <v>71</v>
      </c>
      <c r="AU2080" s="1" t="s">
        <v>72</v>
      </c>
      <c r="AV2080" s="1" t="s">
        <v>437</v>
      </c>
      <c r="AX2080" s="1">
        <v>0</v>
      </c>
      <c r="BA2080" s="1">
        <v>9</v>
      </c>
      <c r="BB2080" s="1">
        <v>0</v>
      </c>
      <c r="BC2080" s="1">
        <v>0</v>
      </c>
      <c r="BE2080" s="1">
        <v>27388085</v>
      </c>
    </row>
    <row r="2081" spans="1:57" x14ac:dyDescent="0.25">
      <c r="A2081" s="1" t="str">
        <f>T("1946188945809936476")</f>
        <v>1946188945809936476</v>
      </c>
      <c r="B2081" s="1" t="str">
        <f>T("249903423609")</f>
        <v>249903423609</v>
      </c>
      <c r="C2081" s="1" t="str">
        <f>T("1941094503792248568")</f>
        <v>1941094503792248568</v>
      </c>
      <c r="AC2081" s="1" t="s">
        <v>344</v>
      </c>
      <c r="AD2081" s="1" t="s">
        <v>430</v>
      </c>
      <c r="AE2081" s="1" t="s">
        <v>530</v>
      </c>
      <c r="AF2081" s="1" t="s">
        <v>144</v>
      </c>
      <c r="AG2081" s="1">
        <v>62</v>
      </c>
      <c r="AO2081" s="2">
        <v>46279</v>
      </c>
      <c r="AP2081" s="1" t="s">
        <v>301</v>
      </c>
      <c r="AS2081" s="1" t="s">
        <v>71</v>
      </c>
      <c r="AU2081" s="1" t="s">
        <v>72</v>
      </c>
      <c r="AV2081" s="1" t="s">
        <v>73</v>
      </c>
      <c r="AX2081" s="1">
        <v>0</v>
      </c>
      <c r="BA2081" s="1">
        <v>9</v>
      </c>
      <c r="BB2081" s="1">
        <v>0</v>
      </c>
      <c r="BC2081" s="1">
        <v>0</v>
      </c>
      <c r="BE2081" s="1">
        <v>27388085</v>
      </c>
    </row>
    <row r="2082" spans="1:57" x14ac:dyDescent="0.25">
      <c r="A2082" s="1" t="str">
        <f>T("1946188945822520400")</f>
        <v>1946188945822520400</v>
      </c>
      <c r="B2082" s="1" t="str">
        <f>T("249907984422")</f>
        <v>249907984422</v>
      </c>
      <c r="C2082" s="1" t="str">
        <f>T("1941094503796441876")</f>
        <v>1941094503796441876</v>
      </c>
      <c r="AC2082" s="1" t="s">
        <v>344</v>
      </c>
      <c r="AD2082" s="1" t="s">
        <v>372</v>
      </c>
      <c r="AE2082" s="1" t="s">
        <v>815</v>
      </c>
      <c r="AF2082" s="1" t="s">
        <v>107</v>
      </c>
      <c r="AG2082" s="1">
        <v>55</v>
      </c>
      <c r="AO2082" s="2">
        <v>46279</v>
      </c>
      <c r="AP2082" s="1" t="s">
        <v>301</v>
      </c>
      <c r="AS2082" s="1" t="s">
        <v>71</v>
      </c>
      <c r="AU2082" s="1" t="s">
        <v>72</v>
      </c>
      <c r="AV2082" s="1" t="s">
        <v>437</v>
      </c>
      <c r="AX2082" s="1">
        <v>0</v>
      </c>
      <c r="BA2082" s="1">
        <v>9</v>
      </c>
      <c r="BB2082" s="1">
        <v>0</v>
      </c>
      <c r="BC2082" s="1">
        <v>0</v>
      </c>
      <c r="BE2082" s="1">
        <v>27388085</v>
      </c>
    </row>
    <row r="2083" spans="1:57" x14ac:dyDescent="0.25">
      <c r="A2083" s="1" t="str">
        <f>T("1946188945826713708")</f>
        <v>1946188945826713708</v>
      </c>
      <c r="B2083" s="1" t="str">
        <f>T("249919017582")</f>
        <v>249919017582</v>
      </c>
      <c r="C2083" s="1" t="str">
        <f>T("1941094503796442376")</f>
        <v>1941094503796442376</v>
      </c>
      <c r="AC2083" s="1" t="s">
        <v>344</v>
      </c>
      <c r="AD2083" s="1" t="s">
        <v>441</v>
      </c>
      <c r="AE2083" s="1" t="s">
        <v>530</v>
      </c>
      <c r="AF2083" s="1" t="s">
        <v>107</v>
      </c>
      <c r="AG2083" s="1">
        <v>65</v>
      </c>
      <c r="AO2083" s="2">
        <v>46279</v>
      </c>
      <c r="AP2083" s="1" t="s">
        <v>301</v>
      </c>
      <c r="AS2083" s="1" t="s">
        <v>71</v>
      </c>
      <c r="AU2083" s="1" t="s">
        <v>72</v>
      </c>
      <c r="AV2083" s="1" t="s">
        <v>437</v>
      </c>
      <c r="AX2083" s="1">
        <v>0</v>
      </c>
      <c r="BA2083" s="1">
        <v>9</v>
      </c>
      <c r="BB2083" s="1">
        <v>0</v>
      </c>
      <c r="BC2083" s="1">
        <v>0</v>
      </c>
      <c r="BE2083" s="1">
        <v>27388085</v>
      </c>
    </row>
    <row r="2084" spans="1:57" x14ac:dyDescent="0.25">
      <c r="A2084" s="1" t="str">
        <f>T("1946188945835102524")</f>
        <v>1946188945835102524</v>
      </c>
      <c r="B2084" s="1" t="str">
        <f>T("249967684126")</f>
        <v>249967684126</v>
      </c>
      <c r="C2084" s="1" t="str">
        <f>T("1941094503796442776")</f>
        <v>1941094503796442776</v>
      </c>
      <c r="AC2084" s="1" t="s">
        <v>344</v>
      </c>
      <c r="AD2084" s="1" t="s">
        <v>430</v>
      </c>
      <c r="AE2084" s="1" t="s">
        <v>530</v>
      </c>
      <c r="AF2084" s="1" t="s">
        <v>144</v>
      </c>
      <c r="AG2084" s="1">
        <v>60</v>
      </c>
      <c r="AO2084" s="2">
        <v>46279</v>
      </c>
      <c r="AP2084" s="1" t="s">
        <v>301</v>
      </c>
      <c r="AS2084" s="1" t="s">
        <v>71</v>
      </c>
      <c r="AU2084" s="1" t="s">
        <v>72</v>
      </c>
      <c r="AV2084" s="1" t="s">
        <v>73</v>
      </c>
      <c r="AX2084" s="1">
        <v>0</v>
      </c>
      <c r="BA2084" s="1">
        <v>9</v>
      </c>
      <c r="BB2084" s="1">
        <v>0</v>
      </c>
      <c r="BC2084" s="1">
        <v>0</v>
      </c>
      <c r="BE2084" s="1">
        <v>27388085</v>
      </c>
    </row>
    <row r="2085" spans="1:57" x14ac:dyDescent="0.25">
      <c r="A2085" s="1" t="str">
        <f>T("1946188945847688548")</f>
        <v>1946188945847688548</v>
      </c>
      <c r="B2085" s="1" t="str">
        <f>T("249910049770")</f>
        <v>249910049770</v>
      </c>
      <c r="C2085" s="1" t="str">
        <f>T("1941094503796443476")</f>
        <v>1941094503796443476</v>
      </c>
      <c r="AC2085" s="1" t="s">
        <v>344</v>
      </c>
      <c r="AD2085" s="1" t="s">
        <v>441</v>
      </c>
      <c r="AE2085" s="1" t="s">
        <v>530</v>
      </c>
      <c r="AF2085" s="1" t="s">
        <v>144</v>
      </c>
      <c r="AG2085" s="1">
        <v>66</v>
      </c>
      <c r="AO2085" s="2">
        <v>46279</v>
      </c>
      <c r="AP2085" s="1" t="s">
        <v>301</v>
      </c>
      <c r="AS2085" s="1" t="s">
        <v>71</v>
      </c>
      <c r="AU2085" s="1" t="s">
        <v>72</v>
      </c>
      <c r="AV2085" s="1" t="s">
        <v>437</v>
      </c>
      <c r="AX2085" s="1">
        <v>0</v>
      </c>
      <c r="BA2085" s="1">
        <v>9</v>
      </c>
      <c r="BB2085" s="1">
        <v>0</v>
      </c>
      <c r="BC2085" s="1">
        <v>0</v>
      </c>
      <c r="BE2085" s="1">
        <v>27388085</v>
      </c>
    </row>
    <row r="2086" spans="1:57" x14ac:dyDescent="0.25">
      <c r="A2086" s="1" t="str">
        <f>T("1946188945851880756")</f>
        <v>1946188945851880756</v>
      </c>
      <c r="B2086" s="1" t="str">
        <f>T("249114800509")</f>
        <v>249114800509</v>
      </c>
      <c r="C2086" s="1" t="str">
        <f>T("1941094503796443976")</f>
        <v>1941094503796443976</v>
      </c>
      <c r="AA2086" s="1">
        <v>1</v>
      </c>
      <c r="AC2086" s="1" t="s">
        <v>344</v>
      </c>
      <c r="AD2086" s="1" t="s">
        <v>372</v>
      </c>
      <c r="AE2086" s="1" t="s">
        <v>820</v>
      </c>
      <c r="AF2086" s="1" t="s">
        <v>144</v>
      </c>
      <c r="AG2086" s="1">
        <v>37</v>
      </c>
      <c r="AO2086" s="2">
        <v>46279</v>
      </c>
      <c r="AP2086" s="1" t="s">
        <v>301</v>
      </c>
      <c r="AQ2086" s="2">
        <v>46279</v>
      </c>
      <c r="AR2086" s="1" t="s">
        <v>832</v>
      </c>
      <c r="AS2086" s="1" t="s">
        <v>71</v>
      </c>
      <c r="AU2086" s="1" t="s">
        <v>79</v>
      </c>
      <c r="AV2086" s="1" t="s">
        <v>80</v>
      </c>
      <c r="AW2086" s="1">
        <v>89.92</v>
      </c>
      <c r="AX2086" s="1">
        <v>0</v>
      </c>
      <c r="AZ2086" s="1" t="s">
        <v>81</v>
      </c>
      <c r="BA2086" s="1">
        <v>1</v>
      </c>
      <c r="BB2086" s="1">
        <v>0</v>
      </c>
      <c r="BC2086" s="1">
        <v>0</v>
      </c>
      <c r="BE2086" s="1">
        <v>27388085</v>
      </c>
    </row>
    <row r="2087" spans="1:57" x14ac:dyDescent="0.25">
      <c r="A2087" s="1" t="str">
        <f>T("1946188945868657988")</f>
        <v>1946188945868657988</v>
      </c>
      <c r="B2087" s="1" t="str">
        <f>T("249996688299")</f>
        <v>249996688299</v>
      </c>
      <c r="C2087" s="1" t="str">
        <f>T("1941094503800635484")</f>
        <v>1941094503800635484</v>
      </c>
      <c r="AC2087" s="1" t="s">
        <v>344</v>
      </c>
      <c r="AD2087" s="1" t="s">
        <v>372</v>
      </c>
      <c r="AE2087" s="1" t="s">
        <v>814</v>
      </c>
      <c r="AF2087" s="1" t="s">
        <v>144</v>
      </c>
      <c r="AG2087" s="1">
        <v>37</v>
      </c>
      <c r="AO2087" s="2">
        <v>46279</v>
      </c>
      <c r="AP2087" s="1" t="s">
        <v>301</v>
      </c>
      <c r="AS2087" s="1" t="s">
        <v>71</v>
      </c>
      <c r="AU2087" s="1" t="s">
        <v>72</v>
      </c>
      <c r="AV2087" s="1" t="s">
        <v>73</v>
      </c>
      <c r="AX2087" s="1">
        <v>0</v>
      </c>
      <c r="BA2087" s="1">
        <v>9</v>
      </c>
      <c r="BB2087" s="1">
        <v>0</v>
      </c>
      <c r="BC2087" s="1">
        <v>0</v>
      </c>
      <c r="BE2087" s="1">
        <v>27388085</v>
      </c>
    </row>
    <row r="2088" spans="1:57" x14ac:dyDescent="0.25">
      <c r="A2088" s="1" t="str">
        <f>T("1946188945877047104")</f>
        <v>1946188945877047104</v>
      </c>
      <c r="B2088" s="1" t="str">
        <f>T("249916494835")</f>
        <v>249916494835</v>
      </c>
      <c r="C2088" s="1" t="str">
        <f>T("1941094503800637784")</f>
        <v>1941094503800637784</v>
      </c>
      <c r="AC2088" s="1" t="s">
        <v>344</v>
      </c>
      <c r="AD2088" s="1" t="s">
        <v>372</v>
      </c>
      <c r="AE2088" s="1" t="s">
        <v>814</v>
      </c>
      <c r="AF2088" s="1" t="s">
        <v>144</v>
      </c>
      <c r="AG2088" s="1">
        <v>25</v>
      </c>
      <c r="AO2088" s="2">
        <v>46279</v>
      </c>
      <c r="AP2088" s="1" t="s">
        <v>301</v>
      </c>
      <c r="AS2088" s="1" t="s">
        <v>71</v>
      </c>
      <c r="AU2088" s="1" t="s">
        <v>72</v>
      </c>
      <c r="AV2088" s="1" t="s">
        <v>437</v>
      </c>
      <c r="AX2088" s="1">
        <v>0</v>
      </c>
      <c r="BA2088" s="1">
        <v>9</v>
      </c>
      <c r="BB2088" s="1">
        <v>0</v>
      </c>
      <c r="BC2088" s="1">
        <v>0</v>
      </c>
      <c r="BE2088" s="1">
        <v>27388085</v>
      </c>
    </row>
    <row r="2089" spans="1:57" x14ac:dyDescent="0.25">
      <c r="A2089" s="1" t="str">
        <f>T("1946188945881240212")</f>
        <v>1946188945881240212</v>
      </c>
      <c r="B2089" s="1" t="str">
        <f>T("249129776708")</f>
        <v>249129776708</v>
      </c>
      <c r="C2089" s="1" t="str">
        <f>T("1941094503800638284")</f>
        <v>1941094503800638284</v>
      </c>
      <c r="AA2089" s="1">
        <v>1</v>
      </c>
      <c r="AC2089" s="1" t="s">
        <v>344</v>
      </c>
      <c r="AD2089" s="1" t="s">
        <v>372</v>
      </c>
      <c r="AE2089" s="1" t="s">
        <v>820</v>
      </c>
      <c r="AF2089" s="1" t="s">
        <v>144</v>
      </c>
      <c r="AG2089" s="1">
        <v>30</v>
      </c>
      <c r="AO2089" s="2">
        <v>46279</v>
      </c>
      <c r="AP2089" s="1" t="s">
        <v>301</v>
      </c>
      <c r="AQ2089" s="2">
        <v>46279</v>
      </c>
      <c r="AR2089" s="1" t="s">
        <v>833</v>
      </c>
      <c r="AS2089" s="1" t="s">
        <v>71</v>
      </c>
      <c r="AU2089" s="1" t="s">
        <v>79</v>
      </c>
      <c r="AV2089" s="1" t="s">
        <v>80</v>
      </c>
      <c r="AW2089" s="1">
        <v>108.3</v>
      </c>
      <c r="AX2089" s="1">
        <v>0</v>
      </c>
      <c r="AZ2089" s="1" t="s">
        <v>81</v>
      </c>
      <c r="BA2089" s="1">
        <v>1</v>
      </c>
      <c r="BB2089" s="1">
        <v>0</v>
      </c>
      <c r="BC2089" s="1">
        <v>0</v>
      </c>
      <c r="BE2089" s="1">
        <v>27388085</v>
      </c>
    </row>
    <row r="2090" spans="1:57" x14ac:dyDescent="0.25">
      <c r="A2090" s="1" t="str">
        <f>T("1946188945902213252")</f>
        <v>1946188945902213252</v>
      </c>
      <c r="B2090" s="1" t="str">
        <f>T("249902732090")</f>
        <v>249902732090</v>
      </c>
      <c r="C2090" s="1" t="str">
        <f>T("1941094503809025400")</f>
        <v>1941094503809025400</v>
      </c>
      <c r="AC2090" s="1" t="s">
        <v>344</v>
      </c>
      <c r="AD2090" s="1" t="s">
        <v>441</v>
      </c>
      <c r="AE2090" s="1" t="s">
        <v>530</v>
      </c>
      <c r="AF2090" s="1" t="s">
        <v>107</v>
      </c>
      <c r="AG2090" s="1">
        <v>47</v>
      </c>
      <c r="AO2090" s="2">
        <v>46279</v>
      </c>
      <c r="AP2090" s="1" t="s">
        <v>301</v>
      </c>
      <c r="AS2090" s="1" t="s">
        <v>71</v>
      </c>
      <c r="AU2090" s="1" t="s">
        <v>72</v>
      </c>
      <c r="AV2090" s="1" t="s">
        <v>437</v>
      </c>
      <c r="AX2090" s="1">
        <v>0</v>
      </c>
      <c r="BA2090" s="1">
        <v>9</v>
      </c>
      <c r="BB2090" s="1">
        <v>0</v>
      </c>
      <c r="BC2090" s="1">
        <v>0</v>
      </c>
      <c r="BE2090" s="1">
        <v>27388085</v>
      </c>
    </row>
    <row r="2091" spans="1:57" x14ac:dyDescent="0.25">
      <c r="A2091" s="1" t="str">
        <f>T("1946188945906406960")</f>
        <v>1946188945906406960</v>
      </c>
      <c r="B2091" s="1" t="str">
        <f>T("249118800672")</f>
        <v>249118800672</v>
      </c>
      <c r="C2091" s="1" t="str">
        <f>T("1941094503817412916")</f>
        <v>1941094503817412916</v>
      </c>
      <c r="M2091" s="1" t="s">
        <v>59</v>
      </c>
      <c r="O2091" s="1" t="s">
        <v>65</v>
      </c>
      <c r="P2091" s="1" t="s">
        <v>83</v>
      </c>
      <c r="Q2091" s="1" t="s">
        <v>112</v>
      </c>
      <c r="R2091" s="1" t="s">
        <v>84</v>
      </c>
      <c r="S2091" s="1" t="s">
        <v>61</v>
      </c>
      <c r="U2091" s="1" t="s">
        <v>65</v>
      </c>
      <c r="V2091" s="1" t="s">
        <v>66</v>
      </c>
      <c r="W2091" s="1" t="s">
        <v>60</v>
      </c>
      <c r="AA2091" s="1">
        <v>1</v>
      </c>
      <c r="AC2091" s="1" t="s">
        <v>344</v>
      </c>
      <c r="AD2091" s="1" t="s">
        <v>372</v>
      </c>
      <c r="AE2091" s="1" t="s">
        <v>818</v>
      </c>
      <c r="AF2091" s="1" t="s">
        <v>107</v>
      </c>
      <c r="AG2091" s="1">
        <v>60</v>
      </c>
      <c r="AO2091" s="2">
        <v>46279</v>
      </c>
      <c r="AP2091" s="1" t="s">
        <v>301</v>
      </c>
      <c r="AQ2091" s="2">
        <v>46279</v>
      </c>
      <c r="AR2091" s="1" t="s">
        <v>307</v>
      </c>
      <c r="AS2091" s="1" t="s">
        <v>71</v>
      </c>
      <c r="AU2091" s="1" t="s">
        <v>79</v>
      </c>
      <c r="AV2091" s="1" t="s">
        <v>80</v>
      </c>
      <c r="AW2091" s="1">
        <v>182.82</v>
      </c>
      <c r="AX2091" s="1">
        <v>0</v>
      </c>
      <c r="AZ2091" s="1" t="s">
        <v>81</v>
      </c>
      <c r="BA2091" s="1">
        <v>1</v>
      </c>
      <c r="BB2091" s="1">
        <v>0</v>
      </c>
      <c r="BC2091" s="1">
        <v>0</v>
      </c>
      <c r="BE2091" s="1">
        <v>27388085</v>
      </c>
    </row>
    <row r="2092" spans="1:57" x14ac:dyDescent="0.25">
      <c r="A2092" s="1" t="str">
        <f>T("1946188945914794476")</f>
        <v>1946188945914794476</v>
      </c>
      <c r="B2092" s="1" t="str">
        <f>T("249919939012")</f>
        <v>249919939012</v>
      </c>
      <c r="C2092" s="1" t="str">
        <f>T("1941094503813219408")</f>
        <v>1941094503813219408</v>
      </c>
      <c r="AC2092" s="1" t="s">
        <v>344</v>
      </c>
      <c r="AD2092" s="1" t="s">
        <v>430</v>
      </c>
      <c r="AE2092" s="1" t="s">
        <v>530</v>
      </c>
      <c r="AF2092" s="1" t="s">
        <v>107</v>
      </c>
      <c r="AG2092" s="1">
        <v>53</v>
      </c>
      <c r="AO2092" s="2">
        <v>46279</v>
      </c>
      <c r="AP2092" s="1" t="s">
        <v>301</v>
      </c>
      <c r="AS2092" s="1" t="s">
        <v>71</v>
      </c>
      <c r="AU2092" s="1" t="s">
        <v>72</v>
      </c>
      <c r="AV2092" s="1" t="s">
        <v>437</v>
      </c>
      <c r="AX2092" s="1">
        <v>0</v>
      </c>
      <c r="BA2092" s="1">
        <v>9</v>
      </c>
      <c r="BB2092" s="1">
        <v>0</v>
      </c>
      <c r="BC2092" s="1">
        <v>0</v>
      </c>
      <c r="BE2092" s="1">
        <v>27388085</v>
      </c>
    </row>
    <row r="2093" spans="1:57" x14ac:dyDescent="0.25">
      <c r="A2093" s="1" t="str">
        <f>T("1946188945914796176")</f>
        <v>1946188945914796176</v>
      </c>
      <c r="B2093" s="1" t="str">
        <f>T("249907514545")</f>
        <v>249907514545</v>
      </c>
      <c r="C2093" s="1" t="str">
        <f>T("1941094503817413316")</f>
        <v>1941094503817413316</v>
      </c>
      <c r="AC2093" s="1" t="s">
        <v>344</v>
      </c>
      <c r="AD2093" s="1" t="s">
        <v>441</v>
      </c>
      <c r="AE2093" s="1" t="s">
        <v>530</v>
      </c>
      <c r="AF2093" s="1" t="s">
        <v>144</v>
      </c>
      <c r="AG2093" s="1">
        <v>55</v>
      </c>
      <c r="AO2093" s="2">
        <v>46279</v>
      </c>
      <c r="AP2093" s="1" t="s">
        <v>301</v>
      </c>
      <c r="AS2093" s="1" t="s">
        <v>71</v>
      </c>
      <c r="AU2093" s="1" t="s">
        <v>72</v>
      </c>
      <c r="AV2093" s="1" t="s">
        <v>73</v>
      </c>
      <c r="AX2093" s="1">
        <v>0</v>
      </c>
      <c r="BA2093" s="1">
        <v>9</v>
      </c>
      <c r="BB2093" s="1">
        <v>0</v>
      </c>
      <c r="BC2093" s="1">
        <v>0</v>
      </c>
      <c r="BE2093" s="1">
        <v>27388085</v>
      </c>
    </row>
    <row r="2094" spans="1:57" x14ac:dyDescent="0.25">
      <c r="A2094" s="1" t="str">
        <f>T("1946188945923186592")</f>
        <v>1946188945923186592</v>
      </c>
      <c r="B2094" s="1" t="str">
        <f>T("249125547233")</f>
        <v>249125547233</v>
      </c>
      <c r="C2094" s="1" t="str">
        <f>T("1941094503817413716")</f>
        <v>1941094503817413716</v>
      </c>
      <c r="AC2094" s="1" t="s">
        <v>344</v>
      </c>
      <c r="AD2094" s="1" t="s">
        <v>441</v>
      </c>
      <c r="AE2094" s="1" t="s">
        <v>530</v>
      </c>
      <c r="AF2094" s="1" t="s">
        <v>144</v>
      </c>
      <c r="AG2094" s="1">
        <v>48</v>
      </c>
      <c r="AO2094" s="2">
        <v>46279</v>
      </c>
      <c r="AP2094" s="1" t="s">
        <v>301</v>
      </c>
      <c r="AQ2094" s="2">
        <v>46279</v>
      </c>
      <c r="AR2094" s="1" t="s">
        <v>304</v>
      </c>
      <c r="AS2094" s="1" t="s">
        <v>71</v>
      </c>
      <c r="AU2094" s="1" t="s">
        <v>79</v>
      </c>
      <c r="AV2094" s="1" t="s">
        <v>80</v>
      </c>
      <c r="AW2094" s="1">
        <v>7.38</v>
      </c>
      <c r="AX2094" s="1">
        <v>0</v>
      </c>
      <c r="AZ2094" s="1" t="s">
        <v>81</v>
      </c>
      <c r="BA2094" s="1">
        <v>1</v>
      </c>
      <c r="BB2094" s="1">
        <v>0</v>
      </c>
      <c r="BC2094" s="1">
        <v>0</v>
      </c>
      <c r="BE2094" s="1">
        <v>27388085</v>
      </c>
    </row>
    <row r="2095" spans="1:57" x14ac:dyDescent="0.25">
      <c r="A2095" s="1" t="str">
        <f>T("1946188945931572908")</f>
        <v>1946188945931572908</v>
      </c>
      <c r="B2095" s="1" t="str">
        <f>T("249960487912")</f>
        <v>249960487912</v>
      </c>
      <c r="C2095" s="1" t="str">
        <f>T("1941094503817414316")</f>
        <v>1941094503817414316</v>
      </c>
      <c r="AC2095" s="1" t="s">
        <v>344</v>
      </c>
      <c r="AD2095" s="1" t="s">
        <v>441</v>
      </c>
      <c r="AE2095" s="1" t="s">
        <v>530</v>
      </c>
      <c r="AF2095" s="1" t="s">
        <v>107</v>
      </c>
      <c r="AG2095" s="1">
        <v>35</v>
      </c>
      <c r="AO2095" s="2">
        <v>46279</v>
      </c>
      <c r="AP2095" s="1" t="s">
        <v>301</v>
      </c>
      <c r="AS2095" s="1" t="s">
        <v>71</v>
      </c>
      <c r="AU2095" s="1" t="s">
        <v>72</v>
      </c>
      <c r="AV2095" s="1" t="s">
        <v>73</v>
      </c>
      <c r="AX2095" s="1">
        <v>0</v>
      </c>
      <c r="BA2095" s="1">
        <v>9</v>
      </c>
      <c r="BB2095" s="1">
        <v>0</v>
      </c>
      <c r="BC2095" s="1">
        <v>0</v>
      </c>
      <c r="BE2095" s="1">
        <v>27388085</v>
      </c>
    </row>
    <row r="2096" spans="1:57" x14ac:dyDescent="0.25">
      <c r="A2096" s="1" t="str">
        <f>T("1946188945969322080")</f>
        <v>1946188945969322080</v>
      </c>
      <c r="B2096" s="1" t="str">
        <f>T("249903172355")</f>
        <v>249903172355</v>
      </c>
      <c r="C2096" s="1" t="str">
        <f>T("1941094503817414716")</f>
        <v>1941094503817414716</v>
      </c>
      <c r="AC2096" s="1" t="s">
        <v>344</v>
      </c>
      <c r="AD2096" s="1" t="s">
        <v>441</v>
      </c>
      <c r="AE2096" s="1" t="s">
        <v>530</v>
      </c>
      <c r="AF2096" s="1" t="s">
        <v>144</v>
      </c>
      <c r="AG2096" s="1">
        <v>40</v>
      </c>
      <c r="AO2096" s="2">
        <v>46279</v>
      </c>
      <c r="AP2096" s="1" t="s">
        <v>301</v>
      </c>
      <c r="AS2096" s="1" t="s">
        <v>71</v>
      </c>
      <c r="AU2096" s="1" t="s">
        <v>72</v>
      </c>
      <c r="AV2096" s="1" t="s">
        <v>73</v>
      </c>
      <c r="AX2096" s="1">
        <v>0</v>
      </c>
      <c r="BA2096" s="1">
        <v>9</v>
      </c>
      <c r="BB2096" s="1">
        <v>0</v>
      </c>
      <c r="BC2096" s="1">
        <v>0</v>
      </c>
      <c r="BE2096" s="1">
        <v>27388085</v>
      </c>
    </row>
    <row r="2097" spans="1:57" x14ac:dyDescent="0.25">
      <c r="A2097" s="1" t="str">
        <f>T("1946188945977712296")</f>
        <v>1946188945977712296</v>
      </c>
      <c r="B2097" s="1" t="str">
        <f>T("249110121136")</f>
        <v>249110121136</v>
      </c>
      <c r="C2097" s="1" t="str">
        <f>T("1941094503817416216")</f>
        <v>1941094503817416216</v>
      </c>
      <c r="AC2097" s="1" t="s">
        <v>344</v>
      </c>
      <c r="AD2097" s="1" t="s">
        <v>372</v>
      </c>
      <c r="AE2097" s="1" t="s">
        <v>820</v>
      </c>
      <c r="AF2097" s="1" t="s">
        <v>144</v>
      </c>
      <c r="AG2097" s="1">
        <v>19</v>
      </c>
      <c r="AO2097" s="2">
        <v>46279</v>
      </c>
      <c r="AP2097" s="1" t="s">
        <v>301</v>
      </c>
      <c r="AQ2097" s="2">
        <v>46279</v>
      </c>
      <c r="AR2097" s="1" t="s">
        <v>711</v>
      </c>
      <c r="AS2097" s="1" t="s">
        <v>71</v>
      </c>
      <c r="AU2097" s="1" t="s">
        <v>79</v>
      </c>
      <c r="AV2097" s="1" t="s">
        <v>80</v>
      </c>
      <c r="AW2097" s="1">
        <v>27.9</v>
      </c>
      <c r="AX2097" s="1">
        <v>0</v>
      </c>
      <c r="AZ2097" s="1" t="s">
        <v>81</v>
      </c>
      <c r="BA2097" s="1">
        <v>1</v>
      </c>
      <c r="BB2097" s="1">
        <v>0</v>
      </c>
      <c r="BC2097" s="1">
        <v>0</v>
      </c>
      <c r="BE2097" s="1">
        <v>27388085</v>
      </c>
    </row>
    <row r="2098" spans="1:57" x14ac:dyDescent="0.25">
      <c r="A2098" s="1" t="str">
        <f>T("1946188945977712596")</f>
        <v>1946188945977712596</v>
      </c>
      <c r="B2098" s="1" t="str">
        <f>T("249969903950")</f>
        <v>249969903950</v>
      </c>
      <c r="C2098" s="1" t="str">
        <f>T("1941094503821606924")</f>
        <v>1941094503821606924</v>
      </c>
      <c r="AC2098" s="1" t="s">
        <v>344</v>
      </c>
      <c r="AD2098" s="1" t="s">
        <v>372</v>
      </c>
      <c r="AE2098" s="1" t="s">
        <v>815</v>
      </c>
      <c r="AF2098" s="1" t="s">
        <v>144</v>
      </c>
      <c r="AG2098" s="1">
        <v>42</v>
      </c>
      <c r="AO2098" s="2">
        <v>46279</v>
      </c>
      <c r="AP2098" s="1" t="s">
        <v>301</v>
      </c>
      <c r="AS2098" s="1" t="s">
        <v>71</v>
      </c>
      <c r="AU2098" s="1" t="s">
        <v>72</v>
      </c>
      <c r="AV2098" s="1" t="s">
        <v>73</v>
      </c>
      <c r="AX2098" s="1">
        <v>0</v>
      </c>
      <c r="BA2098" s="1">
        <v>9</v>
      </c>
      <c r="BB2098" s="1">
        <v>0</v>
      </c>
      <c r="BC2098" s="1">
        <v>0</v>
      </c>
      <c r="BE2098" s="1">
        <v>27388085</v>
      </c>
    </row>
    <row r="2099" spans="1:57" x14ac:dyDescent="0.25">
      <c r="A2099" s="1" t="str">
        <f>T("1946188945981903104")</f>
        <v>1946188945981903104</v>
      </c>
      <c r="B2099" s="1" t="str">
        <f>T("249919421878")</f>
        <v>249919421878</v>
      </c>
      <c r="C2099" s="1" t="str">
        <f>T("1941094503821607824")</f>
        <v>1941094503821607824</v>
      </c>
      <c r="AC2099" s="1" t="s">
        <v>344</v>
      </c>
      <c r="AD2099" s="1" t="s">
        <v>441</v>
      </c>
      <c r="AE2099" s="1" t="s">
        <v>530</v>
      </c>
      <c r="AF2099" s="1" t="s">
        <v>144</v>
      </c>
      <c r="AG2099" s="1">
        <v>48</v>
      </c>
      <c r="AO2099" s="2">
        <v>46279</v>
      </c>
      <c r="AP2099" s="1" t="s">
        <v>301</v>
      </c>
      <c r="AS2099" s="1" t="s">
        <v>71</v>
      </c>
      <c r="AU2099" s="1" t="s">
        <v>72</v>
      </c>
      <c r="AV2099" s="1" t="s">
        <v>73</v>
      </c>
      <c r="AX2099" s="1">
        <v>0</v>
      </c>
      <c r="BA2099" s="1">
        <v>9</v>
      </c>
      <c r="BB2099" s="1">
        <v>0</v>
      </c>
      <c r="BC2099" s="1">
        <v>0</v>
      </c>
      <c r="BE2099" s="1">
        <v>27388085</v>
      </c>
    </row>
    <row r="2100" spans="1:57" x14ac:dyDescent="0.25">
      <c r="A2100" s="1" t="str">
        <f>T("1946188945986097812")</f>
        <v>1946188945986097812</v>
      </c>
      <c r="B2100" s="1" t="str">
        <f>T("249918529500")</f>
        <v>249918529500</v>
      </c>
      <c r="C2100" s="1" t="str">
        <f>T("1941094503817415116")</f>
        <v>1941094503817415116</v>
      </c>
      <c r="AC2100" s="1" t="s">
        <v>344</v>
      </c>
      <c r="AD2100" s="1" t="s">
        <v>430</v>
      </c>
      <c r="AE2100" s="1" t="s">
        <v>530</v>
      </c>
      <c r="AF2100" s="1" t="s">
        <v>107</v>
      </c>
      <c r="AG2100" s="1">
        <v>40</v>
      </c>
      <c r="AO2100" s="2">
        <v>46279</v>
      </c>
      <c r="AP2100" s="1" t="s">
        <v>301</v>
      </c>
      <c r="AS2100" s="1" t="s">
        <v>71</v>
      </c>
      <c r="AU2100" s="1" t="s">
        <v>72</v>
      </c>
      <c r="AV2100" s="1" t="s">
        <v>73</v>
      </c>
      <c r="AX2100" s="1">
        <v>0</v>
      </c>
      <c r="BA2100" s="1">
        <v>9</v>
      </c>
      <c r="BB2100" s="1">
        <v>0</v>
      </c>
      <c r="BC2100" s="1">
        <v>0</v>
      </c>
      <c r="BE2100" s="1">
        <v>27388085</v>
      </c>
    </row>
    <row r="2101" spans="1:57" x14ac:dyDescent="0.25">
      <c r="A2101" s="1" t="str">
        <f>T("1946188945998680836")</f>
        <v>1946188945998680836</v>
      </c>
      <c r="B2101" s="1" t="str">
        <f>T("249121354148")</f>
        <v>249121354148</v>
      </c>
      <c r="C2101" s="1" t="str">
        <f>T("1941094503821608424")</f>
        <v>1941094503821608424</v>
      </c>
      <c r="AC2101" s="1" t="s">
        <v>344</v>
      </c>
      <c r="AD2101" s="1" t="s">
        <v>372</v>
      </c>
      <c r="AE2101" s="1" t="s">
        <v>820</v>
      </c>
      <c r="AF2101" s="1" t="s">
        <v>144</v>
      </c>
      <c r="AG2101" s="1">
        <v>40</v>
      </c>
      <c r="AO2101" s="2">
        <v>46279</v>
      </c>
      <c r="AP2101" s="1" t="s">
        <v>301</v>
      </c>
      <c r="AS2101" s="1" t="s">
        <v>71</v>
      </c>
      <c r="AU2101" s="1" t="s">
        <v>72</v>
      </c>
      <c r="AV2101" s="1" t="s">
        <v>115</v>
      </c>
      <c r="AX2101" s="1">
        <v>0</v>
      </c>
      <c r="BA2101" s="1">
        <v>9</v>
      </c>
      <c r="BB2101" s="1">
        <v>0</v>
      </c>
      <c r="BC2101" s="1">
        <v>0</v>
      </c>
      <c r="BE2101" s="1">
        <v>27388085</v>
      </c>
    </row>
    <row r="2102" spans="1:57" x14ac:dyDescent="0.25">
      <c r="A2102" s="1" t="str">
        <f>T("1946188946019654576")</f>
        <v>1946188946019654576</v>
      </c>
      <c r="B2102" s="1" t="str">
        <f>T("249916075304")</f>
        <v>249916075304</v>
      </c>
      <c r="C2102" s="1" t="str">
        <f>T("1941094503821609424")</f>
        <v>1941094503821609424</v>
      </c>
      <c r="AC2102" s="1" t="s">
        <v>344</v>
      </c>
      <c r="AD2102" s="1" t="s">
        <v>430</v>
      </c>
      <c r="AE2102" s="1" t="s">
        <v>530</v>
      </c>
      <c r="AF2102" s="1" t="s">
        <v>144</v>
      </c>
      <c r="AG2102" s="1">
        <v>47</v>
      </c>
      <c r="AO2102" s="2">
        <v>46279</v>
      </c>
      <c r="AP2102" s="1" t="s">
        <v>301</v>
      </c>
      <c r="AS2102" s="1" t="s">
        <v>71</v>
      </c>
      <c r="AU2102" s="1" t="s">
        <v>72</v>
      </c>
      <c r="AV2102" s="1" t="s">
        <v>437</v>
      </c>
      <c r="AX2102" s="1">
        <v>0</v>
      </c>
      <c r="BA2102" s="1">
        <v>9</v>
      </c>
      <c r="BB2102" s="1">
        <v>0</v>
      </c>
      <c r="BC2102" s="1">
        <v>0</v>
      </c>
      <c r="BE2102" s="1">
        <v>27388085</v>
      </c>
    </row>
    <row r="2103" spans="1:57" x14ac:dyDescent="0.25">
      <c r="A2103" s="1" t="str">
        <f>T("1946188946032235900")</f>
        <v>1946188946032235900</v>
      </c>
      <c r="B2103" s="1" t="str">
        <f>T("249966167967")</f>
        <v>249966167967</v>
      </c>
      <c r="C2103" s="1" t="str">
        <f>T("1941094503821610324")</f>
        <v>1941094503821610324</v>
      </c>
      <c r="AC2103" s="1" t="s">
        <v>344</v>
      </c>
      <c r="AD2103" s="1" t="s">
        <v>372</v>
      </c>
      <c r="AE2103" s="1" t="s">
        <v>815</v>
      </c>
      <c r="AF2103" s="1" t="s">
        <v>107</v>
      </c>
      <c r="AG2103" s="1">
        <v>70</v>
      </c>
      <c r="AO2103" s="2">
        <v>46279</v>
      </c>
      <c r="AP2103" s="1" t="s">
        <v>301</v>
      </c>
      <c r="AS2103" s="1" t="s">
        <v>71</v>
      </c>
      <c r="AU2103" s="1" t="s">
        <v>72</v>
      </c>
      <c r="AV2103" s="1" t="s">
        <v>437</v>
      </c>
      <c r="AX2103" s="1">
        <v>0</v>
      </c>
      <c r="BA2103" s="1">
        <v>9</v>
      </c>
      <c r="BB2103" s="1">
        <v>0</v>
      </c>
      <c r="BC2103" s="1">
        <v>0</v>
      </c>
      <c r="BE2103" s="1">
        <v>27388085</v>
      </c>
    </row>
    <row r="2104" spans="1:57" x14ac:dyDescent="0.25">
      <c r="A2104" s="1" t="str">
        <f>T("1946188946032235901")</f>
        <v>1946188946032235901</v>
      </c>
      <c r="B2104" s="1" t="str">
        <f>T("249905546147")</f>
        <v>249905546147</v>
      </c>
      <c r="C2104" s="1" t="str">
        <f>T("1941094503821609824")</f>
        <v>1941094503821609824</v>
      </c>
      <c r="AC2104" s="1" t="s">
        <v>344</v>
      </c>
      <c r="AD2104" s="1" t="s">
        <v>357</v>
      </c>
      <c r="AE2104" s="1" t="s">
        <v>812</v>
      </c>
      <c r="AF2104" s="1" t="s">
        <v>107</v>
      </c>
      <c r="AG2104" s="1">
        <v>45</v>
      </c>
      <c r="AO2104" s="2">
        <v>46279</v>
      </c>
      <c r="AP2104" s="1" t="s">
        <v>301</v>
      </c>
      <c r="AS2104" s="1" t="s">
        <v>71</v>
      </c>
      <c r="AU2104" s="1" t="s">
        <v>72</v>
      </c>
      <c r="AV2104" s="1" t="s">
        <v>437</v>
      </c>
      <c r="AX2104" s="1">
        <v>0</v>
      </c>
      <c r="BA2104" s="1">
        <v>9</v>
      </c>
      <c r="BB2104" s="1">
        <v>0</v>
      </c>
      <c r="BC2104" s="1">
        <v>0</v>
      </c>
      <c r="BE2104" s="1">
        <v>27388085</v>
      </c>
    </row>
    <row r="2105" spans="1:57" x14ac:dyDescent="0.25">
      <c r="A2105" s="1" t="str">
        <f>T("1946188946040625216")</f>
        <v>1946188946040625216</v>
      </c>
      <c r="B2105" s="1" t="str">
        <f>T("249918628198")</f>
        <v>249918628198</v>
      </c>
      <c r="C2105" s="1" t="str">
        <f>T("1941094503825801532")</f>
        <v>1941094503825801532</v>
      </c>
      <c r="AC2105" s="1" t="s">
        <v>344</v>
      </c>
      <c r="AD2105" s="1" t="s">
        <v>441</v>
      </c>
      <c r="AE2105" s="1" t="s">
        <v>530</v>
      </c>
      <c r="AF2105" s="1" t="s">
        <v>107</v>
      </c>
      <c r="AG2105" s="1">
        <v>35</v>
      </c>
      <c r="AO2105" s="2">
        <v>46279</v>
      </c>
      <c r="AP2105" s="1" t="s">
        <v>301</v>
      </c>
      <c r="AS2105" s="1" t="s">
        <v>71</v>
      </c>
      <c r="AU2105" s="1" t="s">
        <v>72</v>
      </c>
      <c r="AV2105" s="1" t="s">
        <v>437</v>
      </c>
      <c r="AX2105" s="1">
        <v>0</v>
      </c>
      <c r="BA2105" s="1">
        <v>9</v>
      </c>
      <c r="BB2105" s="1">
        <v>0</v>
      </c>
      <c r="BC2105" s="1">
        <v>0</v>
      </c>
      <c r="BE2105" s="1">
        <v>27388085</v>
      </c>
    </row>
    <row r="2106" spans="1:57" x14ac:dyDescent="0.25">
      <c r="A2106" s="1" t="str">
        <f>T("1946188946057400848")</f>
        <v>1946188946057400848</v>
      </c>
      <c r="B2106" s="1" t="str">
        <f>T("249916879944")</f>
        <v>249916879944</v>
      </c>
      <c r="C2106" s="1" t="str">
        <f>T("1941094503825801932")</f>
        <v>1941094503825801932</v>
      </c>
      <c r="AC2106" s="1" t="s">
        <v>344</v>
      </c>
      <c r="AD2106" s="1" t="s">
        <v>430</v>
      </c>
      <c r="AE2106" s="1" t="s">
        <v>530</v>
      </c>
      <c r="AF2106" s="1" t="s">
        <v>107</v>
      </c>
      <c r="AG2106" s="1">
        <v>35</v>
      </c>
      <c r="AO2106" s="2">
        <v>46279</v>
      </c>
      <c r="AP2106" s="1" t="s">
        <v>301</v>
      </c>
      <c r="AS2106" s="1" t="s">
        <v>71</v>
      </c>
      <c r="AU2106" s="1" t="s">
        <v>72</v>
      </c>
      <c r="AV2106" s="1" t="s">
        <v>73</v>
      </c>
      <c r="AX2106" s="1">
        <v>0</v>
      </c>
      <c r="BA2106" s="1">
        <v>9</v>
      </c>
      <c r="BB2106" s="1">
        <v>0</v>
      </c>
      <c r="BC2106" s="1">
        <v>0</v>
      </c>
      <c r="BE2106" s="1">
        <v>27388085</v>
      </c>
    </row>
    <row r="2107" spans="1:57" x14ac:dyDescent="0.25">
      <c r="A2107" s="1" t="str">
        <f>T("1946188946065790064")</f>
        <v>1946188946065790064</v>
      </c>
      <c r="B2107" s="1" t="str">
        <f>T("249964371417")</f>
        <v>249964371417</v>
      </c>
      <c r="C2107" s="1" t="str">
        <f>T("1941094503825802432")</f>
        <v>1941094503825802432</v>
      </c>
      <c r="AC2107" s="1" t="s">
        <v>344</v>
      </c>
      <c r="AD2107" s="1" t="s">
        <v>441</v>
      </c>
      <c r="AE2107" s="1" t="s">
        <v>530</v>
      </c>
      <c r="AF2107" s="1" t="s">
        <v>107</v>
      </c>
      <c r="AG2107" s="1">
        <v>32</v>
      </c>
      <c r="AO2107" s="2">
        <v>46279</v>
      </c>
      <c r="AP2107" s="1" t="s">
        <v>301</v>
      </c>
      <c r="AS2107" s="1" t="s">
        <v>71</v>
      </c>
      <c r="AU2107" s="1" t="s">
        <v>72</v>
      </c>
      <c r="AV2107" s="1" t="s">
        <v>73</v>
      </c>
      <c r="AX2107" s="1">
        <v>0</v>
      </c>
      <c r="BA2107" s="1">
        <v>9</v>
      </c>
      <c r="BB2107" s="1">
        <v>0</v>
      </c>
      <c r="BC2107" s="1">
        <v>0</v>
      </c>
      <c r="BE2107" s="1">
        <v>27388085</v>
      </c>
    </row>
    <row r="2108" spans="1:57" x14ac:dyDescent="0.25">
      <c r="A2108" s="1" t="str">
        <f>T("1946188946078374588")</f>
        <v>1946188946078374588</v>
      </c>
      <c r="B2108" s="1" t="str">
        <f>T("249915296292")</f>
        <v>249915296292</v>
      </c>
      <c r="C2108" s="1" t="str">
        <f>T("1941094503825803432")</f>
        <v>1941094503825803432</v>
      </c>
      <c r="AC2108" s="1" t="s">
        <v>344</v>
      </c>
      <c r="AD2108" s="1" t="s">
        <v>441</v>
      </c>
      <c r="AE2108" s="1" t="s">
        <v>530</v>
      </c>
      <c r="AF2108" s="1" t="s">
        <v>107</v>
      </c>
      <c r="AG2108" s="1">
        <v>50</v>
      </c>
      <c r="AO2108" s="2">
        <v>46279</v>
      </c>
      <c r="AP2108" s="1" t="s">
        <v>301</v>
      </c>
      <c r="AS2108" s="1" t="s">
        <v>71</v>
      </c>
      <c r="AU2108" s="1" t="s">
        <v>72</v>
      </c>
      <c r="AV2108" s="1" t="s">
        <v>437</v>
      </c>
      <c r="AX2108" s="1">
        <v>0</v>
      </c>
      <c r="BA2108" s="1">
        <v>9</v>
      </c>
      <c r="BB2108" s="1">
        <v>0</v>
      </c>
      <c r="BC2108" s="1">
        <v>0</v>
      </c>
      <c r="BE2108" s="1">
        <v>27388085</v>
      </c>
    </row>
    <row r="2109" spans="1:57" x14ac:dyDescent="0.25">
      <c r="A2109" s="1" t="str">
        <f>T("1946188946078374589")</f>
        <v>1946188946078374589</v>
      </c>
      <c r="B2109" s="1" t="str">
        <f>T("249962416358")</f>
        <v>249962416358</v>
      </c>
      <c r="C2109" s="1" t="str">
        <f>T("1941094503825804632")</f>
        <v>1941094503825804632</v>
      </c>
      <c r="AC2109" s="1" t="s">
        <v>344</v>
      </c>
      <c r="AD2109" s="1" t="s">
        <v>441</v>
      </c>
      <c r="AE2109" s="1" t="s">
        <v>530</v>
      </c>
      <c r="AF2109" s="1" t="s">
        <v>107</v>
      </c>
      <c r="AG2109" s="1">
        <v>35</v>
      </c>
      <c r="AO2109" s="2">
        <v>46279</v>
      </c>
      <c r="AP2109" s="1" t="s">
        <v>301</v>
      </c>
      <c r="AS2109" s="1" t="s">
        <v>71</v>
      </c>
      <c r="AU2109" s="1" t="s">
        <v>72</v>
      </c>
      <c r="AV2109" s="1" t="s">
        <v>73</v>
      </c>
      <c r="AX2109" s="1">
        <v>0</v>
      </c>
      <c r="BA2109" s="1">
        <v>9</v>
      </c>
      <c r="BB2109" s="1">
        <v>0</v>
      </c>
      <c r="BC2109" s="1">
        <v>0</v>
      </c>
      <c r="BE2109" s="1">
        <v>27388085</v>
      </c>
    </row>
    <row r="2110" spans="1:57" x14ac:dyDescent="0.25">
      <c r="A2110" s="1" t="str">
        <f>T("1946188946078374888")</f>
        <v>1946188946078374888</v>
      </c>
      <c r="B2110" s="1" t="str">
        <f>T("249905119945")</f>
        <v>249905119945</v>
      </c>
      <c r="C2110" s="1" t="str">
        <f>T("1941094503825802932")</f>
        <v>1941094503825802932</v>
      </c>
      <c r="AC2110" s="1" t="s">
        <v>344</v>
      </c>
      <c r="AD2110" s="1" t="s">
        <v>372</v>
      </c>
      <c r="AE2110" s="1" t="s">
        <v>814</v>
      </c>
      <c r="AF2110" s="1" t="s">
        <v>144</v>
      </c>
      <c r="AG2110" s="1">
        <v>37</v>
      </c>
      <c r="AO2110" s="2">
        <v>46279</v>
      </c>
      <c r="AP2110" s="1" t="s">
        <v>301</v>
      </c>
      <c r="AS2110" s="1" t="s">
        <v>71</v>
      </c>
      <c r="AU2110" s="1" t="s">
        <v>72</v>
      </c>
      <c r="AV2110" s="1" t="s">
        <v>73</v>
      </c>
      <c r="AX2110" s="1">
        <v>0</v>
      </c>
      <c r="BA2110" s="1">
        <v>9</v>
      </c>
      <c r="BB2110" s="1">
        <v>0</v>
      </c>
      <c r="BC2110" s="1">
        <v>0</v>
      </c>
      <c r="BE2110" s="1">
        <v>27388085</v>
      </c>
    </row>
    <row r="2111" spans="1:57" x14ac:dyDescent="0.25">
      <c r="A2111" s="1" t="str">
        <f>T("1946188946090956612")</f>
        <v>1946188946090956612</v>
      </c>
      <c r="B2111" s="1" t="str">
        <f>T("249912803979")</f>
        <v>249912803979</v>
      </c>
      <c r="C2111" s="1" t="str">
        <f>T("1941094503825805132")</f>
        <v>1941094503825805132</v>
      </c>
      <c r="AC2111" s="1" t="s">
        <v>344</v>
      </c>
      <c r="AD2111" s="1" t="s">
        <v>430</v>
      </c>
      <c r="AE2111" s="1" t="s">
        <v>530</v>
      </c>
      <c r="AF2111" s="1" t="s">
        <v>107</v>
      </c>
      <c r="AG2111" s="1">
        <v>21</v>
      </c>
      <c r="AO2111" s="2">
        <v>46279</v>
      </c>
      <c r="AP2111" s="1" t="s">
        <v>301</v>
      </c>
      <c r="AS2111" s="1" t="s">
        <v>71</v>
      </c>
      <c r="AU2111" s="1" t="s">
        <v>72</v>
      </c>
      <c r="AV2111" s="1" t="s">
        <v>73</v>
      </c>
      <c r="AX2111" s="1">
        <v>0</v>
      </c>
      <c r="BA2111" s="1">
        <v>9</v>
      </c>
      <c r="BB2111" s="1">
        <v>0</v>
      </c>
      <c r="BC2111" s="1">
        <v>0</v>
      </c>
      <c r="BE2111" s="1">
        <v>27388085</v>
      </c>
    </row>
    <row r="2112" spans="1:57" x14ac:dyDescent="0.25">
      <c r="A2112" s="1" t="str">
        <f>T("1946188946116121660")</f>
        <v>1946188946116121660</v>
      </c>
      <c r="B2112" s="1" t="str">
        <f>T("249962943840")</f>
        <v>249962943840</v>
      </c>
      <c r="C2112" s="1" t="str">
        <f>T("1941094503829995840")</f>
        <v>1941094503829995840</v>
      </c>
      <c r="AC2112" s="1" t="s">
        <v>344</v>
      </c>
      <c r="AD2112" s="1" t="s">
        <v>372</v>
      </c>
      <c r="AE2112" s="1" t="s">
        <v>373</v>
      </c>
      <c r="AF2112" s="1" t="s">
        <v>107</v>
      </c>
      <c r="AG2112" s="1">
        <v>60</v>
      </c>
      <c r="AO2112" s="2">
        <v>46279</v>
      </c>
      <c r="AP2112" s="1" t="s">
        <v>301</v>
      </c>
      <c r="AS2112" s="1" t="s">
        <v>71</v>
      </c>
      <c r="AU2112" s="1" t="s">
        <v>72</v>
      </c>
      <c r="AV2112" s="1" t="s">
        <v>73</v>
      </c>
      <c r="AX2112" s="1">
        <v>0</v>
      </c>
      <c r="BA2112" s="1">
        <v>9</v>
      </c>
      <c r="BB2112" s="1">
        <v>0</v>
      </c>
      <c r="BC2112" s="1">
        <v>0</v>
      </c>
      <c r="BE2112" s="1">
        <v>27388085</v>
      </c>
    </row>
    <row r="2113" spans="1:57" x14ac:dyDescent="0.25">
      <c r="A2113" s="1" t="str">
        <f>T("1946188946120317468")</f>
        <v>1946188946120317468</v>
      </c>
      <c r="B2113" s="1" t="str">
        <f>T("249918997687")</f>
        <v>249918997687</v>
      </c>
      <c r="C2113" s="1" t="str">
        <f>T("1941094503829996940")</f>
        <v>1941094503829996940</v>
      </c>
      <c r="AC2113" s="1" t="s">
        <v>344</v>
      </c>
      <c r="AD2113" s="1" t="s">
        <v>372</v>
      </c>
      <c r="AE2113" s="1" t="s">
        <v>818</v>
      </c>
      <c r="AF2113" s="1" t="s">
        <v>107</v>
      </c>
      <c r="AG2113" s="1">
        <v>49</v>
      </c>
      <c r="AO2113" s="2">
        <v>46279</v>
      </c>
      <c r="AP2113" s="1" t="s">
        <v>301</v>
      </c>
      <c r="AS2113" s="1" t="s">
        <v>71</v>
      </c>
      <c r="AU2113" s="1" t="s">
        <v>72</v>
      </c>
      <c r="AV2113" s="1" t="s">
        <v>437</v>
      </c>
      <c r="AX2113" s="1">
        <v>0</v>
      </c>
      <c r="BA2113" s="1">
        <v>9</v>
      </c>
      <c r="BB2113" s="1">
        <v>0</v>
      </c>
      <c r="BC2113" s="1">
        <v>0</v>
      </c>
      <c r="BE2113" s="1">
        <v>27388085</v>
      </c>
    </row>
    <row r="2114" spans="1:57" x14ac:dyDescent="0.25">
      <c r="A2114" s="1" t="str">
        <f>T("1946188946124511776")</f>
        <v>1946188946124511776</v>
      </c>
      <c r="B2114" s="1" t="str">
        <f>T("249900089734")</f>
        <v>249900089734</v>
      </c>
      <c r="C2114" s="1" t="str">
        <f>T("1941094503829997440")</f>
        <v>1941094503829997440</v>
      </c>
      <c r="AC2114" s="1" t="s">
        <v>344</v>
      </c>
      <c r="AD2114" s="1" t="s">
        <v>430</v>
      </c>
      <c r="AE2114" s="1" t="s">
        <v>530</v>
      </c>
      <c r="AF2114" s="1" t="s">
        <v>144</v>
      </c>
      <c r="AG2114" s="1">
        <v>22</v>
      </c>
      <c r="AO2114" s="2">
        <v>46279</v>
      </c>
      <c r="AP2114" s="1" t="s">
        <v>301</v>
      </c>
      <c r="AS2114" s="1" t="s">
        <v>71</v>
      </c>
      <c r="AU2114" s="1" t="s">
        <v>72</v>
      </c>
      <c r="AV2114" s="1" t="s">
        <v>437</v>
      </c>
      <c r="AX2114" s="1">
        <v>0</v>
      </c>
      <c r="BA2114" s="1">
        <v>9</v>
      </c>
      <c r="BB2114" s="1">
        <v>0</v>
      </c>
      <c r="BC2114" s="1">
        <v>0</v>
      </c>
      <c r="BE2114" s="1">
        <v>27388085</v>
      </c>
    </row>
    <row r="2115" spans="1:57" x14ac:dyDescent="0.25">
      <c r="A2115" s="1" t="str">
        <f>T("1946188946124512376")</f>
        <v>1946188946124512376</v>
      </c>
      <c r="B2115" s="1" t="str">
        <f>T("249907051414")</f>
        <v>249907051414</v>
      </c>
      <c r="C2115" s="1" t="str">
        <f>T("1941094503829996340")</f>
        <v>1941094503829996340</v>
      </c>
      <c r="AC2115" s="1" t="s">
        <v>344</v>
      </c>
      <c r="AD2115" s="1" t="s">
        <v>372</v>
      </c>
      <c r="AE2115" s="1" t="s">
        <v>373</v>
      </c>
      <c r="AF2115" s="1" t="s">
        <v>107</v>
      </c>
      <c r="AG2115" s="1">
        <v>48</v>
      </c>
      <c r="AO2115" s="2">
        <v>46279</v>
      </c>
      <c r="AP2115" s="1" t="s">
        <v>301</v>
      </c>
      <c r="AS2115" s="1" t="s">
        <v>71</v>
      </c>
      <c r="AU2115" s="1" t="s">
        <v>75</v>
      </c>
      <c r="AV2115" s="1" t="s">
        <v>590</v>
      </c>
      <c r="AX2115" s="1">
        <v>0</v>
      </c>
      <c r="BA2115" s="1">
        <v>8</v>
      </c>
      <c r="BB2115" s="1">
        <v>0</v>
      </c>
      <c r="BC2115" s="1">
        <v>0</v>
      </c>
      <c r="BE2115" s="1">
        <v>27388085</v>
      </c>
    </row>
    <row r="2116" spans="1:57" x14ac:dyDescent="0.25">
      <c r="A2116" s="1" t="str">
        <f>T("1946188946132898492")</f>
        <v>1946188946132898492</v>
      </c>
      <c r="B2116" s="1" t="str">
        <f>T("249924723363")</f>
        <v>249924723363</v>
      </c>
      <c r="C2116" s="1" t="str">
        <f>T("1941094503829997940")</f>
        <v>1941094503829997940</v>
      </c>
      <c r="AC2116" s="1" t="s">
        <v>344</v>
      </c>
      <c r="AD2116" s="1" t="s">
        <v>372</v>
      </c>
      <c r="AE2116" s="1" t="s">
        <v>814</v>
      </c>
      <c r="AF2116" s="1" t="s">
        <v>107</v>
      </c>
      <c r="AG2116" s="1">
        <v>40</v>
      </c>
      <c r="AO2116" s="2">
        <v>46279</v>
      </c>
      <c r="AP2116" s="1" t="s">
        <v>301</v>
      </c>
      <c r="AQ2116" s="2">
        <v>46279</v>
      </c>
      <c r="AR2116" s="1" t="s">
        <v>834</v>
      </c>
      <c r="AS2116" s="1" t="s">
        <v>71</v>
      </c>
      <c r="AU2116" s="1" t="s">
        <v>79</v>
      </c>
      <c r="AV2116" s="1" t="s">
        <v>80</v>
      </c>
      <c r="AW2116" s="1">
        <v>16.940000000000001</v>
      </c>
      <c r="AX2116" s="1">
        <v>0</v>
      </c>
      <c r="AZ2116" s="1" t="s">
        <v>81</v>
      </c>
      <c r="BA2116" s="1">
        <v>1</v>
      </c>
      <c r="BB2116" s="1">
        <v>0</v>
      </c>
      <c r="BC2116" s="1">
        <v>0</v>
      </c>
      <c r="BE2116" s="1">
        <v>27388085</v>
      </c>
    </row>
    <row r="2117" spans="1:57" x14ac:dyDescent="0.25">
      <c r="A2117" s="1" t="str">
        <f>T("1946188946162260848")</f>
        <v>1946188946162260848</v>
      </c>
      <c r="B2117" s="1" t="str">
        <f>T("249925646870")</f>
        <v>249925646870</v>
      </c>
      <c r="C2117" s="1" t="str">
        <f>T("1941094503834191048")</f>
        <v>1941094503834191048</v>
      </c>
      <c r="AA2117" s="1">
        <v>1</v>
      </c>
      <c r="AC2117" s="1" t="s">
        <v>344</v>
      </c>
      <c r="AD2117" s="1" t="s">
        <v>372</v>
      </c>
      <c r="AE2117" s="1" t="s">
        <v>814</v>
      </c>
      <c r="AF2117" s="1" t="s">
        <v>144</v>
      </c>
      <c r="AG2117" s="1">
        <v>35</v>
      </c>
      <c r="AO2117" s="2">
        <v>46279</v>
      </c>
      <c r="AP2117" s="1" t="s">
        <v>301</v>
      </c>
      <c r="AQ2117" s="2">
        <v>46279</v>
      </c>
      <c r="AR2117" s="1" t="s">
        <v>533</v>
      </c>
      <c r="AS2117" s="1" t="s">
        <v>71</v>
      </c>
      <c r="AU2117" s="1" t="s">
        <v>78</v>
      </c>
      <c r="AV2117" s="1" t="s">
        <v>80</v>
      </c>
      <c r="AW2117" s="1">
        <v>134.6</v>
      </c>
      <c r="AX2117" s="1">
        <v>0</v>
      </c>
      <c r="AZ2117" s="1" t="s">
        <v>81</v>
      </c>
      <c r="BA2117" s="1">
        <v>1</v>
      </c>
      <c r="BB2117" s="1">
        <v>0</v>
      </c>
      <c r="BC2117" s="1">
        <v>0</v>
      </c>
      <c r="BE2117" s="1">
        <v>27388085</v>
      </c>
    </row>
    <row r="2118" spans="1:57" x14ac:dyDescent="0.25">
      <c r="A2118" s="1" t="str">
        <f>T("1946188946183231488")</f>
        <v>1946188946183231488</v>
      </c>
      <c r="B2118" s="1" t="str">
        <f>T("249915706518")</f>
        <v>249915706518</v>
      </c>
      <c r="C2118" s="1" t="str">
        <f>T("1941094503834192848")</f>
        <v>1941094503834192848</v>
      </c>
      <c r="AC2118" s="1" t="s">
        <v>344</v>
      </c>
      <c r="AD2118" s="1" t="s">
        <v>441</v>
      </c>
      <c r="AE2118" s="1" t="s">
        <v>530</v>
      </c>
      <c r="AF2118" s="1" t="s">
        <v>107</v>
      </c>
      <c r="AG2118" s="1">
        <v>41</v>
      </c>
      <c r="AO2118" s="2">
        <v>46279</v>
      </c>
      <c r="AP2118" s="1" t="s">
        <v>301</v>
      </c>
      <c r="AS2118" s="1" t="s">
        <v>71</v>
      </c>
      <c r="AU2118" s="1" t="s">
        <v>72</v>
      </c>
      <c r="AV2118" s="1" t="s">
        <v>73</v>
      </c>
      <c r="AX2118" s="1">
        <v>0</v>
      </c>
      <c r="BA2118" s="1">
        <v>9</v>
      </c>
      <c r="BB2118" s="1">
        <v>0</v>
      </c>
      <c r="BC2118" s="1">
        <v>0</v>
      </c>
      <c r="BE2118" s="1">
        <v>27388085</v>
      </c>
    </row>
    <row r="2119" spans="1:57" x14ac:dyDescent="0.25">
      <c r="A2119" s="1" t="str">
        <f>T("1946188946187426396")</f>
        <v>1946188946187426396</v>
      </c>
      <c r="B2119" s="1" t="str">
        <f>T("249918870471")</f>
        <v>249918870471</v>
      </c>
      <c r="C2119" s="1" t="str">
        <f>T("1941094503834193648")</f>
        <v>1941094503834193648</v>
      </c>
      <c r="AC2119" s="1" t="s">
        <v>344</v>
      </c>
      <c r="AD2119" s="1" t="s">
        <v>372</v>
      </c>
      <c r="AE2119" s="1" t="s">
        <v>814</v>
      </c>
      <c r="AF2119" s="1" t="s">
        <v>144</v>
      </c>
      <c r="AG2119" s="1">
        <v>70</v>
      </c>
      <c r="AO2119" s="2">
        <v>46279</v>
      </c>
      <c r="AP2119" s="1" t="s">
        <v>301</v>
      </c>
      <c r="AS2119" s="1" t="s">
        <v>71</v>
      </c>
      <c r="AU2119" s="1" t="s">
        <v>72</v>
      </c>
      <c r="AV2119" s="1" t="s">
        <v>437</v>
      </c>
      <c r="AX2119" s="1">
        <v>0</v>
      </c>
      <c r="BA2119" s="1">
        <v>9</v>
      </c>
      <c r="BB2119" s="1">
        <v>0</v>
      </c>
      <c r="BC2119" s="1">
        <v>0</v>
      </c>
      <c r="BE2119" s="1">
        <v>27388085</v>
      </c>
    </row>
    <row r="2120" spans="1:57" x14ac:dyDescent="0.25">
      <c r="A2120" s="1" t="str">
        <f>T("1946188946191619404")</f>
        <v>1946188946191619404</v>
      </c>
      <c r="B2120" s="1" t="str">
        <f>T("249905481136")</f>
        <v>249905481136</v>
      </c>
      <c r="C2120" s="1" t="str">
        <f>T("1941094503850970480")</f>
        <v>1941094503850970480</v>
      </c>
      <c r="AC2120" s="1" t="s">
        <v>344</v>
      </c>
      <c r="AD2120" s="1" t="s">
        <v>372</v>
      </c>
      <c r="AE2120" s="1" t="s">
        <v>373</v>
      </c>
      <c r="AF2120" s="1" t="s">
        <v>107</v>
      </c>
      <c r="AG2120" s="1">
        <v>35</v>
      </c>
      <c r="AO2120" s="2">
        <v>46279</v>
      </c>
      <c r="AP2120" s="1" t="s">
        <v>301</v>
      </c>
      <c r="AS2120" s="1" t="s">
        <v>71</v>
      </c>
      <c r="AU2120" s="1" t="s">
        <v>72</v>
      </c>
      <c r="AV2120" s="1" t="s">
        <v>437</v>
      </c>
      <c r="AX2120" s="1">
        <v>0</v>
      </c>
      <c r="BA2120" s="1">
        <v>9</v>
      </c>
      <c r="BB2120" s="1">
        <v>0</v>
      </c>
      <c r="BC2120" s="1">
        <v>0</v>
      </c>
      <c r="BE2120" s="1">
        <v>27388085</v>
      </c>
    </row>
    <row r="2121" spans="1:57" x14ac:dyDescent="0.25">
      <c r="A2121" s="1" t="str">
        <f>T("1946188946191621604")</f>
        <v>1946188946191621604</v>
      </c>
      <c r="B2121" s="1" t="str">
        <f>T("249965469615")</f>
        <v>249965469615</v>
      </c>
      <c r="C2121" s="1" t="str">
        <f>T("1941094503838384556")</f>
        <v>1941094503838384556</v>
      </c>
      <c r="AC2121" s="1" t="s">
        <v>344</v>
      </c>
      <c r="AD2121" s="1" t="s">
        <v>441</v>
      </c>
      <c r="AE2121" s="1" t="s">
        <v>530</v>
      </c>
      <c r="AF2121" s="1" t="s">
        <v>144</v>
      </c>
      <c r="AG2121" s="1">
        <v>55</v>
      </c>
      <c r="AO2121" s="2">
        <v>46279</v>
      </c>
      <c r="AP2121" s="1" t="s">
        <v>301</v>
      </c>
      <c r="AS2121" s="1" t="s">
        <v>71</v>
      </c>
      <c r="AU2121" s="1" t="s">
        <v>75</v>
      </c>
      <c r="AV2121" s="1" t="s">
        <v>590</v>
      </c>
      <c r="AX2121" s="1">
        <v>0</v>
      </c>
      <c r="BA2121" s="1">
        <v>8</v>
      </c>
      <c r="BB2121" s="1">
        <v>0</v>
      </c>
      <c r="BC2121" s="1">
        <v>0</v>
      </c>
      <c r="BE2121" s="1">
        <v>27388085</v>
      </c>
    </row>
    <row r="2122" spans="1:57" x14ac:dyDescent="0.25">
      <c r="A2122" s="1" t="str">
        <f>T("1946188946195813612")</f>
        <v>1946188946195813612</v>
      </c>
      <c r="B2122" s="1" t="str">
        <f>T("249916542874")</f>
        <v>249916542874</v>
      </c>
      <c r="C2122" s="1" t="str">
        <f>T("1941094503838385056")</f>
        <v>1941094503838385056</v>
      </c>
      <c r="AC2122" s="1" t="s">
        <v>344</v>
      </c>
      <c r="AD2122" s="1" t="s">
        <v>372</v>
      </c>
      <c r="AE2122" s="1" t="s">
        <v>815</v>
      </c>
      <c r="AF2122" s="1" t="s">
        <v>144</v>
      </c>
      <c r="AG2122" s="1">
        <v>37</v>
      </c>
      <c r="AO2122" s="2">
        <v>46279</v>
      </c>
      <c r="AP2122" s="1" t="s">
        <v>301</v>
      </c>
      <c r="AS2122" s="1" t="s">
        <v>71</v>
      </c>
      <c r="AU2122" s="1" t="s">
        <v>72</v>
      </c>
      <c r="AV2122" s="1" t="s">
        <v>437</v>
      </c>
      <c r="AX2122" s="1">
        <v>0</v>
      </c>
      <c r="BA2122" s="1">
        <v>9</v>
      </c>
      <c r="BB2122" s="1">
        <v>0</v>
      </c>
      <c r="BC2122" s="1">
        <v>0</v>
      </c>
      <c r="BE2122" s="1">
        <v>27388085</v>
      </c>
    </row>
    <row r="2123" spans="1:57" x14ac:dyDescent="0.25">
      <c r="A2123" s="1" t="str">
        <f>T("1946188946220981760")</f>
        <v>1946188946220981760</v>
      </c>
      <c r="B2123" s="1" t="str">
        <f>T("249914246720")</f>
        <v>249914246720</v>
      </c>
      <c r="C2123" s="1" t="str">
        <f>T("1941094503855161388")</f>
        <v>1941094503855161388</v>
      </c>
      <c r="AC2123" s="1" t="s">
        <v>344</v>
      </c>
      <c r="AD2123" s="1" t="s">
        <v>441</v>
      </c>
      <c r="AE2123" s="1" t="s">
        <v>530</v>
      </c>
      <c r="AF2123" s="1" t="s">
        <v>107</v>
      </c>
      <c r="AG2123" s="1">
        <v>55</v>
      </c>
      <c r="AO2123" s="2">
        <v>46279</v>
      </c>
      <c r="AP2123" s="1" t="s">
        <v>301</v>
      </c>
      <c r="AS2123" s="1" t="s">
        <v>71</v>
      </c>
      <c r="AU2123" s="1" t="s">
        <v>72</v>
      </c>
      <c r="AV2123" s="1" t="s">
        <v>437</v>
      </c>
      <c r="AX2123" s="1">
        <v>0</v>
      </c>
      <c r="BA2123" s="1">
        <v>9</v>
      </c>
      <c r="BB2123" s="1">
        <v>0</v>
      </c>
      <c r="BC2123" s="1">
        <v>0</v>
      </c>
      <c r="BE2123" s="1">
        <v>27388085</v>
      </c>
    </row>
    <row r="2124" spans="1:57" x14ac:dyDescent="0.25">
      <c r="A2124" s="1" t="str">
        <f>T("1946204088396619768")</f>
        <v>1946204088396619768</v>
      </c>
      <c r="B2124" s="1" t="str">
        <f>T("249904054588")</f>
        <v>249904054588</v>
      </c>
      <c r="C2124" s="1" t="str">
        <f>T("1941094503855161988")</f>
        <v>1941094503855161988</v>
      </c>
      <c r="AC2124" s="1" t="s">
        <v>344</v>
      </c>
      <c r="AD2124" s="1" t="s">
        <v>430</v>
      </c>
      <c r="AE2124" s="1" t="s">
        <v>530</v>
      </c>
      <c r="AF2124" s="1" t="s">
        <v>107</v>
      </c>
      <c r="AG2124" s="1">
        <v>72</v>
      </c>
      <c r="AO2124" s="2">
        <v>46279</v>
      </c>
      <c r="AP2124" s="1" t="s">
        <v>588</v>
      </c>
      <c r="AS2124" s="1" t="s">
        <v>71</v>
      </c>
      <c r="AU2124" s="1" t="s">
        <v>72</v>
      </c>
      <c r="AV2124" s="1" t="s">
        <v>73</v>
      </c>
      <c r="AX2124" s="1">
        <v>0</v>
      </c>
      <c r="BA2124" s="1">
        <v>9</v>
      </c>
      <c r="BB2124" s="1">
        <v>0</v>
      </c>
      <c r="BC2124" s="1">
        <v>0</v>
      </c>
      <c r="BE2124" s="1">
        <v>27388116</v>
      </c>
    </row>
    <row r="2125" spans="1:57" x14ac:dyDescent="0.25">
      <c r="A2125" s="1" t="str">
        <f>T("1946204088518250500")</f>
        <v>1946204088518250500</v>
      </c>
      <c r="B2125" s="1" t="str">
        <f>T("249913162655")</f>
        <v>249913162655</v>
      </c>
      <c r="C2125" s="1" t="str">
        <f>T("1941094503855162388")</f>
        <v>1941094503855162388</v>
      </c>
      <c r="AC2125" s="1" t="s">
        <v>344</v>
      </c>
      <c r="AD2125" s="1" t="s">
        <v>441</v>
      </c>
      <c r="AE2125" s="1" t="s">
        <v>530</v>
      </c>
      <c r="AF2125" s="1" t="s">
        <v>107</v>
      </c>
      <c r="AG2125" s="1">
        <v>52</v>
      </c>
      <c r="AO2125" s="2">
        <v>46279</v>
      </c>
      <c r="AP2125" s="1" t="s">
        <v>588</v>
      </c>
      <c r="AS2125" s="1" t="s">
        <v>71</v>
      </c>
      <c r="AU2125" s="1" t="s">
        <v>72</v>
      </c>
      <c r="AV2125" s="1" t="s">
        <v>437</v>
      </c>
      <c r="AX2125" s="1">
        <v>0</v>
      </c>
      <c r="BA2125" s="1">
        <v>9</v>
      </c>
      <c r="BB2125" s="1">
        <v>0</v>
      </c>
      <c r="BC2125" s="1">
        <v>0</v>
      </c>
      <c r="BE2125" s="1">
        <v>27388116</v>
      </c>
    </row>
    <row r="2126" spans="1:57" x14ac:dyDescent="0.25">
      <c r="A2126" s="1" t="str">
        <f>T("1946204088581166920")</f>
        <v>1946204088581166920</v>
      </c>
      <c r="B2126" s="1" t="str">
        <f>T("249111029211")</f>
        <v>249111029211</v>
      </c>
      <c r="C2126" s="1" t="str">
        <f>T("1941094503855163088")</f>
        <v>1941094503855163088</v>
      </c>
      <c r="AA2126" s="1">
        <v>1</v>
      </c>
      <c r="AC2126" s="1" t="s">
        <v>344</v>
      </c>
      <c r="AD2126" s="1" t="s">
        <v>372</v>
      </c>
      <c r="AE2126" s="1" t="s">
        <v>820</v>
      </c>
      <c r="AF2126" s="1" t="s">
        <v>107</v>
      </c>
      <c r="AG2126" s="1">
        <v>35</v>
      </c>
      <c r="AO2126" s="2">
        <v>46279</v>
      </c>
      <c r="AP2126" s="1" t="s">
        <v>588</v>
      </c>
      <c r="AQ2126" s="2">
        <v>46279</v>
      </c>
      <c r="AR2126" s="1" t="s">
        <v>835</v>
      </c>
      <c r="AS2126" s="1" t="s">
        <v>71</v>
      </c>
      <c r="AU2126" s="1" t="s">
        <v>79</v>
      </c>
      <c r="AV2126" s="1" t="s">
        <v>80</v>
      </c>
      <c r="AW2126" s="1">
        <v>107</v>
      </c>
      <c r="AX2126" s="1">
        <v>0</v>
      </c>
      <c r="AZ2126" s="1" t="s">
        <v>81</v>
      </c>
      <c r="BA2126" s="1">
        <v>2</v>
      </c>
      <c r="BB2126" s="1">
        <v>0</v>
      </c>
      <c r="BC2126" s="1">
        <v>0</v>
      </c>
      <c r="BE2126" s="1">
        <v>27388116</v>
      </c>
    </row>
    <row r="2127" spans="1:57" x14ac:dyDescent="0.25">
      <c r="A2127" s="1" t="str">
        <f>T("1946204088652471456")</f>
        <v>1946204088652471456</v>
      </c>
      <c r="B2127" s="1" t="str">
        <f>T("249125849120")</f>
        <v>249125849120</v>
      </c>
      <c r="C2127" s="1" t="str">
        <f>T("1941094503855163488")</f>
        <v>1941094503855163488</v>
      </c>
      <c r="AC2127" s="1" t="s">
        <v>344</v>
      </c>
      <c r="AD2127" s="1" t="s">
        <v>430</v>
      </c>
      <c r="AE2127" s="1" t="s">
        <v>530</v>
      </c>
      <c r="AF2127" s="1" t="s">
        <v>107</v>
      </c>
      <c r="AG2127" s="1">
        <v>23</v>
      </c>
      <c r="AO2127" s="2">
        <v>46279</v>
      </c>
      <c r="AP2127" s="1" t="s">
        <v>588</v>
      </c>
      <c r="AS2127" s="1" t="s">
        <v>71</v>
      </c>
      <c r="AU2127" s="1" t="s">
        <v>72</v>
      </c>
      <c r="AV2127" s="1" t="s">
        <v>73</v>
      </c>
      <c r="AX2127" s="1">
        <v>0</v>
      </c>
      <c r="BA2127" s="1">
        <v>9</v>
      </c>
      <c r="BB2127" s="1">
        <v>0</v>
      </c>
      <c r="BC2127" s="1">
        <v>0</v>
      </c>
      <c r="BE2127" s="1">
        <v>27388116</v>
      </c>
    </row>
    <row r="2128" spans="1:57" x14ac:dyDescent="0.25">
      <c r="A2128" s="1" t="str">
        <f>T("1946204088706995460")</f>
        <v>1946204088706995460</v>
      </c>
      <c r="B2128" s="1" t="str">
        <f>T("249915832874")</f>
        <v>249915832874</v>
      </c>
      <c r="C2128" s="1" t="str">
        <f>T("1941094503855163888")</f>
        <v>1941094503855163888</v>
      </c>
      <c r="AC2128" s="1" t="s">
        <v>344</v>
      </c>
      <c r="AD2128" s="1" t="s">
        <v>372</v>
      </c>
      <c r="AE2128" s="1" t="s">
        <v>813</v>
      </c>
      <c r="AF2128" s="1" t="s">
        <v>107</v>
      </c>
      <c r="AG2128" s="1">
        <v>75</v>
      </c>
      <c r="AO2128" s="2">
        <v>46279</v>
      </c>
      <c r="AP2128" s="1" t="s">
        <v>588</v>
      </c>
      <c r="AS2128" s="1" t="s">
        <v>71</v>
      </c>
      <c r="AU2128" s="1" t="s">
        <v>72</v>
      </c>
      <c r="AV2128" s="1" t="s">
        <v>73</v>
      </c>
      <c r="AX2128" s="1">
        <v>0</v>
      </c>
      <c r="BA2128" s="1">
        <v>9</v>
      </c>
      <c r="BB2128" s="1">
        <v>0</v>
      </c>
      <c r="BC2128" s="1">
        <v>0</v>
      </c>
      <c r="BE2128" s="1">
        <v>27388116</v>
      </c>
    </row>
    <row r="2129" spans="1:57" x14ac:dyDescent="0.25">
      <c r="A2129" s="1" t="str">
        <f>T("1946204088765718472")</f>
        <v>1946204088765718472</v>
      </c>
      <c r="B2129" s="1" t="str">
        <f>T("249125904066")</f>
        <v>249125904066</v>
      </c>
      <c r="C2129" s="1" t="str">
        <f>T("1941094503855164288")</f>
        <v>1941094503855164288</v>
      </c>
      <c r="AA2129" s="1">
        <v>1</v>
      </c>
      <c r="AC2129" s="1" t="s">
        <v>344</v>
      </c>
      <c r="AD2129" s="1" t="s">
        <v>372</v>
      </c>
      <c r="AE2129" s="1" t="s">
        <v>814</v>
      </c>
      <c r="AF2129" s="1" t="s">
        <v>144</v>
      </c>
      <c r="AG2129" s="1">
        <v>45</v>
      </c>
      <c r="AO2129" s="2">
        <v>46279</v>
      </c>
      <c r="AP2129" s="1" t="s">
        <v>588</v>
      </c>
      <c r="AQ2129" s="2">
        <v>46279</v>
      </c>
      <c r="AR2129" s="1" t="s">
        <v>836</v>
      </c>
      <c r="AS2129" s="1" t="s">
        <v>71</v>
      </c>
      <c r="AU2129" s="1" t="s">
        <v>79</v>
      </c>
      <c r="AV2129" s="1" t="s">
        <v>80</v>
      </c>
      <c r="AW2129" s="1">
        <v>38.4</v>
      </c>
      <c r="AX2129" s="1">
        <v>0</v>
      </c>
      <c r="AZ2129" s="1" t="s">
        <v>81</v>
      </c>
      <c r="BA2129" s="1">
        <v>3</v>
      </c>
      <c r="BB2129" s="1">
        <v>0</v>
      </c>
      <c r="BC2129" s="1">
        <v>0</v>
      </c>
      <c r="BE2129" s="1">
        <v>27388116</v>
      </c>
    </row>
    <row r="2130" spans="1:57" x14ac:dyDescent="0.25">
      <c r="A2130" s="1" t="str">
        <f>T("1946204088820243976")</f>
        <v>1946204088820243976</v>
      </c>
      <c r="B2130" s="1" t="str">
        <f>T("249112643460")</f>
        <v>249112643460</v>
      </c>
      <c r="C2130" s="1" t="str">
        <f>T("1941094503859356996")</f>
        <v>1941094503859356996</v>
      </c>
      <c r="AC2130" s="1" t="s">
        <v>344</v>
      </c>
      <c r="AD2130" s="1" t="s">
        <v>372</v>
      </c>
      <c r="AE2130" s="1" t="s">
        <v>818</v>
      </c>
      <c r="AF2130" s="1" t="s">
        <v>107</v>
      </c>
      <c r="AG2130" s="1">
        <v>55</v>
      </c>
      <c r="AO2130" s="2">
        <v>46279</v>
      </c>
      <c r="AP2130" s="1" t="s">
        <v>588</v>
      </c>
      <c r="AS2130" s="1" t="s">
        <v>71</v>
      </c>
      <c r="AU2130" s="1" t="s">
        <v>72</v>
      </c>
      <c r="AV2130" s="1" t="s">
        <v>73</v>
      </c>
      <c r="AX2130" s="1">
        <v>0</v>
      </c>
      <c r="BA2130" s="1">
        <v>9</v>
      </c>
      <c r="BB2130" s="1">
        <v>0</v>
      </c>
      <c r="BC2130" s="1">
        <v>0</v>
      </c>
      <c r="BE2130" s="1">
        <v>27388116</v>
      </c>
    </row>
    <row r="2131" spans="1:57" x14ac:dyDescent="0.25">
      <c r="A2131" s="1" t="str">
        <f>T("1946204088878964488")</f>
        <v>1946204088878964488</v>
      </c>
      <c r="B2131" s="1" t="str">
        <f>T("249962031582")</f>
        <v>249962031582</v>
      </c>
      <c r="C2131" s="1" t="str">
        <f>T("1941094503859357596")</f>
        <v>1941094503859357596</v>
      </c>
      <c r="AC2131" s="1" t="s">
        <v>344</v>
      </c>
      <c r="AD2131" s="1" t="s">
        <v>430</v>
      </c>
      <c r="AE2131" s="1" t="s">
        <v>530</v>
      </c>
      <c r="AF2131" s="1" t="s">
        <v>144</v>
      </c>
      <c r="AG2131" s="1">
        <v>25</v>
      </c>
      <c r="AO2131" s="2">
        <v>46279</v>
      </c>
      <c r="AP2131" s="1" t="s">
        <v>588</v>
      </c>
      <c r="AS2131" s="1" t="s">
        <v>71</v>
      </c>
      <c r="AU2131" s="1" t="s">
        <v>75</v>
      </c>
      <c r="AV2131" s="1" t="s">
        <v>590</v>
      </c>
      <c r="AX2131" s="1">
        <v>0</v>
      </c>
      <c r="BA2131" s="1">
        <v>8</v>
      </c>
      <c r="BB2131" s="1">
        <v>0</v>
      </c>
      <c r="BC2131" s="1">
        <v>0</v>
      </c>
      <c r="BE2131" s="1">
        <v>27388116</v>
      </c>
    </row>
    <row r="2132" spans="1:57" x14ac:dyDescent="0.25">
      <c r="A2132" s="1" t="str">
        <f>T("1946204088937681000")</f>
        <v>1946204088937681000</v>
      </c>
      <c r="B2132" s="1" t="str">
        <f>T("249119533207")</f>
        <v>249119533207</v>
      </c>
      <c r="C2132" s="1" t="str">
        <f>T("1941094503859359596")</f>
        <v>1941094503859359596</v>
      </c>
      <c r="AA2132" s="1">
        <v>1</v>
      </c>
      <c r="AC2132" s="1" t="s">
        <v>344</v>
      </c>
      <c r="AD2132" s="1" t="s">
        <v>372</v>
      </c>
      <c r="AE2132" s="1" t="s">
        <v>815</v>
      </c>
      <c r="AF2132" s="1" t="s">
        <v>144</v>
      </c>
      <c r="AG2132" s="1">
        <v>44</v>
      </c>
      <c r="AO2132" s="2">
        <v>46279</v>
      </c>
      <c r="AP2132" s="1" t="s">
        <v>588</v>
      </c>
      <c r="AQ2132" s="2">
        <v>46279</v>
      </c>
      <c r="AR2132" s="1" t="s">
        <v>837</v>
      </c>
      <c r="AS2132" s="1" t="s">
        <v>71</v>
      </c>
      <c r="AU2132" s="1" t="s">
        <v>79</v>
      </c>
      <c r="AV2132" s="1" t="s">
        <v>80</v>
      </c>
      <c r="AW2132" s="1">
        <v>65.040000000000006</v>
      </c>
      <c r="AX2132" s="1">
        <v>0</v>
      </c>
      <c r="AZ2132" s="1" t="s">
        <v>81</v>
      </c>
      <c r="BA2132" s="1">
        <v>2</v>
      </c>
      <c r="BB2132" s="1">
        <v>0</v>
      </c>
      <c r="BC2132" s="1">
        <v>0</v>
      </c>
      <c r="BE2132" s="1">
        <v>27388116</v>
      </c>
    </row>
    <row r="2133" spans="1:57" x14ac:dyDescent="0.25">
      <c r="A2133" s="1" t="str">
        <f>T("1946204088988015696")</f>
        <v>1946204088988015696</v>
      </c>
      <c r="B2133" s="1" t="str">
        <f>T("249918120337")</f>
        <v>249918120337</v>
      </c>
      <c r="C2133" s="1" t="str">
        <f>T("1941094503863551204")</f>
        <v>1941094503863551204</v>
      </c>
      <c r="AC2133" s="1" t="s">
        <v>344</v>
      </c>
      <c r="AD2133" s="1" t="s">
        <v>372</v>
      </c>
      <c r="AE2133" s="1" t="s">
        <v>820</v>
      </c>
      <c r="AF2133" s="1" t="s">
        <v>107</v>
      </c>
      <c r="AG2133" s="1">
        <v>40</v>
      </c>
      <c r="AO2133" s="2">
        <v>46279</v>
      </c>
      <c r="AP2133" s="1" t="s">
        <v>588</v>
      </c>
      <c r="AS2133" s="1" t="s">
        <v>71</v>
      </c>
      <c r="AU2133" s="1" t="s">
        <v>72</v>
      </c>
      <c r="AV2133" s="1" t="s">
        <v>73</v>
      </c>
      <c r="AX2133" s="1">
        <v>0</v>
      </c>
      <c r="BA2133" s="1">
        <v>9</v>
      </c>
      <c r="BB2133" s="1">
        <v>0</v>
      </c>
      <c r="BC2133" s="1">
        <v>0</v>
      </c>
      <c r="BE2133" s="1">
        <v>27388116</v>
      </c>
    </row>
    <row r="2134" spans="1:57" x14ac:dyDescent="0.25">
      <c r="A2134" s="1" t="str">
        <f>T("1946204089046735308")</f>
        <v>1946204089046735308</v>
      </c>
      <c r="B2134" s="1" t="str">
        <f>T("249906675180")</f>
        <v>249906675180</v>
      </c>
      <c r="C2134" s="1" t="str">
        <f>T("1941094503863552104")</f>
        <v>1941094503863552104</v>
      </c>
      <c r="AC2134" s="1" t="s">
        <v>344</v>
      </c>
      <c r="AD2134" s="1" t="s">
        <v>430</v>
      </c>
      <c r="AE2134" s="1" t="s">
        <v>530</v>
      </c>
      <c r="AF2134" s="1" t="s">
        <v>107</v>
      </c>
      <c r="AG2134" s="1">
        <v>35</v>
      </c>
      <c r="AO2134" s="2">
        <v>46279</v>
      </c>
      <c r="AP2134" s="1" t="s">
        <v>588</v>
      </c>
      <c r="AS2134" s="1" t="s">
        <v>71</v>
      </c>
      <c r="AU2134" s="1" t="s">
        <v>72</v>
      </c>
      <c r="AV2134" s="1" t="s">
        <v>73</v>
      </c>
      <c r="AX2134" s="1">
        <v>0</v>
      </c>
      <c r="BA2134" s="1">
        <v>9</v>
      </c>
      <c r="BB2134" s="1">
        <v>0</v>
      </c>
      <c r="BC2134" s="1">
        <v>0</v>
      </c>
      <c r="BE2134" s="1">
        <v>27388116</v>
      </c>
    </row>
    <row r="2135" spans="1:57" x14ac:dyDescent="0.25">
      <c r="A2135" s="1" t="str">
        <f>T("1946204089122231252")</f>
        <v>1946204089122231252</v>
      </c>
      <c r="B2135" s="1" t="str">
        <f>T("249960506033")</f>
        <v>249960506033</v>
      </c>
      <c r="C2135" s="1" t="str">
        <f>T("1941094503863552604")</f>
        <v>1941094503863552604</v>
      </c>
      <c r="AC2135" s="1" t="s">
        <v>344</v>
      </c>
      <c r="AD2135" s="1" t="s">
        <v>430</v>
      </c>
      <c r="AE2135" s="1" t="s">
        <v>530</v>
      </c>
      <c r="AF2135" s="1" t="s">
        <v>144</v>
      </c>
      <c r="AG2135" s="1">
        <v>40</v>
      </c>
      <c r="AO2135" s="2">
        <v>46279</v>
      </c>
      <c r="AP2135" s="1" t="s">
        <v>588</v>
      </c>
      <c r="AS2135" s="1" t="s">
        <v>71</v>
      </c>
      <c r="AU2135" s="1" t="s">
        <v>72</v>
      </c>
      <c r="AV2135" s="1" t="s">
        <v>437</v>
      </c>
      <c r="AX2135" s="1">
        <v>0</v>
      </c>
      <c r="BA2135" s="1">
        <v>9</v>
      </c>
      <c r="BB2135" s="1">
        <v>0</v>
      </c>
      <c r="BC2135" s="1">
        <v>0</v>
      </c>
      <c r="BE2135" s="1">
        <v>27388116</v>
      </c>
    </row>
    <row r="2136" spans="1:57" x14ac:dyDescent="0.25">
      <c r="A2136" s="1" t="str">
        <f>T("1946204089185148172")</f>
        <v>1946204089185148172</v>
      </c>
      <c r="B2136" s="1" t="str">
        <f>T("249902036787")</f>
        <v>249902036787</v>
      </c>
      <c r="C2136" s="1" t="str">
        <f>T("1941094503863553204")</f>
        <v>1941094503863553204</v>
      </c>
      <c r="AC2136" s="1" t="s">
        <v>344</v>
      </c>
      <c r="AD2136" s="1" t="s">
        <v>372</v>
      </c>
      <c r="AE2136" s="1" t="s">
        <v>814</v>
      </c>
      <c r="AF2136" s="1" t="s">
        <v>144</v>
      </c>
      <c r="AG2136" s="1">
        <v>60</v>
      </c>
      <c r="AO2136" s="2">
        <v>46279</v>
      </c>
      <c r="AP2136" s="1" t="s">
        <v>588</v>
      </c>
      <c r="AS2136" s="1" t="s">
        <v>71</v>
      </c>
      <c r="AU2136" s="1" t="s">
        <v>72</v>
      </c>
      <c r="AV2136" s="1" t="s">
        <v>437</v>
      </c>
      <c r="AX2136" s="1">
        <v>0</v>
      </c>
      <c r="BA2136" s="1">
        <v>9</v>
      </c>
      <c r="BB2136" s="1">
        <v>0</v>
      </c>
      <c r="BC2136" s="1">
        <v>0</v>
      </c>
      <c r="BE2136" s="1">
        <v>27388116</v>
      </c>
    </row>
    <row r="2137" spans="1:57" x14ac:dyDescent="0.25">
      <c r="A2137" s="1" t="str">
        <f>T("1946204089248063092")</f>
        <v>1946204089248063092</v>
      </c>
      <c r="B2137" s="1" t="str">
        <f>T("249916928389")</f>
        <v>249916928389</v>
      </c>
      <c r="C2137" s="1" t="str">
        <f>T("1941094503863553904")</f>
        <v>1941094503863553904</v>
      </c>
      <c r="AC2137" s="1" t="s">
        <v>344</v>
      </c>
      <c r="AD2137" s="1" t="s">
        <v>430</v>
      </c>
      <c r="AE2137" s="1" t="s">
        <v>530</v>
      </c>
      <c r="AF2137" s="1" t="s">
        <v>107</v>
      </c>
      <c r="AG2137" s="1">
        <v>58</v>
      </c>
      <c r="AO2137" s="2">
        <v>46279</v>
      </c>
      <c r="AP2137" s="1" t="s">
        <v>588</v>
      </c>
      <c r="AS2137" s="1" t="s">
        <v>71</v>
      </c>
      <c r="AU2137" s="1" t="s">
        <v>72</v>
      </c>
      <c r="AV2137" s="1" t="s">
        <v>437</v>
      </c>
      <c r="AX2137" s="1">
        <v>0</v>
      </c>
      <c r="BA2137" s="1">
        <v>9</v>
      </c>
      <c r="BB2137" s="1">
        <v>0</v>
      </c>
      <c r="BC2137" s="1">
        <v>0</v>
      </c>
      <c r="BE2137" s="1">
        <v>27388116</v>
      </c>
    </row>
    <row r="2138" spans="1:57" x14ac:dyDescent="0.25">
      <c r="A2138" s="1" t="str">
        <f>T("1946204089310975412")</f>
        <v>1946204089310975412</v>
      </c>
      <c r="B2138" s="1" t="str">
        <f>T("249908863096")</f>
        <v>249908863096</v>
      </c>
      <c r="C2138" s="1" t="str">
        <f>T("1941094503867746212")</f>
        <v>1941094503867746212</v>
      </c>
      <c r="AC2138" s="1" t="s">
        <v>344</v>
      </c>
      <c r="AD2138" s="1" t="s">
        <v>372</v>
      </c>
      <c r="AE2138" s="1" t="s">
        <v>813</v>
      </c>
      <c r="AF2138" s="1" t="s">
        <v>107</v>
      </c>
      <c r="AG2138" s="1">
        <v>50</v>
      </c>
      <c r="AO2138" s="2">
        <v>46279</v>
      </c>
      <c r="AP2138" s="1" t="s">
        <v>588</v>
      </c>
      <c r="AS2138" s="1" t="s">
        <v>71</v>
      </c>
      <c r="AU2138" s="1" t="s">
        <v>72</v>
      </c>
      <c r="AV2138" s="1" t="s">
        <v>73</v>
      </c>
      <c r="AX2138" s="1">
        <v>0</v>
      </c>
      <c r="BA2138" s="1">
        <v>9</v>
      </c>
      <c r="BB2138" s="1">
        <v>0</v>
      </c>
      <c r="BC2138" s="1">
        <v>0</v>
      </c>
      <c r="BE2138" s="1">
        <v>27388116</v>
      </c>
    </row>
    <row r="2139" spans="1:57" x14ac:dyDescent="0.25">
      <c r="A2139" s="1" t="str">
        <f>T("1946204089369698224")</f>
        <v>1946204089369698224</v>
      </c>
      <c r="B2139" s="1" t="str">
        <f>T("249917974630")</f>
        <v>249917974630</v>
      </c>
      <c r="C2139" s="1" t="str">
        <f>T("1941094503867746712")</f>
        <v>1941094503867746712</v>
      </c>
      <c r="AC2139" s="1" t="s">
        <v>344</v>
      </c>
      <c r="AD2139" s="1" t="s">
        <v>372</v>
      </c>
      <c r="AE2139" s="1" t="s">
        <v>815</v>
      </c>
      <c r="AF2139" s="1" t="s">
        <v>107</v>
      </c>
      <c r="AG2139" s="1">
        <v>65</v>
      </c>
      <c r="AO2139" s="2">
        <v>46279</v>
      </c>
      <c r="AP2139" s="1" t="s">
        <v>588</v>
      </c>
      <c r="AS2139" s="1" t="s">
        <v>71</v>
      </c>
      <c r="AU2139" s="1" t="s">
        <v>72</v>
      </c>
      <c r="AV2139" s="1" t="s">
        <v>437</v>
      </c>
      <c r="AX2139" s="1">
        <v>0</v>
      </c>
      <c r="BA2139" s="1">
        <v>9</v>
      </c>
      <c r="BB2139" s="1">
        <v>0</v>
      </c>
      <c r="BC2139" s="1">
        <v>0</v>
      </c>
      <c r="BE2139" s="1">
        <v>27388116</v>
      </c>
    </row>
    <row r="2140" spans="1:57" x14ac:dyDescent="0.25">
      <c r="A2140" s="1" t="str">
        <f>T("1946204089432610244")</f>
        <v>1946204089432610244</v>
      </c>
      <c r="B2140" s="1" t="str">
        <f>T("249965486093")</f>
        <v>249965486093</v>
      </c>
      <c r="C2140" s="1" t="str">
        <f>T("1941094503867747212")</f>
        <v>1941094503867747212</v>
      </c>
      <c r="AC2140" s="1" t="s">
        <v>344</v>
      </c>
      <c r="AD2140" s="1" t="s">
        <v>430</v>
      </c>
      <c r="AE2140" s="1" t="s">
        <v>530</v>
      </c>
      <c r="AF2140" s="1" t="s">
        <v>144</v>
      </c>
      <c r="AG2140" s="1">
        <v>48</v>
      </c>
      <c r="AO2140" s="2">
        <v>46279</v>
      </c>
      <c r="AP2140" s="1" t="s">
        <v>588</v>
      </c>
      <c r="AS2140" s="1" t="s">
        <v>71</v>
      </c>
      <c r="AU2140" s="1" t="s">
        <v>72</v>
      </c>
      <c r="AV2140" s="1" t="s">
        <v>73</v>
      </c>
      <c r="AX2140" s="1">
        <v>0</v>
      </c>
      <c r="BA2140" s="1">
        <v>9</v>
      </c>
      <c r="BB2140" s="1">
        <v>0</v>
      </c>
      <c r="BC2140" s="1">
        <v>0</v>
      </c>
      <c r="BE2140" s="1">
        <v>27388116</v>
      </c>
    </row>
    <row r="2141" spans="1:57" x14ac:dyDescent="0.25">
      <c r="A2141" s="1" t="str">
        <f>T("1946204089487137148")</f>
        <v>1946204089487137148</v>
      </c>
      <c r="B2141" s="1" t="str">
        <f>T("249916342783")</f>
        <v>249916342783</v>
      </c>
      <c r="C2141" s="1" t="str">
        <f>T("1941094503867747812")</f>
        <v>1941094503867747812</v>
      </c>
      <c r="AC2141" s="1" t="s">
        <v>344</v>
      </c>
      <c r="AD2141" s="1" t="s">
        <v>430</v>
      </c>
      <c r="AE2141" s="1" t="s">
        <v>530</v>
      </c>
      <c r="AF2141" s="1" t="s">
        <v>144</v>
      </c>
      <c r="AG2141" s="1">
        <v>49</v>
      </c>
      <c r="AO2141" s="2">
        <v>46279</v>
      </c>
      <c r="AP2141" s="1" t="s">
        <v>588</v>
      </c>
      <c r="AS2141" s="1" t="s">
        <v>71</v>
      </c>
      <c r="AU2141" s="1" t="s">
        <v>72</v>
      </c>
      <c r="AV2141" s="1" t="s">
        <v>437</v>
      </c>
      <c r="AX2141" s="1">
        <v>0</v>
      </c>
      <c r="BA2141" s="1">
        <v>9</v>
      </c>
      <c r="BB2141" s="1">
        <v>0</v>
      </c>
      <c r="BC2141" s="1">
        <v>0</v>
      </c>
      <c r="BE2141" s="1">
        <v>27388116</v>
      </c>
    </row>
    <row r="2142" spans="1:57" x14ac:dyDescent="0.25">
      <c r="A2142" s="1" t="str">
        <f>T("1946204089499720772")</f>
        <v>1946204089499720772</v>
      </c>
      <c r="B2142" s="1" t="str">
        <f>T("249907638867")</f>
        <v>249907638867</v>
      </c>
      <c r="C2142" s="1" t="str">
        <f>T("1941094503876133028")</f>
        <v>1941094503876133028</v>
      </c>
      <c r="AC2142" s="1" t="s">
        <v>344</v>
      </c>
      <c r="AD2142" s="1" t="s">
        <v>441</v>
      </c>
      <c r="AE2142" s="1" t="s">
        <v>530</v>
      </c>
      <c r="AF2142" s="1" t="s">
        <v>144</v>
      </c>
      <c r="AG2142" s="1">
        <v>54</v>
      </c>
      <c r="AO2142" s="2">
        <v>46279</v>
      </c>
      <c r="AP2142" s="1" t="s">
        <v>588</v>
      </c>
      <c r="AS2142" s="1" t="s">
        <v>71</v>
      </c>
      <c r="AU2142" s="1" t="s">
        <v>72</v>
      </c>
      <c r="AV2142" s="1" t="s">
        <v>73</v>
      </c>
      <c r="AX2142" s="1">
        <v>0</v>
      </c>
      <c r="BA2142" s="1">
        <v>9</v>
      </c>
      <c r="BB2142" s="1">
        <v>0</v>
      </c>
      <c r="BC2142" s="1">
        <v>0</v>
      </c>
      <c r="BE2142" s="1">
        <v>27388116</v>
      </c>
    </row>
    <row r="2143" spans="1:57" x14ac:dyDescent="0.25">
      <c r="A2143" s="1" t="str">
        <f>T("1946204089541664052")</f>
        <v>1946204089541664052</v>
      </c>
      <c r="B2143" s="1" t="str">
        <f>T("249901789046")</f>
        <v>249901789046</v>
      </c>
      <c r="C2143" s="1" t="str">
        <f>T("1941094503876133628")</f>
        <v>1941094503876133628</v>
      </c>
      <c r="AC2143" s="1" t="s">
        <v>344</v>
      </c>
      <c r="AD2143" s="1" t="s">
        <v>441</v>
      </c>
      <c r="AE2143" s="1" t="s">
        <v>530</v>
      </c>
      <c r="AF2143" s="1" t="s">
        <v>144</v>
      </c>
      <c r="AG2143" s="1">
        <v>80</v>
      </c>
      <c r="AO2143" s="2">
        <v>46279</v>
      </c>
      <c r="AP2143" s="1" t="s">
        <v>588</v>
      </c>
      <c r="AS2143" s="1" t="s">
        <v>71</v>
      </c>
      <c r="AU2143" s="1" t="s">
        <v>72</v>
      </c>
      <c r="AV2143" s="1" t="s">
        <v>437</v>
      </c>
      <c r="AX2143" s="1">
        <v>0</v>
      </c>
      <c r="BA2143" s="1">
        <v>9</v>
      </c>
      <c r="BB2143" s="1">
        <v>0</v>
      </c>
      <c r="BC2143" s="1">
        <v>0</v>
      </c>
      <c r="BE2143" s="1">
        <v>27388116</v>
      </c>
    </row>
    <row r="2144" spans="1:57" x14ac:dyDescent="0.25">
      <c r="A2144" s="1" t="str">
        <f>T("1946204089591992848")</f>
        <v>1946204089591992848</v>
      </c>
      <c r="B2144" s="1" t="str">
        <f>T("249903520409")</f>
        <v>249903520409</v>
      </c>
      <c r="C2144" s="1" t="str">
        <f>T("1941094503876134128")</f>
        <v>1941094503876134128</v>
      </c>
      <c r="AC2144" s="1" t="s">
        <v>344</v>
      </c>
      <c r="AD2144" s="1" t="s">
        <v>441</v>
      </c>
      <c r="AE2144" s="1" t="s">
        <v>530</v>
      </c>
      <c r="AF2144" s="1" t="s">
        <v>107</v>
      </c>
      <c r="AG2144" s="1">
        <v>30</v>
      </c>
      <c r="AO2144" s="2">
        <v>46279</v>
      </c>
      <c r="AP2144" s="1" t="s">
        <v>588</v>
      </c>
      <c r="AS2144" s="1" t="s">
        <v>71</v>
      </c>
      <c r="AU2144" s="1" t="s">
        <v>72</v>
      </c>
      <c r="AV2144" s="1" t="s">
        <v>437</v>
      </c>
      <c r="AX2144" s="1">
        <v>0</v>
      </c>
      <c r="BA2144" s="1">
        <v>9</v>
      </c>
      <c r="BB2144" s="1">
        <v>0</v>
      </c>
      <c r="BC2144" s="1">
        <v>0</v>
      </c>
      <c r="BE2144" s="1">
        <v>27388116</v>
      </c>
    </row>
    <row r="2145" spans="1:57" x14ac:dyDescent="0.25">
      <c r="A2145" s="1" t="str">
        <f>T("1946204089600383264")</f>
        <v>1946204089600383264</v>
      </c>
      <c r="B2145" s="1" t="str">
        <f>T("249966685291")</f>
        <v>249966685291</v>
      </c>
      <c r="C2145" s="1" t="str">
        <f>T("1941094503876135128")</f>
        <v>1941094503876135128</v>
      </c>
      <c r="AC2145" s="1" t="s">
        <v>344</v>
      </c>
      <c r="AD2145" s="1" t="s">
        <v>357</v>
      </c>
      <c r="AE2145" s="1" t="s">
        <v>812</v>
      </c>
      <c r="AF2145" s="1" t="s">
        <v>107</v>
      </c>
      <c r="AG2145" s="1">
        <v>28</v>
      </c>
      <c r="AO2145" s="2">
        <v>46279</v>
      </c>
      <c r="AP2145" s="1" t="s">
        <v>588</v>
      </c>
      <c r="AS2145" s="1" t="s">
        <v>71</v>
      </c>
      <c r="AU2145" s="1" t="s">
        <v>72</v>
      </c>
      <c r="AV2145" s="1" t="s">
        <v>73</v>
      </c>
      <c r="AX2145" s="1">
        <v>0</v>
      </c>
      <c r="BA2145" s="1">
        <v>9</v>
      </c>
      <c r="BB2145" s="1">
        <v>0</v>
      </c>
      <c r="BC2145" s="1">
        <v>0</v>
      </c>
      <c r="BE2145" s="1">
        <v>27388116</v>
      </c>
    </row>
    <row r="2146" spans="1:57" x14ac:dyDescent="0.25">
      <c r="A2146" s="1" t="str">
        <f>T("1946204089646520052")</f>
        <v>1946204089646520052</v>
      </c>
      <c r="B2146" s="1" t="str">
        <f>T("249925483630")</f>
        <v>249925483630</v>
      </c>
      <c r="C2146" s="1" t="str">
        <f>T("1941094503876135928")</f>
        <v>1941094503876135928</v>
      </c>
      <c r="AC2146" s="1" t="s">
        <v>344</v>
      </c>
      <c r="AD2146" s="1" t="s">
        <v>441</v>
      </c>
      <c r="AE2146" s="1" t="s">
        <v>530</v>
      </c>
      <c r="AF2146" s="1" t="s">
        <v>107</v>
      </c>
      <c r="AG2146" s="1">
        <v>64</v>
      </c>
      <c r="AO2146" s="2">
        <v>46279</v>
      </c>
      <c r="AP2146" s="1" t="s">
        <v>588</v>
      </c>
      <c r="AS2146" s="1" t="s">
        <v>71</v>
      </c>
      <c r="AU2146" s="1" t="s">
        <v>72</v>
      </c>
      <c r="AV2146" s="1" t="s">
        <v>73</v>
      </c>
      <c r="AX2146" s="1">
        <v>0</v>
      </c>
      <c r="BA2146" s="1">
        <v>9</v>
      </c>
      <c r="BB2146" s="1">
        <v>0</v>
      </c>
      <c r="BC2146" s="1">
        <v>0</v>
      </c>
      <c r="BE2146" s="1">
        <v>27388116</v>
      </c>
    </row>
    <row r="2147" spans="1:57" x14ac:dyDescent="0.25">
      <c r="A2147" s="1" t="str">
        <f>T("1946204089654909668")</f>
        <v>1946204089654909668</v>
      </c>
      <c r="B2147" s="1" t="str">
        <f>T("249912927331")</f>
        <v>249912927331</v>
      </c>
      <c r="C2147" s="1" t="str">
        <f>T("1941094503876136528")</f>
        <v>1941094503876136528</v>
      </c>
      <c r="AC2147" s="1" t="s">
        <v>344</v>
      </c>
      <c r="AD2147" s="1" t="s">
        <v>372</v>
      </c>
      <c r="AE2147" s="1" t="s">
        <v>818</v>
      </c>
      <c r="AF2147" s="1" t="s">
        <v>144</v>
      </c>
      <c r="AG2147" s="1">
        <v>48</v>
      </c>
      <c r="AO2147" s="2">
        <v>46279</v>
      </c>
      <c r="AP2147" s="1" t="s">
        <v>588</v>
      </c>
      <c r="AS2147" s="1" t="s">
        <v>71</v>
      </c>
      <c r="AU2147" s="1" t="s">
        <v>72</v>
      </c>
      <c r="AV2147" s="1" t="s">
        <v>437</v>
      </c>
      <c r="AX2147" s="1">
        <v>0</v>
      </c>
      <c r="BA2147" s="1">
        <v>9</v>
      </c>
      <c r="BB2147" s="1">
        <v>0</v>
      </c>
      <c r="BC2147" s="1">
        <v>0</v>
      </c>
      <c r="BE2147" s="1">
        <v>27388116</v>
      </c>
    </row>
    <row r="2148" spans="1:57" x14ac:dyDescent="0.25">
      <c r="A2148" s="1" t="str">
        <f>T("1946204089713631180")</f>
        <v>1946204089713631180</v>
      </c>
      <c r="B2148" s="1" t="str">
        <f>T("249909090979")</f>
        <v>249909090979</v>
      </c>
      <c r="C2148" s="1" t="str">
        <f>T("1941094503880327336")</f>
        <v>1941094503880327336</v>
      </c>
      <c r="AC2148" s="1" t="s">
        <v>344</v>
      </c>
      <c r="AD2148" s="1" t="s">
        <v>430</v>
      </c>
      <c r="AE2148" s="1" t="s">
        <v>530</v>
      </c>
      <c r="AF2148" s="1" t="s">
        <v>144</v>
      </c>
      <c r="AG2148" s="1">
        <v>37</v>
      </c>
      <c r="AO2148" s="2">
        <v>46279</v>
      </c>
      <c r="AP2148" s="1" t="s">
        <v>588</v>
      </c>
      <c r="AS2148" s="1" t="s">
        <v>71</v>
      </c>
      <c r="AU2148" s="1" t="s">
        <v>72</v>
      </c>
      <c r="AV2148" s="1" t="s">
        <v>73</v>
      </c>
      <c r="AX2148" s="1">
        <v>0</v>
      </c>
      <c r="BA2148" s="1">
        <v>9</v>
      </c>
      <c r="BB2148" s="1">
        <v>0</v>
      </c>
      <c r="BC2148" s="1">
        <v>0</v>
      </c>
      <c r="BE2148" s="1">
        <v>27388116</v>
      </c>
    </row>
    <row r="2149" spans="1:57" x14ac:dyDescent="0.25">
      <c r="A2149" s="1" t="str">
        <f>T("1946204089717822888")</f>
        <v>1946204089717822888</v>
      </c>
      <c r="B2149" s="1" t="str">
        <f>T("249917594643")</f>
        <v>249917594643</v>
      </c>
      <c r="C2149" s="1" t="str">
        <f>T("1941094503880328536")</f>
        <v>1941094503880328536</v>
      </c>
      <c r="AC2149" s="1" t="s">
        <v>344</v>
      </c>
      <c r="AD2149" s="1" t="s">
        <v>441</v>
      </c>
      <c r="AE2149" s="1" t="s">
        <v>530</v>
      </c>
      <c r="AF2149" s="1" t="s">
        <v>107</v>
      </c>
      <c r="AG2149" s="1">
        <v>70</v>
      </c>
      <c r="AO2149" s="2">
        <v>46279</v>
      </c>
      <c r="AP2149" s="1" t="s">
        <v>588</v>
      </c>
      <c r="AS2149" s="1" t="s">
        <v>71</v>
      </c>
      <c r="AU2149" s="1" t="s">
        <v>72</v>
      </c>
      <c r="AV2149" s="1" t="s">
        <v>73</v>
      </c>
      <c r="AX2149" s="1">
        <v>0</v>
      </c>
      <c r="BA2149" s="1">
        <v>9</v>
      </c>
      <c r="BB2149" s="1">
        <v>0</v>
      </c>
      <c r="BC2149" s="1">
        <v>0</v>
      </c>
      <c r="BE2149" s="1">
        <v>27388116</v>
      </c>
    </row>
    <row r="2150" spans="1:57" x14ac:dyDescent="0.25">
      <c r="A2150" s="1" t="str">
        <f>T("1946204089768155884")</f>
        <v>1946204089768155884</v>
      </c>
      <c r="B2150" s="1" t="str">
        <f>T("249910338419")</f>
        <v>249910338419</v>
      </c>
      <c r="C2150" s="1" t="str">
        <f>T("1941094503880329136")</f>
        <v>1941094503880329136</v>
      </c>
      <c r="AC2150" s="1" t="s">
        <v>344</v>
      </c>
      <c r="AD2150" s="1" t="s">
        <v>441</v>
      </c>
      <c r="AE2150" s="1" t="s">
        <v>530</v>
      </c>
      <c r="AF2150" s="1" t="s">
        <v>107</v>
      </c>
      <c r="AG2150" s="1">
        <v>60</v>
      </c>
      <c r="AO2150" s="2">
        <v>46279</v>
      </c>
      <c r="AP2150" s="1" t="s">
        <v>588</v>
      </c>
      <c r="AS2150" s="1" t="s">
        <v>71</v>
      </c>
      <c r="AU2150" s="1" t="s">
        <v>72</v>
      </c>
      <c r="AV2150" s="1" t="s">
        <v>437</v>
      </c>
      <c r="AX2150" s="1">
        <v>0</v>
      </c>
      <c r="BA2150" s="1">
        <v>9</v>
      </c>
      <c r="BB2150" s="1">
        <v>0</v>
      </c>
      <c r="BC2150" s="1">
        <v>0</v>
      </c>
      <c r="BE2150" s="1">
        <v>27388116</v>
      </c>
    </row>
    <row r="2151" spans="1:57" x14ac:dyDescent="0.25">
      <c r="A2151" s="1" t="str">
        <f>T("1946204089772351292")</f>
        <v>1946204089772351292</v>
      </c>
      <c r="B2151" s="1" t="str">
        <f>T("249917469033")</f>
        <v>249917469033</v>
      </c>
      <c r="C2151" s="1" t="str">
        <f>T("1941094503880330136")</f>
        <v>1941094503880330136</v>
      </c>
      <c r="AC2151" s="1" t="s">
        <v>344</v>
      </c>
      <c r="AD2151" s="1" t="s">
        <v>372</v>
      </c>
      <c r="AE2151" s="1" t="s">
        <v>373</v>
      </c>
      <c r="AF2151" s="1" t="s">
        <v>107</v>
      </c>
      <c r="AG2151" s="1">
        <v>42</v>
      </c>
      <c r="AO2151" s="2">
        <v>46279</v>
      </c>
      <c r="AP2151" s="1" t="s">
        <v>588</v>
      </c>
      <c r="AS2151" s="1" t="s">
        <v>71</v>
      </c>
      <c r="AU2151" s="1" t="s">
        <v>72</v>
      </c>
      <c r="AV2151" s="1" t="s">
        <v>437</v>
      </c>
      <c r="AX2151" s="1">
        <v>0</v>
      </c>
      <c r="BA2151" s="1">
        <v>9</v>
      </c>
      <c r="BB2151" s="1">
        <v>0</v>
      </c>
      <c r="BC2151" s="1">
        <v>0</v>
      </c>
      <c r="BE2151" s="1">
        <v>27388116</v>
      </c>
    </row>
    <row r="2152" spans="1:57" x14ac:dyDescent="0.25">
      <c r="A2152" s="1" t="str">
        <f>T("1946204089826873896")</f>
        <v>1946204089826873896</v>
      </c>
      <c r="B2152" s="1" t="str">
        <f>T("249918345978")</f>
        <v>249918345978</v>
      </c>
      <c r="C2152" s="1" t="str">
        <f>T("1941094503884524944")</f>
        <v>1941094503884524944</v>
      </c>
      <c r="AC2152" s="1" t="s">
        <v>344</v>
      </c>
      <c r="AD2152" s="1" t="s">
        <v>372</v>
      </c>
      <c r="AE2152" s="1" t="s">
        <v>814</v>
      </c>
      <c r="AF2152" s="1" t="s">
        <v>144</v>
      </c>
      <c r="AG2152" s="1">
        <v>25</v>
      </c>
      <c r="AO2152" s="2">
        <v>46279</v>
      </c>
      <c r="AP2152" s="1" t="s">
        <v>588</v>
      </c>
      <c r="AS2152" s="1" t="s">
        <v>71</v>
      </c>
      <c r="AU2152" s="1" t="s">
        <v>72</v>
      </c>
      <c r="AV2152" s="1" t="s">
        <v>73</v>
      </c>
      <c r="AX2152" s="1">
        <v>0</v>
      </c>
      <c r="BA2152" s="1">
        <v>9</v>
      </c>
      <c r="BB2152" s="1">
        <v>0</v>
      </c>
      <c r="BC2152" s="1">
        <v>0</v>
      </c>
      <c r="BE2152" s="1">
        <v>27388116</v>
      </c>
    </row>
    <row r="2153" spans="1:57" x14ac:dyDescent="0.25">
      <c r="A2153" s="1" t="str">
        <f>T("1946204089831068404")</f>
        <v>1946204089831068404</v>
      </c>
      <c r="B2153" s="1" t="str">
        <f>T("249920446719")</f>
        <v>249920446719</v>
      </c>
      <c r="C2153" s="1" t="str">
        <f>T("1941094503884525544")</f>
        <v>1941094503884525544</v>
      </c>
      <c r="AA2153" s="1">
        <v>1</v>
      </c>
      <c r="AC2153" s="1" t="s">
        <v>344</v>
      </c>
      <c r="AD2153" s="1" t="s">
        <v>372</v>
      </c>
      <c r="AE2153" s="1" t="s">
        <v>820</v>
      </c>
      <c r="AF2153" s="1" t="s">
        <v>107</v>
      </c>
      <c r="AG2153" s="1">
        <v>25</v>
      </c>
      <c r="AO2153" s="2">
        <v>46279</v>
      </c>
      <c r="AP2153" s="1" t="s">
        <v>588</v>
      </c>
      <c r="AQ2153" s="2">
        <v>46279</v>
      </c>
      <c r="AR2153" s="1" t="s">
        <v>838</v>
      </c>
      <c r="AS2153" s="1" t="s">
        <v>71</v>
      </c>
      <c r="AU2153" s="1" t="s">
        <v>79</v>
      </c>
      <c r="AV2153" s="1" t="s">
        <v>80</v>
      </c>
      <c r="AW2153" s="1">
        <v>64.260000000000005</v>
      </c>
      <c r="AX2153" s="1">
        <v>0</v>
      </c>
      <c r="AZ2153" s="1" t="s">
        <v>81</v>
      </c>
      <c r="BA2153" s="1">
        <v>1</v>
      </c>
      <c r="BB2153" s="1">
        <v>0</v>
      </c>
      <c r="BC2153" s="1">
        <v>0</v>
      </c>
      <c r="BE2153" s="1">
        <v>27388116</v>
      </c>
    </row>
    <row r="2154" spans="1:57" x14ac:dyDescent="0.25">
      <c r="A2154" s="1" t="str">
        <f>T("1946204089877206092")</f>
        <v>1946204089877206092</v>
      </c>
      <c r="B2154" s="1" t="str">
        <f>T("249904010589")</f>
        <v>249904010589</v>
      </c>
      <c r="C2154" s="1" t="str">
        <f>T("1941094503888716252")</f>
        <v>1941094503888716252</v>
      </c>
      <c r="AC2154" s="1" t="s">
        <v>344</v>
      </c>
      <c r="AD2154" s="1" t="s">
        <v>430</v>
      </c>
      <c r="AE2154" s="1" t="s">
        <v>530</v>
      </c>
      <c r="AF2154" s="1" t="s">
        <v>144</v>
      </c>
      <c r="AG2154" s="1">
        <v>38</v>
      </c>
      <c r="AO2154" s="2">
        <v>46279</v>
      </c>
      <c r="AP2154" s="1" t="s">
        <v>588</v>
      </c>
      <c r="AS2154" s="1" t="s">
        <v>71</v>
      </c>
      <c r="AU2154" s="1" t="s">
        <v>72</v>
      </c>
      <c r="AV2154" s="1" t="s">
        <v>73</v>
      </c>
      <c r="AX2154" s="1">
        <v>0</v>
      </c>
      <c r="BA2154" s="1">
        <v>9</v>
      </c>
      <c r="BB2154" s="1">
        <v>0</v>
      </c>
      <c r="BC2154" s="1">
        <v>0</v>
      </c>
      <c r="BE2154" s="1">
        <v>27388116</v>
      </c>
    </row>
    <row r="2155" spans="1:57" x14ac:dyDescent="0.25">
      <c r="A2155" s="1" t="str">
        <f>T("1946204089881400100")</f>
        <v>1946204089881400100</v>
      </c>
      <c r="B2155" s="1" t="str">
        <f>T("249909033446")</f>
        <v>249909033446</v>
      </c>
      <c r="C2155" s="1" t="str">
        <f>T("1941094503892910360")</f>
        <v>1941094503892910360</v>
      </c>
      <c r="AC2155" s="1" t="s">
        <v>344</v>
      </c>
      <c r="AD2155" s="1" t="s">
        <v>441</v>
      </c>
      <c r="AE2155" s="1" t="s">
        <v>530</v>
      </c>
      <c r="AF2155" s="1" t="s">
        <v>107</v>
      </c>
      <c r="AG2155" s="1">
        <v>57</v>
      </c>
      <c r="AO2155" s="2">
        <v>46279</v>
      </c>
      <c r="AP2155" s="1" t="s">
        <v>588</v>
      </c>
      <c r="AS2155" s="1" t="s">
        <v>71</v>
      </c>
      <c r="AU2155" s="1" t="s">
        <v>72</v>
      </c>
      <c r="AV2155" s="1" t="s">
        <v>73</v>
      </c>
      <c r="AX2155" s="1">
        <v>0</v>
      </c>
      <c r="BA2155" s="1">
        <v>9</v>
      </c>
      <c r="BB2155" s="1">
        <v>0</v>
      </c>
      <c r="BC2155" s="1">
        <v>0</v>
      </c>
      <c r="BE2155" s="1">
        <v>27388116</v>
      </c>
    </row>
    <row r="2156" spans="1:57" x14ac:dyDescent="0.25">
      <c r="A2156" s="1" t="str">
        <f>T("1946204089923346380")</f>
        <v>1946204089923346380</v>
      </c>
      <c r="B2156" s="1" t="str">
        <f>T("249964720579")</f>
        <v>249964720579</v>
      </c>
      <c r="C2156" s="1" t="str">
        <f>T("1941094503892910960")</f>
        <v>1941094503892910960</v>
      </c>
      <c r="AC2156" s="1" t="s">
        <v>344</v>
      </c>
      <c r="AD2156" s="1" t="s">
        <v>441</v>
      </c>
      <c r="AE2156" s="1" t="s">
        <v>530</v>
      </c>
      <c r="AF2156" s="1" t="s">
        <v>144</v>
      </c>
      <c r="AG2156" s="1">
        <v>50</v>
      </c>
      <c r="AO2156" s="2">
        <v>46279</v>
      </c>
      <c r="AP2156" s="1" t="s">
        <v>588</v>
      </c>
      <c r="AS2156" s="1" t="s">
        <v>71</v>
      </c>
      <c r="AU2156" s="1" t="s">
        <v>72</v>
      </c>
      <c r="AV2156" s="1" t="s">
        <v>73</v>
      </c>
      <c r="AX2156" s="1">
        <v>0</v>
      </c>
      <c r="BA2156" s="1">
        <v>9</v>
      </c>
      <c r="BB2156" s="1">
        <v>0</v>
      </c>
      <c r="BC2156" s="1">
        <v>0</v>
      </c>
      <c r="BE2156" s="1">
        <v>27388116</v>
      </c>
    </row>
    <row r="2157" spans="1:57" x14ac:dyDescent="0.25">
      <c r="A2157" s="1" t="str">
        <f>T("1946204089935927304")</f>
        <v>1946204089935927304</v>
      </c>
      <c r="B2157" s="1" t="str">
        <f>T("249962643002")</f>
        <v>249962643002</v>
      </c>
      <c r="C2157" s="1" t="str">
        <f>T("1941094503892911860")</f>
        <v>1941094503892911860</v>
      </c>
      <c r="AC2157" s="1" t="s">
        <v>344</v>
      </c>
      <c r="AD2157" s="1" t="s">
        <v>441</v>
      </c>
      <c r="AE2157" s="1" t="s">
        <v>530</v>
      </c>
      <c r="AF2157" s="1" t="s">
        <v>144</v>
      </c>
      <c r="AG2157" s="1">
        <v>55</v>
      </c>
      <c r="AO2157" s="2">
        <v>46279</v>
      </c>
      <c r="AP2157" s="1" t="s">
        <v>588</v>
      </c>
      <c r="AS2157" s="1" t="s">
        <v>71</v>
      </c>
      <c r="AU2157" s="1" t="s">
        <v>72</v>
      </c>
      <c r="AV2157" s="1" t="s">
        <v>73</v>
      </c>
      <c r="AX2157" s="1">
        <v>0</v>
      </c>
      <c r="BA2157" s="1">
        <v>9</v>
      </c>
      <c r="BB2157" s="1">
        <v>0</v>
      </c>
      <c r="BC2157" s="1">
        <v>0</v>
      </c>
      <c r="BE2157" s="1">
        <v>27388116</v>
      </c>
    </row>
    <row r="2158" spans="1:57" x14ac:dyDescent="0.25">
      <c r="A2158" s="1" t="str">
        <f>T("1946204089986260800")</f>
        <v>1946204089986260800</v>
      </c>
      <c r="B2158" s="1" t="str">
        <f>T("249910556819")</f>
        <v>249910556819</v>
      </c>
      <c r="C2158" s="1" t="str">
        <f>T("1941094503892913360")</f>
        <v>1941094503892913360</v>
      </c>
      <c r="AC2158" s="1" t="s">
        <v>344</v>
      </c>
      <c r="AD2158" s="1" t="s">
        <v>357</v>
      </c>
      <c r="AE2158" s="1" t="s">
        <v>817</v>
      </c>
      <c r="AF2158" s="1" t="s">
        <v>107</v>
      </c>
      <c r="AG2158" s="1">
        <v>61</v>
      </c>
      <c r="AO2158" s="2">
        <v>46279</v>
      </c>
      <c r="AP2158" s="1" t="s">
        <v>588</v>
      </c>
      <c r="AS2158" s="1" t="s">
        <v>71</v>
      </c>
      <c r="AU2158" s="1" t="s">
        <v>72</v>
      </c>
      <c r="AV2158" s="1" t="s">
        <v>73</v>
      </c>
      <c r="AX2158" s="1">
        <v>0</v>
      </c>
      <c r="BA2158" s="1">
        <v>9</v>
      </c>
      <c r="BB2158" s="1">
        <v>0</v>
      </c>
      <c r="BC2158" s="1">
        <v>0</v>
      </c>
      <c r="BE2158" s="1">
        <v>27388116</v>
      </c>
    </row>
    <row r="2159" spans="1:57" x14ac:dyDescent="0.25">
      <c r="A2159" s="1" t="str">
        <f>T("1946204089994646116")</f>
        <v>1946204089994646116</v>
      </c>
      <c r="B2159" s="1" t="str">
        <f>T("249902152502")</f>
        <v>249902152502</v>
      </c>
      <c r="C2159" s="1" t="str">
        <f>T("1941094503897104768")</f>
        <v>1941094503897104768</v>
      </c>
      <c r="AC2159" s="1" t="s">
        <v>344</v>
      </c>
      <c r="AD2159" s="1" t="s">
        <v>372</v>
      </c>
      <c r="AE2159" s="1" t="s">
        <v>814</v>
      </c>
      <c r="AF2159" s="1" t="s">
        <v>144</v>
      </c>
      <c r="AG2159" s="1">
        <v>42</v>
      </c>
      <c r="AO2159" s="2">
        <v>46279</v>
      </c>
      <c r="AP2159" s="1" t="s">
        <v>588</v>
      </c>
      <c r="AS2159" s="1" t="s">
        <v>71</v>
      </c>
      <c r="AU2159" s="1" t="s">
        <v>72</v>
      </c>
      <c r="AV2159" s="1" t="s">
        <v>437</v>
      </c>
      <c r="AX2159" s="1">
        <v>0</v>
      </c>
      <c r="BA2159" s="1">
        <v>9</v>
      </c>
      <c r="BB2159" s="1">
        <v>0</v>
      </c>
      <c r="BC2159" s="1">
        <v>0</v>
      </c>
      <c r="BE2159" s="1">
        <v>27388116</v>
      </c>
    </row>
    <row r="2160" spans="1:57" x14ac:dyDescent="0.25">
      <c r="A2160" s="1" t="str">
        <f>T("1946204090040785404")</f>
        <v>1946204090040785404</v>
      </c>
      <c r="B2160" s="1" t="str">
        <f>T("249917374733")</f>
        <v>249917374733</v>
      </c>
      <c r="C2160" s="1" t="str">
        <f>T("1941094503897105268")</f>
        <v>1941094503897105268</v>
      </c>
      <c r="AC2160" s="1" t="s">
        <v>344</v>
      </c>
      <c r="AD2160" s="1" t="s">
        <v>372</v>
      </c>
      <c r="AE2160" s="1" t="s">
        <v>820</v>
      </c>
      <c r="AF2160" s="1" t="s">
        <v>107</v>
      </c>
      <c r="AG2160" s="1">
        <v>57</v>
      </c>
      <c r="AO2160" s="2">
        <v>46279</v>
      </c>
      <c r="AP2160" s="1" t="s">
        <v>588</v>
      </c>
      <c r="AS2160" s="1" t="s">
        <v>71</v>
      </c>
      <c r="AU2160" s="1" t="s">
        <v>72</v>
      </c>
      <c r="AV2160" s="1" t="s">
        <v>437</v>
      </c>
      <c r="AX2160" s="1">
        <v>0</v>
      </c>
      <c r="BA2160" s="1">
        <v>9</v>
      </c>
      <c r="BB2160" s="1">
        <v>0</v>
      </c>
      <c r="BC2160" s="1">
        <v>0</v>
      </c>
      <c r="BE2160" s="1">
        <v>27388116</v>
      </c>
    </row>
    <row r="2161" spans="1:57" x14ac:dyDescent="0.25">
      <c r="A2161" s="1" t="str">
        <f>T("1946204090044978812")</f>
        <v>1946204090044978812</v>
      </c>
      <c r="B2161" s="1" t="str">
        <f>T("249914226763")</f>
        <v>249914226763</v>
      </c>
      <c r="C2161" s="1" t="str">
        <f>T("1941094503897107268")</f>
        <v>1941094503897107268</v>
      </c>
      <c r="AC2161" s="1" t="s">
        <v>344</v>
      </c>
      <c r="AD2161" s="1" t="s">
        <v>430</v>
      </c>
      <c r="AE2161" s="1" t="s">
        <v>530</v>
      </c>
      <c r="AF2161" s="1" t="s">
        <v>107</v>
      </c>
      <c r="AG2161" s="1">
        <v>38</v>
      </c>
      <c r="AO2161" s="2">
        <v>46279</v>
      </c>
      <c r="AP2161" s="1" t="s">
        <v>588</v>
      </c>
      <c r="AS2161" s="1" t="s">
        <v>71</v>
      </c>
      <c r="AU2161" s="1" t="s">
        <v>72</v>
      </c>
      <c r="AV2161" s="1" t="s">
        <v>73</v>
      </c>
      <c r="AX2161" s="1">
        <v>0</v>
      </c>
      <c r="BA2161" s="1">
        <v>9</v>
      </c>
      <c r="BB2161" s="1">
        <v>0</v>
      </c>
      <c r="BC2161" s="1">
        <v>0</v>
      </c>
      <c r="BE2161" s="1">
        <v>27388116</v>
      </c>
    </row>
    <row r="2162" spans="1:57" x14ac:dyDescent="0.25">
      <c r="A2162" s="1" t="str">
        <f>T("1946204090091116200")</f>
        <v>1946204090091116200</v>
      </c>
      <c r="B2162" s="1" t="str">
        <f>T("249903545538")</f>
        <v>249903545538</v>
      </c>
      <c r="C2162" s="1" t="str">
        <f>T("1941094503897107968")</f>
        <v>1941094503897107968</v>
      </c>
      <c r="AC2162" s="1" t="s">
        <v>344</v>
      </c>
      <c r="AD2162" s="1" t="s">
        <v>441</v>
      </c>
      <c r="AE2162" s="1" t="s">
        <v>530</v>
      </c>
      <c r="AF2162" s="1" t="s">
        <v>107</v>
      </c>
      <c r="AG2162" s="1">
        <v>55</v>
      </c>
      <c r="AO2162" s="2">
        <v>46279</v>
      </c>
      <c r="AP2162" s="1" t="s">
        <v>588</v>
      </c>
      <c r="AS2162" s="1" t="s">
        <v>71</v>
      </c>
      <c r="AU2162" s="1" t="s">
        <v>72</v>
      </c>
      <c r="AV2162" s="1" t="s">
        <v>437</v>
      </c>
      <c r="AX2162" s="1">
        <v>0</v>
      </c>
      <c r="BA2162" s="1">
        <v>9</v>
      </c>
      <c r="BB2162" s="1">
        <v>0</v>
      </c>
      <c r="BC2162" s="1">
        <v>0</v>
      </c>
      <c r="BE2162" s="1">
        <v>27388116</v>
      </c>
    </row>
    <row r="2163" spans="1:57" x14ac:dyDescent="0.25">
      <c r="A2163" s="1" t="str">
        <f>T("1946204090095309608")</f>
        <v>1946204090095309608</v>
      </c>
      <c r="B2163" s="1" t="str">
        <f>T("249960589486")</f>
        <v>249960589486</v>
      </c>
      <c r="C2163" s="1" t="str">
        <f>T("1941094503901298776")</f>
        <v>1941094503901298776</v>
      </c>
      <c r="AC2163" s="1" t="s">
        <v>344</v>
      </c>
      <c r="AD2163" s="1" t="s">
        <v>441</v>
      </c>
      <c r="AE2163" s="1" t="s">
        <v>530</v>
      </c>
      <c r="AF2163" s="1" t="s">
        <v>107</v>
      </c>
      <c r="AG2163" s="1">
        <v>35</v>
      </c>
      <c r="AO2163" s="2">
        <v>46279</v>
      </c>
      <c r="AP2163" s="1" t="s">
        <v>588</v>
      </c>
      <c r="AS2163" s="1" t="s">
        <v>71</v>
      </c>
      <c r="AU2163" s="1" t="s">
        <v>72</v>
      </c>
      <c r="AV2163" s="1" t="s">
        <v>437</v>
      </c>
      <c r="AX2163" s="1">
        <v>0</v>
      </c>
      <c r="BA2163" s="1">
        <v>9</v>
      </c>
      <c r="BB2163" s="1">
        <v>0</v>
      </c>
      <c r="BC2163" s="1">
        <v>0</v>
      </c>
      <c r="BE2163" s="1">
        <v>27388116</v>
      </c>
    </row>
    <row r="2164" spans="1:57" x14ac:dyDescent="0.25">
      <c r="A2164" s="1" t="str">
        <f>T("1946204090141447896")</f>
        <v>1946204090141447896</v>
      </c>
      <c r="B2164" s="1" t="str">
        <f>T("249912704498")</f>
        <v>249912704498</v>
      </c>
      <c r="C2164" s="1" t="str">
        <f>T("1941094503901299276")</f>
        <v>1941094503901299276</v>
      </c>
      <c r="AC2164" s="1" t="s">
        <v>344</v>
      </c>
      <c r="AD2164" s="1" t="s">
        <v>441</v>
      </c>
      <c r="AE2164" s="1" t="s">
        <v>530</v>
      </c>
      <c r="AF2164" s="1" t="s">
        <v>107</v>
      </c>
      <c r="AG2164" s="1">
        <v>60</v>
      </c>
      <c r="AO2164" s="2">
        <v>46279</v>
      </c>
      <c r="AP2164" s="1" t="s">
        <v>588</v>
      </c>
      <c r="AS2164" s="1" t="s">
        <v>71</v>
      </c>
      <c r="AU2164" s="1" t="s">
        <v>72</v>
      </c>
      <c r="AV2164" s="1" t="s">
        <v>73</v>
      </c>
      <c r="AX2164" s="1">
        <v>0</v>
      </c>
      <c r="BA2164" s="1">
        <v>9</v>
      </c>
      <c r="BB2164" s="1">
        <v>0</v>
      </c>
      <c r="BC2164" s="1">
        <v>0</v>
      </c>
      <c r="BE2164" s="1">
        <v>27388116</v>
      </c>
    </row>
    <row r="2165" spans="1:57" x14ac:dyDescent="0.25">
      <c r="A2165" s="1" t="str">
        <f>T("1946204090145641504")</f>
        <v>1946204090145641504</v>
      </c>
      <c r="B2165" s="1" t="str">
        <f>T("249914492980")</f>
        <v>249914492980</v>
      </c>
      <c r="C2165" s="1" t="str">
        <f>T("1941094503901299776")</f>
        <v>1941094503901299776</v>
      </c>
      <c r="AC2165" s="1" t="s">
        <v>344</v>
      </c>
      <c r="AD2165" s="1" t="s">
        <v>441</v>
      </c>
      <c r="AE2165" s="1" t="s">
        <v>530</v>
      </c>
      <c r="AF2165" s="1" t="s">
        <v>144</v>
      </c>
      <c r="AG2165" s="1">
        <v>60</v>
      </c>
      <c r="AO2165" s="2">
        <v>46279</v>
      </c>
      <c r="AP2165" s="1" t="s">
        <v>588</v>
      </c>
      <c r="AS2165" s="1" t="s">
        <v>71</v>
      </c>
      <c r="AU2165" s="1" t="s">
        <v>72</v>
      </c>
      <c r="AV2165" s="1" t="s">
        <v>437</v>
      </c>
      <c r="AX2165" s="1">
        <v>0</v>
      </c>
      <c r="BA2165" s="1">
        <v>9</v>
      </c>
      <c r="BB2165" s="1">
        <v>0</v>
      </c>
      <c r="BC2165" s="1">
        <v>0</v>
      </c>
      <c r="BE2165" s="1">
        <v>27388116</v>
      </c>
    </row>
    <row r="2166" spans="1:57" x14ac:dyDescent="0.25">
      <c r="A2166" s="1" t="str">
        <f>T("1946204090195974900")</f>
        <v>1946204090195974900</v>
      </c>
      <c r="B2166" s="1" t="str">
        <f>T("249967337630")</f>
        <v>249967337630</v>
      </c>
      <c r="C2166" s="1" t="str">
        <f>T("1941094503901302376")</f>
        <v>1941094503901302376</v>
      </c>
      <c r="AC2166" s="1" t="s">
        <v>344</v>
      </c>
      <c r="AD2166" s="1" t="s">
        <v>430</v>
      </c>
      <c r="AE2166" s="1" t="s">
        <v>530</v>
      </c>
      <c r="AF2166" s="1" t="s">
        <v>107</v>
      </c>
      <c r="AG2166" s="1">
        <v>23</v>
      </c>
      <c r="AO2166" s="2">
        <v>46279</v>
      </c>
      <c r="AP2166" s="1" t="s">
        <v>588</v>
      </c>
      <c r="AS2166" s="1" t="s">
        <v>71</v>
      </c>
      <c r="AU2166" s="1" t="s">
        <v>72</v>
      </c>
      <c r="AV2166" s="1" t="s">
        <v>73</v>
      </c>
      <c r="AX2166" s="1">
        <v>0</v>
      </c>
      <c r="BA2166" s="1">
        <v>9</v>
      </c>
      <c r="BB2166" s="1">
        <v>0</v>
      </c>
      <c r="BC2166" s="1">
        <v>0</v>
      </c>
      <c r="BE2166" s="1">
        <v>27388116</v>
      </c>
    </row>
    <row r="2167" spans="1:57" x14ac:dyDescent="0.25">
      <c r="A2167" s="1" t="str">
        <f>T("1946204090195975500")</f>
        <v>1946204090195975500</v>
      </c>
      <c r="B2167" s="1" t="str">
        <f>T("249913573463")</f>
        <v>249913573463</v>
      </c>
      <c r="C2167" s="1" t="str">
        <f>T("1941094503905495384")</f>
        <v>1941094503905495384</v>
      </c>
      <c r="AC2167" s="1" t="s">
        <v>344</v>
      </c>
      <c r="AD2167" s="1" t="s">
        <v>372</v>
      </c>
      <c r="AE2167" s="1" t="s">
        <v>373</v>
      </c>
      <c r="AF2167" s="1" t="s">
        <v>107</v>
      </c>
      <c r="AG2167" s="1">
        <v>36</v>
      </c>
      <c r="AO2167" s="2">
        <v>46279</v>
      </c>
      <c r="AP2167" s="1" t="s">
        <v>588</v>
      </c>
      <c r="AS2167" s="1" t="s">
        <v>71</v>
      </c>
      <c r="AU2167" s="1" t="s">
        <v>72</v>
      </c>
      <c r="AV2167" s="1" t="s">
        <v>437</v>
      </c>
      <c r="AX2167" s="1">
        <v>0</v>
      </c>
      <c r="BA2167" s="1">
        <v>9</v>
      </c>
      <c r="BB2167" s="1">
        <v>0</v>
      </c>
      <c r="BC2167" s="1">
        <v>0</v>
      </c>
      <c r="BE2167" s="1">
        <v>27388116</v>
      </c>
    </row>
    <row r="2168" spans="1:57" x14ac:dyDescent="0.25">
      <c r="A2168" s="1" t="str">
        <f>T("1946204090250500104")</f>
        <v>1946204090250500104</v>
      </c>
      <c r="B2168" s="1" t="str">
        <f>T("249113164780")</f>
        <v>249113164780</v>
      </c>
      <c r="C2168" s="1" t="str">
        <f>T("1941094503905495884")</f>
        <v>1941094503905495884</v>
      </c>
      <c r="AA2168" s="1">
        <v>1</v>
      </c>
      <c r="AC2168" s="1" t="s">
        <v>344</v>
      </c>
      <c r="AD2168" s="1" t="s">
        <v>372</v>
      </c>
      <c r="AE2168" s="1" t="s">
        <v>815</v>
      </c>
      <c r="AF2168" s="1" t="s">
        <v>144</v>
      </c>
      <c r="AG2168" s="1">
        <v>37</v>
      </c>
      <c r="AO2168" s="2">
        <v>46279</v>
      </c>
      <c r="AP2168" s="1" t="s">
        <v>588</v>
      </c>
      <c r="AQ2168" s="2">
        <v>46279</v>
      </c>
      <c r="AR2168" s="1" t="s">
        <v>839</v>
      </c>
      <c r="AS2168" s="1" t="s">
        <v>71</v>
      </c>
      <c r="AU2168" s="1" t="s">
        <v>78</v>
      </c>
      <c r="AV2168" s="1" t="s">
        <v>80</v>
      </c>
      <c r="AW2168" s="1">
        <v>134.6</v>
      </c>
      <c r="AX2168" s="1">
        <v>0</v>
      </c>
      <c r="AZ2168" s="1" t="s">
        <v>81</v>
      </c>
      <c r="BA2168" s="1">
        <v>2</v>
      </c>
      <c r="BB2168" s="1">
        <v>0</v>
      </c>
      <c r="BC2168" s="1">
        <v>0</v>
      </c>
      <c r="BE2168" s="1">
        <v>27388116</v>
      </c>
    </row>
    <row r="2169" spans="1:57" x14ac:dyDescent="0.25">
      <c r="A2169" s="1" t="str">
        <f>T("1946204090254694012")</f>
        <v>1946204090254694012</v>
      </c>
      <c r="B2169" s="1" t="str">
        <f>T("249968425656")</f>
        <v>249968425656</v>
      </c>
      <c r="C2169" s="1" t="str">
        <f>T("1941094503905496484")</f>
        <v>1941094503905496484</v>
      </c>
      <c r="AC2169" s="1" t="s">
        <v>344</v>
      </c>
      <c r="AD2169" s="1" t="s">
        <v>441</v>
      </c>
      <c r="AE2169" s="1" t="s">
        <v>530</v>
      </c>
      <c r="AF2169" s="1" t="s">
        <v>107</v>
      </c>
      <c r="AG2169" s="1">
        <v>28</v>
      </c>
      <c r="AO2169" s="2">
        <v>46279</v>
      </c>
      <c r="AP2169" s="1" t="s">
        <v>588</v>
      </c>
      <c r="AS2169" s="1" t="s">
        <v>71</v>
      </c>
      <c r="AU2169" s="1" t="s">
        <v>72</v>
      </c>
      <c r="AV2169" s="1" t="s">
        <v>73</v>
      </c>
      <c r="AX2169" s="1">
        <v>0</v>
      </c>
      <c r="BA2169" s="1">
        <v>9</v>
      </c>
      <c r="BB2169" s="1">
        <v>0</v>
      </c>
      <c r="BC2169" s="1">
        <v>0</v>
      </c>
      <c r="BE2169" s="1">
        <v>27388116</v>
      </c>
    </row>
    <row r="2170" spans="1:57" x14ac:dyDescent="0.25">
      <c r="A2170" s="1" t="str">
        <f>T("1946204090309221916")</f>
        <v>1946204090309221916</v>
      </c>
      <c r="B2170" s="1" t="str">
        <f>T("249129922935")</f>
        <v>249129922935</v>
      </c>
      <c r="C2170" s="1" t="str">
        <f>T("1941094503909688592")</f>
        <v>1941094503909688592</v>
      </c>
      <c r="AC2170" s="1" t="s">
        <v>344</v>
      </c>
      <c r="AD2170" s="1" t="s">
        <v>372</v>
      </c>
      <c r="AE2170" s="1" t="s">
        <v>818</v>
      </c>
      <c r="AF2170" s="1" t="s">
        <v>107</v>
      </c>
      <c r="AG2170" s="1">
        <v>70</v>
      </c>
      <c r="AO2170" s="2">
        <v>46279</v>
      </c>
      <c r="AP2170" s="1" t="s">
        <v>588</v>
      </c>
      <c r="AQ2170" s="2">
        <v>46279</v>
      </c>
      <c r="AR2170" s="1" t="s">
        <v>840</v>
      </c>
      <c r="AS2170" s="1" t="s">
        <v>71</v>
      </c>
      <c r="AU2170" s="1" t="s">
        <v>79</v>
      </c>
      <c r="AV2170" s="1" t="s">
        <v>80</v>
      </c>
      <c r="AW2170" s="1">
        <v>10</v>
      </c>
      <c r="AX2170" s="1">
        <v>0</v>
      </c>
      <c r="AZ2170" s="1" t="s">
        <v>81</v>
      </c>
      <c r="BA2170" s="1">
        <v>3</v>
      </c>
      <c r="BB2170" s="1">
        <v>0</v>
      </c>
      <c r="BC2170" s="1">
        <v>0</v>
      </c>
      <c r="BE2170" s="1">
        <v>27388116</v>
      </c>
    </row>
    <row r="2171" spans="1:57" x14ac:dyDescent="0.25">
      <c r="A2171" s="1" t="str">
        <f>T("1946204090313415424")</f>
        <v>1946204090313415424</v>
      </c>
      <c r="B2171" s="1" t="str">
        <f>T("249969255938")</f>
        <v>249969255938</v>
      </c>
      <c r="C2171" s="1" t="str">
        <f>T("1941094503909689092")</f>
        <v>1941094503909689092</v>
      </c>
      <c r="AC2171" s="1" t="s">
        <v>344</v>
      </c>
      <c r="AD2171" s="1" t="s">
        <v>372</v>
      </c>
      <c r="AE2171" s="1" t="s">
        <v>813</v>
      </c>
      <c r="AF2171" s="1" t="s">
        <v>144</v>
      </c>
      <c r="AG2171" s="1">
        <v>42</v>
      </c>
      <c r="AO2171" s="2">
        <v>46279</v>
      </c>
      <c r="AP2171" s="1" t="s">
        <v>588</v>
      </c>
      <c r="AS2171" s="1" t="s">
        <v>71</v>
      </c>
      <c r="AU2171" s="1" t="s">
        <v>72</v>
      </c>
      <c r="AV2171" s="1" t="s">
        <v>437</v>
      </c>
      <c r="AX2171" s="1">
        <v>0</v>
      </c>
      <c r="BA2171" s="1">
        <v>9</v>
      </c>
      <c r="BB2171" s="1">
        <v>0</v>
      </c>
      <c r="BC2171" s="1">
        <v>0</v>
      </c>
      <c r="BE2171" s="1">
        <v>27388116</v>
      </c>
    </row>
    <row r="2172" spans="1:57" x14ac:dyDescent="0.25">
      <c r="A2172" s="1" t="str">
        <f>T("1946204090380521952")</f>
        <v>1946204090380521952</v>
      </c>
      <c r="B2172" s="1" t="str">
        <f>T("249917687703")</f>
        <v>249917687703</v>
      </c>
      <c r="C2172" s="1" t="str">
        <f>T("1941094503909690092")</f>
        <v>1941094503909690092</v>
      </c>
      <c r="AC2172" s="1" t="s">
        <v>344</v>
      </c>
      <c r="AD2172" s="1" t="s">
        <v>430</v>
      </c>
      <c r="AE2172" s="1" t="s">
        <v>530</v>
      </c>
      <c r="AF2172" s="1" t="s">
        <v>144</v>
      </c>
      <c r="AG2172" s="1">
        <v>52</v>
      </c>
      <c r="AO2172" s="2">
        <v>46279</v>
      </c>
      <c r="AP2172" s="1" t="s">
        <v>588</v>
      </c>
      <c r="AS2172" s="1" t="s">
        <v>71</v>
      </c>
      <c r="AU2172" s="1" t="s">
        <v>72</v>
      </c>
      <c r="AV2172" s="1" t="s">
        <v>437</v>
      </c>
      <c r="AX2172" s="1">
        <v>0</v>
      </c>
      <c r="BA2172" s="1">
        <v>9</v>
      </c>
      <c r="BB2172" s="1">
        <v>0</v>
      </c>
      <c r="BC2172" s="1">
        <v>0</v>
      </c>
      <c r="BE2172" s="1">
        <v>27388116</v>
      </c>
    </row>
    <row r="2173" spans="1:57" x14ac:dyDescent="0.25">
      <c r="A2173" s="1" t="str">
        <f>T("1946204090380521953")</f>
        <v>1946204090380521953</v>
      </c>
      <c r="B2173" s="1" t="str">
        <f>T("249905660799")</f>
        <v>249905660799</v>
      </c>
      <c r="C2173" s="1" t="str">
        <f>T("1941094503909689592")</f>
        <v>1941094503909689592</v>
      </c>
      <c r="AC2173" s="1" t="s">
        <v>344</v>
      </c>
      <c r="AD2173" s="1" t="s">
        <v>372</v>
      </c>
      <c r="AE2173" s="1" t="s">
        <v>815</v>
      </c>
      <c r="AF2173" s="1" t="s">
        <v>144</v>
      </c>
      <c r="AG2173" s="1">
        <v>18</v>
      </c>
      <c r="AO2173" s="2">
        <v>46279</v>
      </c>
      <c r="AP2173" s="1" t="s">
        <v>588</v>
      </c>
      <c r="AS2173" s="1" t="s">
        <v>71</v>
      </c>
      <c r="AU2173" s="1" t="s">
        <v>72</v>
      </c>
      <c r="AV2173" s="1" t="s">
        <v>73</v>
      </c>
      <c r="AX2173" s="1">
        <v>0</v>
      </c>
      <c r="BA2173" s="1">
        <v>9</v>
      </c>
      <c r="BB2173" s="1">
        <v>0</v>
      </c>
      <c r="BC2173" s="1">
        <v>0</v>
      </c>
      <c r="BE2173" s="1">
        <v>27388116</v>
      </c>
    </row>
    <row r="2174" spans="1:57" x14ac:dyDescent="0.25">
      <c r="A2174" s="1" t="str">
        <f>T("1946204090435049256")</f>
        <v>1946204090435049256</v>
      </c>
      <c r="B2174" s="1" t="str">
        <f>T("249911734195")</f>
        <v>249911734195</v>
      </c>
      <c r="C2174" s="1" t="str">
        <f>T("1941094503909690692")</f>
        <v>1941094503909690692</v>
      </c>
      <c r="AC2174" s="1" t="s">
        <v>344</v>
      </c>
      <c r="AD2174" s="1" t="s">
        <v>441</v>
      </c>
      <c r="AE2174" s="1" t="s">
        <v>530</v>
      </c>
      <c r="AF2174" s="1" t="s">
        <v>107</v>
      </c>
      <c r="AG2174" s="1">
        <v>30</v>
      </c>
      <c r="AO2174" s="2">
        <v>46279</v>
      </c>
      <c r="AP2174" s="1" t="s">
        <v>588</v>
      </c>
      <c r="AS2174" s="1" t="s">
        <v>71</v>
      </c>
      <c r="AU2174" s="1" t="s">
        <v>72</v>
      </c>
      <c r="AV2174" s="1" t="s">
        <v>73</v>
      </c>
      <c r="AX2174" s="1">
        <v>0</v>
      </c>
      <c r="BA2174" s="1">
        <v>9</v>
      </c>
      <c r="BB2174" s="1">
        <v>0</v>
      </c>
      <c r="BC2174" s="1">
        <v>0</v>
      </c>
      <c r="BE2174" s="1">
        <v>27388116</v>
      </c>
    </row>
    <row r="2175" spans="1:57" x14ac:dyDescent="0.25">
      <c r="A2175" s="1" t="str">
        <f>T("1946204090439244064")</f>
        <v>1946204090439244064</v>
      </c>
      <c r="B2175" s="1" t="str">
        <f>T("249915497083")</f>
        <v>249915497083</v>
      </c>
      <c r="C2175" s="1" t="str">
        <f>T("1941094503909691192")</f>
        <v>1941094503909691192</v>
      </c>
      <c r="AC2175" s="1" t="s">
        <v>344</v>
      </c>
      <c r="AD2175" s="1" t="s">
        <v>372</v>
      </c>
      <c r="AE2175" s="1" t="s">
        <v>815</v>
      </c>
      <c r="AF2175" s="1" t="s">
        <v>107</v>
      </c>
      <c r="AG2175" s="1">
        <v>45</v>
      </c>
      <c r="AO2175" s="2">
        <v>46279</v>
      </c>
      <c r="AP2175" s="1" t="s">
        <v>588</v>
      </c>
      <c r="AS2175" s="1" t="s">
        <v>71</v>
      </c>
      <c r="AU2175" s="1" t="s">
        <v>72</v>
      </c>
      <c r="AV2175" s="1" t="s">
        <v>73</v>
      </c>
      <c r="AX2175" s="1">
        <v>0</v>
      </c>
      <c r="BA2175" s="1">
        <v>9</v>
      </c>
      <c r="BB2175" s="1">
        <v>0</v>
      </c>
      <c r="BC2175" s="1">
        <v>0</v>
      </c>
      <c r="BE2175" s="1">
        <v>27388116</v>
      </c>
    </row>
    <row r="2176" spans="1:57" x14ac:dyDescent="0.25">
      <c r="A2176" s="1" t="str">
        <f>T("1946204090489576260")</f>
        <v>1946204090489576260</v>
      </c>
      <c r="B2176" s="1" t="str">
        <f>T("249999549935")</f>
        <v>249999549935</v>
      </c>
      <c r="C2176" s="1" t="str">
        <f>T("1941094503913881900")</f>
        <v>1941094503913881900</v>
      </c>
      <c r="AC2176" s="1" t="s">
        <v>344</v>
      </c>
      <c r="AD2176" s="1" t="s">
        <v>372</v>
      </c>
      <c r="AE2176" s="1" t="s">
        <v>814</v>
      </c>
      <c r="AF2176" s="1" t="s">
        <v>144</v>
      </c>
      <c r="AG2176" s="1">
        <v>48</v>
      </c>
      <c r="AO2176" s="2">
        <v>46279</v>
      </c>
      <c r="AP2176" s="1" t="s">
        <v>588</v>
      </c>
      <c r="AS2176" s="1" t="s">
        <v>71</v>
      </c>
      <c r="AU2176" s="1" t="s">
        <v>72</v>
      </c>
      <c r="AV2176" s="1" t="s">
        <v>73</v>
      </c>
      <c r="AX2176" s="1">
        <v>0</v>
      </c>
      <c r="BA2176" s="1">
        <v>9</v>
      </c>
      <c r="BB2176" s="1">
        <v>0</v>
      </c>
      <c r="BC2176" s="1">
        <v>0</v>
      </c>
      <c r="BE2176" s="1">
        <v>27388116</v>
      </c>
    </row>
    <row r="2177" spans="1:57" x14ac:dyDescent="0.25">
      <c r="A2177" s="1" t="str">
        <f>T("1946204090489577160")</f>
        <v>1946204090489577160</v>
      </c>
      <c r="B2177" s="1" t="str">
        <f>T("249966976711")</f>
        <v>249966976711</v>
      </c>
      <c r="C2177" s="1" t="str">
        <f>T("1941094503913882300")</f>
        <v>1941094503913882300</v>
      </c>
      <c r="AC2177" s="1" t="s">
        <v>344</v>
      </c>
      <c r="AD2177" s="1" t="s">
        <v>441</v>
      </c>
      <c r="AE2177" s="1" t="s">
        <v>530</v>
      </c>
      <c r="AF2177" s="1" t="s">
        <v>107</v>
      </c>
      <c r="AG2177" s="1">
        <v>50</v>
      </c>
      <c r="AO2177" s="2">
        <v>46279</v>
      </c>
      <c r="AP2177" s="1" t="s">
        <v>588</v>
      </c>
      <c r="AS2177" s="1" t="s">
        <v>71</v>
      </c>
      <c r="AU2177" s="1" t="s">
        <v>72</v>
      </c>
      <c r="AV2177" s="1" t="s">
        <v>73</v>
      </c>
      <c r="AX2177" s="1">
        <v>0</v>
      </c>
      <c r="BA2177" s="1">
        <v>9</v>
      </c>
      <c r="BB2177" s="1">
        <v>0</v>
      </c>
      <c r="BC2177" s="1">
        <v>0</v>
      </c>
      <c r="BE2177" s="1">
        <v>27388116</v>
      </c>
    </row>
    <row r="2178" spans="1:57" x14ac:dyDescent="0.25">
      <c r="A2178" s="1" t="str">
        <f>T("1946204090539906956")</f>
        <v>1946204090539906956</v>
      </c>
      <c r="B2178" s="1" t="str">
        <f>T("249967120300")</f>
        <v>249967120300</v>
      </c>
      <c r="C2178" s="1" t="str">
        <f>T("1941094503913882700")</f>
        <v>1941094503913882700</v>
      </c>
      <c r="AC2178" s="1" t="s">
        <v>344</v>
      </c>
      <c r="AD2178" s="1" t="s">
        <v>430</v>
      </c>
      <c r="AE2178" s="1" t="s">
        <v>530</v>
      </c>
      <c r="AF2178" s="1" t="s">
        <v>107</v>
      </c>
      <c r="AG2178" s="1">
        <v>25</v>
      </c>
      <c r="AO2178" s="2">
        <v>46279</v>
      </c>
      <c r="AP2178" s="1" t="s">
        <v>588</v>
      </c>
      <c r="AS2178" s="1" t="s">
        <v>71</v>
      </c>
      <c r="AU2178" s="1" t="s">
        <v>72</v>
      </c>
      <c r="AV2178" s="1" t="s">
        <v>437</v>
      </c>
      <c r="AX2178" s="1">
        <v>0</v>
      </c>
      <c r="BA2178" s="1">
        <v>9</v>
      </c>
      <c r="BB2178" s="1">
        <v>0</v>
      </c>
      <c r="BC2178" s="1">
        <v>0</v>
      </c>
      <c r="BE2178" s="1">
        <v>27388116</v>
      </c>
    </row>
    <row r="2179" spans="1:57" x14ac:dyDescent="0.25">
      <c r="A2179" s="1" t="str">
        <f>T("1946204090544100164")</f>
        <v>1946204090544100164</v>
      </c>
      <c r="B2179" s="1" t="str">
        <f>T("249917001891")</f>
        <v>249917001891</v>
      </c>
      <c r="C2179" s="1" t="str">
        <f>T("1941094503913883100")</f>
        <v>1941094503913883100</v>
      </c>
      <c r="AC2179" s="1" t="s">
        <v>344</v>
      </c>
      <c r="AD2179" s="1" t="s">
        <v>441</v>
      </c>
      <c r="AE2179" s="1" t="s">
        <v>530</v>
      </c>
      <c r="AF2179" s="1" t="s">
        <v>107</v>
      </c>
      <c r="AG2179" s="1">
        <v>80</v>
      </c>
      <c r="AO2179" s="2">
        <v>46279</v>
      </c>
      <c r="AP2179" s="1" t="s">
        <v>588</v>
      </c>
      <c r="AS2179" s="1" t="s">
        <v>71</v>
      </c>
      <c r="AU2179" s="1" t="s">
        <v>72</v>
      </c>
      <c r="AV2179" s="1" t="s">
        <v>73</v>
      </c>
      <c r="AX2179" s="1">
        <v>0</v>
      </c>
      <c r="BA2179" s="1">
        <v>9</v>
      </c>
      <c r="BB2179" s="1">
        <v>0</v>
      </c>
      <c r="BC2179" s="1">
        <v>0</v>
      </c>
      <c r="BE2179" s="1">
        <v>27388116</v>
      </c>
    </row>
    <row r="2180" spans="1:57" x14ac:dyDescent="0.25">
      <c r="A2180" s="1" t="str">
        <f>T("1946204090598626768")</f>
        <v>1946204090598626768</v>
      </c>
      <c r="B2180" s="1" t="str">
        <f>T("249961570138")</f>
        <v>249961570138</v>
      </c>
      <c r="C2180" s="1" t="str">
        <f>T("1941094503913883600")</f>
        <v>1941094503913883600</v>
      </c>
      <c r="AC2180" s="1" t="s">
        <v>344</v>
      </c>
      <c r="AD2180" s="1" t="s">
        <v>441</v>
      </c>
      <c r="AE2180" s="1" t="s">
        <v>530</v>
      </c>
      <c r="AF2180" s="1" t="s">
        <v>107</v>
      </c>
      <c r="AG2180" s="1">
        <v>60</v>
      </c>
      <c r="AO2180" s="2">
        <v>46279</v>
      </c>
      <c r="AP2180" s="1" t="s">
        <v>588</v>
      </c>
      <c r="AS2180" s="1" t="s">
        <v>71</v>
      </c>
      <c r="AU2180" s="1" t="s">
        <v>72</v>
      </c>
      <c r="AV2180" s="1" t="s">
        <v>437</v>
      </c>
      <c r="AX2180" s="1">
        <v>0</v>
      </c>
      <c r="BA2180" s="1">
        <v>9</v>
      </c>
      <c r="BB2180" s="1">
        <v>0</v>
      </c>
      <c r="BC2180" s="1">
        <v>0</v>
      </c>
      <c r="BE2180" s="1">
        <v>27388116</v>
      </c>
    </row>
    <row r="2181" spans="1:57" x14ac:dyDescent="0.25">
      <c r="A2181" s="1" t="str">
        <f>T("1946204090598628768")</f>
        <v>1946204090598628768</v>
      </c>
      <c r="B2181" s="1" t="str">
        <f>T("249112898404")</f>
        <v>249112898404</v>
      </c>
      <c r="C2181" s="1" t="str">
        <f>T("1941094503913884000")</f>
        <v>1941094503913884000</v>
      </c>
      <c r="AC2181" s="1" t="s">
        <v>344</v>
      </c>
      <c r="AD2181" s="1" t="s">
        <v>372</v>
      </c>
      <c r="AE2181" s="1" t="s">
        <v>813</v>
      </c>
      <c r="AF2181" s="1" t="s">
        <v>144</v>
      </c>
      <c r="AG2181" s="1">
        <v>27</v>
      </c>
      <c r="AO2181" s="2">
        <v>46279</v>
      </c>
      <c r="AP2181" s="1" t="s">
        <v>588</v>
      </c>
      <c r="AS2181" s="1" t="s">
        <v>71</v>
      </c>
      <c r="AU2181" s="1" t="s">
        <v>72</v>
      </c>
      <c r="AV2181" s="1" t="s">
        <v>73</v>
      </c>
      <c r="AX2181" s="1">
        <v>0</v>
      </c>
      <c r="BA2181" s="1">
        <v>9</v>
      </c>
      <c r="BB2181" s="1">
        <v>0</v>
      </c>
      <c r="BC2181" s="1">
        <v>0</v>
      </c>
      <c r="BE2181" s="1">
        <v>27388116</v>
      </c>
    </row>
    <row r="2182" spans="1:57" x14ac:dyDescent="0.25">
      <c r="A2182" s="1" t="str">
        <f>T("1946204090661543388")</f>
        <v>1946204090661543388</v>
      </c>
      <c r="B2182" s="1" t="str">
        <f>T("249924904220")</f>
        <v>249924904220</v>
      </c>
      <c r="C2182" s="1" t="str">
        <f>T("1941094503913884400")</f>
        <v>1941094503913884400</v>
      </c>
      <c r="AA2182" s="1">
        <v>1</v>
      </c>
      <c r="AC2182" s="1" t="s">
        <v>344</v>
      </c>
      <c r="AD2182" s="1" t="s">
        <v>372</v>
      </c>
      <c r="AE2182" s="1" t="s">
        <v>813</v>
      </c>
      <c r="AF2182" s="1" t="s">
        <v>107</v>
      </c>
      <c r="AG2182" s="1">
        <v>32</v>
      </c>
      <c r="AO2182" s="2">
        <v>46279</v>
      </c>
      <c r="AP2182" s="1" t="s">
        <v>588</v>
      </c>
      <c r="AQ2182" s="2">
        <v>46279</v>
      </c>
      <c r="AR2182" s="1" t="s">
        <v>841</v>
      </c>
      <c r="AS2182" s="1" t="s">
        <v>71</v>
      </c>
      <c r="AU2182" s="1" t="s">
        <v>79</v>
      </c>
      <c r="AV2182" s="1" t="s">
        <v>80</v>
      </c>
      <c r="AW2182" s="1">
        <v>65.239999999999995</v>
      </c>
      <c r="AX2182" s="1">
        <v>0</v>
      </c>
      <c r="AZ2182" s="1" t="s">
        <v>81</v>
      </c>
      <c r="BA2182" s="1">
        <v>1</v>
      </c>
      <c r="BB2182" s="1">
        <v>0</v>
      </c>
      <c r="BC2182" s="1">
        <v>0</v>
      </c>
      <c r="BE2182" s="1">
        <v>27388116</v>
      </c>
    </row>
    <row r="2183" spans="1:57" x14ac:dyDescent="0.25">
      <c r="A2183" s="1" t="str">
        <f>T("1946204090665734196")</f>
        <v>1946204090665734196</v>
      </c>
      <c r="B2183" s="1" t="str">
        <f>T("249919496602")</f>
        <v>249919496602</v>
      </c>
      <c r="C2183" s="1" t="str">
        <f>T("1941094503913884900")</f>
        <v>1941094503913884900</v>
      </c>
      <c r="AC2183" s="1" t="s">
        <v>344</v>
      </c>
      <c r="AD2183" s="1" t="s">
        <v>372</v>
      </c>
      <c r="AE2183" s="1" t="s">
        <v>814</v>
      </c>
      <c r="AF2183" s="1" t="s">
        <v>107</v>
      </c>
      <c r="AG2183" s="1">
        <v>59</v>
      </c>
      <c r="AO2183" s="2">
        <v>46279</v>
      </c>
      <c r="AP2183" s="1" t="s">
        <v>588</v>
      </c>
      <c r="AS2183" s="1" t="s">
        <v>71</v>
      </c>
      <c r="AU2183" s="1" t="s">
        <v>75</v>
      </c>
      <c r="AV2183" s="1" t="s">
        <v>590</v>
      </c>
      <c r="AX2183" s="1">
        <v>0</v>
      </c>
      <c r="BA2183" s="1">
        <v>9</v>
      </c>
      <c r="BB2183" s="1">
        <v>0</v>
      </c>
      <c r="BC2183" s="1">
        <v>0</v>
      </c>
      <c r="BE2183" s="1">
        <v>27388116</v>
      </c>
    </row>
    <row r="2184" spans="1:57" x14ac:dyDescent="0.25">
      <c r="A2184" s="1" t="str">
        <f>T("1946204090716068892")</f>
        <v>1946204090716068892</v>
      </c>
      <c r="B2184" s="1" t="str">
        <f>T("249967397682")</f>
        <v>249967397682</v>
      </c>
      <c r="C2184" s="1" t="str">
        <f>T("1941094503913885400")</f>
        <v>1941094503913885400</v>
      </c>
      <c r="AC2184" s="1" t="s">
        <v>344</v>
      </c>
      <c r="AD2184" s="1" t="s">
        <v>441</v>
      </c>
      <c r="AE2184" s="1" t="s">
        <v>530</v>
      </c>
      <c r="AF2184" s="1" t="s">
        <v>107</v>
      </c>
      <c r="AG2184" s="1">
        <v>47</v>
      </c>
      <c r="AO2184" s="2">
        <v>46279</v>
      </c>
      <c r="AP2184" s="1" t="s">
        <v>588</v>
      </c>
      <c r="AS2184" s="1" t="s">
        <v>71</v>
      </c>
      <c r="AU2184" s="1" t="s">
        <v>72</v>
      </c>
      <c r="AV2184" s="1" t="s">
        <v>73</v>
      </c>
      <c r="AX2184" s="1">
        <v>0</v>
      </c>
      <c r="BA2184" s="1">
        <v>9</v>
      </c>
      <c r="BB2184" s="1">
        <v>0</v>
      </c>
      <c r="BC2184" s="1">
        <v>0</v>
      </c>
      <c r="BE2184" s="1">
        <v>27388116</v>
      </c>
    </row>
    <row r="2185" spans="1:57" x14ac:dyDescent="0.25">
      <c r="A2185" s="1" t="str">
        <f>T("1946204090724455108")</f>
        <v>1946204090724455108</v>
      </c>
      <c r="B2185" s="1" t="str">
        <f>T("249919645714")</f>
        <v>249919645714</v>
      </c>
      <c r="C2185" s="1" t="str">
        <f>T("1941094503918076108")</f>
        <v>1941094503918076108</v>
      </c>
      <c r="AC2185" s="1" t="s">
        <v>344</v>
      </c>
      <c r="AD2185" s="1" t="s">
        <v>430</v>
      </c>
      <c r="AE2185" s="1" t="s">
        <v>530</v>
      </c>
      <c r="AF2185" s="1" t="s">
        <v>107</v>
      </c>
      <c r="AG2185" s="1">
        <v>25</v>
      </c>
      <c r="AO2185" s="2">
        <v>46279</v>
      </c>
      <c r="AP2185" s="1" t="s">
        <v>588</v>
      </c>
      <c r="AS2185" s="1" t="s">
        <v>71</v>
      </c>
      <c r="AU2185" s="1" t="s">
        <v>72</v>
      </c>
      <c r="AV2185" s="1" t="s">
        <v>73</v>
      </c>
      <c r="AX2185" s="1">
        <v>0</v>
      </c>
      <c r="BA2185" s="1">
        <v>9</v>
      </c>
      <c r="BB2185" s="1">
        <v>0</v>
      </c>
      <c r="BC2185" s="1">
        <v>0</v>
      </c>
      <c r="BE2185" s="1">
        <v>27388116</v>
      </c>
    </row>
    <row r="2186" spans="1:57" x14ac:dyDescent="0.25">
      <c r="A2186" s="1" t="str">
        <f>T("1946204090774788404")</f>
        <v>1946204090774788404</v>
      </c>
      <c r="B2186" s="1" t="str">
        <f>T("249962411143")</f>
        <v>249962411143</v>
      </c>
      <c r="C2186" s="1" t="str">
        <f>T("1941094503918077008")</f>
        <v>1941094503918077008</v>
      </c>
      <c r="AC2186" s="1" t="s">
        <v>344</v>
      </c>
      <c r="AD2186" s="1" t="s">
        <v>430</v>
      </c>
      <c r="AE2186" s="1" t="s">
        <v>530</v>
      </c>
      <c r="AF2186" s="1" t="s">
        <v>107</v>
      </c>
      <c r="AG2186" s="1">
        <v>40</v>
      </c>
      <c r="AO2186" s="2">
        <v>46279</v>
      </c>
      <c r="AP2186" s="1" t="s">
        <v>588</v>
      </c>
      <c r="AS2186" s="1" t="s">
        <v>71</v>
      </c>
      <c r="AU2186" s="1" t="s">
        <v>72</v>
      </c>
      <c r="AV2186" s="1" t="s">
        <v>437</v>
      </c>
      <c r="AX2186" s="1">
        <v>0</v>
      </c>
      <c r="BA2186" s="1">
        <v>9</v>
      </c>
      <c r="BB2186" s="1">
        <v>0</v>
      </c>
      <c r="BC2186" s="1">
        <v>0</v>
      </c>
      <c r="BE2186" s="1">
        <v>27388116</v>
      </c>
    </row>
    <row r="2187" spans="1:57" x14ac:dyDescent="0.25">
      <c r="A2187" s="1" t="str">
        <f>T("1946204090774789204")</f>
        <v>1946204090774789204</v>
      </c>
      <c r="B2187" s="1" t="str">
        <f>T("249964780340")</f>
        <v>249964780340</v>
      </c>
      <c r="C2187" s="1" t="str">
        <f>T("1941094503918076608")</f>
        <v>1941094503918076608</v>
      </c>
      <c r="AC2187" s="1" t="s">
        <v>344</v>
      </c>
      <c r="AD2187" s="1" t="s">
        <v>430</v>
      </c>
      <c r="AE2187" s="1" t="s">
        <v>530</v>
      </c>
      <c r="AF2187" s="1" t="s">
        <v>107</v>
      </c>
      <c r="AG2187" s="1">
        <v>27</v>
      </c>
      <c r="AO2187" s="2">
        <v>46279</v>
      </c>
      <c r="AP2187" s="1" t="s">
        <v>588</v>
      </c>
      <c r="AS2187" s="1" t="s">
        <v>71</v>
      </c>
      <c r="AU2187" s="1" t="s">
        <v>72</v>
      </c>
      <c r="AV2187" s="1" t="s">
        <v>437</v>
      </c>
      <c r="AX2187" s="1">
        <v>0</v>
      </c>
      <c r="BA2187" s="1">
        <v>9</v>
      </c>
      <c r="BB2187" s="1">
        <v>0</v>
      </c>
      <c r="BC2187" s="1">
        <v>0</v>
      </c>
      <c r="BE2187" s="1">
        <v>27388116</v>
      </c>
    </row>
    <row r="2188" spans="1:57" x14ac:dyDescent="0.25">
      <c r="A2188" s="1" t="str">
        <f>T("1946204090833509616")</f>
        <v>1946204090833509616</v>
      </c>
      <c r="B2188" s="1" t="str">
        <f>T("249916343588")</f>
        <v>249916343588</v>
      </c>
      <c r="C2188" s="1" t="str">
        <f>T("1941094503918077408")</f>
        <v>1941094503918077408</v>
      </c>
      <c r="AC2188" s="1" t="s">
        <v>344</v>
      </c>
      <c r="AD2188" s="1" t="s">
        <v>441</v>
      </c>
      <c r="AE2188" s="1" t="s">
        <v>530</v>
      </c>
      <c r="AF2188" s="1" t="s">
        <v>107</v>
      </c>
      <c r="AG2188" s="1">
        <v>31</v>
      </c>
      <c r="AO2188" s="2">
        <v>46279</v>
      </c>
      <c r="AP2188" s="1" t="s">
        <v>588</v>
      </c>
      <c r="AS2188" s="1" t="s">
        <v>71</v>
      </c>
      <c r="AU2188" s="1" t="s">
        <v>72</v>
      </c>
      <c r="AV2188" s="1" t="s">
        <v>73</v>
      </c>
      <c r="AX2188" s="1">
        <v>0</v>
      </c>
      <c r="BA2188" s="1">
        <v>9</v>
      </c>
      <c r="BB2188" s="1">
        <v>0</v>
      </c>
      <c r="BC2188" s="1">
        <v>0</v>
      </c>
      <c r="BE2188" s="1">
        <v>27388116</v>
      </c>
    </row>
    <row r="2189" spans="1:57" x14ac:dyDescent="0.25">
      <c r="A2189" s="1" t="str">
        <f>T("1946204090837701424")</f>
        <v>1946204090837701424</v>
      </c>
      <c r="B2189" s="1" t="str">
        <f>T("249125118546")</f>
        <v>249125118546</v>
      </c>
      <c r="C2189" s="1" t="str">
        <f>T("1941094503918077908")</f>
        <v>1941094503918077908</v>
      </c>
      <c r="M2189" s="1" t="s">
        <v>59</v>
      </c>
      <c r="O2189" s="1" t="s">
        <v>65</v>
      </c>
      <c r="P2189" s="1" t="s">
        <v>61</v>
      </c>
      <c r="Q2189" s="1" t="s">
        <v>92</v>
      </c>
      <c r="R2189" s="1" t="s">
        <v>93</v>
      </c>
      <c r="T2189" s="1" t="s">
        <v>95</v>
      </c>
      <c r="U2189" s="1" t="s">
        <v>65</v>
      </c>
      <c r="V2189" s="1" t="s">
        <v>103</v>
      </c>
      <c r="W2189" s="1" t="s">
        <v>60</v>
      </c>
      <c r="X2189" s="1" t="s">
        <v>66</v>
      </c>
      <c r="Y2189" s="1" t="s">
        <v>69</v>
      </c>
      <c r="AA2189" s="1">
        <v>1</v>
      </c>
      <c r="AB2189" s="1">
        <v>1</v>
      </c>
      <c r="AC2189" s="1" t="s">
        <v>344</v>
      </c>
      <c r="AD2189" s="1" t="s">
        <v>372</v>
      </c>
      <c r="AE2189" s="1" t="s">
        <v>818</v>
      </c>
      <c r="AF2189" s="1" t="s">
        <v>107</v>
      </c>
      <c r="AG2189" s="1">
        <v>55</v>
      </c>
      <c r="AO2189" s="2">
        <v>46279</v>
      </c>
      <c r="AP2189" s="1" t="s">
        <v>588</v>
      </c>
      <c r="AQ2189" s="2">
        <v>46279</v>
      </c>
      <c r="AR2189" s="1" t="s">
        <v>842</v>
      </c>
      <c r="AS2189" s="1" t="s">
        <v>71</v>
      </c>
      <c r="AU2189" s="1" t="s">
        <v>78</v>
      </c>
      <c r="AV2189" s="1" t="s">
        <v>80</v>
      </c>
      <c r="AW2189" s="1">
        <v>205.78</v>
      </c>
      <c r="AX2189" s="1">
        <v>0</v>
      </c>
      <c r="AZ2189" s="1" t="s">
        <v>81</v>
      </c>
      <c r="BA2189" s="1">
        <v>1</v>
      </c>
      <c r="BB2189" s="1">
        <v>0</v>
      </c>
      <c r="BC2189" s="1">
        <v>0</v>
      </c>
      <c r="BE2189" s="1">
        <v>27388116</v>
      </c>
    </row>
    <row r="2190" spans="1:57" x14ac:dyDescent="0.25">
      <c r="A2190" s="1" t="str">
        <f>T("1946204090892229728")</f>
        <v>1946204090892229728</v>
      </c>
      <c r="B2190" s="1" t="str">
        <f>T("249916649854")</f>
        <v>249916649854</v>
      </c>
      <c r="C2190" s="1" t="str">
        <f>T("1941094503918078308")</f>
        <v>1941094503918078308</v>
      </c>
      <c r="AC2190" s="1" t="s">
        <v>344</v>
      </c>
      <c r="AD2190" s="1" t="s">
        <v>430</v>
      </c>
      <c r="AE2190" s="1" t="s">
        <v>530</v>
      </c>
      <c r="AF2190" s="1" t="s">
        <v>144</v>
      </c>
      <c r="AG2190" s="1">
        <v>50</v>
      </c>
      <c r="AO2190" s="2">
        <v>46279</v>
      </c>
      <c r="AP2190" s="1" t="s">
        <v>588</v>
      </c>
      <c r="AS2190" s="1" t="s">
        <v>71</v>
      </c>
      <c r="AU2190" s="1" t="s">
        <v>72</v>
      </c>
      <c r="AV2190" s="1" t="s">
        <v>73</v>
      </c>
      <c r="AX2190" s="1">
        <v>0</v>
      </c>
      <c r="BA2190" s="1">
        <v>9</v>
      </c>
      <c r="BB2190" s="1">
        <v>0</v>
      </c>
      <c r="BC2190" s="1">
        <v>0</v>
      </c>
      <c r="BE2190" s="1">
        <v>27388116</v>
      </c>
    </row>
    <row r="2191" spans="1:57" x14ac:dyDescent="0.25">
      <c r="A2191" s="1" t="str">
        <f>T("1946204090896422036")</f>
        <v>1946204090896422036</v>
      </c>
      <c r="B2191" s="1" t="str">
        <f>T("249908970714")</f>
        <v>249908970714</v>
      </c>
      <c r="C2191" s="1" t="str">
        <f>T("1941094503918078708")</f>
        <v>1941094503918078708</v>
      </c>
      <c r="AC2191" s="1" t="s">
        <v>344</v>
      </c>
      <c r="AD2191" s="1" t="s">
        <v>372</v>
      </c>
      <c r="AE2191" s="1" t="s">
        <v>813</v>
      </c>
      <c r="AF2191" s="1" t="s">
        <v>144</v>
      </c>
      <c r="AG2191" s="1">
        <v>34</v>
      </c>
      <c r="AO2191" s="2">
        <v>46279</v>
      </c>
      <c r="AP2191" s="1" t="s">
        <v>588</v>
      </c>
      <c r="AS2191" s="1" t="s">
        <v>71</v>
      </c>
      <c r="AU2191" s="1" t="s">
        <v>75</v>
      </c>
      <c r="AV2191" s="1" t="s">
        <v>590</v>
      </c>
      <c r="AX2191" s="1">
        <v>0</v>
      </c>
      <c r="BA2191" s="1">
        <v>9</v>
      </c>
      <c r="BB2191" s="1">
        <v>0</v>
      </c>
      <c r="BC2191" s="1">
        <v>0</v>
      </c>
      <c r="BE2191" s="1">
        <v>27388116</v>
      </c>
    </row>
    <row r="2192" spans="1:57" x14ac:dyDescent="0.25">
      <c r="A2192" s="1" t="str">
        <f>T("1946204090950946940")</f>
        <v>1946204090950946940</v>
      </c>
      <c r="B2192" s="1" t="str">
        <f>T("249901732982")</f>
        <v>249901732982</v>
      </c>
      <c r="C2192" s="1" t="str">
        <f>T("1941094503918079308")</f>
        <v>1941094503918079308</v>
      </c>
      <c r="AC2192" s="1" t="s">
        <v>344</v>
      </c>
      <c r="AD2192" s="1" t="s">
        <v>372</v>
      </c>
      <c r="AE2192" s="1" t="s">
        <v>814</v>
      </c>
      <c r="AF2192" s="1" t="s">
        <v>144</v>
      </c>
      <c r="AG2192" s="1">
        <v>50</v>
      </c>
      <c r="AO2192" s="2">
        <v>46279</v>
      </c>
      <c r="AP2192" s="1" t="s">
        <v>588</v>
      </c>
      <c r="AS2192" s="1" t="s">
        <v>71</v>
      </c>
      <c r="AU2192" s="1" t="s">
        <v>72</v>
      </c>
      <c r="AV2192" s="1" t="s">
        <v>437</v>
      </c>
      <c r="AX2192" s="1">
        <v>0</v>
      </c>
      <c r="BA2192" s="1">
        <v>9</v>
      </c>
      <c r="BB2192" s="1">
        <v>0</v>
      </c>
      <c r="BC2192" s="1">
        <v>0</v>
      </c>
      <c r="BE2192" s="1">
        <v>27388116</v>
      </c>
    </row>
    <row r="2193" spans="1:57" x14ac:dyDescent="0.25">
      <c r="A2193" s="1" t="str">
        <f>T("1946204090950949440")</f>
        <v>1946204090950949440</v>
      </c>
      <c r="B2193" s="1" t="str">
        <f>T("249966120518")</f>
        <v>249966120518</v>
      </c>
      <c r="C2193" s="1" t="str">
        <f>T("1941094503918079708")</f>
        <v>1941094503918079708</v>
      </c>
      <c r="AC2193" s="1" t="s">
        <v>344</v>
      </c>
      <c r="AD2193" s="1" t="s">
        <v>430</v>
      </c>
      <c r="AE2193" s="1" t="s">
        <v>530</v>
      </c>
      <c r="AF2193" s="1" t="s">
        <v>107</v>
      </c>
      <c r="AG2193" s="1">
        <v>30</v>
      </c>
      <c r="AO2193" s="2">
        <v>46279</v>
      </c>
      <c r="AP2193" s="1" t="s">
        <v>588</v>
      </c>
      <c r="AS2193" s="1" t="s">
        <v>71</v>
      </c>
      <c r="AU2193" s="1" t="s">
        <v>72</v>
      </c>
      <c r="AV2193" s="1" t="s">
        <v>437</v>
      </c>
      <c r="AX2193" s="1">
        <v>0</v>
      </c>
      <c r="BA2193" s="1">
        <v>9</v>
      </c>
      <c r="BB2193" s="1">
        <v>0</v>
      </c>
      <c r="BC2193" s="1">
        <v>0</v>
      </c>
      <c r="BE2193" s="1">
        <v>27388116</v>
      </c>
    </row>
    <row r="2194" spans="1:57" x14ac:dyDescent="0.25">
      <c r="A2194" s="1" t="str">
        <f>T("1946204091013864660")</f>
        <v>1946204091013864660</v>
      </c>
      <c r="B2194" s="1" t="str">
        <f>T("249906882554")</f>
        <v>249906882554</v>
      </c>
      <c r="C2194" s="1" t="str">
        <f>T("1941094503922270716")</f>
        <v>1941094503922270716</v>
      </c>
      <c r="AC2194" s="1" t="s">
        <v>344</v>
      </c>
      <c r="AD2194" s="1" t="s">
        <v>430</v>
      </c>
      <c r="AE2194" s="1" t="s">
        <v>530</v>
      </c>
      <c r="AF2194" s="1" t="s">
        <v>144</v>
      </c>
      <c r="AG2194" s="1">
        <v>40</v>
      </c>
      <c r="AO2194" s="2">
        <v>46279</v>
      </c>
      <c r="AP2194" s="1" t="s">
        <v>588</v>
      </c>
      <c r="AS2194" s="1" t="s">
        <v>71</v>
      </c>
      <c r="AU2194" s="1" t="s">
        <v>72</v>
      </c>
      <c r="AV2194" s="1" t="s">
        <v>73</v>
      </c>
      <c r="AX2194" s="1">
        <v>0</v>
      </c>
      <c r="BA2194" s="1">
        <v>9</v>
      </c>
      <c r="BB2194" s="1">
        <v>0</v>
      </c>
      <c r="BC2194" s="1">
        <v>0</v>
      </c>
      <c r="BE2194" s="1">
        <v>27388116</v>
      </c>
    </row>
    <row r="2195" spans="1:57" x14ac:dyDescent="0.25">
      <c r="A2195" s="1" t="str">
        <f>T("1946204091026444584")</f>
        <v>1946204091026444584</v>
      </c>
      <c r="B2195" s="1" t="str">
        <f>T("249906006446")</f>
        <v>249906006446</v>
      </c>
      <c r="C2195" s="1" t="str">
        <f>T("1941094503926464824")</f>
        <v>1941094503926464824</v>
      </c>
      <c r="AC2195" s="1" t="s">
        <v>344</v>
      </c>
      <c r="AD2195" s="1" t="s">
        <v>441</v>
      </c>
      <c r="AE2195" s="1" t="s">
        <v>530</v>
      </c>
      <c r="AF2195" s="1" t="s">
        <v>107</v>
      </c>
      <c r="AG2195" s="1">
        <v>30</v>
      </c>
      <c r="AO2195" s="2">
        <v>46279</v>
      </c>
      <c r="AP2195" s="1" t="s">
        <v>588</v>
      </c>
      <c r="AS2195" s="1" t="s">
        <v>71</v>
      </c>
      <c r="AU2195" s="1" t="s">
        <v>72</v>
      </c>
      <c r="AV2195" s="1" t="s">
        <v>437</v>
      </c>
      <c r="AX2195" s="1">
        <v>0</v>
      </c>
      <c r="BA2195" s="1">
        <v>9</v>
      </c>
      <c r="BB2195" s="1">
        <v>0</v>
      </c>
      <c r="BC2195" s="1">
        <v>0</v>
      </c>
      <c r="BE2195" s="1">
        <v>27388116</v>
      </c>
    </row>
    <row r="2196" spans="1:57" x14ac:dyDescent="0.25">
      <c r="A2196" s="1" t="str">
        <f>T("1946204091068390464")</f>
        <v>1946204091068390464</v>
      </c>
      <c r="B2196" s="1" t="str">
        <f>T("249906549709")</f>
        <v>249906549709</v>
      </c>
      <c r="C2196" s="1" t="str">
        <f>T("1941094503926468524")</f>
        <v>1941094503926468524</v>
      </c>
      <c r="AC2196" s="1" t="s">
        <v>344</v>
      </c>
      <c r="AD2196" s="1" t="s">
        <v>357</v>
      </c>
      <c r="AE2196" s="1" t="s">
        <v>817</v>
      </c>
      <c r="AF2196" s="1" t="s">
        <v>107</v>
      </c>
      <c r="AG2196" s="1">
        <v>55</v>
      </c>
      <c r="AO2196" s="2">
        <v>46279</v>
      </c>
      <c r="AP2196" s="1" t="s">
        <v>588</v>
      </c>
      <c r="AS2196" s="1" t="s">
        <v>71</v>
      </c>
      <c r="AU2196" s="1" t="s">
        <v>72</v>
      </c>
      <c r="AV2196" s="1" t="s">
        <v>73</v>
      </c>
      <c r="AX2196" s="1">
        <v>0</v>
      </c>
      <c r="BA2196" s="1">
        <v>9</v>
      </c>
      <c r="BB2196" s="1">
        <v>0</v>
      </c>
      <c r="BC2196" s="1">
        <v>0</v>
      </c>
      <c r="BE2196" s="1">
        <v>27388116</v>
      </c>
    </row>
    <row r="2197" spans="1:57" x14ac:dyDescent="0.25">
      <c r="A2197" s="1" t="str">
        <f>T("1946204091085167096")</f>
        <v>1946204091085167096</v>
      </c>
      <c r="B2197" s="1" t="str">
        <f>T("249914294064")</f>
        <v>249914294064</v>
      </c>
      <c r="C2197" s="1" t="str">
        <f>T("1941094503930659132")</f>
        <v>1941094503930659132</v>
      </c>
      <c r="AC2197" s="1" t="s">
        <v>344</v>
      </c>
      <c r="AD2197" s="1" t="s">
        <v>441</v>
      </c>
      <c r="AE2197" s="1" t="s">
        <v>530</v>
      </c>
      <c r="AF2197" s="1" t="s">
        <v>107</v>
      </c>
      <c r="AG2197" s="1">
        <v>29</v>
      </c>
      <c r="AO2197" s="2">
        <v>46279</v>
      </c>
      <c r="AP2197" s="1" t="s">
        <v>588</v>
      </c>
      <c r="AS2197" s="1" t="s">
        <v>71</v>
      </c>
      <c r="AU2197" s="1" t="s">
        <v>72</v>
      </c>
      <c r="AV2197" s="1" t="s">
        <v>73</v>
      </c>
      <c r="AX2197" s="1">
        <v>0</v>
      </c>
      <c r="BA2197" s="1">
        <v>9</v>
      </c>
      <c r="BB2197" s="1">
        <v>0</v>
      </c>
      <c r="BC2197" s="1">
        <v>0</v>
      </c>
      <c r="BE2197" s="1">
        <v>27388116</v>
      </c>
    </row>
    <row r="2198" spans="1:57" x14ac:dyDescent="0.25">
      <c r="A2198" s="1" t="str">
        <f>T("1946204091118720160")</f>
        <v>1946204091118720160</v>
      </c>
      <c r="B2198" s="1" t="str">
        <f>T("249919280495")</f>
        <v>249919280495</v>
      </c>
      <c r="C2198" s="1" t="str">
        <f>T("1941094503930659632")</f>
        <v>1941094503930659632</v>
      </c>
      <c r="AC2198" s="1" t="s">
        <v>344</v>
      </c>
      <c r="AD2198" s="1" t="s">
        <v>441</v>
      </c>
      <c r="AE2198" s="1" t="s">
        <v>530</v>
      </c>
      <c r="AF2198" s="1" t="s">
        <v>107</v>
      </c>
      <c r="AG2198" s="1">
        <v>50</v>
      </c>
      <c r="AO2198" s="2">
        <v>46279</v>
      </c>
      <c r="AP2198" s="1" t="s">
        <v>588</v>
      </c>
      <c r="AS2198" s="1" t="s">
        <v>71</v>
      </c>
      <c r="AU2198" s="1" t="s">
        <v>72</v>
      </c>
      <c r="AV2198" s="1" t="s">
        <v>73</v>
      </c>
      <c r="AX2198" s="1">
        <v>0</v>
      </c>
      <c r="BA2198" s="1">
        <v>9</v>
      </c>
      <c r="BB2198" s="1">
        <v>0</v>
      </c>
      <c r="BC2198" s="1">
        <v>0</v>
      </c>
      <c r="BE2198" s="1">
        <v>27388116</v>
      </c>
    </row>
    <row r="2199" spans="1:57" x14ac:dyDescent="0.25">
      <c r="A2199" s="1" t="str">
        <f>T("1946204091148081816")</f>
        <v>1946204091148081816</v>
      </c>
      <c r="B2199" s="1" t="str">
        <f>T("249900237908")</f>
        <v>249900237908</v>
      </c>
      <c r="C2199" s="1" t="str">
        <f>T("1941094503930660232")</f>
        <v>1941094503930660232</v>
      </c>
      <c r="AC2199" s="1" t="s">
        <v>344</v>
      </c>
      <c r="AD2199" s="1" t="s">
        <v>441</v>
      </c>
      <c r="AE2199" s="1" t="s">
        <v>530</v>
      </c>
      <c r="AF2199" s="1" t="s">
        <v>144</v>
      </c>
      <c r="AG2199" s="1">
        <v>50</v>
      </c>
      <c r="AO2199" s="2">
        <v>46279</v>
      </c>
      <c r="AP2199" s="1" t="s">
        <v>588</v>
      </c>
      <c r="AS2199" s="1" t="s">
        <v>71</v>
      </c>
      <c r="AU2199" s="1" t="s">
        <v>72</v>
      </c>
      <c r="AV2199" s="1" t="s">
        <v>437</v>
      </c>
      <c r="AX2199" s="1">
        <v>0</v>
      </c>
      <c r="BA2199" s="1">
        <v>9</v>
      </c>
      <c r="BB2199" s="1">
        <v>0</v>
      </c>
      <c r="BC2199" s="1">
        <v>0</v>
      </c>
      <c r="BE2199" s="1">
        <v>27388116</v>
      </c>
    </row>
    <row r="2200" spans="1:57" x14ac:dyDescent="0.25">
      <c r="A2200" s="1" t="str">
        <f>T("1946204091177443272")</f>
        <v>1946204091177443272</v>
      </c>
      <c r="B2200" s="1" t="str">
        <f>T("249990958863")</f>
        <v>249990958863</v>
      </c>
      <c r="C2200" s="1" t="str">
        <f>T("1941094503930662632")</f>
        <v>1941094503930662632</v>
      </c>
      <c r="M2200" s="1" t="s">
        <v>59</v>
      </c>
      <c r="O2200" s="1" t="s">
        <v>65</v>
      </c>
      <c r="P2200" s="1" t="s">
        <v>83</v>
      </c>
      <c r="Q2200" s="1" t="s">
        <v>92</v>
      </c>
      <c r="R2200" s="1" t="s">
        <v>93</v>
      </c>
      <c r="T2200" s="1" t="s">
        <v>61</v>
      </c>
      <c r="U2200" s="1" t="s">
        <v>65</v>
      </c>
      <c r="V2200" s="1" t="s">
        <v>102</v>
      </c>
      <c r="W2200" s="1" t="s">
        <v>67</v>
      </c>
      <c r="X2200" s="1" t="s">
        <v>66</v>
      </c>
      <c r="Y2200" s="1" t="s">
        <v>69</v>
      </c>
      <c r="AA2200" s="1">
        <v>1</v>
      </c>
      <c r="AB2200" s="1">
        <v>1</v>
      </c>
      <c r="AC2200" s="1" t="s">
        <v>344</v>
      </c>
      <c r="AD2200" s="1" t="s">
        <v>372</v>
      </c>
      <c r="AE2200" s="1" t="s">
        <v>820</v>
      </c>
      <c r="AF2200" s="1" t="s">
        <v>144</v>
      </c>
      <c r="AG2200" s="1">
        <v>25</v>
      </c>
      <c r="AO2200" s="2">
        <v>46279</v>
      </c>
      <c r="AP2200" s="1" t="s">
        <v>588</v>
      </c>
      <c r="AQ2200" s="2">
        <v>46279</v>
      </c>
      <c r="AR2200" s="1" t="s">
        <v>843</v>
      </c>
      <c r="AS2200" s="1" t="s">
        <v>71</v>
      </c>
      <c r="AU2200" s="1" t="s">
        <v>78</v>
      </c>
      <c r="AV2200" s="1" t="s">
        <v>80</v>
      </c>
      <c r="AW2200" s="1">
        <v>216.74</v>
      </c>
      <c r="AX2200" s="1">
        <v>0</v>
      </c>
      <c r="AZ2200" s="1" t="s">
        <v>81</v>
      </c>
      <c r="BA2200" s="1">
        <v>1</v>
      </c>
      <c r="BB2200" s="1">
        <v>0</v>
      </c>
      <c r="BC2200" s="1">
        <v>0</v>
      </c>
      <c r="BE2200" s="1">
        <v>27388116</v>
      </c>
    </row>
    <row r="2201" spans="1:57" x14ac:dyDescent="0.25">
      <c r="A2201" s="1" t="str">
        <f>T("1946204091202605720")</f>
        <v>1946204091202605720</v>
      </c>
      <c r="B2201" s="1" t="str">
        <f>T("249967385549")</f>
        <v>249967385549</v>
      </c>
      <c r="C2201" s="1" t="str">
        <f>T("1941094503934853340")</f>
        <v>1941094503934853340</v>
      </c>
      <c r="AC2201" s="1" t="s">
        <v>344</v>
      </c>
      <c r="AD2201" s="1" t="s">
        <v>430</v>
      </c>
      <c r="AE2201" s="1" t="s">
        <v>530</v>
      </c>
      <c r="AF2201" s="1" t="s">
        <v>144</v>
      </c>
      <c r="AG2201" s="1">
        <v>32</v>
      </c>
      <c r="AO2201" s="2">
        <v>46279</v>
      </c>
      <c r="AP2201" s="1" t="s">
        <v>588</v>
      </c>
      <c r="AS2201" s="1" t="s">
        <v>71</v>
      </c>
      <c r="AU2201" s="1" t="s">
        <v>72</v>
      </c>
      <c r="AV2201" s="1" t="s">
        <v>437</v>
      </c>
      <c r="AX2201" s="1">
        <v>0</v>
      </c>
      <c r="BA2201" s="1">
        <v>9</v>
      </c>
      <c r="BB2201" s="1">
        <v>0</v>
      </c>
      <c r="BC2201" s="1">
        <v>0</v>
      </c>
      <c r="BE2201" s="1">
        <v>27388116</v>
      </c>
    </row>
    <row r="2202" spans="1:57" x14ac:dyDescent="0.25">
      <c r="A2202" s="1" t="str">
        <f>T("1946204091223580660")</f>
        <v>1946204091223580660</v>
      </c>
      <c r="B2202" s="1" t="str">
        <f>T("249968089688")</f>
        <v>249968089688</v>
      </c>
      <c r="C2202" s="1" t="str">
        <f>T("1941094503934854140")</f>
        <v>1941094503934854140</v>
      </c>
      <c r="AC2202" s="1" t="s">
        <v>344</v>
      </c>
      <c r="AD2202" s="1" t="s">
        <v>372</v>
      </c>
      <c r="AE2202" s="1" t="s">
        <v>813</v>
      </c>
      <c r="AF2202" s="1" t="s">
        <v>144</v>
      </c>
      <c r="AG2202" s="1">
        <v>65</v>
      </c>
      <c r="AO2202" s="2">
        <v>46279</v>
      </c>
      <c r="AP2202" s="1" t="s">
        <v>588</v>
      </c>
      <c r="AS2202" s="1" t="s">
        <v>71</v>
      </c>
      <c r="AU2202" s="1" t="s">
        <v>72</v>
      </c>
      <c r="AV2202" s="1" t="s">
        <v>437</v>
      </c>
      <c r="AX2202" s="1">
        <v>0</v>
      </c>
      <c r="BA2202" s="1">
        <v>9</v>
      </c>
      <c r="BB2202" s="1">
        <v>0</v>
      </c>
      <c r="BC2202" s="1">
        <v>0</v>
      </c>
      <c r="BE2202" s="1">
        <v>27388116</v>
      </c>
    </row>
    <row r="2203" spans="1:57" x14ac:dyDescent="0.25">
      <c r="A2203" s="1" t="str">
        <f>T("1946204091244550300")</f>
        <v>1946204091244550300</v>
      </c>
      <c r="B2203" s="1" t="str">
        <f>T("249909092889")</f>
        <v>249909092889</v>
      </c>
      <c r="C2203" s="1" t="str">
        <f>T("1941094503934854640")</f>
        <v>1941094503934854640</v>
      </c>
      <c r="AC2203" s="1" t="s">
        <v>344</v>
      </c>
      <c r="AD2203" s="1" t="s">
        <v>441</v>
      </c>
      <c r="AE2203" s="1" t="s">
        <v>530</v>
      </c>
      <c r="AF2203" s="1" t="s">
        <v>107</v>
      </c>
      <c r="AG2203" s="1">
        <v>45</v>
      </c>
      <c r="AO2203" s="2">
        <v>46279</v>
      </c>
      <c r="AP2203" s="1" t="s">
        <v>588</v>
      </c>
      <c r="AS2203" s="1" t="s">
        <v>71</v>
      </c>
      <c r="AU2203" s="1" t="s">
        <v>72</v>
      </c>
      <c r="AV2203" s="1" t="s">
        <v>437</v>
      </c>
      <c r="AX2203" s="1">
        <v>0</v>
      </c>
      <c r="BA2203" s="1">
        <v>9</v>
      </c>
      <c r="BB2203" s="1">
        <v>0</v>
      </c>
      <c r="BC2203" s="1">
        <v>0</v>
      </c>
      <c r="BE2203" s="1">
        <v>27388116</v>
      </c>
    </row>
    <row r="2204" spans="1:57" x14ac:dyDescent="0.25">
      <c r="A2204" s="1" t="str">
        <f>T("1946204091286494780")</f>
        <v>1946204091286494780</v>
      </c>
      <c r="B2204" s="1" t="str">
        <f>T("249902977220")</f>
        <v>249902977220</v>
      </c>
      <c r="C2204" s="1" t="str">
        <f>T("1941094503934855140")</f>
        <v>1941094503934855140</v>
      </c>
      <c r="AC2204" s="1" t="s">
        <v>344</v>
      </c>
      <c r="AD2204" s="1" t="s">
        <v>430</v>
      </c>
      <c r="AE2204" s="1" t="s">
        <v>530</v>
      </c>
      <c r="AF2204" s="1" t="s">
        <v>107</v>
      </c>
      <c r="AG2204" s="1">
        <v>32</v>
      </c>
      <c r="AO2204" s="2">
        <v>46279</v>
      </c>
      <c r="AP2204" s="1" t="s">
        <v>588</v>
      </c>
      <c r="AS2204" s="1" t="s">
        <v>71</v>
      </c>
      <c r="AU2204" s="1" t="s">
        <v>72</v>
      </c>
      <c r="AV2204" s="1" t="s">
        <v>73</v>
      </c>
      <c r="AX2204" s="1">
        <v>0</v>
      </c>
      <c r="BA2204" s="1">
        <v>9</v>
      </c>
      <c r="BB2204" s="1">
        <v>0</v>
      </c>
      <c r="BC2204" s="1">
        <v>0</v>
      </c>
      <c r="BE2204" s="1">
        <v>27388116</v>
      </c>
    </row>
    <row r="2205" spans="1:57" x14ac:dyDescent="0.25">
      <c r="A2205" s="1" t="str">
        <f>T("1946204091299076804")</f>
        <v>1946204091299076804</v>
      </c>
      <c r="B2205" s="1" t="str">
        <f>T("249920362309")</f>
        <v>249920362309</v>
      </c>
      <c r="C2205" s="1" t="str">
        <f>T("1941094503951630772")</f>
        <v>1941094503951630772</v>
      </c>
      <c r="AC2205" s="1" t="s">
        <v>344</v>
      </c>
      <c r="AD2205" s="1" t="s">
        <v>372</v>
      </c>
      <c r="AE2205" s="1" t="s">
        <v>820</v>
      </c>
      <c r="AF2205" s="1" t="s">
        <v>107</v>
      </c>
      <c r="AG2205" s="1">
        <v>30</v>
      </c>
      <c r="AO2205" s="2">
        <v>46279</v>
      </c>
      <c r="AP2205" s="1" t="s">
        <v>588</v>
      </c>
      <c r="AS2205" s="1" t="s">
        <v>71</v>
      </c>
      <c r="AU2205" s="1" t="s">
        <v>72</v>
      </c>
      <c r="AV2205" s="1" t="s">
        <v>73</v>
      </c>
      <c r="AX2205" s="1">
        <v>0</v>
      </c>
      <c r="BA2205" s="1">
        <v>9</v>
      </c>
      <c r="BB2205" s="1">
        <v>0</v>
      </c>
      <c r="BC2205" s="1">
        <v>0</v>
      </c>
      <c r="BE2205" s="1">
        <v>27388116</v>
      </c>
    </row>
    <row r="2206" spans="1:57" x14ac:dyDescent="0.25">
      <c r="A2206" s="1" t="str">
        <f>T("1946204091341019984")</f>
        <v>1946204091341019984</v>
      </c>
      <c r="B2206" s="1" t="str">
        <f>T("249967538440")</f>
        <v>249967538440</v>
      </c>
      <c r="C2206" s="1" t="str">
        <f>T("1941094503951631672")</f>
        <v>1941094503951631672</v>
      </c>
      <c r="AC2206" s="1" t="s">
        <v>344</v>
      </c>
      <c r="AD2206" s="1" t="s">
        <v>441</v>
      </c>
      <c r="AE2206" s="1" t="s">
        <v>530</v>
      </c>
      <c r="AF2206" s="1" t="s">
        <v>107</v>
      </c>
      <c r="AG2206" s="1">
        <v>34</v>
      </c>
      <c r="AO2206" s="2">
        <v>46279</v>
      </c>
      <c r="AP2206" s="1" t="s">
        <v>588</v>
      </c>
      <c r="AS2206" s="1" t="s">
        <v>71</v>
      </c>
      <c r="AU2206" s="1" t="s">
        <v>72</v>
      </c>
      <c r="AV2206" s="1" t="s">
        <v>437</v>
      </c>
      <c r="AX2206" s="1">
        <v>0</v>
      </c>
      <c r="BA2206" s="1">
        <v>9</v>
      </c>
      <c r="BB2206" s="1">
        <v>0</v>
      </c>
      <c r="BC2206" s="1">
        <v>0</v>
      </c>
      <c r="BE2206" s="1">
        <v>27388116</v>
      </c>
    </row>
    <row r="2207" spans="1:57" x14ac:dyDescent="0.25">
      <c r="A2207" s="1" t="str">
        <f>T("1946204091353602508")</f>
        <v>1946204091353602508</v>
      </c>
      <c r="B2207" s="1" t="str">
        <f>T("249927318664")</f>
        <v>249927318664</v>
      </c>
      <c r="C2207" s="1" t="str">
        <f>T("1941094503951632572")</f>
        <v>1941094503951632572</v>
      </c>
      <c r="M2207" s="1" t="s">
        <v>133</v>
      </c>
      <c r="N2207" s="1" t="s">
        <v>60</v>
      </c>
      <c r="O2207" s="1" t="s">
        <v>65</v>
      </c>
      <c r="P2207" s="1" t="s">
        <v>61</v>
      </c>
      <c r="Q2207" s="1" t="s">
        <v>101</v>
      </c>
      <c r="R2207" s="1" t="s">
        <v>93</v>
      </c>
      <c r="T2207" s="1" t="s">
        <v>95</v>
      </c>
      <c r="U2207" s="1" t="s">
        <v>60</v>
      </c>
      <c r="V2207" s="1" t="s">
        <v>66</v>
      </c>
      <c r="W2207" s="1" t="s">
        <v>67</v>
      </c>
      <c r="X2207" s="1" t="s">
        <v>68</v>
      </c>
      <c r="Y2207" s="1" t="s">
        <v>85</v>
      </c>
      <c r="AA2207" s="1">
        <v>1</v>
      </c>
      <c r="AB2207" s="1">
        <v>1</v>
      </c>
      <c r="AC2207" s="1" t="s">
        <v>344</v>
      </c>
      <c r="AD2207" s="1" t="s">
        <v>372</v>
      </c>
      <c r="AE2207" s="1" t="s">
        <v>814</v>
      </c>
      <c r="AF2207" s="1" t="s">
        <v>107</v>
      </c>
      <c r="AG2207" s="1">
        <v>30</v>
      </c>
      <c r="AO2207" s="2">
        <v>46279</v>
      </c>
      <c r="AP2207" s="1" t="s">
        <v>588</v>
      </c>
      <c r="AQ2207" s="2">
        <v>46279</v>
      </c>
      <c r="AR2207" s="1" t="s">
        <v>838</v>
      </c>
      <c r="AS2207" s="1" t="s">
        <v>71</v>
      </c>
      <c r="AU2207" s="1" t="s">
        <v>78</v>
      </c>
      <c r="AV2207" s="1" t="s">
        <v>80</v>
      </c>
      <c r="AW2207" s="1">
        <v>233.62</v>
      </c>
      <c r="AX2207" s="1">
        <v>0</v>
      </c>
      <c r="AZ2207" s="1" t="s">
        <v>81</v>
      </c>
      <c r="BA2207" s="1">
        <v>1</v>
      </c>
      <c r="BB2207" s="1">
        <v>0</v>
      </c>
      <c r="BC2207" s="1">
        <v>0</v>
      </c>
      <c r="BE2207" s="1">
        <v>27388116</v>
      </c>
    </row>
    <row r="2208" spans="1:57" x14ac:dyDescent="0.25">
      <c r="A2208" s="1" t="str">
        <f>T("1946204091399740196")</f>
        <v>1946204091399740196</v>
      </c>
      <c r="B2208" s="1" t="str">
        <f>T("249960196594")</f>
        <v>249960196594</v>
      </c>
      <c r="C2208" s="1" t="str">
        <f>T("1941094503951633072")</f>
        <v>1941094503951633072</v>
      </c>
      <c r="AC2208" s="1" t="s">
        <v>344</v>
      </c>
      <c r="AD2208" s="1" t="s">
        <v>372</v>
      </c>
      <c r="AE2208" s="1" t="s">
        <v>814</v>
      </c>
      <c r="AF2208" s="1" t="s">
        <v>144</v>
      </c>
      <c r="AG2208" s="1">
        <v>46</v>
      </c>
      <c r="AO2208" s="2">
        <v>46279</v>
      </c>
      <c r="AP2208" s="1" t="s">
        <v>588</v>
      </c>
      <c r="AS2208" s="1" t="s">
        <v>71</v>
      </c>
      <c r="AU2208" s="1" t="s">
        <v>72</v>
      </c>
      <c r="AV2208" s="1" t="s">
        <v>437</v>
      </c>
      <c r="AX2208" s="1">
        <v>0</v>
      </c>
      <c r="BA2208" s="1">
        <v>9</v>
      </c>
      <c r="BB2208" s="1">
        <v>0</v>
      </c>
      <c r="BC2208" s="1">
        <v>0</v>
      </c>
      <c r="BE2208" s="1">
        <v>27388116</v>
      </c>
    </row>
    <row r="2209" spans="1:57" x14ac:dyDescent="0.25">
      <c r="A2209" s="1" t="str">
        <f>T("1946204091403934004")</f>
        <v>1946204091403934004</v>
      </c>
      <c r="B2209" s="1" t="str">
        <f>T("249960117504")</f>
        <v>249960117504</v>
      </c>
      <c r="C2209" s="1" t="str">
        <f>T("1941094503955827980")</f>
        <v>1941094503955827980</v>
      </c>
      <c r="AC2209" s="1" t="s">
        <v>344</v>
      </c>
      <c r="AD2209" s="1" t="s">
        <v>430</v>
      </c>
      <c r="AE2209" s="1" t="s">
        <v>530</v>
      </c>
      <c r="AF2209" s="1" t="s">
        <v>107</v>
      </c>
      <c r="AG2209" s="1">
        <v>32</v>
      </c>
      <c r="AO2209" s="2">
        <v>46279</v>
      </c>
      <c r="AP2209" s="1" t="s">
        <v>588</v>
      </c>
      <c r="AS2209" s="1" t="s">
        <v>71</v>
      </c>
      <c r="AU2209" s="1" t="s">
        <v>72</v>
      </c>
      <c r="AV2209" s="1" t="s">
        <v>73</v>
      </c>
      <c r="AX2209" s="1">
        <v>0</v>
      </c>
      <c r="BA2209" s="1">
        <v>9</v>
      </c>
      <c r="BB2209" s="1">
        <v>0</v>
      </c>
      <c r="BC2209" s="1">
        <v>0</v>
      </c>
      <c r="BE2209" s="1">
        <v>27388116</v>
      </c>
    </row>
    <row r="2210" spans="1:57" x14ac:dyDescent="0.25">
      <c r="A2210" s="1" t="str">
        <f>T("1946204091450070092")</f>
        <v>1946204091450070092</v>
      </c>
      <c r="B2210" s="1" t="str">
        <f>T("249966854626")</f>
        <v>249966854626</v>
      </c>
      <c r="C2210" s="1" t="str">
        <f>T("1941094503960019188")</f>
        <v>1941094503960019188</v>
      </c>
      <c r="AC2210" s="1" t="s">
        <v>344</v>
      </c>
      <c r="AD2210" s="1" t="s">
        <v>372</v>
      </c>
      <c r="AE2210" s="1" t="s">
        <v>813</v>
      </c>
      <c r="AF2210" s="1" t="s">
        <v>144</v>
      </c>
      <c r="AG2210" s="1">
        <v>40</v>
      </c>
      <c r="AO2210" s="2">
        <v>46279</v>
      </c>
      <c r="AP2210" s="1" t="s">
        <v>588</v>
      </c>
      <c r="AS2210" s="1" t="s">
        <v>71</v>
      </c>
      <c r="AU2210" s="1" t="s">
        <v>72</v>
      </c>
      <c r="AV2210" s="1" t="s">
        <v>73</v>
      </c>
      <c r="AX2210" s="1">
        <v>0</v>
      </c>
      <c r="BA2210" s="1">
        <v>9</v>
      </c>
      <c r="BB2210" s="1">
        <v>0</v>
      </c>
      <c r="BC2210" s="1">
        <v>0</v>
      </c>
      <c r="BE2210" s="1">
        <v>27388116</v>
      </c>
    </row>
    <row r="2211" spans="1:57" x14ac:dyDescent="0.25">
      <c r="A2211" s="1" t="str">
        <f>T("1946204091454266800")</f>
        <v>1946204091454266800</v>
      </c>
      <c r="B2211" s="1" t="str">
        <f>T("249919001699")</f>
        <v>249919001699</v>
      </c>
      <c r="C2211" s="1" t="str">
        <f>T("1941094503960020088")</f>
        <v>1941094503960020088</v>
      </c>
      <c r="AC2211" s="1" t="s">
        <v>344</v>
      </c>
      <c r="AD2211" s="1" t="s">
        <v>372</v>
      </c>
      <c r="AE2211" s="1" t="s">
        <v>820</v>
      </c>
      <c r="AF2211" s="1" t="s">
        <v>107</v>
      </c>
      <c r="AG2211" s="1">
        <v>26</v>
      </c>
      <c r="AO2211" s="2">
        <v>46279</v>
      </c>
      <c r="AP2211" s="1" t="s">
        <v>588</v>
      </c>
      <c r="AS2211" s="1" t="s">
        <v>71</v>
      </c>
      <c r="AU2211" s="1" t="s">
        <v>72</v>
      </c>
      <c r="AV2211" s="1" t="s">
        <v>437</v>
      </c>
      <c r="AX2211" s="1">
        <v>0</v>
      </c>
      <c r="BA2211" s="1">
        <v>9</v>
      </c>
      <c r="BB2211" s="1">
        <v>0</v>
      </c>
      <c r="BC2211" s="1">
        <v>0</v>
      </c>
      <c r="BE2211" s="1">
        <v>27388116</v>
      </c>
    </row>
    <row r="2212" spans="1:57" x14ac:dyDescent="0.25">
      <c r="A2212" s="1" t="str">
        <f>T("1946204091466850124")</f>
        <v>1946204091466850124</v>
      </c>
      <c r="B2212" s="1" t="str">
        <f>T("249904365749")</f>
        <v>249904365749</v>
      </c>
      <c r="C2212" s="1" t="str">
        <f>T("1941094503960021688")</f>
        <v>1941094503960021688</v>
      </c>
      <c r="AC2212" s="1" t="s">
        <v>344</v>
      </c>
      <c r="AD2212" s="1" t="s">
        <v>430</v>
      </c>
      <c r="AE2212" s="1" t="s">
        <v>530</v>
      </c>
      <c r="AF2212" s="1" t="s">
        <v>144</v>
      </c>
      <c r="AG2212" s="1">
        <v>23</v>
      </c>
      <c r="AO2212" s="2">
        <v>46279</v>
      </c>
      <c r="AP2212" s="1" t="s">
        <v>588</v>
      </c>
      <c r="AS2212" s="1" t="s">
        <v>71</v>
      </c>
      <c r="AU2212" s="1" t="s">
        <v>72</v>
      </c>
      <c r="AV2212" s="1" t="s">
        <v>73</v>
      </c>
      <c r="AX2212" s="1">
        <v>0</v>
      </c>
      <c r="BA2212" s="1">
        <v>9</v>
      </c>
      <c r="BB2212" s="1">
        <v>0</v>
      </c>
      <c r="BC2212" s="1">
        <v>0</v>
      </c>
      <c r="BE2212" s="1">
        <v>27388116</v>
      </c>
    </row>
    <row r="2213" spans="1:57" x14ac:dyDescent="0.25">
      <c r="A2213" s="1" t="str">
        <f>T("1946204091471040932")</f>
        <v>1946204091471040932</v>
      </c>
      <c r="B2213" s="1" t="str">
        <f>T("249915280259")</f>
        <v>249915280259</v>
      </c>
      <c r="C2213" s="1" t="str">
        <f>T("1941094503960021088")</f>
        <v>1941094503960021088</v>
      </c>
      <c r="AC2213" s="1" t="s">
        <v>344</v>
      </c>
      <c r="AD2213" s="1" t="s">
        <v>441</v>
      </c>
      <c r="AE2213" s="1" t="s">
        <v>530</v>
      </c>
      <c r="AF2213" s="1" t="s">
        <v>107</v>
      </c>
      <c r="AG2213" s="1">
        <v>45</v>
      </c>
      <c r="AO2213" s="2">
        <v>46279</v>
      </c>
      <c r="AP2213" s="1" t="s">
        <v>588</v>
      </c>
      <c r="AS2213" s="1" t="s">
        <v>71</v>
      </c>
      <c r="AU2213" s="1" t="s">
        <v>72</v>
      </c>
      <c r="AV2213" s="1" t="s">
        <v>437</v>
      </c>
      <c r="AX2213" s="1">
        <v>0</v>
      </c>
      <c r="BA2213" s="1">
        <v>9</v>
      </c>
      <c r="BB2213" s="1">
        <v>0</v>
      </c>
      <c r="BC2213" s="1">
        <v>0</v>
      </c>
      <c r="BE2213" s="1">
        <v>27388116</v>
      </c>
    </row>
    <row r="2214" spans="1:57" x14ac:dyDescent="0.25">
      <c r="A2214" s="1" t="str">
        <f>T("1946279549197818424")</f>
        <v>1946279549197818424</v>
      </c>
      <c r="B2214" s="1" t="str">
        <f>T("249908690664")</f>
        <v>249908690664</v>
      </c>
      <c r="C2214" s="1" t="str">
        <f>T("1941094503960022388")</f>
        <v>1941094503960022388</v>
      </c>
      <c r="AC2214" s="1" t="s">
        <v>344</v>
      </c>
      <c r="AD2214" s="1" t="s">
        <v>372</v>
      </c>
      <c r="AE2214" s="1" t="s">
        <v>814</v>
      </c>
      <c r="AF2214" s="1" t="s">
        <v>144</v>
      </c>
      <c r="AG2214" s="1">
        <v>60</v>
      </c>
      <c r="AO2214" s="2">
        <v>46279</v>
      </c>
      <c r="AP2214" s="1" t="s">
        <v>226</v>
      </c>
      <c r="AS2214" s="1" t="s">
        <v>71</v>
      </c>
      <c r="AU2214" s="1" t="s">
        <v>72</v>
      </c>
      <c r="AV2214" s="1" t="s">
        <v>73</v>
      </c>
      <c r="AX2214" s="1">
        <v>0</v>
      </c>
      <c r="BA2214" s="1">
        <v>9</v>
      </c>
      <c r="BB2214" s="1">
        <v>0</v>
      </c>
      <c r="BC2214" s="1">
        <v>0</v>
      </c>
      <c r="BE2214" s="1">
        <v>27388182</v>
      </c>
    </row>
    <row r="2215" spans="1:57" x14ac:dyDescent="0.25">
      <c r="A2215" s="1" t="str">
        <f>T("1946279549357200128")</f>
        <v>1946279549357200128</v>
      </c>
      <c r="B2215" s="1" t="str">
        <f>T("249999821812")</f>
        <v>249999821812</v>
      </c>
      <c r="C2215" s="1" t="str">
        <f>T("1941094503964213596")</f>
        <v>1941094503964213596</v>
      </c>
      <c r="AA2215" s="1">
        <v>1</v>
      </c>
      <c r="AC2215" s="1" t="s">
        <v>344</v>
      </c>
      <c r="AD2215" s="1" t="s">
        <v>372</v>
      </c>
      <c r="AE2215" s="1" t="s">
        <v>814</v>
      </c>
      <c r="AF2215" s="1" t="s">
        <v>144</v>
      </c>
      <c r="AG2215" s="1">
        <v>68</v>
      </c>
      <c r="AO2215" s="2">
        <v>46279</v>
      </c>
      <c r="AP2215" s="1" t="s">
        <v>226</v>
      </c>
      <c r="AQ2215" s="2">
        <v>46279</v>
      </c>
      <c r="AR2215" s="1" t="s">
        <v>378</v>
      </c>
      <c r="AS2215" s="1" t="s">
        <v>71</v>
      </c>
      <c r="AU2215" s="1" t="s">
        <v>79</v>
      </c>
      <c r="AV2215" s="1" t="s">
        <v>80</v>
      </c>
      <c r="AW2215" s="1">
        <v>95.92</v>
      </c>
      <c r="AX2215" s="1">
        <v>0</v>
      </c>
      <c r="AZ2215" s="1" t="s">
        <v>81</v>
      </c>
      <c r="BA2215" s="1">
        <v>1</v>
      </c>
      <c r="BB2215" s="1">
        <v>0</v>
      </c>
      <c r="BC2215" s="1">
        <v>0</v>
      </c>
      <c r="BE2215" s="1">
        <v>27388182</v>
      </c>
    </row>
    <row r="2216" spans="1:57" x14ac:dyDescent="0.25">
      <c r="A2216" s="1" t="str">
        <f>T("1946279549382365576")</f>
        <v>1946279549382365576</v>
      </c>
      <c r="B2216" s="1" t="str">
        <f>T("249903024009")</f>
        <v>249903024009</v>
      </c>
      <c r="C2216" s="1" t="str">
        <f>T("1941094503960022988")</f>
        <v>1941094503960022988</v>
      </c>
      <c r="AC2216" s="1" t="s">
        <v>344</v>
      </c>
      <c r="AD2216" s="1" t="s">
        <v>441</v>
      </c>
      <c r="AE2216" s="1" t="s">
        <v>530</v>
      </c>
      <c r="AF2216" s="1" t="s">
        <v>144</v>
      </c>
      <c r="AG2216" s="1">
        <v>55</v>
      </c>
      <c r="AO2216" s="2">
        <v>46279</v>
      </c>
      <c r="AP2216" s="1" t="s">
        <v>226</v>
      </c>
      <c r="AS2216" s="1" t="s">
        <v>71</v>
      </c>
      <c r="AU2216" s="1" t="s">
        <v>72</v>
      </c>
      <c r="AV2216" s="1" t="s">
        <v>73</v>
      </c>
      <c r="AX2216" s="1">
        <v>0</v>
      </c>
      <c r="BA2216" s="1">
        <v>9</v>
      </c>
      <c r="BB2216" s="1">
        <v>0</v>
      </c>
      <c r="BC2216" s="1">
        <v>0</v>
      </c>
      <c r="BE2216" s="1">
        <v>27388182</v>
      </c>
    </row>
    <row r="2217" spans="1:57" x14ac:dyDescent="0.25">
      <c r="A2217" s="1" t="str">
        <f>T("1946279549411726832")</f>
        <v>1946279549411726832</v>
      </c>
      <c r="B2217" s="1" t="str">
        <f>T("249125886631")</f>
        <v>249125886631</v>
      </c>
      <c r="C2217" s="1" t="str">
        <f>T("1941094503964214096")</f>
        <v>1941094503964214096</v>
      </c>
      <c r="AC2217" s="1" t="s">
        <v>344</v>
      </c>
      <c r="AD2217" s="1" t="s">
        <v>372</v>
      </c>
      <c r="AE2217" s="1" t="s">
        <v>814</v>
      </c>
      <c r="AF2217" s="1" t="s">
        <v>144</v>
      </c>
      <c r="AG2217" s="1">
        <v>42</v>
      </c>
      <c r="AO2217" s="2">
        <v>46279</v>
      </c>
      <c r="AP2217" s="1" t="s">
        <v>226</v>
      </c>
      <c r="AS2217" s="1" t="s">
        <v>71</v>
      </c>
      <c r="AU2217" s="1" t="s">
        <v>72</v>
      </c>
      <c r="AV2217" s="1" t="s">
        <v>73</v>
      </c>
      <c r="AX2217" s="1">
        <v>0</v>
      </c>
      <c r="BA2217" s="1">
        <v>9</v>
      </c>
      <c r="BB2217" s="1">
        <v>0</v>
      </c>
      <c r="BC2217" s="1">
        <v>0</v>
      </c>
      <c r="BE2217" s="1">
        <v>27388182</v>
      </c>
    </row>
    <row r="2218" spans="1:57" x14ac:dyDescent="0.25">
      <c r="A2218" s="1" t="str">
        <f>T("1946279549504002408")</f>
        <v>1946279549504002408</v>
      </c>
      <c r="B2218" s="1" t="str">
        <f>T("249909484860")</f>
        <v>249909484860</v>
      </c>
      <c r="C2218" s="1" t="str">
        <f>T("1941094503964215796")</f>
        <v>1941094503964215796</v>
      </c>
      <c r="AC2218" s="1" t="s">
        <v>344</v>
      </c>
      <c r="AD2218" s="1" t="s">
        <v>441</v>
      </c>
      <c r="AE2218" s="1" t="s">
        <v>530</v>
      </c>
      <c r="AF2218" s="1" t="s">
        <v>107</v>
      </c>
      <c r="AG2218" s="1">
        <v>65</v>
      </c>
      <c r="AO2218" s="2">
        <v>46279</v>
      </c>
      <c r="AP2218" s="1" t="s">
        <v>226</v>
      </c>
      <c r="AS2218" s="1" t="s">
        <v>71</v>
      </c>
      <c r="AU2218" s="1" t="s">
        <v>72</v>
      </c>
      <c r="AV2218" s="1" t="s">
        <v>437</v>
      </c>
      <c r="AX2218" s="1">
        <v>0</v>
      </c>
      <c r="BA2218" s="1">
        <v>9</v>
      </c>
      <c r="BB2218" s="1">
        <v>0</v>
      </c>
      <c r="BC2218" s="1">
        <v>0</v>
      </c>
      <c r="BE2218" s="1">
        <v>27388182</v>
      </c>
    </row>
    <row r="2219" spans="1:57" x14ac:dyDescent="0.25">
      <c r="A2219" s="1" t="str">
        <f>T("1946279549504003008")</f>
        <v>1946279549504003008</v>
      </c>
      <c r="B2219" s="1" t="str">
        <f>T("249909601603")</f>
        <v>249909601603</v>
      </c>
      <c r="C2219" s="1" t="str">
        <f>T("1941094503964214796")</f>
        <v>1941094503964214796</v>
      </c>
      <c r="AC2219" s="1" t="s">
        <v>344</v>
      </c>
      <c r="AD2219" s="1" t="s">
        <v>430</v>
      </c>
      <c r="AE2219" s="1" t="s">
        <v>530</v>
      </c>
      <c r="AF2219" s="1" t="s">
        <v>144</v>
      </c>
      <c r="AG2219" s="1">
        <v>30</v>
      </c>
      <c r="AO2219" s="2">
        <v>46279</v>
      </c>
      <c r="AP2219" s="1" t="s">
        <v>226</v>
      </c>
      <c r="AS2219" s="1" t="s">
        <v>71</v>
      </c>
      <c r="AU2219" s="1" t="s">
        <v>72</v>
      </c>
      <c r="AV2219" s="1" t="s">
        <v>437</v>
      </c>
      <c r="AX2219" s="1">
        <v>0</v>
      </c>
      <c r="BA2219" s="1">
        <v>9</v>
      </c>
      <c r="BB2219" s="1">
        <v>0</v>
      </c>
      <c r="BC2219" s="1">
        <v>0</v>
      </c>
      <c r="BE2219" s="1">
        <v>27388182</v>
      </c>
    </row>
    <row r="2220" spans="1:57" x14ac:dyDescent="0.25">
      <c r="A2220" s="1" t="str">
        <f>T("1946279549508198116")</f>
        <v>1946279549508198116</v>
      </c>
      <c r="B2220" s="1" t="str">
        <f>T("249967868059")</f>
        <v>249967868059</v>
      </c>
      <c r="C2220" s="1" t="str">
        <f>T("1941094503964215396")</f>
        <v>1941094503964215396</v>
      </c>
      <c r="AC2220" s="1" t="s">
        <v>344</v>
      </c>
      <c r="AD2220" s="1" t="s">
        <v>441</v>
      </c>
      <c r="AE2220" s="1" t="s">
        <v>530</v>
      </c>
      <c r="AF2220" s="1" t="s">
        <v>107</v>
      </c>
      <c r="AG2220" s="1">
        <v>57</v>
      </c>
      <c r="AO2220" s="2">
        <v>46279</v>
      </c>
      <c r="AP2220" s="1" t="s">
        <v>226</v>
      </c>
      <c r="AS2220" s="1" t="s">
        <v>71</v>
      </c>
      <c r="AU2220" s="1" t="s">
        <v>72</v>
      </c>
      <c r="AV2220" s="1" t="s">
        <v>73</v>
      </c>
      <c r="AX2220" s="1">
        <v>0</v>
      </c>
      <c r="BA2220" s="1">
        <v>9</v>
      </c>
      <c r="BB2220" s="1">
        <v>0</v>
      </c>
      <c r="BC2220" s="1">
        <v>0</v>
      </c>
      <c r="BE2220" s="1">
        <v>27388182</v>
      </c>
    </row>
    <row r="2221" spans="1:57" x14ac:dyDescent="0.25">
      <c r="A2221" s="1" t="str">
        <f>T("1946279549596276084")</f>
        <v>1946279549596276084</v>
      </c>
      <c r="B2221" s="1" t="str">
        <f>T("249917927800")</f>
        <v>249917927800</v>
      </c>
      <c r="C2221" s="1" t="str">
        <f>T("1941094503964216696")</f>
        <v>1941094503964216696</v>
      </c>
      <c r="AC2221" s="1" t="s">
        <v>344</v>
      </c>
      <c r="AD2221" s="1" t="s">
        <v>441</v>
      </c>
      <c r="AE2221" s="1" t="s">
        <v>530</v>
      </c>
      <c r="AF2221" s="1" t="s">
        <v>107</v>
      </c>
      <c r="AG2221" s="1">
        <v>37</v>
      </c>
      <c r="AO2221" s="2">
        <v>46279</v>
      </c>
      <c r="AP2221" s="1" t="s">
        <v>226</v>
      </c>
      <c r="AS2221" s="1" t="s">
        <v>71</v>
      </c>
      <c r="AU2221" s="1" t="s">
        <v>72</v>
      </c>
      <c r="AV2221" s="1" t="s">
        <v>73</v>
      </c>
      <c r="AX2221" s="1">
        <v>0</v>
      </c>
      <c r="BA2221" s="1">
        <v>9</v>
      </c>
      <c r="BB2221" s="1">
        <v>0</v>
      </c>
      <c r="BC2221" s="1">
        <v>0</v>
      </c>
      <c r="BE2221" s="1">
        <v>27388182</v>
      </c>
    </row>
    <row r="2222" spans="1:57" x14ac:dyDescent="0.25">
      <c r="A2222" s="1" t="str">
        <f>T("1946279549613051916")</f>
        <v>1946279549613051916</v>
      </c>
      <c r="B2222" s="1" t="str">
        <f>T("249916651791")</f>
        <v>249916651791</v>
      </c>
      <c r="C2222" s="1" t="str">
        <f>T("1941094503968410404")</f>
        <v>1941094503968410404</v>
      </c>
      <c r="AC2222" s="1" t="s">
        <v>344</v>
      </c>
      <c r="AD2222" s="1" t="s">
        <v>372</v>
      </c>
      <c r="AE2222" s="1" t="s">
        <v>813</v>
      </c>
      <c r="AF2222" s="1" t="s">
        <v>144</v>
      </c>
      <c r="AG2222" s="1">
        <v>60</v>
      </c>
      <c r="AO2222" s="2">
        <v>46279</v>
      </c>
      <c r="AP2222" s="1" t="s">
        <v>226</v>
      </c>
      <c r="AS2222" s="1" t="s">
        <v>71</v>
      </c>
      <c r="AU2222" s="1" t="s">
        <v>72</v>
      </c>
      <c r="AV2222" s="1" t="s">
        <v>437</v>
      </c>
      <c r="AX2222" s="1">
        <v>0</v>
      </c>
      <c r="BA2222" s="1">
        <v>9</v>
      </c>
      <c r="BB2222" s="1">
        <v>0</v>
      </c>
      <c r="BC2222" s="1">
        <v>0</v>
      </c>
      <c r="BE2222" s="1">
        <v>27388182</v>
      </c>
    </row>
    <row r="2223" spans="1:57" x14ac:dyDescent="0.25">
      <c r="A2223" s="1" t="str">
        <f>T("1946279549613052416")</f>
        <v>1946279549613052416</v>
      </c>
      <c r="B2223" s="1" t="str">
        <f>T("249906942469")</f>
        <v>249906942469</v>
      </c>
      <c r="C2223" s="1" t="str">
        <f>T("1941094503968409804")</f>
        <v>1941094503968409804</v>
      </c>
      <c r="AC2223" s="1" t="s">
        <v>344</v>
      </c>
      <c r="AD2223" s="1" t="s">
        <v>441</v>
      </c>
      <c r="AE2223" s="1" t="s">
        <v>530</v>
      </c>
      <c r="AF2223" s="1" t="s">
        <v>107</v>
      </c>
      <c r="AG2223" s="1">
        <v>58</v>
      </c>
      <c r="AO2223" s="2">
        <v>46279</v>
      </c>
      <c r="AP2223" s="1" t="s">
        <v>226</v>
      </c>
      <c r="AS2223" s="1" t="s">
        <v>71</v>
      </c>
      <c r="AU2223" s="1" t="s">
        <v>72</v>
      </c>
      <c r="AV2223" s="1" t="s">
        <v>437</v>
      </c>
      <c r="AX2223" s="1">
        <v>0</v>
      </c>
      <c r="BA2223" s="1">
        <v>9</v>
      </c>
      <c r="BB2223" s="1">
        <v>0</v>
      </c>
      <c r="BC2223" s="1">
        <v>0</v>
      </c>
      <c r="BE2223" s="1">
        <v>27388182</v>
      </c>
    </row>
    <row r="2224" spans="1:57" x14ac:dyDescent="0.25">
      <c r="A2224" s="1" t="str">
        <f>T("1946551334598283936")</f>
        <v>1946551334598283936</v>
      </c>
      <c r="B2224" s="1" t="str">
        <f>T("249918929220")</f>
        <v>249918929220</v>
      </c>
      <c r="C2224" s="1" t="str">
        <f>T("1941094470745327636")</f>
        <v>1941094470745327636</v>
      </c>
      <c r="AC2224" s="1" t="s">
        <v>104</v>
      </c>
      <c r="AD2224" s="1" t="s">
        <v>141</v>
      </c>
      <c r="AE2224" s="1" t="s">
        <v>481</v>
      </c>
      <c r="AF2224" s="1" t="s">
        <v>107</v>
      </c>
      <c r="AO2224" s="2">
        <v>46280</v>
      </c>
      <c r="AP2224" s="1" t="s">
        <v>301</v>
      </c>
      <c r="AS2224" s="1" t="s">
        <v>71</v>
      </c>
      <c r="AU2224" s="1" t="s">
        <v>72</v>
      </c>
      <c r="AV2224" s="1" t="s">
        <v>437</v>
      </c>
      <c r="AX2224" s="1">
        <v>0</v>
      </c>
      <c r="BA2224" s="1">
        <v>9</v>
      </c>
      <c r="BB2224" s="1">
        <v>0</v>
      </c>
      <c r="BC2224" s="1">
        <v>0</v>
      </c>
      <c r="BE2224" s="1">
        <v>27431851</v>
      </c>
    </row>
    <row r="2225" spans="1:57" x14ac:dyDescent="0.25">
      <c r="A2225" s="1" t="str">
        <f>T("1946551334636035008")</f>
        <v>1946551334636035008</v>
      </c>
      <c r="B2225" s="1" t="str">
        <f>T("249128938938")</f>
        <v>249128938938</v>
      </c>
      <c r="C2225" s="1" t="str">
        <f>T("1941094470745329236")</f>
        <v>1941094470745329236</v>
      </c>
      <c r="AC2225" s="1" t="s">
        <v>104</v>
      </c>
      <c r="AD2225" s="1" t="s">
        <v>141</v>
      </c>
      <c r="AE2225" s="1" t="s">
        <v>487</v>
      </c>
      <c r="AF2225" s="1" t="s">
        <v>107</v>
      </c>
      <c r="AO2225" s="2">
        <v>46280</v>
      </c>
      <c r="AP2225" s="1" t="s">
        <v>301</v>
      </c>
      <c r="AS2225" s="1" t="s">
        <v>71</v>
      </c>
      <c r="AU2225" s="1" t="s">
        <v>72</v>
      </c>
      <c r="AV2225" s="1" t="s">
        <v>73</v>
      </c>
      <c r="AX2225" s="1">
        <v>0</v>
      </c>
      <c r="BA2225" s="1">
        <v>9</v>
      </c>
      <c r="BB2225" s="1">
        <v>0</v>
      </c>
      <c r="BC2225" s="1">
        <v>0</v>
      </c>
      <c r="BE2225" s="1">
        <v>27431851</v>
      </c>
    </row>
    <row r="2226" spans="1:57" x14ac:dyDescent="0.25">
      <c r="A2226" s="1" t="str">
        <f>T("1946551334640227416")</f>
        <v>1946551334640227416</v>
      </c>
      <c r="B2226" s="1" t="str">
        <f>T("249913487244")</f>
        <v>249913487244</v>
      </c>
      <c r="C2226" s="1" t="str">
        <f>T("1941094470745328836")</f>
        <v>1941094470745328836</v>
      </c>
      <c r="AC2226" s="1" t="s">
        <v>104</v>
      </c>
      <c r="AD2226" s="1" t="s">
        <v>141</v>
      </c>
      <c r="AE2226" s="1" t="s">
        <v>487</v>
      </c>
      <c r="AF2226" s="1" t="s">
        <v>107</v>
      </c>
      <c r="AO2226" s="2">
        <v>46280</v>
      </c>
      <c r="AP2226" s="1" t="s">
        <v>301</v>
      </c>
      <c r="AS2226" s="1" t="s">
        <v>71</v>
      </c>
      <c r="AU2226" s="1" t="s">
        <v>72</v>
      </c>
      <c r="AV2226" s="1" t="s">
        <v>73</v>
      </c>
      <c r="AX2226" s="1">
        <v>0</v>
      </c>
      <c r="BA2226" s="1">
        <v>9</v>
      </c>
      <c r="BB2226" s="1">
        <v>0</v>
      </c>
      <c r="BC2226" s="1">
        <v>0</v>
      </c>
      <c r="BE2226" s="1">
        <v>27431851</v>
      </c>
    </row>
    <row r="2227" spans="1:57" x14ac:dyDescent="0.25">
      <c r="A2227" s="1" t="str">
        <f>T("1946551334757666840")</f>
        <v>1946551334757666840</v>
      </c>
      <c r="B2227" s="1" t="str">
        <f>T("249129257562")</f>
        <v>249129257562</v>
      </c>
      <c r="C2227" s="1" t="str">
        <f>T("1941094470745328036")</f>
        <v>1941094470745328036</v>
      </c>
      <c r="AC2227" s="1" t="s">
        <v>104</v>
      </c>
      <c r="AD2227" s="1" t="s">
        <v>141</v>
      </c>
      <c r="AE2227" s="1" t="s">
        <v>481</v>
      </c>
      <c r="AF2227" s="1" t="s">
        <v>107</v>
      </c>
      <c r="AO2227" s="2">
        <v>46280</v>
      </c>
      <c r="AP2227" s="1" t="s">
        <v>301</v>
      </c>
      <c r="AS2227" s="1" t="s">
        <v>71</v>
      </c>
      <c r="AU2227" s="1" t="s">
        <v>72</v>
      </c>
      <c r="AV2227" s="1" t="s">
        <v>73</v>
      </c>
      <c r="AX2227" s="1">
        <v>0</v>
      </c>
      <c r="BA2227" s="1">
        <v>9</v>
      </c>
      <c r="BB2227" s="1">
        <v>0</v>
      </c>
      <c r="BC2227" s="1">
        <v>0</v>
      </c>
      <c r="BE2227" s="1">
        <v>27431851</v>
      </c>
    </row>
    <row r="2228" spans="1:57" x14ac:dyDescent="0.25">
      <c r="A2228" s="1" t="str">
        <f>T("1946551334816390152")</f>
        <v>1946551334816390152</v>
      </c>
      <c r="B2228" s="1" t="str">
        <f>T("249122769491")</f>
        <v>249122769491</v>
      </c>
      <c r="C2228" s="1" t="str">
        <f>T("1941094470749521244")</f>
        <v>1941094470749521244</v>
      </c>
      <c r="AC2228" s="1" t="s">
        <v>104</v>
      </c>
      <c r="AD2228" s="1" t="s">
        <v>151</v>
      </c>
      <c r="AE2228" s="1" t="s">
        <v>491</v>
      </c>
      <c r="AF2228" s="1" t="s">
        <v>107</v>
      </c>
      <c r="AO2228" s="2">
        <v>46280</v>
      </c>
      <c r="AP2228" s="1" t="s">
        <v>301</v>
      </c>
      <c r="AS2228" s="1" t="s">
        <v>71</v>
      </c>
      <c r="AU2228" s="1" t="s">
        <v>72</v>
      </c>
      <c r="AV2228" s="1" t="s">
        <v>73</v>
      </c>
      <c r="AX2228" s="1">
        <v>0</v>
      </c>
      <c r="BA2228" s="1">
        <v>9</v>
      </c>
      <c r="BB2228" s="1">
        <v>0</v>
      </c>
      <c r="BC2228" s="1">
        <v>0</v>
      </c>
      <c r="BE2228" s="1">
        <v>27431851</v>
      </c>
    </row>
    <row r="2229" spans="1:57" x14ac:dyDescent="0.25">
      <c r="A2229" s="1" t="str">
        <f>T("1946551334820584960")</f>
        <v>1946551334820584960</v>
      </c>
      <c r="B2229" s="1" t="str">
        <f>T("249118882564")</f>
        <v>249118882564</v>
      </c>
      <c r="C2229" s="1" t="str">
        <f>T("1941094470749523944")</f>
        <v>1941094470749523944</v>
      </c>
      <c r="AC2229" s="1" t="s">
        <v>104</v>
      </c>
      <c r="AD2229" s="1" t="s">
        <v>151</v>
      </c>
      <c r="AE2229" s="1" t="s">
        <v>491</v>
      </c>
      <c r="AF2229" s="1" t="s">
        <v>107</v>
      </c>
      <c r="AO2229" s="2">
        <v>46280</v>
      </c>
      <c r="AP2229" s="1" t="s">
        <v>301</v>
      </c>
      <c r="AS2229" s="1" t="s">
        <v>71</v>
      </c>
      <c r="AU2229" s="1" t="s">
        <v>72</v>
      </c>
      <c r="AV2229" s="1" t="s">
        <v>73</v>
      </c>
      <c r="AX2229" s="1">
        <v>0</v>
      </c>
      <c r="BA2229" s="1">
        <v>9</v>
      </c>
      <c r="BB2229" s="1">
        <v>0</v>
      </c>
      <c r="BC2229" s="1">
        <v>0</v>
      </c>
      <c r="BE2229" s="1">
        <v>27431851</v>
      </c>
    </row>
    <row r="2230" spans="1:57" x14ac:dyDescent="0.25">
      <c r="A2230" s="1" t="str">
        <f>T("1946551334824778868")</f>
        <v>1946551334824778868</v>
      </c>
      <c r="B2230" s="1" t="str">
        <f>T("24911790098")</f>
        <v>24911790098</v>
      </c>
      <c r="C2230" s="1" t="str">
        <f>T("1941094470749522644")</f>
        <v>1941094470749522644</v>
      </c>
      <c r="AC2230" s="1" t="s">
        <v>104</v>
      </c>
      <c r="AD2230" s="1" t="s">
        <v>151</v>
      </c>
      <c r="AE2230" s="1" t="s">
        <v>491</v>
      </c>
      <c r="AF2230" s="1" t="s">
        <v>107</v>
      </c>
      <c r="AO2230" s="2">
        <v>46280</v>
      </c>
      <c r="AP2230" s="1" t="s">
        <v>301</v>
      </c>
      <c r="AS2230" s="1" t="s">
        <v>71</v>
      </c>
      <c r="AU2230" s="1" t="s">
        <v>72</v>
      </c>
      <c r="AV2230" s="1" t="s">
        <v>73</v>
      </c>
      <c r="AX2230" s="1">
        <v>0</v>
      </c>
      <c r="BA2230" s="1">
        <v>9</v>
      </c>
      <c r="BB2230" s="1">
        <v>0</v>
      </c>
      <c r="BC2230" s="1">
        <v>0</v>
      </c>
      <c r="BE2230" s="1">
        <v>27431851</v>
      </c>
    </row>
    <row r="2231" spans="1:57" x14ac:dyDescent="0.25">
      <c r="A2231" s="1" t="str">
        <f>T("1946551334875111164")</f>
        <v>1946551334875111164</v>
      </c>
      <c r="B2231" s="1" t="str">
        <f>T("249996798105")</f>
        <v>249996798105</v>
      </c>
      <c r="C2231" s="1" t="str">
        <f>T("1941094470753714952")</f>
        <v>1941094470753714952</v>
      </c>
      <c r="AC2231" s="1" t="s">
        <v>104</v>
      </c>
      <c r="AD2231" s="1" t="s">
        <v>151</v>
      </c>
      <c r="AE2231" s="1" t="s">
        <v>496</v>
      </c>
      <c r="AF2231" s="1" t="s">
        <v>107</v>
      </c>
      <c r="AO2231" s="2">
        <v>46280</v>
      </c>
      <c r="AP2231" s="1" t="s">
        <v>301</v>
      </c>
      <c r="AS2231" s="1" t="s">
        <v>71</v>
      </c>
      <c r="AU2231" s="1" t="s">
        <v>72</v>
      </c>
      <c r="AV2231" s="1" t="s">
        <v>73</v>
      </c>
      <c r="AX2231" s="1">
        <v>0</v>
      </c>
      <c r="BA2231" s="1">
        <v>9</v>
      </c>
      <c r="BB2231" s="1">
        <v>0</v>
      </c>
      <c r="BC2231" s="1">
        <v>0</v>
      </c>
      <c r="BE2231" s="1">
        <v>27431851</v>
      </c>
    </row>
    <row r="2232" spans="1:57" x14ac:dyDescent="0.25">
      <c r="A2232" s="1" t="str">
        <f>T("1946551334883499380")</f>
        <v>1946551334883499380</v>
      </c>
      <c r="B2232" s="1" t="str">
        <f>T("249904366898")</f>
        <v>249904366898</v>
      </c>
      <c r="C2232" s="1" t="str">
        <f>T("1941094470753714552")</f>
        <v>1941094470753714552</v>
      </c>
      <c r="AC2232" s="1" t="s">
        <v>104</v>
      </c>
      <c r="AD2232" s="1" t="s">
        <v>151</v>
      </c>
      <c r="AE2232" s="1" t="s">
        <v>496</v>
      </c>
      <c r="AF2232" s="1" t="s">
        <v>107</v>
      </c>
      <c r="AO2232" s="2">
        <v>46280</v>
      </c>
      <c r="AP2232" s="1" t="s">
        <v>301</v>
      </c>
      <c r="AS2232" s="1" t="s">
        <v>71</v>
      </c>
      <c r="AU2232" s="1" t="s">
        <v>72</v>
      </c>
      <c r="AV2232" s="1" t="s">
        <v>437</v>
      </c>
      <c r="AX2232" s="1">
        <v>0</v>
      </c>
      <c r="BA2232" s="1">
        <v>9</v>
      </c>
      <c r="BB2232" s="1">
        <v>0</v>
      </c>
      <c r="BC2232" s="1">
        <v>0</v>
      </c>
      <c r="BE2232" s="1">
        <v>27431851</v>
      </c>
    </row>
    <row r="2233" spans="1:57" x14ac:dyDescent="0.25">
      <c r="A2233" s="1" t="str">
        <f>T("1946551334900273712")</f>
        <v>1946551334900273712</v>
      </c>
      <c r="B2233" s="1" t="str">
        <f>T("249915003453")</f>
        <v>249915003453</v>
      </c>
      <c r="C2233" s="1" t="str">
        <f>T("1941094470762103168")</f>
        <v>1941094470762103168</v>
      </c>
      <c r="AC2233" s="1" t="s">
        <v>104</v>
      </c>
      <c r="AD2233" s="1" t="s">
        <v>151</v>
      </c>
      <c r="AE2233" s="1" t="s">
        <v>498</v>
      </c>
      <c r="AF2233" s="1" t="s">
        <v>107</v>
      </c>
      <c r="AO2233" s="2">
        <v>46280</v>
      </c>
      <c r="AP2233" s="1" t="s">
        <v>301</v>
      </c>
      <c r="AS2233" s="1" t="s">
        <v>71</v>
      </c>
      <c r="AU2233" s="1" t="s">
        <v>72</v>
      </c>
      <c r="AV2233" s="1" t="s">
        <v>73</v>
      </c>
      <c r="AX2233" s="1">
        <v>0</v>
      </c>
      <c r="BA2233" s="1">
        <v>9</v>
      </c>
      <c r="BB2233" s="1">
        <v>0</v>
      </c>
      <c r="BC2233" s="1">
        <v>0</v>
      </c>
      <c r="BE2233" s="1">
        <v>27431851</v>
      </c>
    </row>
    <row r="2234" spans="1:57" x14ac:dyDescent="0.25">
      <c r="A2234" s="1" t="str">
        <f>T("1946551334904470120")</f>
        <v>1946551334904470120</v>
      </c>
      <c r="B2234" s="1" t="str">
        <f>T("249915084473")</f>
        <v>249915084473</v>
      </c>
      <c r="C2234" s="1" t="str">
        <f>T("1941094470766298876")</f>
        <v>1941094470766298876</v>
      </c>
      <c r="AC2234" s="1" t="s">
        <v>344</v>
      </c>
      <c r="AD2234" s="1" t="s">
        <v>501</v>
      </c>
      <c r="AE2234" s="1" t="s">
        <v>502</v>
      </c>
      <c r="AF2234" s="1" t="s">
        <v>503</v>
      </c>
      <c r="AG2234" s="1" t="s">
        <v>313</v>
      </c>
      <c r="AO2234" s="2">
        <v>46280</v>
      </c>
      <c r="AP2234" s="1" t="s">
        <v>301</v>
      </c>
      <c r="AS2234" s="1" t="s">
        <v>71</v>
      </c>
      <c r="AU2234" s="1" t="s">
        <v>72</v>
      </c>
      <c r="AV2234" s="1" t="s">
        <v>437</v>
      </c>
      <c r="AX2234" s="1">
        <v>0</v>
      </c>
      <c r="BA2234" s="1">
        <v>9</v>
      </c>
      <c r="BB2234" s="1">
        <v>0</v>
      </c>
      <c r="BC2234" s="1">
        <v>0</v>
      </c>
      <c r="BE2234" s="1">
        <v>27431851</v>
      </c>
    </row>
    <row r="2235" spans="1:57" x14ac:dyDescent="0.25">
      <c r="A2235" s="1" t="str">
        <f>T("1946551334929636868")</f>
        <v>1946551334929636868</v>
      </c>
      <c r="B2235" s="1" t="str">
        <f>T("249914722344")</f>
        <v>249914722344</v>
      </c>
      <c r="C2235" s="1" t="str">
        <f>T("1941094470766299276")</f>
        <v>1941094470766299276</v>
      </c>
      <c r="AC2235" s="1" t="s">
        <v>344</v>
      </c>
      <c r="AD2235" s="1" t="s">
        <v>501</v>
      </c>
      <c r="AE2235" s="1" t="s">
        <v>502</v>
      </c>
      <c r="AF2235" s="1" t="s">
        <v>503</v>
      </c>
      <c r="AG2235" s="1" t="s">
        <v>313</v>
      </c>
      <c r="AO2235" s="2">
        <v>46280</v>
      </c>
      <c r="AP2235" s="1" t="s">
        <v>301</v>
      </c>
      <c r="AS2235" s="1" t="s">
        <v>71</v>
      </c>
      <c r="AU2235" s="1" t="s">
        <v>72</v>
      </c>
      <c r="AV2235" s="1" t="s">
        <v>73</v>
      </c>
      <c r="AX2235" s="1">
        <v>0</v>
      </c>
      <c r="BA2235" s="1">
        <v>9</v>
      </c>
      <c r="BB2235" s="1">
        <v>0</v>
      </c>
      <c r="BC2235" s="1">
        <v>0</v>
      </c>
      <c r="BE2235" s="1">
        <v>27431851</v>
      </c>
    </row>
    <row r="2236" spans="1:57" x14ac:dyDescent="0.25">
      <c r="A2236" s="1" t="str">
        <f>T("1946551334942219192")</f>
        <v>1946551334942219192</v>
      </c>
      <c r="B2236" s="1" t="str">
        <f>T("249113147414")</f>
        <v>249113147414</v>
      </c>
      <c r="C2236" s="1" t="str">
        <f>T("1941094470766299676")</f>
        <v>1941094470766299676</v>
      </c>
      <c r="AC2236" s="1" t="s">
        <v>344</v>
      </c>
      <c r="AD2236" s="1" t="s">
        <v>501</v>
      </c>
      <c r="AE2236" s="1" t="s">
        <v>502</v>
      </c>
      <c r="AF2236" s="1" t="s">
        <v>503</v>
      </c>
      <c r="AG2236" s="1" t="s">
        <v>313</v>
      </c>
      <c r="AO2236" s="2">
        <v>46280</v>
      </c>
      <c r="AP2236" s="1" t="s">
        <v>301</v>
      </c>
      <c r="AS2236" s="1" t="s">
        <v>71</v>
      </c>
      <c r="AU2236" s="1" t="s">
        <v>72</v>
      </c>
      <c r="AV2236" s="1" t="s">
        <v>115</v>
      </c>
      <c r="AX2236" s="1">
        <v>0</v>
      </c>
      <c r="BA2236" s="1">
        <v>9</v>
      </c>
      <c r="BB2236" s="1">
        <v>0</v>
      </c>
      <c r="BC2236" s="1">
        <v>0</v>
      </c>
      <c r="BE2236" s="1">
        <v>27431851</v>
      </c>
    </row>
    <row r="2237" spans="1:57" x14ac:dyDescent="0.25">
      <c r="A2237" s="1" t="str">
        <f>T("1946551334971578148")</f>
        <v>1946551334971578148</v>
      </c>
      <c r="B2237" s="1" t="str">
        <f>T("249915392767")</f>
        <v>249915392767</v>
      </c>
      <c r="C2237" s="1" t="str">
        <f>T("1941094470766300976")</f>
        <v>1941094470766300976</v>
      </c>
      <c r="AC2237" s="1" t="s">
        <v>276</v>
      </c>
      <c r="AD2237" s="1" t="s">
        <v>506</v>
      </c>
      <c r="AE2237" s="1" t="s">
        <v>507</v>
      </c>
      <c r="AF2237" s="1" t="s">
        <v>107</v>
      </c>
      <c r="AO2237" s="2">
        <v>46280</v>
      </c>
      <c r="AP2237" s="1" t="s">
        <v>301</v>
      </c>
      <c r="AS2237" s="1" t="s">
        <v>71</v>
      </c>
      <c r="AU2237" s="1" t="s">
        <v>72</v>
      </c>
      <c r="AV2237" s="1" t="s">
        <v>437</v>
      </c>
      <c r="AX2237" s="1">
        <v>0</v>
      </c>
      <c r="BA2237" s="1">
        <v>9</v>
      </c>
      <c r="BB2237" s="1">
        <v>0</v>
      </c>
      <c r="BC2237" s="1">
        <v>0</v>
      </c>
      <c r="BE2237" s="1">
        <v>27431851</v>
      </c>
    </row>
    <row r="2238" spans="1:57" x14ac:dyDescent="0.25">
      <c r="A2238" s="1" t="str">
        <f>T("1946551334975771556")</f>
        <v>1946551334975771556</v>
      </c>
      <c r="B2238" s="1" t="str">
        <f>T("249901912642")</f>
        <v>249901912642</v>
      </c>
      <c r="C2238" s="1" t="str">
        <f>T("1941094470766300576")</f>
        <v>1941094470766300576</v>
      </c>
      <c r="AC2238" s="1" t="s">
        <v>344</v>
      </c>
      <c r="AD2238" s="1" t="s">
        <v>501</v>
      </c>
      <c r="AE2238" s="1" t="s">
        <v>504</v>
      </c>
      <c r="AF2238" s="1" t="s">
        <v>503</v>
      </c>
      <c r="AG2238" s="1" t="s">
        <v>313</v>
      </c>
      <c r="AO2238" s="2">
        <v>46280</v>
      </c>
      <c r="AP2238" s="1" t="s">
        <v>301</v>
      </c>
      <c r="AS2238" s="1" t="s">
        <v>71</v>
      </c>
      <c r="AU2238" s="1" t="s">
        <v>72</v>
      </c>
      <c r="AV2238" s="1" t="s">
        <v>437</v>
      </c>
      <c r="AX2238" s="1">
        <v>0</v>
      </c>
      <c r="BA2238" s="1">
        <v>9</v>
      </c>
      <c r="BB2238" s="1">
        <v>0</v>
      </c>
      <c r="BC2238" s="1">
        <v>0</v>
      </c>
      <c r="BE2238" s="1">
        <v>27431851</v>
      </c>
    </row>
    <row r="2239" spans="1:57" x14ac:dyDescent="0.25">
      <c r="A2239" s="1" t="str">
        <f>T("1946551334988355280")</f>
        <v>1946551334988355280</v>
      </c>
      <c r="B2239" s="1" t="str">
        <f>T("249903478013")</f>
        <v>249903478013</v>
      </c>
      <c r="C2239" s="1" t="str">
        <f>T("1941094470770491684")</f>
        <v>1941094470770491684</v>
      </c>
      <c r="AC2239" s="1" t="s">
        <v>276</v>
      </c>
      <c r="AD2239" s="1" t="s">
        <v>506</v>
      </c>
      <c r="AE2239" s="1" t="s">
        <v>507</v>
      </c>
      <c r="AF2239" s="1" t="s">
        <v>107</v>
      </c>
      <c r="AO2239" s="2">
        <v>46280</v>
      </c>
      <c r="AP2239" s="1" t="s">
        <v>301</v>
      </c>
      <c r="AS2239" s="1" t="s">
        <v>71</v>
      </c>
      <c r="AU2239" s="1" t="s">
        <v>72</v>
      </c>
      <c r="AV2239" s="1" t="s">
        <v>73</v>
      </c>
      <c r="AX2239" s="1">
        <v>0</v>
      </c>
      <c r="BA2239" s="1">
        <v>9</v>
      </c>
      <c r="BB2239" s="1">
        <v>0</v>
      </c>
      <c r="BC2239" s="1">
        <v>0</v>
      </c>
      <c r="BE2239" s="1">
        <v>27431851</v>
      </c>
    </row>
    <row r="2240" spans="1:57" x14ac:dyDescent="0.25">
      <c r="A2240" s="1" t="str">
        <f>T("1946551334996744496")</f>
        <v>1946551334996744496</v>
      </c>
      <c r="B2240" s="1" t="str">
        <f>T("249961228538")</f>
        <v>249961228538</v>
      </c>
      <c r="C2240" s="1" t="str">
        <f>T("1941094470770492284")</f>
        <v>1941094470770492284</v>
      </c>
      <c r="AC2240" s="1" t="s">
        <v>276</v>
      </c>
      <c r="AD2240" s="1" t="s">
        <v>506</v>
      </c>
      <c r="AE2240" s="1" t="s">
        <v>507</v>
      </c>
      <c r="AF2240" s="1" t="s">
        <v>107</v>
      </c>
      <c r="AO2240" s="2">
        <v>46280</v>
      </c>
      <c r="AP2240" s="1" t="s">
        <v>301</v>
      </c>
      <c r="AS2240" s="1" t="s">
        <v>71</v>
      </c>
      <c r="AU2240" s="1" t="s">
        <v>72</v>
      </c>
      <c r="AV2240" s="1" t="s">
        <v>437</v>
      </c>
      <c r="AX2240" s="1">
        <v>0</v>
      </c>
      <c r="BA2240" s="1">
        <v>9</v>
      </c>
      <c r="BB2240" s="1">
        <v>0</v>
      </c>
      <c r="BC2240" s="1">
        <v>0</v>
      </c>
      <c r="BE2240" s="1">
        <v>27431851</v>
      </c>
    </row>
    <row r="2241" spans="1:57" x14ac:dyDescent="0.25">
      <c r="A2241" s="1" t="str">
        <f>T("1946551335026106152")</f>
        <v>1946551335026106152</v>
      </c>
      <c r="B2241" s="1" t="str">
        <f>T("249911068081")</f>
        <v>249911068081</v>
      </c>
      <c r="C2241" s="1" t="str">
        <f>T("1941094470770493084")</f>
        <v>1941094470770493084</v>
      </c>
      <c r="AC2241" s="1" t="s">
        <v>276</v>
      </c>
      <c r="AD2241" s="1" t="s">
        <v>506</v>
      </c>
      <c r="AE2241" s="1" t="s">
        <v>507</v>
      </c>
      <c r="AF2241" s="1" t="s">
        <v>107</v>
      </c>
      <c r="AO2241" s="2">
        <v>46280</v>
      </c>
      <c r="AP2241" s="1" t="s">
        <v>301</v>
      </c>
      <c r="AS2241" s="1" t="s">
        <v>71</v>
      </c>
      <c r="AU2241" s="1" t="s">
        <v>72</v>
      </c>
      <c r="AV2241" s="1" t="s">
        <v>437</v>
      </c>
      <c r="AX2241" s="1">
        <v>0</v>
      </c>
      <c r="BA2241" s="1">
        <v>9</v>
      </c>
      <c r="BB2241" s="1">
        <v>0</v>
      </c>
      <c r="BC2241" s="1">
        <v>0</v>
      </c>
      <c r="BE2241" s="1">
        <v>27431851</v>
      </c>
    </row>
    <row r="2242" spans="1:57" x14ac:dyDescent="0.25">
      <c r="A2242" s="1" t="str">
        <f>T("1946551335030299360")</f>
        <v>1946551335030299360</v>
      </c>
      <c r="B2242" s="1" t="str">
        <f>T("249917248212")</f>
        <v>249917248212</v>
      </c>
      <c r="C2242" s="1" t="str">
        <f>T("1941094470770493584")</f>
        <v>1941094470770493584</v>
      </c>
      <c r="AC2242" s="1" t="s">
        <v>276</v>
      </c>
      <c r="AD2242" s="1" t="s">
        <v>506</v>
      </c>
      <c r="AE2242" s="1" t="s">
        <v>507</v>
      </c>
      <c r="AF2242" s="1" t="s">
        <v>107</v>
      </c>
      <c r="AO2242" s="2">
        <v>46280</v>
      </c>
      <c r="AP2242" s="1" t="s">
        <v>301</v>
      </c>
      <c r="AS2242" s="1" t="s">
        <v>71</v>
      </c>
      <c r="AU2242" s="1" t="s">
        <v>72</v>
      </c>
      <c r="AV2242" s="1" t="s">
        <v>437</v>
      </c>
      <c r="AX2242" s="1">
        <v>0</v>
      </c>
      <c r="BA2242" s="1">
        <v>9</v>
      </c>
      <c r="BB2242" s="1">
        <v>0</v>
      </c>
      <c r="BC2242" s="1">
        <v>0</v>
      </c>
      <c r="BE2242" s="1">
        <v>27431851</v>
      </c>
    </row>
    <row r="2243" spans="1:57" x14ac:dyDescent="0.25">
      <c r="A2243" s="1" t="str">
        <f>T("1946551335038687276")</f>
        <v>1946551335038687276</v>
      </c>
      <c r="B2243" s="1" t="str">
        <f>T("249912329037")</f>
        <v>249912329037</v>
      </c>
      <c r="C2243" s="1" t="str">
        <f>T("1941094470770493984")</f>
        <v>1941094470770493984</v>
      </c>
      <c r="AC2243" s="1" t="s">
        <v>276</v>
      </c>
      <c r="AD2243" s="1" t="s">
        <v>506</v>
      </c>
      <c r="AE2243" s="1" t="s">
        <v>508</v>
      </c>
      <c r="AF2243" s="1" t="s">
        <v>107</v>
      </c>
      <c r="AO2243" s="2">
        <v>46280</v>
      </c>
      <c r="AP2243" s="1" t="s">
        <v>301</v>
      </c>
      <c r="AS2243" s="1" t="s">
        <v>71</v>
      </c>
      <c r="AU2243" s="1" t="s">
        <v>72</v>
      </c>
      <c r="AV2243" s="1" t="s">
        <v>437</v>
      </c>
      <c r="AX2243" s="1">
        <v>0</v>
      </c>
      <c r="BA2243" s="1">
        <v>9</v>
      </c>
      <c r="BB2243" s="1">
        <v>0</v>
      </c>
      <c r="BC2243" s="1">
        <v>0</v>
      </c>
      <c r="BE2243" s="1">
        <v>27431851</v>
      </c>
    </row>
    <row r="2244" spans="1:57" x14ac:dyDescent="0.25">
      <c r="A2244" s="1" t="str">
        <f>T("1946551335063853124")</f>
        <v>1946551335063853124</v>
      </c>
      <c r="B2244" s="1" t="str">
        <f>T("249915660507")</f>
        <v>249915660507</v>
      </c>
      <c r="C2244" s="1" t="str">
        <f>T("1941094470770494484")</f>
        <v>1941094470770494484</v>
      </c>
      <c r="AC2244" s="1" t="s">
        <v>276</v>
      </c>
      <c r="AD2244" s="1" t="s">
        <v>506</v>
      </c>
      <c r="AE2244" s="1" t="s">
        <v>508</v>
      </c>
      <c r="AF2244" s="1" t="s">
        <v>107</v>
      </c>
      <c r="AO2244" s="2">
        <v>46280</v>
      </c>
      <c r="AP2244" s="1" t="s">
        <v>301</v>
      </c>
      <c r="AS2244" s="1" t="s">
        <v>71</v>
      </c>
      <c r="AU2244" s="1" t="s">
        <v>72</v>
      </c>
      <c r="AV2244" s="1" t="s">
        <v>73</v>
      </c>
      <c r="AX2244" s="1">
        <v>0</v>
      </c>
      <c r="BA2244" s="1">
        <v>9</v>
      </c>
      <c r="BB2244" s="1">
        <v>0</v>
      </c>
      <c r="BC2244" s="1">
        <v>0</v>
      </c>
      <c r="BE2244" s="1">
        <v>27431851</v>
      </c>
    </row>
    <row r="2245" spans="1:57" x14ac:dyDescent="0.25">
      <c r="A2245" s="1" t="str">
        <f>T("1946551335084824064")</f>
        <v>1946551335084824064</v>
      </c>
      <c r="B2245" s="1" t="str">
        <f>T("249963693004")</f>
        <v>249963693004</v>
      </c>
      <c r="C2245" s="1" t="str">
        <f>T("1941094470774686892")</f>
        <v>1941094470774686892</v>
      </c>
      <c r="AC2245" s="1" t="s">
        <v>276</v>
      </c>
      <c r="AD2245" s="1" t="s">
        <v>506</v>
      </c>
      <c r="AE2245" s="1" t="s">
        <v>508</v>
      </c>
      <c r="AF2245" s="1" t="s">
        <v>144</v>
      </c>
      <c r="AO2245" s="2">
        <v>46280</v>
      </c>
      <c r="AP2245" s="1" t="s">
        <v>301</v>
      </c>
      <c r="AS2245" s="1" t="s">
        <v>71</v>
      </c>
      <c r="AU2245" s="1" t="s">
        <v>72</v>
      </c>
      <c r="AV2245" s="1" t="s">
        <v>437</v>
      </c>
      <c r="AX2245" s="1">
        <v>0</v>
      </c>
      <c r="BA2245" s="1">
        <v>9</v>
      </c>
      <c r="BB2245" s="1">
        <v>0</v>
      </c>
      <c r="BC2245" s="1">
        <v>0</v>
      </c>
      <c r="BE2245" s="1">
        <v>27431851</v>
      </c>
    </row>
    <row r="2246" spans="1:57" x14ac:dyDescent="0.25">
      <c r="A2246" s="1" t="str">
        <f>T("1946551335089019172")</f>
        <v>1946551335089019172</v>
      </c>
      <c r="B2246" s="1" t="str">
        <f>T("249916836123")</f>
        <v>249916836123</v>
      </c>
      <c r="C2246" s="1" t="str">
        <f>T("1941094470774687992")</f>
        <v>1941094470774687992</v>
      </c>
      <c r="AC2246" s="1" t="s">
        <v>276</v>
      </c>
      <c r="AD2246" s="1" t="s">
        <v>506</v>
      </c>
      <c r="AE2246" s="1" t="s">
        <v>508</v>
      </c>
      <c r="AF2246" s="1" t="s">
        <v>107</v>
      </c>
      <c r="AO2246" s="2">
        <v>46280</v>
      </c>
      <c r="AP2246" s="1" t="s">
        <v>301</v>
      </c>
      <c r="AS2246" s="1" t="s">
        <v>71</v>
      </c>
      <c r="AU2246" s="1" t="s">
        <v>72</v>
      </c>
      <c r="AV2246" s="1" t="s">
        <v>73</v>
      </c>
      <c r="AX2246" s="1">
        <v>0</v>
      </c>
      <c r="BA2246" s="1">
        <v>9</v>
      </c>
      <c r="BB2246" s="1">
        <v>0</v>
      </c>
      <c r="BC2246" s="1">
        <v>0</v>
      </c>
      <c r="BE2246" s="1">
        <v>27431851</v>
      </c>
    </row>
    <row r="2247" spans="1:57" x14ac:dyDescent="0.25">
      <c r="A2247" s="1" t="str">
        <f>T("1946551335093212580")</f>
        <v>1946551335093212580</v>
      </c>
      <c r="B2247" s="1" t="str">
        <f>T("249912412264")</f>
        <v>249912412264</v>
      </c>
      <c r="C2247" s="1" t="str">
        <f>T("1941094470774687392")</f>
        <v>1941094470774687392</v>
      </c>
      <c r="AC2247" s="1" t="s">
        <v>276</v>
      </c>
      <c r="AD2247" s="1" t="s">
        <v>506</v>
      </c>
      <c r="AE2247" s="1" t="s">
        <v>508</v>
      </c>
      <c r="AF2247" s="1" t="s">
        <v>107</v>
      </c>
      <c r="AO2247" s="2">
        <v>46280</v>
      </c>
      <c r="AP2247" s="1" t="s">
        <v>301</v>
      </c>
      <c r="AS2247" s="1" t="s">
        <v>71</v>
      </c>
      <c r="AU2247" s="1" t="s">
        <v>72</v>
      </c>
      <c r="AV2247" s="1" t="s">
        <v>73</v>
      </c>
      <c r="AX2247" s="1">
        <v>0</v>
      </c>
      <c r="BA2247" s="1">
        <v>9</v>
      </c>
      <c r="BB2247" s="1">
        <v>0</v>
      </c>
      <c r="BC2247" s="1">
        <v>0</v>
      </c>
      <c r="BE2247" s="1">
        <v>27431851</v>
      </c>
    </row>
    <row r="2248" spans="1:57" x14ac:dyDescent="0.25">
      <c r="A2248" s="1" t="str">
        <f>T("1946551335135154460")</f>
        <v>1946551335135154460</v>
      </c>
      <c r="B2248" s="1" t="str">
        <f>T("249914591654")</f>
        <v>249914591654</v>
      </c>
      <c r="C2248" s="1" t="str">
        <f>T("1941094470774688492")</f>
        <v>1941094470774688492</v>
      </c>
      <c r="AC2248" s="1" t="s">
        <v>276</v>
      </c>
      <c r="AD2248" s="1" t="s">
        <v>506</v>
      </c>
      <c r="AE2248" s="1" t="s">
        <v>509</v>
      </c>
      <c r="AF2248" s="1" t="s">
        <v>107</v>
      </c>
      <c r="AO2248" s="2">
        <v>46280</v>
      </c>
      <c r="AP2248" s="1" t="s">
        <v>301</v>
      </c>
      <c r="AS2248" s="1" t="s">
        <v>71</v>
      </c>
      <c r="AU2248" s="1" t="s">
        <v>72</v>
      </c>
      <c r="AV2248" s="1" t="s">
        <v>437</v>
      </c>
      <c r="AX2248" s="1">
        <v>0</v>
      </c>
      <c r="BA2248" s="1">
        <v>9</v>
      </c>
      <c r="BB2248" s="1">
        <v>0</v>
      </c>
      <c r="BC2248" s="1">
        <v>0</v>
      </c>
      <c r="BE2248" s="1">
        <v>27431851</v>
      </c>
    </row>
    <row r="2249" spans="1:57" x14ac:dyDescent="0.25">
      <c r="A2249" s="1" t="str">
        <f>T("1946551335143546376")</f>
        <v>1946551335143546376</v>
      </c>
      <c r="B2249" s="1" t="str">
        <f>T("249919259732")</f>
        <v>249919259732</v>
      </c>
      <c r="C2249" s="1" t="str">
        <f>T("1941094470774689192")</f>
        <v>1941094470774689192</v>
      </c>
      <c r="AC2249" s="1" t="s">
        <v>276</v>
      </c>
      <c r="AD2249" s="1" t="s">
        <v>506</v>
      </c>
      <c r="AE2249" s="1" t="s">
        <v>509</v>
      </c>
      <c r="AF2249" s="1" t="s">
        <v>107</v>
      </c>
      <c r="AO2249" s="2">
        <v>46280</v>
      </c>
      <c r="AP2249" s="1" t="s">
        <v>301</v>
      </c>
      <c r="AS2249" s="1" t="s">
        <v>71</v>
      </c>
      <c r="AU2249" s="1" t="s">
        <v>72</v>
      </c>
      <c r="AV2249" s="1" t="s">
        <v>437</v>
      </c>
      <c r="AX2249" s="1">
        <v>0</v>
      </c>
      <c r="BA2249" s="1">
        <v>9</v>
      </c>
      <c r="BB2249" s="1">
        <v>0</v>
      </c>
      <c r="BC2249" s="1">
        <v>0</v>
      </c>
      <c r="BE2249" s="1">
        <v>27431851</v>
      </c>
    </row>
    <row r="2250" spans="1:57" x14ac:dyDescent="0.25">
      <c r="A2250" s="1" t="str">
        <f>T("1946551335168708624")</f>
        <v>1946551335168708624</v>
      </c>
      <c r="B2250" s="1" t="str">
        <f>T("249915706876")</f>
        <v>249915706876</v>
      </c>
      <c r="C2250" s="1" t="str">
        <f>T("1941094470778881700")</f>
        <v>1941094470778881700</v>
      </c>
      <c r="AC2250" s="1" t="s">
        <v>276</v>
      </c>
      <c r="AD2250" s="1" t="s">
        <v>506</v>
      </c>
      <c r="AE2250" s="1" t="s">
        <v>509</v>
      </c>
      <c r="AF2250" s="1" t="s">
        <v>107</v>
      </c>
      <c r="AO2250" s="2">
        <v>46280</v>
      </c>
      <c r="AP2250" s="1" t="s">
        <v>301</v>
      </c>
      <c r="AS2250" s="1" t="s">
        <v>71</v>
      </c>
      <c r="AU2250" s="1" t="s">
        <v>72</v>
      </c>
      <c r="AV2250" s="1" t="s">
        <v>73</v>
      </c>
      <c r="AX2250" s="1">
        <v>0</v>
      </c>
      <c r="BA2250" s="1">
        <v>9</v>
      </c>
      <c r="BB2250" s="1">
        <v>0</v>
      </c>
      <c r="BC2250" s="1">
        <v>0</v>
      </c>
      <c r="BE2250" s="1">
        <v>27431851</v>
      </c>
    </row>
    <row r="2251" spans="1:57" x14ac:dyDescent="0.25">
      <c r="A2251" s="1" t="str">
        <f>T("1946551335168708824")</f>
        <v>1946551335168708824</v>
      </c>
      <c r="B2251" s="1" t="str">
        <f>T("249966309121")</f>
        <v>249966309121</v>
      </c>
      <c r="C2251" s="1" t="str">
        <f>T("1941094470774689592")</f>
        <v>1941094470774689592</v>
      </c>
      <c r="AC2251" s="1" t="s">
        <v>276</v>
      </c>
      <c r="AD2251" s="1" t="s">
        <v>506</v>
      </c>
      <c r="AE2251" s="1" t="s">
        <v>509</v>
      </c>
      <c r="AF2251" s="1" t="s">
        <v>144</v>
      </c>
      <c r="AO2251" s="2">
        <v>46280</v>
      </c>
      <c r="AP2251" s="1" t="s">
        <v>301</v>
      </c>
      <c r="AS2251" s="1" t="s">
        <v>71</v>
      </c>
      <c r="AU2251" s="1" t="s">
        <v>72</v>
      </c>
      <c r="AV2251" s="1" t="s">
        <v>73</v>
      </c>
      <c r="AX2251" s="1">
        <v>0</v>
      </c>
      <c r="BA2251" s="1">
        <v>9</v>
      </c>
      <c r="BB2251" s="1">
        <v>0</v>
      </c>
      <c r="BC2251" s="1">
        <v>0</v>
      </c>
      <c r="BE2251" s="1">
        <v>27431851</v>
      </c>
    </row>
    <row r="2252" spans="1:57" x14ac:dyDescent="0.25">
      <c r="A2252" s="1" t="str">
        <f>T("1946551335198069580")</f>
        <v>1946551335198069580</v>
      </c>
      <c r="B2252" s="1" t="str">
        <f>T("249903205121")</f>
        <v>249903205121</v>
      </c>
      <c r="C2252" s="1" t="str">
        <f>T("1941094470778882700")</f>
        <v>1941094470778882700</v>
      </c>
      <c r="AC2252" s="1" t="s">
        <v>276</v>
      </c>
      <c r="AD2252" s="1" t="s">
        <v>506</v>
      </c>
      <c r="AE2252" s="1" t="s">
        <v>510</v>
      </c>
      <c r="AF2252" s="1" t="s">
        <v>107</v>
      </c>
      <c r="AO2252" s="2">
        <v>46280</v>
      </c>
      <c r="AP2252" s="1" t="s">
        <v>301</v>
      </c>
      <c r="AS2252" s="1" t="s">
        <v>71</v>
      </c>
      <c r="AU2252" s="1" t="s">
        <v>72</v>
      </c>
      <c r="AV2252" s="1" t="s">
        <v>73</v>
      </c>
      <c r="AX2252" s="1">
        <v>0</v>
      </c>
      <c r="BA2252" s="1">
        <v>9</v>
      </c>
      <c r="BB2252" s="1">
        <v>0</v>
      </c>
      <c r="BC2252" s="1">
        <v>0</v>
      </c>
      <c r="BE2252" s="1">
        <v>27431851</v>
      </c>
    </row>
    <row r="2253" spans="1:57" x14ac:dyDescent="0.25">
      <c r="A2253" s="1" t="str">
        <f>T("1946551335198071480")</f>
        <v>1946551335198071480</v>
      </c>
      <c r="B2253" s="1" t="str">
        <f>T("249916460747")</f>
        <v>249916460747</v>
      </c>
      <c r="C2253" s="1" t="str">
        <f>T("1941094470778882200")</f>
        <v>1941094470778882200</v>
      </c>
      <c r="AC2253" s="1" t="s">
        <v>276</v>
      </c>
      <c r="AD2253" s="1" t="s">
        <v>506</v>
      </c>
      <c r="AE2253" s="1" t="s">
        <v>509</v>
      </c>
      <c r="AF2253" s="1" t="s">
        <v>107</v>
      </c>
      <c r="AO2253" s="2">
        <v>46280</v>
      </c>
      <c r="AP2253" s="1" t="s">
        <v>301</v>
      </c>
      <c r="AS2253" s="1" t="s">
        <v>71</v>
      </c>
      <c r="AU2253" s="1" t="s">
        <v>72</v>
      </c>
      <c r="AV2253" s="1" t="s">
        <v>73</v>
      </c>
      <c r="AX2253" s="1">
        <v>0</v>
      </c>
      <c r="BA2253" s="1">
        <v>9</v>
      </c>
      <c r="BB2253" s="1">
        <v>0</v>
      </c>
      <c r="BC2253" s="1">
        <v>0</v>
      </c>
      <c r="BE2253" s="1">
        <v>27431851</v>
      </c>
    </row>
    <row r="2254" spans="1:57" x14ac:dyDescent="0.25">
      <c r="A2254" s="1" t="str">
        <f>T("1946551335231625844")</f>
        <v>1946551335231625844</v>
      </c>
      <c r="B2254" s="1" t="str">
        <f>T("249964660765")</f>
        <v>249964660765</v>
      </c>
      <c r="C2254" s="1" t="str">
        <f>T("1941094470783074308")</f>
        <v>1941094470783074308</v>
      </c>
      <c r="AC2254" s="1" t="s">
        <v>276</v>
      </c>
      <c r="AD2254" s="1" t="s">
        <v>506</v>
      </c>
      <c r="AE2254" s="1" t="s">
        <v>510</v>
      </c>
      <c r="AF2254" s="1" t="s">
        <v>107</v>
      </c>
      <c r="AO2254" s="2">
        <v>46280</v>
      </c>
      <c r="AP2254" s="1" t="s">
        <v>301</v>
      </c>
      <c r="AS2254" s="1" t="s">
        <v>71</v>
      </c>
      <c r="AU2254" s="1" t="s">
        <v>72</v>
      </c>
      <c r="AV2254" s="1" t="s">
        <v>437</v>
      </c>
      <c r="AX2254" s="1">
        <v>0</v>
      </c>
      <c r="BA2254" s="1">
        <v>9</v>
      </c>
      <c r="BB2254" s="1">
        <v>0</v>
      </c>
      <c r="BC2254" s="1">
        <v>0</v>
      </c>
      <c r="BE2254" s="1">
        <v>27431851</v>
      </c>
    </row>
    <row r="2255" spans="1:57" x14ac:dyDescent="0.25">
      <c r="A2255" s="1" t="str">
        <f>T("1946551335235820052")</f>
        <v>1946551335235820052</v>
      </c>
      <c r="B2255" s="1" t="str">
        <f>T("249961359401")</f>
        <v>249961359401</v>
      </c>
      <c r="C2255" s="1" t="str">
        <f>T("1941094470783074808")</f>
        <v>1941094470783074808</v>
      </c>
      <c r="AC2255" s="1" t="s">
        <v>276</v>
      </c>
      <c r="AD2255" s="1" t="s">
        <v>506</v>
      </c>
      <c r="AE2255" s="1" t="s">
        <v>510</v>
      </c>
      <c r="AF2255" s="1" t="s">
        <v>107</v>
      </c>
      <c r="AO2255" s="2">
        <v>46280</v>
      </c>
      <c r="AP2255" s="1" t="s">
        <v>301</v>
      </c>
      <c r="AS2255" s="1" t="s">
        <v>71</v>
      </c>
      <c r="AU2255" s="1" t="s">
        <v>72</v>
      </c>
      <c r="AV2255" s="1" t="s">
        <v>437</v>
      </c>
      <c r="AX2255" s="1">
        <v>0</v>
      </c>
      <c r="BA2255" s="1">
        <v>9</v>
      </c>
      <c r="BB2255" s="1">
        <v>0</v>
      </c>
      <c r="BC2255" s="1">
        <v>0</v>
      </c>
      <c r="BE2255" s="1">
        <v>27431851</v>
      </c>
    </row>
    <row r="2256" spans="1:57" x14ac:dyDescent="0.25">
      <c r="A2256" s="1" t="str">
        <f>T("1946551335248403676")</f>
        <v>1946551335248403676</v>
      </c>
      <c r="B2256" s="1" t="str">
        <f>T("249915930007")</f>
        <v>249915930007</v>
      </c>
      <c r="C2256" s="1" t="str">
        <f>T("1941094470783075508")</f>
        <v>1941094470783075508</v>
      </c>
      <c r="AC2256" s="1" t="s">
        <v>276</v>
      </c>
      <c r="AD2256" s="1" t="s">
        <v>506</v>
      </c>
      <c r="AE2256" s="1" t="s">
        <v>510</v>
      </c>
      <c r="AF2256" s="1" t="s">
        <v>107</v>
      </c>
      <c r="AO2256" s="2">
        <v>46280</v>
      </c>
      <c r="AP2256" s="1" t="s">
        <v>301</v>
      </c>
      <c r="AS2256" s="1" t="s">
        <v>71</v>
      </c>
      <c r="AU2256" s="1" t="s">
        <v>72</v>
      </c>
      <c r="AV2256" s="1" t="s">
        <v>73</v>
      </c>
      <c r="AX2256" s="1">
        <v>0</v>
      </c>
      <c r="BA2256" s="1">
        <v>9</v>
      </c>
      <c r="BB2256" s="1">
        <v>0</v>
      </c>
      <c r="BC2256" s="1">
        <v>0</v>
      </c>
      <c r="BE2256" s="1">
        <v>27431851</v>
      </c>
    </row>
    <row r="2257" spans="1:57" x14ac:dyDescent="0.25">
      <c r="A2257" s="1" t="str">
        <f>T("1946551335269375316")</f>
        <v>1946551335269375316</v>
      </c>
      <c r="B2257" s="1" t="str">
        <f>T("249969025224")</f>
        <v>249969025224</v>
      </c>
      <c r="C2257" s="1" t="str">
        <f>T("1941094470783076108")</f>
        <v>1941094470783076108</v>
      </c>
      <c r="AC2257" s="1" t="s">
        <v>276</v>
      </c>
      <c r="AD2257" s="1" t="s">
        <v>506</v>
      </c>
      <c r="AE2257" s="1" t="s">
        <v>510</v>
      </c>
      <c r="AF2257" s="1" t="s">
        <v>107</v>
      </c>
      <c r="AO2257" s="2">
        <v>46280</v>
      </c>
      <c r="AP2257" s="1" t="s">
        <v>301</v>
      </c>
      <c r="AS2257" s="1" t="s">
        <v>71</v>
      </c>
      <c r="AU2257" s="1" t="s">
        <v>72</v>
      </c>
      <c r="AV2257" s="1" t="s">
        <v>437</v>
      </c>
      <c r="AX2257" s="1">
        <v>0</v>
      </c>
      <c r="BA2257" s="1">
        <v>9</v>
      </c>
      <c r="BB2257" s="1">
        <v>0</v>
      </c>
      <c r="BC2257" s="1">
        <v>0</v>
      </c>
      <c r="BE2257" s="1">
        <v>27431851</v>
      </c>
    </row>
    <row r="2258" spans="1:57" x14ac:dyDescent="0.25">
      <c r="A2258" s="1" t="str">
        <f>T("1946551335294538264")</f>
        <v>1946551335294538264</v>
      </c>
      <c r="B2258" s="1" t="str">
        <f>T("249917786990")</f>
        <v>249917786990</v>
      </c>
      <c r="C2258" s="1" t="str">
        <f>T("1941094470783076608")</f>
        <v>1941094470783076608</v>
      </c>
      <c r="AC2258" s="1" t="s">
        <v>276</v>
      </c>
      <c r="AD2258" s="1" t="s">
        <v>298</v>
      </c>
      <c r="AE2258" s="1" t="s">
        <v>511</v>
      </c>
      <c r="AF2258" s="1" t="s">
        <v>107</v>
      </c>
      <c r="AO2258" s="2">
        <v>46280</v>
      </c>
      <c r="AP2258" s="1" t="s">
        <v>301</v>
      </c>
      <c r="AS2258" s="1" t="s">
        <v>71</v>
      </c>
      <c r="AU2258" s="1" t="s">
        <v>72</v>
      </c>
      <c r="AV2258" s="1" t="s">
        <v>73</v>
      </c>
      <c r="AX2258" s="1">
        <v>0</v>
      </c>
      <c r="BA2258" s="1">
        <v>9</v>
      </c>
      <c r="BB2258" s="1">
        <v>0</v>
      </c>
      <c r="BC2258" s="1">
        <v>0</v>
      </c>
      <c r="BE2258" s="1">
        <v>27431851</v>
      </c>
    </row>
    <row r="2259" spans="1:57" x14ac:dyDescent="0.25">
      <c r="A2259" s="1" t="str">
        <f>T("1946551335311316196")</f>
        <v>1946551335311316196</v>
      </c>
      <c r="B2259" s="1" t="str">
        <f>T("249913201641")</f>
        <v>249913201641</v>
      </c>
      <c r="C2259" s="1" t="str">
        <f>T("1941094470787268816")</f>
        <v>1941094470787268816</v>
      </c>
      <c r="AC2259" s="1" t="s">
        <v>276</v>
      </c>
      <c r="AD2259" s="1" t="s">
        <v>298</v>
      </c>
      <c r="AE2259" s="1" t="s">
        <v>511</v>
      </c>
      <c r="AF2259" s="1" t="s">
        <v>107</v>
      </c>
      <c r="AO2259" s="2">
        <v>46280</v>
      </c>
      <c r="AP2259" s="1" t="s">
        <v>301</v>
      </c>
      <c r="AS2259" s="1" t="s">
        <v>71</v>
      </c>
      <c r="AU2259" s="1" t="s">
        <v>72</v>
      </c>
      <c r="AV2259" s="1" t="s">
        <v>437</v>
      </c>
      <c r="AX2259" s="1">
        <v>0</v>
      </c>
      <c r="BA2259" s="1">
        <v>9</v>
      </c>
      <c r="BB2259" s="1">
        <v>0</v>
      </c>
      <c r="BC2259" s="1">
        <v>0</v>
      </c>
      <c r="BE2259" s="1">
        <v>27431851</v>
      </c>
    </row>
    <row r="2260" spans="1:57" x14ac:dyDescent="0.25">
      <c r="A2260" s="1" t="str">
        <f>T("1946551335315509404")</f>
        <v>1946551335315509404</v>
      </c>
      <c r="B2260" s="1" t="str">
        <f>T("249916651253")</f>
        <v>249916651253</v>
      </c>
      <c r="C2260" s="1" t="str">
        <f>T("1941094470783077908")</f>
        <v>1941094470783077908</v>
      </c>
      <c r="AC2260" s="1" t="s">
        <v>276</v>
      </c>
      <c r="AD2260" s="1" t="s">
        <v>298</v>
      </c>
      <c r="AE2260" s="1" t="s">
        <v>511</v>
      </c>
      <c r="AF2260" s="1" t="s">
        <v>107</v>
      </c>
      <c r="AO2260" s="2">
        <v>46280</v>
      </c>
      <c r="AP2260" s="1" t="s">
        <v>301</v>
      </c>
      <c r="AS2260" s="1" t="s">
        <v>71</v>
      </c>
      <c r="AU2260" s="1" t="s">
        <v>72</v>
      </c>
      <c r="AV2260" s="1" t="s">
        <v>437</v>
      </c>
      <c r="AX2260" s="1">
        <v>0</v>
      </c>
      <c r="BA2260" s="1">
        <v>9</v>
      </c>
      <c r="BB2260" s="1">
        <v>0</v>
      </c>
      <c r="BC2260" s="1">
        <v>0</v>
      </c>
      <c r="BE2260" s="1">
        <v>27431851</v>
      </c>
    </row>
    <row r="2261" spans="1:57" x14ac:dyDescent="0.25">
      <c r="A2261" s="1" t="str">
        <f>T("1946551335332289336")</f>
        <v>1946551335332289336</v>
      </c>
      <c r="B2261" s="1" t="str">
        <f>T("249919484900")</f>
        <v>249919484900</v>
      </c>
      <c r="C2261" s="1" t="str">
        <f>T("1941094470787271516")</f>
        <v>1941094470787271516</v>
      </c>
      <c r="AC2261" s="1" t="s">
        <v>276</v>
      </c>
      <c r="AD2261" s="1" t="s">
        <v>298</v>
      </c>
      <c r="AE2261" s="1" t="s">
        <v>511</v>
      </c>
      <c r="AF2261" s="1" t="s">
        <v>107</v>
      </c>
      <c r="AO2261" s="2">
        <v>46280</v>
      </c>
      <c r="AP2261" s="1" t="s">
        <v>301</v>
      </c>
      <c r="AS2261" s="1" t="s">
        <v>71</v>
      </c>
      <c r="AU2261" s="1" t="s">
        <v>72</v>
      </c>
      <c r="AV2261" s="1" t="s">
        <v>437</v>
      </c>
      <c r="AX2261" s="1">
        <v>0</v>
      </c>
      <c r="BA2261" s="1">
        <v>9</v>
      </c>
      <c r="BB2261" s="1">
        <v>0</v>
      </c>
      <c r="BC2261" s="1">
        <v>0</v>
      </c>
      <c r="BE2261" s="1">
        <v>27431851</v>
      </c>
    </row>
    <row r="2262" spans="1:57" x14ac:dyDescent="0.25">
      <c r="A2262" s="1" t="str">
        <f>T("1946551335361647792")</f>
        <v>1946551335361647792</v>
      </c>
      <c r="B2262" s="1" t="str">
        <f>T("249188272957")</f>
        <v>249188272957</v>
      </c>
      <c r="C2262" s="1" t="str">
        <f>T("1941094470795658432")</f>
        <v>1941094470795658432</v>
      </c>
      <c r="AC2262" s="1" t="s">
        <v>276</v>
      </c>
      <c r="AD2262" s="1" t="s">
        <v>298</v>
      </c>
      <c r="AE2262" s="1" t="s">
        <v>511</v>
      </c>
      <c r="AF2262" s="1" t="s">
        <v>107</v>
      </c>
      <c r="AO2262" s="2">
        <v>46280</v>
      </c>
      <c r="AP2262" s="1" t="s">
        <v>301</v>
      </c>
      <c r="AS2262" s="1" t="s">
        <v>71</v>
      </c>
      <c r="AU2262" s="1" t="s">
        <v>72</v>
      </c>
      <c r="AV2262" s="1" t="s">
        <v>336</v>
      </c>
      <c r="AX2262" s="1">
        <v>0</v>
      </c>
      <c r="BA2262" s="1">
        <v>1</v>
      </c>
      <c r="BB2262" s="1">
        <v>0</v>
      </c>
      <c r="BC2262" s="1">
        <v>0</v>
      </c>
      <c r="BE2262" s="1">
        <v>27431851</v>
      </c>
    </row>
    <row r="2263" spans="1:57" x14ac:dyDescent="0.25">
      <c r="A2263" s="1" t="str">
        <f>T("1946551335374230616")</f>
        <v>1946551335374230616</v>
      </c>
      <c r="B2263" s="1" t="str">
        <f>T("249915660608")</f>
        <v>249915660608</v>
      </c>
      <c r="C2263" s="1" t="str">
        <f>T("1941094470795658932")</f>
        <v>1941094470795658932</v>
      </c>
      <c r="AC2263" s="1" t="s">
        <v>276</v>
      </c>
      <c r="AD2263" s="1" t="s">
        <v>298</v>
      </c>
      <c r="AE2263" s="1" t="s">
        <v>511</v>
      </c>
      <c r="AF2263" s="1" t="s">
        <v>107</v>
      </c>
      <c r="AO2263" s="2">
        <v>46280</v>
      </c>
      <c r="AP2263" s="1" t="s">
        <v>301</v>
      </c>
      <c r="AS2263" s="1" t="s">
        <v>71</v>
      </c>
      <c r="AU2263" s="1" t="s">
        <v>72</v>
      </c>
      <c r="AV2263" s="1" t="s">
        <v>73</v>
      </c>
      <c r="AX2263" s="1">
        <v>0</v>
      </c>
      <c r="BA2263" s="1">
        <v>9</v>
      </c>
      <c r="BB2263" s="1">
        <v>0</v>
      </c>
      <c r="BC2263" s="1">
        <v>0</v>
      </c>
      <c r="BE2263" s="1">
        <v>27431851</v>
      </c>
    </row>
    <row r="2264" spans="1:57" x14ac:dyDescent="0.25">
      <c r="A2264" s="1" t="str">
        <f>T("1946551335391008348")</f>
        <v>1946551335391008348</v>
      </c>
      <c r="B2264" s="1" t="str">
        <f>T("249918116930")</f>
        <v>249918116930</v>
      </c>
      <c r="C2264" s="1" t="str">
        <f>T("1941094470795660632")</f>
        <v>1941094470795660632</v>
      </c>
      <c r="AC2264" s="1" t="s">
        <v>276</v>
      </c>
      <c r="AD2264" s="1" t="s">
        <v>298</v>
      </c>
      <c r="AE2264" s="1" t="s">
        <v>512</v>
      </c>
      <c r="AF2264" s="1" t="s">
        <v>107</v>
      </c>
      <c r="AO2264" s="2">
        <v>46280</v>
      </c>
      <c r="AP2264" s="1" t="s">
        <v>301</v>
      </c>
      <c r="AS2264" s="1" t="s">
        <v>71</v>
      </c>
      <c r="AU2264" s="1" t="s">
        <v>72</v>
      </c>
      <c r="AV2264" s="1" t="s">
        <v>437</v>
      </c>
      <c r="AX2264" s="1">
        <v>0</v>
      </c>
      <c r="BA2264" s="1">
        <v>9</v>
      </c>
      <c r="BB2264" s="1">
        <v>0</v>
      </c>
      <c r="BC2264" s="1">
        <v>0</v>
      </c>
      <c r="BE2264" s="1">
        <v>27431851</v>
      </c>
    </row>
    <row r="2265" spans="1:57" x14ac:dyDescent="0.25">
      <c r="A2265" s="1" t="str">
        <f>T("1946551335395201156")</f>
        <v>1946551335395201156</v>
      </c>
      <c r="B2265" s="1" t="str">
        <f>T("249910373671")</f>
        <v>249910373671</v>
      </c>
      <c r="C2265" s="1" t="str">
        <f>T("1941094470795660132")</f>
        <v>1941094470795660132</v>
      </c>
      <c r="AC2265" s="1" t="s">
        <v>276</v>
      </c>
      <c r="AD2265" s="1" t="s">
        <v>298</v>
      </c>
      <c r="AE2265" s="1" t="s">
        <v>512</v>
      </c>
      <c r="AF2265" s="1" t="s">
        <v>107</v>
      </c>
      <c r="AO2265" s="2">
        <v>46280</v>
      </c>
      <c r="AP2265" s="1" t="s">
        <v>301</v>
      </c>
      <c r="AS2265" s="1" t="s">
        <v>71</v>
      </c>
      <c r="AU2265" s="1" t="s">
        <v>72</v>
      </c>
      <c r="AV2265" s="1" t="s">
        <v>437</v>
      </c>
      <c r="AX2265" s="1">
        <v>0</v>
      </c>
      <c r="BA2265" s="1">
        <v>9</v>
      </c>
      <c r="BB2265" s="1">
        <v>0</v>
      </c>
      <c r="BC2265" s="1">
        <v>0</v>
      </c>
      <c r="BE2265" s="1">
        <v>27431851</v>
      </c>
    </row>
    <row r="2266" spans="1:57" x14ac:dyDescent="0.25">
      <c r="A2266" s="1" t="str">
        <f>T("1946551335420367704")</f>
        <v>1946551335420367704</v>
      </c>
      <c r="B2266" s="1" t="str">
        <f>T("249961703036")</f>
        <v>249961703036</v>
      </c>
      <c r="C2266" s="1" t="str">
        <f>T("1941094470799852240")</f>
        <v>1941094470799852240</v>
      </c>
      <c r="AC2266" s="1" t="s">
        <v>276</v>
      </c>
      <c r="AD2266" s="1" t="s">
        <v>298</v>
      </c>
      <c r="AE2266" s="1" t="s">
        <v>512</v>
      </c>
      <c r="AF2266" s="1" t="s">
        <v>144</v>
      </c>
      <c r="AO2266" s="2">
        <v>46280</v>
      </c>
      <c r="AP2266" s="1" t="s">
        <v>301</v>
      </c>
      <c r="AS2266" s="1" t="s">
        <v>71</v>
      </c>
      <c r="AU2266" s="1" t="s">
        <v>72</v>
      </c>
      <c r="AV2266" s="1" t="s">
        <v>437</v>
      </c>
      <c r="AX2266" s="1">
        <v>0</v>
      </c>
      <c r="BA2266" s="1">
        <v>9</v>
      </c>
      <c r="BB2266" s="1">
        <v>0</v>
      </c>
      <c r="BC2266" s="1">
        <v>0</v>
      </c>
      <c r="BE2266" s="1">
        <v>27431851</v>
      </c>
    </row>
    <row r="2267" spans="1:57" x14ac:dyDescent="0.25">
      <c r="A2267" s="1" t="str">
        <f>T("1946551335441338544")</f>
        <v>1946551335441338544</v>
      </c>
      <c r="B2267" s="1" t="str">
        <f>T("249911069281")</f>
        <v>249911069281</v>
      </c>
      <c r="C2267" s="1" t="str">
        <f>T("1941094470799852840")</f>
        <v>1941094470799852840</v>
      </c>
      <c r="AC2267" s="1" t="s">
        <v>276</v>
      </c>
      <c r="AD2267" s="1" t="s">
        <v>298</v>
      </c>
      <c r="AE2267" s="1" t="s">
        <v>512</v>
      </c>
      <c r="AF2267" s="1" t="s">
        <v>144</v>
      </c>
      <c r="AO2267" s="2">
        <v>46280</v>
      </c>
      <c r="AP2267" s="1" t="s">
        <v>301</v>
      </c>
      <c r="AS2267" s="1" t="s">
        <v>71</v>
      </c>
      <c r="AU2267" s="1" t="s">
        <v>72</v>
      </c>
      <c r="AV2267" s="1" t="s">
        <v>437</v>
      </c>
      <c r="AX2267" s="1">
        <v>0</v>
      </c>
      <c r="BA2267" s="1">
        <v>9</v>
      </c>
      <c r="BB2267" s="1">
        <v>0</v>
      </c>
      <c r="BC2267" s="1">
        <v>0</v>
      </c>
      <c r="BE2267" s="1">
        <v>27431851</v>
      </c>
    </row>
    <row r="2268" spans="1:57" x14ac:dyDescent="0.25">
      <c r="A2268" s="1" t="str">
        <f>T("1946551335445536652")</f>
        <v>1946551335445536652</v>
      </c>
      <c r="B2268" s="1" t="str">
        <f>T("24991027561")</f>
        <v>24991027561</v>
      </c>
      <c r="C2268" s="1" t="str">
        <f>T("1941094470799853540")</f>
        <v>1941094470799853540</v>
      </c>
      <c r="AC2268" s="1" t="s">
        <v>276</v>
      </c>
      <c r="AD2268" s="1" t="s">
        <v>298</v>
      </c>
      <c r="AE2268" s="1" t="s">
        <v>512</v>
      </c>
      <c r="AF2268" s="1" t="s">
        <v>144</v>
      </c>
      <c r="AO2268" s="2">
        <v>46280</v>
      </c>
      <c r="AP2268" s="1" t="s">
        <v>301</v>
      </c>
      <c r="AS2268" s="1" t="s">
        <v>71</v>
      </c>
      <c r="AU2268" s="1" t="s">
        <v>72</v>
      </c>
      <c r="AV2268" s="1" t="s">
        <v>73</v>
      </c>
      <c r="AX2268" s="1">
        <v>0</v>
      </c>
      <c r="BA2268" s="1">
        <v>9</v>
      </c>
      <c r="BB2268" s="1">
        <v>0</v>
      </c>
      <c r="BC2268" s="1">
        <v>0</v>
      </c>
      <c r="BE2268" s="1">
        <v>27431851</v>
      </c>
    </row>
    <row r="2269" spans="1:57" x14ac:dyDescent="0.25">
      <c r="A2269" s="1" t="str">
        <f>T("1946551335466505292")</f>
        <v>1946551335466505292</v>
      </c>
      <c r="B2269" s="1" t="str">
        <f>T("249906857509")</f>
        <v>249906857509</v>
      </c>
      <c r="C2269" s="1" t="str">
        <f>T("1941094470799854540")</f>
        <v>1941094470799854540</v>
      </c>
      <c r="AC2269" s="1" t="s">
        <v>276</v>
      </c>
      <c r="AD2269" s="1" t="s">
        <v>298</v>
      </c>
      <c r="AE2269" s="1" t="s">
        <v>512</v>
      </c>
      <c r="AF2269" s="1" t="s">
        <v>144</v>
      </c>
      <c r="AO2269" s="2">
        <v>46280</v>
      </c>
      <c r="AP2269" s="1" t="s">
        <v>301</v>
      </c>
      <c r="AS2269" s="1" t="s">
        <v>71</v>
      </c>
      <c r="AU2269" s="1" t="s">
        <v>72</v>
      </c>
      <c r="AV2269" s="1" t="s">
        <v>437</v>
      </c>
      <c r="AX2269" s="1">
        <v>0</v>
      </c>
      <c r="BA2269" s="1">
        <v>9</v>
      </c>
      <c r="BB2269" s="1">
        <v>0</v>
      </c>
      <c r="BC2269" s="1">
        <v>0</v>
      </c>
      <c r="BE2269" s="1">
        <v>27431851</v>
      </c>
    </row>
    <row r="2270" spans="1:57" x14ac:dyDescent="0.25">
      <c r="A2270" s="1" t="str">
        <f>T("1946551335479088116")</f>
        <v>1946551335479088116</v>
      </c>
      <c r="B2270" s="1" t="str">
        <f>T("24996576248")</f>
        <v>24996576248</v>
      </c>
      <c r="C2270" s="1" t="str">
        <f>T("1941094470804048548")</f>
        <v>1941094470804048548</v>
      </c>
      <c r="AC2270" s="1" t="s">
        <v>276</v>
      </c>
      <c r="AD2270" s="1" t="s">
        <v>298</v>
      </c>
      <c r="AE2270" s="1" t="s">
        <v>512</v>
      </c>
      <c r="AF2270" s="1" t="s">
        <v>144</v>
      </c>
      <c r="AO2270" s="2">
        <v>46280</v>
      </c>
      <c r="AP2270" s="1" t="s">
        <v>301</v>
      </c>
      <c r="AS2270" s="1" t="s">
        <v>71</v>
      </c>
      <c r="AU2270" s="1" t="s">
        <v>72</v>
      </c>
      <c r="AV2270" s="1" t="s">
        <v>73</v>
      </c>
      <c r="AX2270" s="1">
        <v>0</v>
      </c>
      <c r="BA2270" s="1">
        <v>9</v>
      </c>
      <c r="BB2270" s="1">
        <v>0</v>
      </c>
      <c r="BC2270" s="1">
        <v>0</v>
      </c>
      <c r="BE2270" s="1">
        <v>27431851</v>
      </c>
    </row>
    <row r="2271" spans="1:57" x14ac:dyDescent="0.25">
      <c r="A2271" s="1" t="str">
        <f>T("1946551335512643480")</f>
        <v>1946551335512643480</v>
      </c>
      <c r="B2271" s="1" t="str">
        <f>T("249906549589")</f>
        <v>249906549589</v>
      </c>
      <c r="C2271" s="1" t="str">
        <f>T("1941094470808241456")</f>
        <v>1941094470808241456</v>
      </c>
      <c r="AC2271" s="1" t="s">
        <v>276</v>
      </c>
      <c r="AD2271" s="1" t="s">
        <v>298</v>
      </c>
      <c r="AE2271" s="1" t="s">
        <v>512</v>
      </c>
      <c r="AF2271" s="1" t="s">
        <v>144</v>
      </c>
      <c r="AO2271" s="2">
        <v>46280</v>
      </c>
      <c r="AP2271" s="1" t="s">
        <v>301</v>
      </c>
      <c r="AS2271" s="1" t="s">
        <v>71</v>
      </c>
      <c r="AU2271" s="1" t="s">
        <v>72</v>
      </c>
      <c r="AV2271" s="1" t="s">
        <v>73</v>
      </c>
      <c r="AX2271" s="1">
        <v>0</v>
      </c>
      <c r="BA2271" s="1">
        <v>9</v>
      </c>
      <c r="BB2271" s="1">
        <v>0</v>
      </c>
      <c r="BC2271" s="1">
        <v>0</v>
      </c>
      <c r="BE2271" s="1">
        <v>27431851</v>
      </c>
    </row>
    <row r="2272" spans="1:57" x14ac:dyDescent="0.25">
      <c r="A2272" s="1" t="str">
        <f>T("1946551335516839788")</f>
        <v>1946551335516839788</v>
      </c>
      <c r="B2272" s="1" t="str">
        <f>T("249912722317")</f>
        <v>249912722317</v>
      </c>
      <c r="C2272" s="1" t="str">
        <f>T("1941094470808242556")</f>
        <v>1941094470808242556</v>
      </c>
      <c r="AC2272" s="1" t="s">
        <v>276</v>
      </c>
      <c r="AD2272" s="1" t="s">
        <v>298</v>
      </c>
      <c r="AE2272" s="1" t="s">
        <v>513</v>
      </c>
      <c r="AF2272" s="1" t="s">
        <v>107</v>
      </c>
      <c r="AO2272" s="2">
        <v>46280</v>
      </c>
      <c r="AP2272" s="1" t="s">
        <v>301</v>
      </c>
      <c r="AS2272" s="1" t="s">
        <v>71</v>
      </c>
      <c r="AU2272" s="1" t="s">
        <v>72</v>
      </c>
      <c r="AV2272" s="1" t="s">
        <v>437</v>
      </c>
      <c r="AX2272" s="1">
        <v>0</v>
      </c>
      <c r="BA2272" s="1">
        <v>9</v>
      </c>
      <c r="BB2272" s="1">
        <v>0</v>
      </c>
      <c r="BC2272" s="1">
        <v>0</v>
      </c>
      <c r="BE2272" s="1">
        <v>27431851</v>
      </c>
    </row>
    <row r="2273" spans="1:57" x14ac:dyDescent="0.25">
      <c r="A2273" s="1" t="str">
        <f>T("1946551335521030396")</f>
        <v>1946551335521030396</v>
      </c>
      <c r="B2273" s="1" t="str">
        <f>T("249910625666")</f>
        <v>249910625666</v>
      </c>
      <c r="C2273" s="1" t="str">
        <f>T("1941094470808242056")</f>
        <v>1941094470808242056</v>
      </c>
      <c r="AC2273" s="1" t="s">
        <v>276</v>
      </c>
      <c r="AD2273" s="1" t="s">
        <v>298</v>
      </c>
      <c r="AE2273" s="1" t="s">
        <v>513</v>
      </c>
      <c r="AF2273" s="1" t="s">
        <v>107</v>
      </c>
      <c r="AO2273" s="2">
        <v>46280</v>
      </c>
      <c r="AP2273" s="1" t="s">
        <v>301</v>
      </c>
      <c r="AS2273" s="1" t="s">
        <v>71</v>
      </c>
      <c r="AU2273" s="1" t="s">
        <v>72</v>
      </c>
      <c r="AV2273" s="1" t="s">
        <v>73</v>
      </c>
      <c r="AX2273" s="1">
        <v>0</v>
      </c>
      <c r="BA2273" s="1">
        <v>9</v>
      </c>
      <c r="BB2273" s="1">
        <v>0</v>
      </c>
      <c r="BC2273" s="1">
        <v>0</v>
      </c>
      <c r="BE2273" s="1">
        <v>27431851</v>
      </c>
    </row>
    <row r="2274" spans="1:57" x14ac:dyDescent="0.25">
      <c r="A2274" s="1" t="str">
        <f>T("1946551335533616020")</f>
        <v>1946551335533616020</v>
      </c>
      <c r="B2274" s="1" t="str">
        <f>T("249909484609")</f>
        <v>249909484609</v>
      </c>
      <c r="C2274" s="1" t="str">
        <f>T("1941094470812435364")</f>
        <v>1941094470812435364</v>
      </c>
      <c r="AC2274" s="1" t="s">
        <v>276</v>
      </c>
      <c r="AD2274" s="1" t="s">
        <v>298</v>
      </c>
      <c r="AE2274" s="1" t="s">
        <v>513</v>
      </c>
      <c r="AF2274" s="1" t="s">
        <v>107</v>
      </c>
      <c r="AO2274" s="2">
        <v>46280</v>
      </c>
      <c r="AP2274" s="1" t="s">
        <v>301</v>
      </c>
      <c r="AS2274" s="1" t="s">
        <v>71</v>
      </c>
      <c r="AU2274" s="1" t="s">
        <v>72</v>
      </c>
      <c r="AV2274" s="1" t="s">
        <v>437</v>
      </c>
      <c r="AX2274" s="1">
        <v>0</v>
      </c>
      <c r="BA2274" s="1">
        <v>9</v>
      </c>
      <c r="BB2274" s="1">
        <v>0</v>
      </c>
      <c r="BC2274" s="1">
        <v>0</v>
      </c>
      <c r="BE2274" s="1">
        <v>27431851</v>
      </c>
    </row>
    <row r="2275" spans="1:57" x14ac:dyDescent="0.25">
      <c r="A2275" s="1" t="str">
        <f>T("1946551335567168484")</f>
        <v>1946551335567168484</v>
      </c>
      <c r="B2275" s="1" t="str">
        <f>T("249917771839")</f>
        <v>249917771839</v>
      </c>
      <c r="C2275" s="1" t="str">
        <f>T("1941094470816629972")</f>
        <v>1941094470816629972</v>
      </c>
      <c r="AC2275" s="1" t="s">
        <v>276</v>
      </c>
      <c r="AD2275" s="1" t="s">
        <v>298</v>
      </c>
      <c r="AE2275" s="1" t="s">
        <v>513</v>
      </c>
      <c r="AF2275" s="1" t="s">
        <v>107</v>
      </c>
      <c r="AO2275" s="2">
        <v>46280</v>
      </c>
      <c r="AP2275" s="1" t="s">
        <v>301</v>
      </c>
      <c r="AS2275" s="1" t="s">
        <v>71</v>
      </c>
      <c r="AU2275" s="1" t="s">
        <v>72</v>
      </c>
      <c r="AV2275" s="1" t="s">
        <v>437</v>
      </c>
      <c r="AX2275" s="1">
        <v>0</v>
      </c>
      <c r="BA2275" s="1">
        <v>9</v>
      </c>
      <c r="BB2275" s="1">
        <v>0</v>
      </c>
      <c r="BC2275" s="1">
        <v>0</v>
      </c>
      <c r="BE2275" s="1">
        <v>27431851</v>
      </c>
    </row>
    <row r="2276" spans="1:57" x14ac:dyDescent="0.25">
      <c r="A2276" s="1" t="str">
        <f>T("1946551335567169484")</f>
        <v>1946551335567169484</v>
      </c>
      <c r="B2276" s="1" t="str">
        <f>T("249918664165")</f>
        <v>249918664165</v>
      </c>
      <c r="C2276" s="1" t="str">
        <f>T("1941094470816629272")</f>
        <v>1941094470816629272</v>
      </c>
      <c r="AC2276" s="1" t="s">
        <v>276</v>
      </c>
      <c r="AD2276" s="1" t="s">
        <v>298</v>
      </c>
      <c r="AE2276" s="1" t="s">
        <v>513</v>
      </c>
      <c r="AF2276" s="1" t="s">
        <v>107</v>
      </c>
      <c r="AO2276" s="2">
        <v>46280</v>
      </c>
      <c r="AP2276" s="1" t="s">
        <v>301</v>
      </c>
      <c r="AS2276" s="1" t="s">
        <v>71</v>
      </c>
      <c r="AU2276" s="1" t="s">
        <v>72</v>
      </c>
      <c r="AV2276" s="1" t="s">
        <v>73</v>
      </c>
      <c r="AX2276" s="1">
        <v>0</v>
      </c>
      <c r="BA2276" s="1">
        <v>9</v>
      </c>
      <c r="BB2276" s="1">
        <v>0</v>
      </c>
      <c r="BC2276" s="1">
        <v>0</v>
      </c>
      <c r="BE2276" s="1">
        <v>27431851</v>
      </c>
    </row>
    <row r="2277" spans="1:57" x14ac:dyDescent="0.25">
      <c r="A2277" s="1" t="str">
        <f>T("1946551335571363892")</f>
        <v>1946551335571363892</v>
      </c>
      <c r="B2277" s="1" t="str">
        <f>T("249905698412")</f>
        <v>249905698412</v>
      </c>
      <c r="C2277" s="1" t="str">
        <f>T("1941094470816630572")</f>
        <v>1941094470816630572</v>
      </c>
      <c r="AC2277" s="1" t="s">
        <v>276</v>
      </c>
      <c r="AD2277" s="1" t="s">
        <v>298</v>
      </c>
      <c r="AE2277" s="1" t="s">
        <v>513</v>
      </c>
      <c r="AF2277" s="1" t="s">
        <v>107</v>
      </c>
      <c r="AO2277" s="2">
        <v>46280</v>
      </c>
      <c r="AP2277" s="1" t="s">
        <v>301</v>
      </c>
      <c r="AS2277" s="1" t="s">
        <v>71</v>
      </c>
      <c r="AU2277" s="1" t="s">
        <v>72</v>
      </c>
      <c r="AV2277" s="1" t="s">
        <v>73</v>
      </c>
      <c r="AX2277" s="1">
        <v>0</v>
      </c>
      <c r="BA2277" s="1">
        <v>9</v>
      </c>
      <c r="BB2277" s="1">
        <v>0</v>
      </c>
      <c r="BC2277" s="1">
        <v>0</v>
      </c>
      <c r="BE2277" s="1">
        <v>27431851</v>
      </c>
    </row>
    <row r="2278" spans="1:57" x14ac:dyDescent="0.25">
      <c r="A2278" s="1" t="str">
        <f>T("1946551335596529440")</f>
        <v>1946551335596529440</v>
      </c>
      <c r="B2278" s="1" t="str">
        <f>T("249903989761")</f>
        <v>249903989761</v>
      </c>
      <c r="C2278" s="1" t="str">
        <f>T("1941094470816631072")</f>
        <v>1941094470816631072</v>
      </c>
      <c r="AC2278" s="1" t="s">
        <v>276</v>
      </c>
      <c r="AD2278" s="1" t="s">
        <v>298</v>
      </c>
      <c r="AE2278" s="1" t="s">
        <v>514</v>
      </c>
      <c r="AF2278" s="1" t="s">
        <v>144</v>
      </c>
      <c r="AO2278" s="2">
        <v>46280</v>
      </c>
      <c r="AP2278" s="1" t="s">
        <v>301</v>
      </c>
      <c r="AS2278" s="1" t="s">
        <v>71</v>
      </c>
      <c r="AU2278" s="1" t="s">
        <v>72</v>
      </c>
      <c r="AV2278" s="1" t="s">
        <v>73</v>
      </c>
      <c r="AX2278" s="1">
        <v>0</v>
      </c>
      <c r="BA2278" s="1">
        <v>9</v>
      </c>
      <c r="BB2278" s="1">
        <v>0</v>
      </c>
      <c r="BC2278" s="1">
        <v>0</v>
      </c>
      <c r="BE2278" s="1">
        <v>27431851</v>
      </c>
    </row>
    <row r="2279" spans="1:57" x14ac:dyDescent="0.25">
      <c r="A2279" s="1" t="str">
        <f>T("1946551335621696688")</f>
        <v>1946551335621696688</v>
      </c>
      <c r="B2279" s="1" t="str">
        <f>T("249960263159")</f>
        <v>249960263159</v>
      </c>
      <c r="C2279" s="1" t="str">
        <f>T("1941094470816631672")</f>
        <v>1941094470816631672</v>
      </c>
      <c r="AC2279" s="1" t="s">
        <v>276</v>
      </c>
      <c r="AD2279" s="1" t="s">
        <v>298</v>
      </c>
      <c r="AE2279" s="1" t="s">
        <v>514</v>
      </c>
      <c r="AF2279" s="1" t="s">
        <v>144</v>
      </c>
      <c r="AO2279" s="2">
        <v>46280</v>
      </c>
      <c r="AP2279" s="1" t="s">
        <v>301</v>
      </c>
      <c r="AS2279" s="1" t="s">
        <v>71</v>
      </c>
      <c r="AU2279" s="1" t="s">
        <v>72</v>
      </c>
      <c r="AV2279" s="1" t="s">
        <v>73</v>
      </c>
      <c r="AX2279" s="1">
        <v>0</v>
      </c>
      <c r="BA2279" s="1">
        <v>9</v>
      </c>
      <c r="BB2279" s="1">
        <v>0</v>
      </c>
      <c r="BC2279" s="1">
        <v>0</v>
      </c>
      <c r="BE2279" s="1">
        <v>27431851</v>
      </c>
    </row>
    <row r="2280" spans="1:57" x14ac:dyDescent="0.25">
      <c r="A2280" s="1" t="str">
        <f>T("1946551335625891196")</f>
        <v>1946551335625891196</v>
      </c>
      <c r="B2280" s="1" t="str">
        <f>T("24991923605")</f>
        <v>24991923605</v>
      </c>
      <c r="C2280" s="1" t="str">
        <f>T("1941094470816632172")</f>
        <v>1941094470816632172</v>
      </c>
      <c r="AC2280" s="1" t="s">
        <v>276</v>
      </c>
      <c r="AD2280" s="1" t="s">
        <v>298</v>
      </c>
      <c r="AE2280" s="1" t="s">
        <v>514</v>
      </c>
      <c r="AF2280" s="1" t="s">
        <v>144</v>
      </c>
      <c r="AO2280" s="2">
        <v>46280</v>
      </c>
      <c r="AP2280" s="1" t="s">
        <v>301</v>
      </c>
      <c r="AS2280" s="1" t="s">
        <v>71</v>
      </c>
      <c r="AU2280" s="1" t="s">
        <v>72</v>
      </c>
      <c r="AV2280" s="1" t="s">
        <v>73</v>
      </c>
      <c r="AX2280" s="1">
        <v>0</v>
      </c>
      <c r="BA2280" s="1">
        <v>9</v>
      </c>
      <c r="BB2280" s="1">
        <v>0</v>
      </c>
      <c r="BC2280" s="1">
        <v>0</v>
      </c>
      <c r="BE2280" s="1">
        <v>27431851</v>
      </c>
    </row>
    <row r="2281" spans="1:57" x14ac:dyDescent="0.25">
      <c r="A2281" s="1" t="str">
        <f>T("1946551335638470720")</f>
        <v>1946551335638470720</v>
      </c>
      <c r="B2281" s="1" t="str">
        <f>T("249911867295")</f>
        <v>249911867295</v>
      </c>
      <c r="C2281" s="1" t="str">
        <f>T("1941094470820824080")</f>
        <v>1941094470820824080</v>
      </c>
      <c r="AC2281" s="1" t="s">
        <v>276</v>
      </c>
      <c r="AD2281" s="1" t="s">
        <v>298</v>
      </c>
      <c r="AE2281" s="1" t="s">
        <v>514</v>
      </c>
      <c r="AF2281" s="1" t="s">
        <v>107</v>
      </c>
      <c r="AO2281" s="2">
        <v>46280</v>
      </c>
      <c r="AP2281" s="1" t="s">
        <v>301</v>
      </c>
      <c r="AS2281" s="1" t="s">
        <v>71</v>
      </c>
      <c r="AU2281" s="1" t="s">
        <v>72</v>
      </c>
      <c r="AV2281" s="1" t="s">
        <v>437</v>
      </c>
      <c r="AX2281" s="1">
        <v>0</v>
      </c>
      <c r="BA2281" s="1">
        <v>9</v>
      </c>
      <c r="BB2281" s="1">
        <v>0</v>
      </c>
      <c r="BC2281" s="1">
        <v>0</v>
      </c>
      <c r="BE2281" s="1">
        <v>27431851</v>
      </c>
    </row>
    <row r="2282" spans="1:57" x14ac:dyDescent="0.25">
      <c r="A2282" s="1" t="str">
        <f>T("1946551335655251652")</f>
        <v>1946551335655251652</v>
      </c>
      <c r="B2282" s="1" t="str">
        <f>T("249917850717")</f>
        <v>249917850717</v>
      </c>
      <c r="C2282" s="1" t="str">
        <f>T("1941094470820824480")</f>
        <v>1941094470820824480</v>
      </c>
      <c r="AC2282" s="1" t="s">
        <v>276</v>
      </c>
      <c r="AD2282" s="1" t="s">
        <v>298</v>
      </c>
      <c r="AE2282" s="1" t="s">
        <v>514</v>
      </c>
      <c r="AF2282" s="1" t="s">
        <v>107</v>
      </c>
      <c r="AO2282" s="2">
        <v>46280</v>
      </c>
      <c r="AP2282" s="1" t="s">
        <v>301</v>
      </c>
      <c r="AS2282" s="1" t="s">
        <v>71</v>
      </c>
      <c r="AU2282" s="1" t="s">
        <v>72</v>
      </c>
      <c r="AV2282" s="1" t="s">
        <v>73</v>
      </c>
      <c r="AX2282" s="1">
        <v>0</v>
      </c>
      <c r="BA2282" s="1">
        <v>9</v>
      </c>
      <c r="BB2282" s="1">
        <v>0</v>
      </c>
      <c r="BC2282" s="1">
        <v>0</v>
      </c>
      <c r="BE2282" s="1">
        <v>27431851</v>
      </c>
    </row>
    <row r="2283" spans="1:57" x14ac:dyDescent="0.25">
      <c r="A2283" s="1" t="str">
        <f>T("1946551335680417600")</f>
        <v>1946551335680417600</v>
      </c>
      <c r="B2283" s="1" t="str">
        <f>T("249912462326")</f>
        <v>249912462326</v>
      </c>
      <c r="C2283" s="1" t="str">
        <f>T("1941094470820825280")</f>
        <v>1941094470820825280</v>
      </c>
      <c r="AC2283" s="1" t="s">
        <v>276</v>
      </c>
      <c r="AD2283" s="1" t="s">
        <v>298</v>
      </c>
      <c r="AE2283" s="1" t="s">
        <v>514</v>
      </c>
      <c r="AF2283" s="1" t="s">
        <v>107</v>
      </c>
      <c r="AO2283" s="2">
        <v>46280</v>
      </c>
      <c r="AP2283" s="1" t="s">
        <v>301</v>
      </c>
      <c r="AS2283" s="1" t="s">
        <v>71</v>
      </c>
      <c r="AU2283" s="1" t="s">
        <v>72</v>
      </c>
      <c r="AV2283" s="1" t="s">
        <v>437</v>
      </c>
      <c r="AX2283" s="1">
        <v>0</v>
      </c>
      <c r="BA2283" s="1">
        <v>9</v>
      </c>
      <c r="BB2283" s="1">
        <v>0</v>
      </c>
      <c r="BC2283" s="1">
        <v>0</v>
      </c>
      <c r="BE2283" s="1">
        <v>27431851</v>
      </c>
    </row>
    <row r="2284" spans="1:57" x14ac:dyDescent="0.25">
      <c r="A2284" s="1" t="str">
        <f>T("1946551335684608008")</f>
        <v>1946551335684608008</v>
      </c>
      <c r="B2284" s="1" t="str">
        <f>T("249911432489")</f>
        <v>249911432489</v>
      </c>
      <c r="C2284" s="1" t="str">
        <f>T("1941094470820824880")</f>
        <v>1941094470820824880</v>
      </c>
      <c r="AC2284" s="1" t="s">
        <v>276</v>
      </c>
      <c r="AD2284" s="1" t="s">
        <v>298</v>
      </c>
      <c r="AE2284" s="1" t="s">
        <v>514</v>
      </c>
      <c r="AF2284" s="1" t="s">
        <v>107</v>
      </c>
      <c r="AO2284" s="2">
        <v>46280</v>
      </c>
      <c r="AP2284" s="1" t="s">
        <v>301</v>
      </c>
      <c r="AS2284" s="1" t="s">
        <v>71</v>
      </c>
      <c r="AU2284" s="1" t="s">
        <v>72</v>
      </c>
      <c r="AV2284" s="1" t="s">
        <v>73</v>
      </c>
      <c r="AX2284" s="1">
        <v>0</v>
      </c>
      <c r="BA2284" s="1">
        <v>9</v>
      </c>
      <c r="BB2284" s="1">
        <v>0</v>
      </c>
      <c r="BC2284" s="1">
        <v>0</v>
      </c>
      <c r="BE2284" s="1">
        <v>27431851</v>
      </c>
    </row>
    <row r="2285" spans="1:57" x14ac:dyDescent="0.25">
      <c r="A2285" s="1" t="str">
        <f>T("1946551335697193832")</f>
        <v>1946551335697193832</v>
      </c>
      <c r="B2285" s="1" t="str">
        <f>T("249911856803")</f>
        <v>249911856803</v>
      </c>
      <c r="C2285" s="1" t="str">
        <f>T("1941094470820825780")</f>
        <v>1941094470820825780</v>
      </c>
      <c r="AC2285" s="1" t="s">
        <v>276</v>
      </c>
      <c r="AD2285" s="1" t="s">
        <v>298</v>
      </c>
      <c r="AE2285" s="1" t="s">
        <v>514</v>
      </c>
      <c r="AF2285" s="1" t="s">
        <v>107</v>
      </c>
      <c r="AO2285" s="2">
        <v>46280</v>
      </c>
      <c r="AP2285" s="1" t="s">
        <v>301</v>
      </c>
      <c r="AS2285" s="1" t="s">
        <v>71</v>
      </c>
      <c r="AU2285" s="1" t="s">
        <v>72</v>
      </c>
      <c r="AV2285" s="1" t="s">
        <v>73</v>
      </c>
      <c r="AX2285" s="1">
        <v>0</v>
      </c>
      <c r="BA2285" s="1">
        <v>9</v>
      </c>
      <c r="BB2285" s="1">
        <v>0</v>
      </c>
      <c r="BC2285" s="1">
        <v>0</v>
      </c>
      <c r="BE2285" s="1">
        <v>27431851</v>
      </c>
    </row>
    <row r="2286" spans="1:57" x14ac:dyDescent="0.25">
      <c r="A2286" s="1" t="str">
        <f>T("1946551335709775756")</f>
        <v>1946551335709775756</v>
      </c>
      <c r="B2286" s="1" t="str">
        <f>T("249961232949")</f>
        <v>249961232949</v>
      </c>
      <c r="C2286" s="1" t="str">
        <f>T("1941094470820826280")</f>
        <v>1941094470820826280</v>
      </c>
      <c r="AC2286" s="1" t="s">
        <v>276</v>
      </c>
      <c r="AD2286" s="1" t="s">
        <v>298</v>
      </c>
      <c r="AE2286" s="1" t="s">
        <v>514</v>
      </c>
      <c r="AF2286" s="1" t="s">
        <v>107</v>
      </c>
      <c r="AO2286" s="2">
        <v>46280</v>
      </c>
      <c r="AP2286" s="1" t="s">
        <v>301</v>
      </c>
      <c r="AS2286" s="1" t="s">
        <v>71</v>
      </c>
      <c r="AU2286" s="1" t="s">
        <v>72</v>
      </c>
      <c r="AV2286" s="1" t="s">
        <v>437</v>
      </c>
      <c r="AX2286" s="1">
        <v>0</v>
      </c>
      <c r="BA2286" s="1">
        <v>9</v>
      </c>
      <c r="BB2286" s="1">
        <v>0</v>
      </c>
      <c r="BC2286" s="1">
        <v>0</v>
      </c>
      <c r="BE2286" s="1">
        <v>27431851</v>
      </c>
    </row>
    <row r="2287" spans="1:57" x14ac:dyDescent="0.25">
      <c r="A2287" s="1" t="str">
        <f>T("1946551335739135012")</f>
        <v>1946551335739135012</v>
      </c>
      <c r="B2287" s="1" t="str">
        <f>T("249908626012")</f>
        <v>249908626012</v>
      </c>
      <c r="C2287" s="1" t="str">
        <f>T("1941094470825017488")</f>
        <v>1941094470825017488</v>
      </c>
      <c r="AC2287" s="1" t="s">
        <v>276</v>
      </c>
      <c r="AD2287" s="1" t="s">
        <v>298</v>
      </c>
      <c r="AE2287" s="1" t="s">
        <v>514</v>
      </c>
      <c r="AF2287" s="1" t="s">
        <v>107</v>
      </c>
      <c r="AO2287" s="2">
        <v>46280</v>
      </c>
      <c r="AP2287" s="1" t="s">
        <v>301</v>
      </c>
      <c r="AS2287" s="1" t="s">
        <v>71</v>
      </c>
      <c r="AU2287" s="1" t="s">
        <v>72</v>
      </c>
      <c r="AV2287" s="1" t="s">
        <v>437</v>
      </c>
      <c r="AX2287" s="1">
        <v>0</v>
      </c>
      <c r="BA2287" s="1">
        <v>9</v>
      </c>
      <c r="BB2287" s="1">
        <v>0</v>
      </c>
      <c r="BC2287" s="1">
        <v>0</v>
      </c>
      <c r="BE2287" s="1">
        <v>27431851</v>
      </c>
    </row>
    <row r="2288" spans="1:57" x14ac:dyDescent="0.25">
      <c r="A2288" s="1" t="str">
        <f>T("1946551335747526628")</f>
        <v>1946551335747526628</v>
      </c>
      <c r="B2288" s="1" t="str">
        <f>T("249913014019")</f>
        <v>249913014019</v>
      </c>
      <c r="C2288" s="1" t="str">
        <f>T("1941094470820826680")</f>
        <v>1941094470820826680</v>
      </c>
      <c r="AC2288" s="1" t="s">
        <v>276</v>
      </c>
      <c r="AD2288" s="1" t="s">
        <v>298</v>
      </c>
      <c r="AE2288" s="1" t="s">
        <v>514</v>
      </c>
      <c r="AF2288" s="1" t="s">
        <v>107</v>
      </c>
      <c r="AO2288" s="2">
        <v>46280</v>
      </c>
      <c r="AP2288" s="1" t="s">
        <v>301</v>
      </c>
      <c r="AS2288" s="1" t="s">
        <v>71</v>
      </c>
      <c r="AU2288" s="1" t="s">
        <v>72</v>
      </c>
      <c r="AV2288" s="1" t="s">
        <v>437</v>
      </c>
      <c r="AX2288" s="1">
        <v>0</v>
      </c>
      <c r="BA2288" s="1">
        <v>9</v>
      </c>
      <c r="BB2288" s="1">
        <v>0</v>
      </c>
      <c r="BC2288" s="1">
        <v>0</v>
      </c>
      <c r="BE2288" s="1">
        <v>27431851</v>
      </c>
    </row>
    <row r="2289" spans="1:57" x14ac:dyDescent="0.25">
      <c r="A2289" s="1" t="str">
        <f>T("1946551335760106952")</f>
        <v>1946551335760106952</v>
      </c>
      <c r="B2289" s="1" t="str">
        <f>T("249910689186")</f>
        <v>249910689186</v>
      </c>
      <c r="C2289" s="1" t="str">
        <f>T("1941094470825017888")</f>
        <v>1941094470825017888</v>
      </c>
      <c r="AC2289" s="1" t="s">
        <v>276</v>
      </c>
      <c r="AD2289" s="1" t="s">
        <v>298</v>
      </c>
      <c r="AE2289" s="1" t="s">
        <v>514</v>
      </c>
      <c r="AF2289" s="1" t="s">
        <v>107</v>
      </c>
      <c r="AO2289" s="2">
        <v>46280</v>
      </c>
      <c r="AP2289" s="1" t="s">
        <v>301</v>
      </c>
      <c r="AS2289" s="1" t="s">
        <v>71</v>
      </c>
      <c r="AU2289" s="1" t="s">
        <v>72</v>
      </c>
      <c r="AV2289" s="1" t="s">
        <v>73</v>
      </c>
      <c r="AX2289" s="1">
        <v>0</v>
      </c>
      <c r="BA2289" s="1">
        <v>9</v>
      </c>
      <c r="BB2289" s="1">
        <v>0</v>
      </c>
      <c r="BC2289" s="1">
        <v>0</v>
      </c>
      <c r="BE2289" s="1">
        <v>27431851</v>
      </c>
    </row>
    <row r="2290" spans="1:57" x14ac:dyDescent="0.25">
      <c r="A2290" s="1" t="str">
        <f>T("1946551335772691376")</f>
        <v>1946551335772691376</v>
      </c>
      <c r="B2290" s="1" t="str">
        <f>T("24990423455")</f>
        <v>24990423455</v>
      </c>
      <c r="C2290" s="1" t="str">
        <f>T("1941094470825018388")</f>
        <v>1941094470825018388</v>
      </c>
      <c r="AC2290" s="1" t="s">
        <v>276</v>
      </c>
      <c r="AD2290" s="1" t="s">
        <v>298</v>
      </c>
      <c r="AE2290" s="1" t="s">
        <v>514</v>
      </c>
      <c r="AF2290" s="1" t="s">
        <v>107</v>
      </c>
      <c r="AO2290" s="2">
        <v>46280</v>
      </c>
      <c r="AP2290" s="1" t="s">
        <v>301</v>
      </c>
      <c r="AS2290" s="1" t="s">
        <v>71</v>
      </c>
      <c r="AU2290" s="1" t="s">
        <v>72</v>
      </c>
      <c r="AV2290" s="1" t="s">
        <v>73</v>
      </c>
      <c r="AX2290" s="1">
        <v>0</v>
      </c>
      <c r="BA2290" s="1">
        <v>9</v>
      </c>
      <c r="BB2290" s="1">
        <v>0</v>
      </c>
      <c r="BC2290" s="1">
        <v>0</v>
      </c>
      <c r="BE2290" s="1">
        <v>27431851</v>
      </c>
    </row>
    <row r="2291" spans="1:57" x14ac:dyDescent="0.25">
      <c r="A2291" s="1" t="str">
        <f>T("1946551335793663416")</f>
        <v>1946551335793663416</v>
      </c>
      <c r="B2291" s="1" t="str">
        <f>T("249961464514")</f>
        <v>249961464514</v>
      </c>
      <c r="C2291" s="1" t="str">
        <f>T("1941094470825018888")</f>
        <v>1941094470825018888</v>
      </c>
      <c r="AC2291" s="1" t="s">
        <v>276</v>
      </c>
      <c r="AD2291" s="1" t="s">
        <v>298</v>
      </c>
      <c r="AE2291" s="1" t="s">
        <v>514</v>
      </c>
      <c r="AF2291" s="1" t="s">
        <v>107</v>
      </c>
      <c r="AO2291" s="2">
        <v>46280</v>
      </c>
      <c r="AP2291" s="1" t="s">
        <v>301</v>
      </c>
      <c r="AS2291" s="1" t="s">
        <v>71</v>
      </c>
      <c r="AU2291" s="1" t="s">
        <v>72</v>
      </c>
      <c r="AV2291" s="1" t="s">
        <v>73</v>
      </c>
      <c r="AX2291" s="1">
        <v>0</v>
      </c>
      <c r="BA2291" s="1">
        <v>9</v>
      </c>
      <c r="BB2291" s="1">
        <v>0</v>
      </c>
      <c r="BC2291" s="1">
        <v>0</v>
      </c>
      <c r="BE2291" s="1">
        <v>27431851</v>
      </c>
    </row>
    <row r="2292" spans="1:57" x14ac:dyDescent="0.25">
      <c r="A2292" s="1" t="str">
        <f>T("1946551335810440448")</f>
        <v>1946551335810440448</v>
      </c>
      <c r="B2292" s="1" t="str">
        <f>T("249903500395")</f>
        <v>249903500395</v>
      </c>
      <c r="C2292" s="1" t="str">
        <f>T("1941094470825019288")</f>
        <v>1941094470825019288</v>
      </c>
      <c r="AC2292" s="1" t="s">
        <v>276</v>
      </c>
      <c r="AD2292" s="1" t="s">
        <v>298</v>
      </c>
      <c r="AE2292" s="1" t="s">
        <v>514</v>
      </c>
      <c r="AF2292" s="1" t="s">
        <v>107</v>
      </c>
      <c r="AO2292" s="2">
        <v>46280</v>
      </c>
      <c r="AP2292" s="1" t="s">
        <v>301</v>
      </c>
      <c r="AS2292" s="1" t="s">
        <v>71</v>
      </c>
      <c r="AU2292" s="1" t="s">
        <v>72</v>
      </c>
      <c r="AV2292" s="1" t="s">
        <v>437</v>
      </c>
      <c r="AX2292" s="1">
        <v>0</v>
      </c>
      <c r="BA2292" s="1">
        <v>9</v>
      </c>
      <c r="BB2292" s="1">
        <v>0</v>
      </c>
      <c r="BC2292" s="1">
        <v>0</v>
      </c>
      <c r="BE2292" s="1">
        <v>27431851</v>
      </c>
    </row>
    <row r="2293" spans="1:57" x14ac:dyDescent="0.25">
      <c r="A2293" s="1" t="str">
        <f>T("1946551335823023072")</f>
        <v>1946551335823023072</v>
      </c>
      <c r="B2293" s="1" t="str">
        <f>T("249914802633")</f>
        <v>249914802633</v>
      </c>
      <c r="C2293" s="1" t="str">
        <f>T("1941094470825019888")</f>
        <v>1941094470825019888</v>
      </c>
      <c r="AC2293" s="1" t="s">
        <v>276</v>
      </c>
      <c r="AD2293" s="1" t="s">
        <v>298</v>
      </c>
      <c r="AE2293" s="1" t="s">
        <v>514</v>
      </c>
      <c r="AF2293" s="1" t="s">
        <v>107</v>
      </c>
      <c r="AO2293" s="2">
        <v>46280</v>
      </c>
      <c r="AP2293" s="1" t="s">
        <v>301</v>
      </c>
      <c r="AS2293" s="1" t="s">
        <v>71</v>
      </c>
      <c r="AU2293" s="1" t="s">
        <v>72</v>
      </c>
      <c r="AV2293" s="1" t="s">
        <v>73</v>
      </c>
      <c r="AX2293" s="1">
        <v>0</v>
      </c>
      <c r="BA2293" s="1">
        <v>9</v>
      </c>
      <c r="BB2293" s="1">
        <v>0</v>
      </c>
      <c r="BC2293" s="1">
        <v>0</v>
      </c>
      <c r="BE2293" s="1">
        <v>27431851</v>
      </c>
    </row>
    <row r="2294" spans="1:57" x14ac:dyDescent="0.25">
      <c r="A2294" s="1" t="str">
        <f>T("1946551335835604296")</f>
        <v>1946551335835604296</v>
      </c>
      <c r="B2294" s="1" t="str">
        <f>T("249969137189")</f>
        <v>249969137189</v>
      </c>
      <c r="C2294" s="1" t="str">
        <f>T("1941094470829213496")</f>
        <v>1941094470829213496</v>
      </c>
      <c r="AC2294" s="1" t="s">
        <v>276</v>
      </c>
      <c r="AD2294" s="1" t="s">
        <v>298</v>
      </c>
      <c r="AE2294" s="1" t="s">
        <v>515</v>
      </c>
      <c r="AF2294" s="1" t="s">
        <v>144</v>
      </c>
      <c r="AO2294" s="2">
        <v>46280</v>
      </c>
      <c r="AP2294" s="1" t="s">
        <v>301</v>
      </c>
      <c r="AS2294" s="1" t="s">
        <v>71</v>
      </c>
      <c r="AU2294" s="1" t="s">
        <v>72</v>
      </c>
      <c r="AV2294" s="1" t="s">
        <v>73</v>
      </c>
      <c r="AX2294" s="1">
        <v>0</v>
      </c>
      <c r="BA2294" s="1">
        <v>9</v>
      </c>
      <c r="BB2294" s="1">
        <v>0</v>
      </c>
      <c r="BC2294" s="1">
        <v>0</v>
      </c>
      <c r="BE2294" s="1">
        <v>27431851</v>
      </c>
    </row>
    <row r="2295" spans="1:57" x14ac:dyDescent="0.25">
      <c r="A2295" s="1" t="str">
        <f>T("1946551335852384228")</f>
        <v>1946551335852384228</v>
      </c>
      <c r="B2295" s="1" t="str">
        <f>T("249963772047")</f>
        <v>249963772047</v>
      </c>
      <c r="C2295" s="1" t="str">
        <f>T("1941094470829215096")</f>
        <v>1941094470829215096</v>
      </c>
      <c r="AC2295" s="1" t="s">
        <v>276</v>
      </c>
      <c r="AD2295" s="1" t="s">
        <v>298</v>
      </c>
      <c r="AE2295" s="1" t="s">
        <v>515</v>
      </c>
      <c r="AF2295" s="1" t="s">
        <v>144</v>
      </c>
      <c r="AO2295" s="2">
        <v>46280</v>
      </c>
      <c r="AP2295" s="1" t="s">
        <v>301</v>
      </c>
      <c r="AS2295" s="1" t="s">
        <v>71</v>
      </c>
      <c r="AU2295" s="1" t="s">
        <v>72</v>
      </c>
      <c r="AV2295" s="1" t="s">
        <v>73</v>
      </c>
      <c r="AX2295" s="1">
        <v>0</v>
      </c>
      <c r="BA2295" s="1">
        <v>9</v>
      </c>
      <c r="BB2295" s="1">
        <v>0</v>
      </c>
      <c r="BC2295" s="1">
        <v>0</v>
      </c>
      <c r="BE2295" s="1">
        <v>27431851</v>
      </c>
    </row>
    <row r="2296" spans="1:57" x14ac:dyDescent="0.25">
      <c r="A2296" s="1" t="str">
        <f>T("1946551335869159560")</f>
        <v>1946551335869159560</v>
      </c>
      <c r="B2296" s="1" t="str">
        <f>T("249916198848")</f>
        <v>249916198848</v>
      </c>
      <c r="C2296" s="1" t="str">
        <f>T("1941094470829215696")</f>
        <v>1941094470829215696</v>
      </c>
      <c r="AC2296" s="1" t="s">
        <v>276</v>
      </c>
      <c r="AD2296" s="1" t="s">
        <v>298</v>
      </c>
      <c r="AE2296" s="1" t="s">
        <v>515</v>
      </c>
      <c r="AF2296" s="1" t="s">
        <v>107</v>
      </c>
      <c r="AO2296" s="2">
        <v>46280</v>
      </c>
      <c r="AP2296" s="1" t="s">
        <v>301</v>
      </c>
      <c r="AS2296" s="1" t="s">
        <v>71</v>
      </c>
      <c r="AU2296" s="1" t="s">
        <v>72</v>
      </c>
      <c r="AV2296" s="1" t="s">
        <v>73</v>
      </c>
      <c r="AX2296" s="1">
        <v>0</v>
      </c>
      <c r="BA2296" s="1">
        <v>9</v>
      </c>
      <c r="BB2296" s="1">
        <v>0</v>
      </c>
      <c r="BC2296" s="1">
        <v>0</v>
      </c>
      <c r="BE2296" s="1">
        <v>27431851</v>
      </c>
    </row>
    <row r="2297" spans="1:57" x14ac:dyDescent="0.25">
      <c r="A2297" s="1" t="str">
        <f>T("1946551335881741784")</f>
        <v>1946551335881741784</v>
      </c>
      <c r="B2297" s="1" t="str">
        <f>T("249912666856")</f>
        <v>249912666856</v>
      </c>
      <c r="C2297" s="1" t="str">
        <f>T("1941094470833409704")</f>
        <v>1941094470833409704</v>
      </c>
      <c r="AC2297" s="1" t="s">
        <v>276</v>
      </c>
      <c r="AD2297" s="1" t="s">
        <v>298</v>
      </c>
      <c r="AE2297" s="1" t="s">
        <v>515</v>
      </c>
      <c r="AF2297" s="1" t="s">
        <v>107</v>
      </c>
      <c r="AO2297" s="2">
        <v>46280</v>
      </c>
      <c r="AP2297" s="1" t="s">
        <v>301</v>
      </c>
      <c r="AS2297" s="1" t="s">
        <v>71</v>
      </c>
      <c r="AU2297" s="1" t="s">
        <v>72</v>
      </c>
      <c r="AV2297" s="1" t="s">
        <v>437</v>
      </c>
      <c r="AX2297" s="1">
        <v>0</v>
      </c>
      <c r="BA2297" s="1">
        <v>9</v>
      </c>
      <c r="BB2297" s="1">
        <v>0</v>
      </c>
      <c r="BC2297" s="1">
        <v>0</v>
      </c>
      <c r="BE2297" s="1">
        <v>27431851</v>
      </c>
    </row>
    <row r="2298" spans="1:57" x14ac:dyDescent="0.25">
      <c r="A2298" s="1" t="str">
        <f>T("1946551335885936492")</f>
        <v>1946551335885936492</v>
      </c>
      <c r="B2298" s="1" t="str">
        <f>T("249904828952")</f>
        <v>249904828952</v>
      </c>
      <c r="C2298" s="1" t="str">
        <f>T("1941094470837600612")</f>
        <v>1941094470837600612</v>
      </c>
      <c r="AC2298" s="1" t="s">
        <v>276</v>
      </c>
      <c r="AD2298" s="1" t="s">
        <v>517</v>
      </c>
      <c r="AE2298" s="1" t="s">
        <v>518</v>
      </c>
      <c r="AF2298" s="1" t="s">
        <v>144</v>
      </c>
      <c r="AO2298" s="2">
        <v>46280</v>
      </c>
      <c r="AP2298" s="1" t="s">
        <v>301</v>
      </c>
      <c r="AS2298" s="1" t="s">
        <v>71</v>
      </c>
      <c r="AU2298" s="1" t="s">
        <v>72</v>
      </c>
      <c r="AV2298" s="1" t="s">
        <v>73</v>
      </c>
      <c r="AX2298" s="1">
        <v>0</v>
      </c>
      <c r="BA2298" s="1">
        <v>9</v>
      </c>
      <c r="BB2298" s="1">
        <v>0</v>
      </c>
      <c r="BC2298" s="1">
        <v>0</v>
      </c>
      <c r="BE2298" s="1">
        <v>27431851</v>
      </c>
    </row>
    <row r="2299" spans="1:57" x14ac:dyDescent="0.25">
      <c r="A2299" s="1" t="str">
        <f>T("1946551335898520616")</f>
        <v>1946551335898520616</v>
      </c>
      <c r="B2299" s="1" t="str">
        <f>T("249907858604")</f>
        <v>249907858604</v>
      </c>
      <c r="C2299" s="1" t="str">
        <f>T("1941094470837601112")</f>
        <v>1941094470837601112</v>
      </c>
      <c r="AC2299" s="1" t="s">
        <v>276</v>
      </c>
      <c r="AD2299" s="1" t="s">
        <v>517</v>
      </c>
      <c r="AE2299" s="1" t="s">
        <v>518</v>
      </c>
      <c r="AF2299" s="1" t="s">
        <v>107</v>
      </c>
      <c r="AO2299" s="2">
        <v>46280</v>
      </c>
      <c r="AP2299" s="1" t="s">
        <v>301</v>
      </c>
      <c r="AS2299" s="1" t="s">
        <v>71</v>
      </c>
      <c r="AU2299" s="1" t="s">
        <v>72</v>
      </c>
      <c r="AV2299" s="1" t="s">
        <v>437</v>
      </c>
      <c r="AX2299" s="1">
        <v>0</v>
      </c>
      <c r="BA2299" s="1">
        <v>9</v>
      </c>
      <c r="BB2299" s="1">
        <v>0</v>
      </c>
      <c r="BC2299" s="1">
        <v>0</v>
      </c>
      <c r="BE2299" s="1">
        <v>27431851</v>
      </c>
    </row>
    <row r="2300" spans="1:57" x14ac:dyDescent="0.25">
      <c r="A2300" s="1" t="str">
        <f>T("1946551335927879372")</f>
        <v>1946551335927879372</v>
      </c>
      <c r="B2300" s="1" t="str">
        <f>T("249900863685")</f>
        <v>249900863685</v>
      </c>
      <c r="C2300" s="1" t="str">
        <f>T("1941094470841795220")</f>
        <v>1941094470841795220</v>
      </c>
      <c r="AC2300" s="1" t="s">
        <v>276</v>
      </c>
      <c r="AD2300" s="1" t="s">
        <v>517</v>
      </c>
      <c r="AE2300" s="1" t="s">
        <v>518</v>
      </c>
      <c r="AF2300" s="1" t="s">
        <v>107</v>
      </c>
      <c r="AO2300" s="2">
        <v>46280</v>
      </c>
      <c r="AP2300" s="1" t="s">
        <v>301</v>
      </c>
      <c r="AS2300" s="1" t="s">
        <v>71</v>
      </c>
      <c r="AU2300" s="1" t="s">
        <v>72</v>
      </c>
      <c r="AV2300" s="1" t="s">
        <v>73</v>
      </c>
      <c r="AX2300" s="1">
        <v>0</v>
      </c>
      <c r="BA2300" s="1">
        <v>9</v>
      </c>
      <c r="BB2300" s="1">
        <v>0</v>
      </c>
      <c r="BC2300" s="1">
        <v>0</v>
      </c>
      <c r="BE2300" s="1">
        <v>27431851</v>
      </c>
    </row>
    <row r="2301" spans="1:57" x14ac:dyDescent="0.25">
      <c r="A2301" s="1" t="str">
        <f>T("1946551335948850612")</f>
        <v>1946551335948850612</v>
      </c>
      <c r="B2301" s="1" t="str">
        <f>T("249913839822")</f>
        <v>249913839822</v>
      </c>
      <c r="C2301" s="1" t="str">
        <f>T("1941094470841795720")</f>
        <v>1941094470841795720</v>
      </c>
      <c r="AC2301" s="1" t="s">
        <v>276</v>
      </c>
      <c r="AD2301" s="1" t="s">
        <v>517</v>
      </c>
      <c r="AE2301" s="1" t="s">
        <v>518</v>
      </c>
      <c r="AF2301" s="1" t="s">
        <v>107</v>
      </c>
      <c r="AO2301" s="2">
        <v>46280</v>
      </c>
      <c r="AP2301" s="1" t="s">
        <v>301</v>
      </c>
      <c r="AS2301" s="1" t="s">
        <v>71</v>
      </c>
      <c r="AU2301" s="1" t="s">
        <v>72</v>
      </c>
      <c r="AV2301" s="1" t="s">
        <v>73</v>
      </c>
      <c r="AX2301" s="1">
        <v>0</v>
      </c>
      <c r="BA2301" s="1">
        <v>9</v>
      </c>
      <c r="BB2301" s="1">
        <v>0</v>
      </c>
      <c r="BC2301" s="1">
        <v>0</v>
      </c>
      <c r="BE2301" s="1">
        <v>27431851</v>
      </c>
    </row>
    <row r="2302" spans="1:57" x14ac:dyDescent="0.25">
      <c r="A2302" s="1" t="str">
        <f>T("1946551335948851312")</f>
        <v>1946551335948851312</v>
      </c>
      <c r="B2302" s="1" t="str">
        <f>T("249965854537")</f>
        <v>249965854537</v>
      </c>
      <c r="C2302" s="1" t="str">
        <f>T("1941094470845992328")</f>
        <v>1941094470845992328</v>
      </c>
      <c r="AC2302" s="1" t="s">
        <v>276</v>
      </c>
      <c r="AD2302" s="1" t="s">
        <v>517</v>
      </c>
      <c r="AE2302" s="1" t="s">
        <v>518</v>
      </c>
      <c r="AF2302" s="1" t="s">
        <v>144</v>
      </c>
      <c r="AO2302" s="2">
        <v>46280</v>
      </c>
      <c r="AP2302" s="1" t="s">
        <v>301</v>
      </c>
      <c r="AS2302" s="1" t="s">
        <v>71</v>
      </c>
      <c r="AU2302" s="1" t="s">
        <v>72</v>
      </c>
      <c r="AV2302" s="1" t="s">
        <v>437</v>
      </c>
      <c r="AX2302" s="1">
        <v>0</v>
      </c>
      <c r="BA2302" s="1">
        <v>9</v>
      </c>
      <c r="BB2302" s="1">
        <v>0</v>
      </c>
      <c r="BC2302" s="1">
        <v>0</v>
      </c>
      <c r="BE2302" s="1">
        <v>27431851</v>
      </c>
    </row>
    <row r="2303" spans="1:57" x14ac:dyDescent="0.25">
      <c r="A2303" s="1" t="str">
        <f>T("1946551335961434136")</f>
        <v>1946551335961434136</v>
      </c>
      <c r="B2303" s="1" t="str">
        <f>T("249918036901")</f>
        <v>249918036901</v>
      </c>
      <c r="C2303" s="1" t="str">
        <f>T("1941094470850185836")</f>
        <v>1941094470850185836</v>
      </c>
      <c r="AC2303" s="1" t="s">
        <v>276</v>
      </c>
      <c r="AD2303" s="1" t="s">
        <v>517</v>
      </c>
      <c r="AE2303" s="1" t="s">
        <v>519</v>
      </c>
      <c r="AF2303" s="1" t="s">
        <v>107</v>
      </c>
      <c r="AO2303" s="2">
        <v>46280</v>
      </c>
      <c r="AP2303" s="1" t="s">
        <v>301</v>
      </c>
      <c r="AS2303" s="1" t="s">
        <v>71</v>
      </c>
      <c r="AU2303" s="1" t="s">
        <v>72</v>
      </c>
      <c r="AV2303" s="1" t="s">
        <v>437</v>
      </c>
      <c r="AX2303" s="1">
        <v>0</v>
      </c>
      <c r="BA2303" s="1">
        <v>9</v>
      </c>
      <c r="BB2303" s="1">
        <v>0</v>
      </c>
      <c r="BC2303" s="1">
        <v>0</v>
      </c>
      <c r="BE2303" s="1">
        <v>27431851</v>
      </c>
    </row>
    <row r="2304" spans="1:57" x14ac:dyDescent="0.25">
      <c r="A2304" s="1" t="str">
        <f>T("1946551335986601184")</f>
        <v>1946551335986601184</v>
      </c>
      <c r="B2304" s="1" t="str">
        <f>T("249914083712")</f>
        <v>249914083712</v>
      </c>
      <c r="C2304" s="1" t="str">
        <f>T("1941094470854379044")</f>
        <v>1941094470854379044</v>
      </c>
      <c r="AC2304" s="1" t="s">
        <v>276</v>
      </c>
      <c r="AD2304" s="1" t="s">
        <v>517</v>
      </c>
      <c r="AE2304" s="1" t="s">
        <v>519</v>
      </c>
      <c r="AF2304" s="1" t="s">
        <v>107</v>
      </c>
      <c r="AO2304" s="2">
        <v>46280</v>
      </c>
      <c r="AP2304" s="1" t="s">
        <v>301</v>
      </c>
      <c r="AS2304" s="1" t="s">
        <v>71</v>
      </c>
      <c r="AU2304" s="1" t="s">
        <v>72</v>
      </c>
      <c r="AV2304" s="1" t="s">
        <v>73</v>
      </c>
      <c r="AX2304" s="1">
        <v>0</v>
      </c>
      <c r="BA2304" s="1">
        <v>9</v>
      </c>
      <c r="BB2304" s="1">
        <v>0</v>
      </c>
      <c r="BC2304" s="1">
        <v>0</v>
      </c>
      <c r="BE2304" s="1">
        <v>27431851</v>
      </c>
    </row>
    <row r="2305" spans="1:57" x14ac:dyDescent="0.25">
      <c r="A2305" s="1" t="str">
        <f>T("1946551336003377916")</f>
        <v>1946551336003377916</v>
      </c>
      <c r="B2305" s="1" t="str">
        <f>T("249917549984")</f>
        <v>249917549984</v>
      </c>
      <c r="C2305" s="1" t="str">
        <f>T("1941094470854379744")</f>
        <v>1941094470854379744</v>
      </c>
      <c r="AC2305" s="1" t="s">
        <v>276</v>
      </c>
      <c r="AD2305" s="1" t="s">
        <v>517</v>
      </c>
      <c r="AE2305" s="1" t="s">
        <v>520</v>
      </c>
      <c r="AF2305" s="1" t="s">
        <v>107</v>
      </c>
      <c r="AO2305" s="2">
        <v>46280</v>
      </c>
      <c r="AP2305" s="1" t="s">
        <v>301</v>
      </c>
      <c r="AS2305" s="1" t="s">
        <v>71</v>
      </c>
      <c r="AU2305" s="1" t="s">
        <v>72</v>
      </c>
      <c r="AV2305" s="1" t="s">
        <v>73</v>
      </c>
      <c r="AX2305" s="1">
        <v>0</v>
      </c>
      <c r="BA2305" s="1">
        <v>9</v>
      </c>
      <c r="BB2305" s="1">
        <v>0</v>
      </c>
      <c r="BC2305" s="1">
        <v>0</v>
      </c>
      <c r="BE2305" s="1">
        <v>27431851</v>
      </c>
    </row>
    <row r="2306" spans="1:57" x14ac:dyDescent="0.25">
      <c r="A2306" s="1" t="str">
        <f>T("1946551336003378216")</f>
        <v>1946551336003378216</v>
      </c>
      <c r="B2306" s="1" t="str">
        <f>T("249906455089")</f>
        <v>249906455089</v>
      </c>
      <c r="C2306" s="1" t="str">
        <f>T("1941094470854379444")</f>
        <v>1941094470854379444</v>
      </c>
      <c r="AC2306" s="1" t="s">
        <v>276</v>
      </c>
      <c r="AD2306" s="1" t="s">
        <v>517</v>
      </c>
      <c r="AE2306" s="1" t="s">
        <v>519</v>
      </c>
      <c r="AF2306" s="1" t="s">
        <v>107</v>
      </c>
      <c r="AO2306" s="2">
        <v>46280</v>
      </c>
      <c r="AP2306" s="1" t="s">
        <v>301</v>
      </c>
      <c r="AS2306" s="1" t="s">
        <v>71</v>
      </c>
      <c r="AU2306" s="1" t="s">
        <v>72</v>
      </c>
      <c r="AV2306" s="1" t="s">
        <v>73</v>
      </c>
      <c r="AX2306" s="1">
        <v>0</v>
      </c>
      <c r="BA2306" s="1">
        <v>9</v>
      </c>
      <c r="BB2306" s="1">
        <v>0</v>
      </c>
      <c r="BC2306" s="1">
        <v>0</v>
      </c>
      <c r="BE2306" s="1">
        <v>27431851</v>
      </c>
    </row>
    <row r="2307" spans="1:57" x14ac:dyDescent="0.25">
      <c r="A2307" s="1" t="str">
        <f>T("1946641934613944752")</f>
        <v>1946641934613944752</v>
      </c>
      <c r="B2307" s="1" t="str">
        <f>T("249907858604")</f>
        <v>249907858604</v>
      </c>
      <c r="C2307" s="1" t="str">
        <f>T("1941094470837601112")</f>
        <v>1941094470837601112</v>
      </c>
      <c r="AC2307" s="1" t="s">
        <v>276</v>
      </c>
      <c r="AD2307" s="1" t="s">
        <v>517</v>
      </c>
      <c r="AE2307" s="1" t="s">
        <v>518</v>
      </c>
      <c r="AF2307" s="1" t="s">
        <v>107</v>
      </c>
      <c r="AO2307" s="2">
        <v>46280</v>
      </c>
      <c r="AP2307" s="1" t="s">
        <v>226</v>
      </c>
      <c r="AS2307" s="1" t="s">
        <v>71</v>
      </c>
      <c r="AU2307" s="1" t="s">
        <v>72</v>
      </c>
      <c r="AV2307" s="1" t="s">
        <v>437</v>
      </c>
      <c r="AX2307" s="1">
        <v>0</v>
      </c>
      <c r="BA2307" s="1">
        <v>9</v>
      </c>
      <c r="BB2307" s="1">
        <v>0</v>
      </c>
      <c r="BC2307" s="1">
        <v>0</v>
      </c>
      <c r="BE2307" s="1">
        <v>27431882</v>
      </c>
    </row>
    <row r="2308" spans="1:57" x14ac:dyDescent="0.25">
      <c r="A2308" s="1" t="str">
        <f>T("1946641934790105588")</f>
        <v>1946641934790105588</v>
      </c>
      <c r="B2308" s="1" t="str">
        <f>T("249900863685")</f>
        <v>249900863685</v>
      </c>
      <c r="C2308" s="1" t="str">
        <f>T("1941094470841795220")</f>
        <v>1941094470841795220</v>
      </c>
      <c r="AC2308" s="1" t="s">
        <v>276</v>
      </c>
      <c r="AD2308" s="1" t="s">
        <v>517</v>
      </c>
      <c r="AE2308" s="1" t="s">
        <v>518</v>
      </c>
      <c r="AF2308" s="1" t="s">
        <v>107</v>
      </c>
      <c r="AO2308" s="2">
        <v>46280</v>
      </c>
      <c r="AP2308" s="1" t="s">
        <v>226</v>
      </c>
      <c r="AS2308" s="1" t="s">
        <v>71</v>
      </c>
      <c r="AU2308" s="1" t="s">
        <v>72</v>
      </c>
      <c r="AV2308" s="1" t="s">
        <v>437</v>
      </c>
      <c r="AX2308" s="1">
        <v>0</v>
      </c>
      <c r="BA2308" s="1">
        <v>9</v>
      </c>
      <c r="BB2308" s="1">
        <v>0</v>
      </c>
      <c r="BC2308" s="1">
        <v>0</v>
      </c>
      <c r="BE2308" s="1">
        <v>27431882</v>
      </c>
    </row>
    <row r="2309" spans="1:57" x14ac:dyDescent="0.25">
      <c r="A2309" s="1" t="str">
        <f>T("1946641934790107088")</f>
        <v>1946641934790107088</v>
      </c>
      <c r="B2309" s="1" t="str">
        <f>T("249913839822")</f>
        <v>249913839822</v>
      </c>
      <c r="C2309" s="1" t="str">
        <f>T("1941094470841795720")</f>
        <v>1941094470841795720</v>
      </c>
      <c r="AC2309" s="1" t="s">
        <v>276</v>
      </c>
      <c r="AD2309" s="1" t="s">
        <v>517</v>
      </c>
      <c r="AE2309" s="1" t="s">
        <v>518</v>
      </c>
      <c r="AF2309" s="1" t="s">
        <v>107</v>
      </c>
      <c r="AO2309" s="2">
        <v>46280</v>
      </c>
      <c r="AP2309" s="1" t="s">
        <v>226</v>
      </c>
      <c r="AS2309" s="1" t="s">
        <v>71</v>
      </c>
      <c r="AU2309" s="1" t="s">
        <v>72</v>
      </c>
      <c r="AV2309" s="1" t="s">
        <v>73</v>
      </c>
      <c r="AX2309" s="1">
        <v>0</v>
      </c>
      <c r="BA2309" s="1">
        <v>9</v>
      </c>
      <c r="BB2309" s="1">
        <v>0</v>
      </c>
      <c r="BC2309" s="1">
        <v>0</v>
      </c>
      <c r="BE2309" s="1">
        <v>27431882</v>
      </c>
    </row>
    <row r="2310" spans="1:57" x14ac:dyDescent="0.25">
      <c r="A2310" s="1" t="str">
        <f>T("1946641934873990948")</f>
        <v>1946641934873990948</v>
      </c>
      <c r="B2310" s="1" t="str">
        <f>T("249965854537")</f>
        <v>249965854537</v>
      </c>
      <c r="C2310" s="1" t="str">
        <f>T("1941094470845992328")</f>
        <v>1941094470845992328</v>
      </c>
      <c r="AC2310" s="1" t="s">
        <v>276</v>
      </c>
      <c r="AD2310" s="1" t="s">
        <v>517</v>
      </c>
      <c r="AE2310" s="1" t="s">
        <v>518</v>
      </c>
      <c r="AF2310" s="1" t="s">
        <v>144</v>
      </c>
      <c r="AO2310" s="2">
        <v>46280</v>
      </c>
      <c r="AP2310" s="1" t="s">
        <v>226</v>
      </c>
      <c r="AS2310" s="1" t="s">
        <v>71</v>
      </c>
      <c r="AU2310" s="1" t="s">
        <v>72</v>
      </c>
      <c r="AV2310" s="1" t="s">
        <v>126</v>
      </c>
      <c r="AX2310" s="1">
        <v>0</v>
      </c>
      <c r="BA2310" s="1">
        <v>9</v>
      </c>
      <c r="BB2310" s="1">
        <v>0</v>
      </c>
      <c r="BC2310" s="1">
        <v>0</v>
      </c>
      <c r="BE2310" s="1">
        <v>27431882</v>
      </c>
    </row>
    <row r="2311" spans="1:57" x14ac:dyDescent="0.25">
      <c r="A2311" s="1" t="str">
        <f>T("1946641934894961288")</f>
        <v>1946641934894961288</v>
      </c>
      <c r="B2311" s="1" t="str">
        <f>T("249918036901")</f>
        <v>249918036901</v>
      </c>
      <c r="C2311" s="1" t="str">
        <f>T("1941094470850185836")</f>
        <v>1941094470850185836</v>
      </c>
      <c r="AC2311" s="1" t="s">
        <v>276</v>
      </c>
      <c r="AD2311" s="1" t="s">
        <v>517</v>
      </c>
      <c r="AE2311" s="1" t="s">
        <v>519</v>
      </c>
      <c r="AF2311" s="1" t="s">
        <v>107</v>
      </c>
      <c r="AO2311" s="2">
        <v>46280</v>
      </c>
      <c r="AP2311" s="1" t="s">
        <v>226</v>
      </c>
      <c r="AS2311" s="1" t="s">
        <v>71</v>
      </c>
      <c r="AU2311" s="1" t="s">
        <v>72</v>
      </c>
      <c r="AV2311" s="1" t="s">
        <v>437</v>
      </c>
      <c r="AX2311" s="1">
        <v>0</v>
      </c>
      <c r="BA2311" s="1">
        <v>9</v>
      </c>
      <c r="BB2311" s="1">
        <v>0</v>
      </c>
      <c r="BC2311" s="1">
        <v>0</v>
      </c>
      <c r="BE2311" s="1">
        <v>27431882</v>
      </c>
    </row>
    <row r="2312" spans="1:57" x14ac:dyDescent="0.25">
      <c r="A2312" s="1" t="str">
        <f>T("1946641934932713160")</f>
        <v>1946641934932713160</v>
      </c>
      <c r="B2312" s="1" t="str">
        <f>T("249914083712")</f>
        <v>249914083712</v>
      </c>
      <c r="C2312" s="1" t="str">
        <f>T("1941094470854379044")</f>
        <v>1941094470854379044</v>
      </c>
      <c r="AC2312" s="1" t="s">
        <v>276</v>
      </c>
      <c r="AD2312" s="1" t="s">
        <v>517</v>
      </c>
      <c r="AE2312" s="1" t="s">
        <v>519</v>
      </c>
      <c r="AF2312" s="1" t="s">
        <v>107</v>
      </c>
      <c r="AO2312" s="2">
        <v>46280</v>
      </c>
      <c r="AP2312" s="1" t="s">
        <v>226</v>
      </c>
      <c r="AS2312" s="1" t="s">
        <v>71</v>
      </c>
      <c r="AU2312" s="1" t="s">
        <v>72</v>
      </c>
      <c r="AV2312" s="1" t="s">
        <v>73</v>
      </c>
      <c r="AX2312" s="1">
        <v>0</v>
      </c>
      <c r="BA2312" s="1">
        <v>9</v>
      </c>
      <c r="BB2312" s="1">
        <v>0</v>
      </c>
      <c r="BC2312" s="1">
        <v>0</v>
      </c>
      <c r="BE2312" s="1">
        <v>27431882</v>
      </c>
    </row>
    <row r="2313" spans="1:57" x14ac:dyDescent="0.25">
      <c r="A2313" s="1" t="str">
        <f>T("1946641934962073216")</f>
        <v>1946641934962073216</v>
      </c>
      <c r="B2313" s="1" t="str">
        <f>T("249906455089")</f>
        <v>249906455089</v>
      </c>
      <c r="C2313" s="1" t="str">
        <f>T("1941094470854379444")</f>
        <v>1941094470854379444</v>
      </c>
      <c r="AC2313" s="1" t="s">
        <v>276</v>
      </c>
      <c r="AD2313" s="1" t="s">
        <v>517</v>
      </c>
      <c r="AE2313" s="1" t="s">
        <v>519</v>
      </c>
      <c r="AF2313" s="1" t="s">
        <v>107</v>
      </c>
      <c r="AO2313" s="2">
        <v>46280</v>
      </c>
      <c r="AP2313" s="1" t="s">
        <v>226</v>
      </c>
      <c r="AS2313" s="1" t="s">
        <v>71</v>
      </c>
      <c r="AU2313" s="1" t="s">
        <v>72</v>
      </c>
      <c r="AV2313" s="1" t="s">
        <v>437</v>
      </c>
      <c r="AX2313" s="1">
        <v>0</v>
      </c>
      <c r="BA2313" s="1">
        <v>9</v>
      </c>
      <c r="BB2313" s="1">
        <v>0</v>
      </c>
      <c r="BC2313" s="1">
        <v>0</v>
      </c>
      <c r="BE2313" s="1">
        <v>27431882</v>
      </c>
    </row>
    <row r="2314" spans="1:57" x14ac:dyDescent="0.25">
      <c r="A2314" s="1" t="str">
        <f>T("1946641934983041356")</f>
        <v>1946641934983041356</v>
      </c>
      <c r="B2314" s="1" t="str">
        <f>T("249917549984")</f>
        <v>249917549984</v>
      </c>
      <c r="C2314" s="1" t="str">
        <f>T("1941094470854379744")</f>
        <v>1941094470854379744</v>
      </c>
      <c r="AC2314" s="1" t="s">
        <v>276</v>
      </c>
      <c r="AD2314" s="1" t="s">
        <v>517</v>
      </c>
      <c r="AE2314" s="1" t="s">
        <v>520</v>
      </c>
      <c r="AF2314" s="1" t="s">
        <v>107</v>
      </c>
      <c r="AO2314" s="2">
        <v>46280</v>
      </c>
      <c r="AP2314" s="1" t="s">
        <v>226</v>
      </c>
      <c r="AS2314" s="1" t="s">
        <v>71</v>
      </c>
      <c r="AU2314" s="1" t="s">
        <v>72</v>
      </c>
      <c r="AV2314" s="1" t="s">
        <v>73</v>
      </c>
      <c r="AX2314" s="1">
        <v>0</v>
      </c>
      <c r="BA2314" s="1">
        <v>9</v>
      </c>
      <c r="BB2314" s="1">
        <v>0</v>
      </c>
      <c r="BC2314" s="1">
        <v>0</v>
      </c>
      <c r="BE2314" s="1">
        <v>27431882</v>
      </c>
    </row>
    <row r="2315" spans="1:57" x14ac:dyDescent="0.25">
      <c r="A2315" s="1" t="str">
        <f>T("1946641935008210604")</f>
        <v>1946641935008210604</v>
      </c>
      <c r="B2315" s="1" t="str">
        <f>T("249917863467")</f>
        <v>249917863467</v>
      </c>
      <c r="C2315" s="1" t="str">
        <f>T("1941094470854380144")</f>
        <v>1941094470854380144</v>
      </c>
      <c r="AC2315" s="1" t="s">
        <v>276</v>
      </c>
      <c r="AD2315" s="1" t="s">
        <v>517</v>
      </c>
      <c r="AE2315" s="1" t="s">
        <v>520</v>
      </c>
      <c r="AF2315" s="1" t="s">
        <v>107</v>
      </c>
      <c r="AO2315" s="2">
        <v>46280</v>
      </c>
      <c r="AP2315" s="1" t="s">
        <v>226</v>
      </c>
      <c r="AS2315" s="1" t="s">
        <v>71</v>
      </c>
      <c r="AU2315" s="1" t="s">
        <v>72</v>
      </c>
      <c r="AV2315" s="1" t="s">
        <v>73</v>
      </c>
      <c r="AX2315" s="1">
        <v>0</v>
      </c>
      <c r="BA2315" s="1">
        <v>9</v>
      </c>
      <c r="BB2315" s="1">
        <v>0</v>
      </c>
      <c r="BC2315" s="1">
        <v>0</v>
      </c>
      <c r="BE2315" s="1">
        <v>27431882</v>
      </c>
    </row>
    <row r="2316" spans="1:57" x14ac:dyDescent="0.25">
      <c r="A2316" s="1" t="str">
        <f>T("1946641935041762268")</f>
        <v>1946641935041762268</v>
      </c>
      <c r="B2316" s="1" t="str">
        <f>T("249918162514")</f>
        <v>249918162514</v>
      </c>
      <c r="C2316" s="1" t="str">
        <f>T("1941094470854380544")</f>
        <v>1941094470854380544</v>
      </c>
      <c r="AC2316" s="1" t="s">
        <v>276</v>
      </c>
      <c r="AD2316" s="1" t="s">
        <v>517</v>
      </c>
      <c r="AE2316" s="1" t="s">
        <v>520</v>
      </c>
      <c r="AF2316" s="1" t="s">
        <v>107</v>
      </c>
      <c r="AO2316" s="2">
        <v>46280</v>
      </c>
      <c r="AP2316" s="1" t="s">
        <v>226</v>
      </c>
      <c r="AS2316" s="1" t="s">
        <v>71</v>
      </c>
      <c r="AU2316" s="1" t="s">
        <v>72</v>
      </c>
      <c r="AV2316" s="1" t="s">
        <v>437</v>
      </c>
      <c r="AX2316" s="1">
        <v>0</v>
      </c>
      <c r="BA2316" s="1">
        <v>9</v>
      </c>
      <c r="BB2316" s="1">
        <v>0</v>
      </c>
      <c r="BC2316" s="1">
        <v>0</v>
      </c>
      <c r="BE2316" s="1">
        <v>27431882</v>
      </c>
    </row>
    <row r="2317" spans="1:57" x14ac:dyDescent="0.25">
      <c r="A2317" s="1" t="str">
        <f>T("1946641935058538800")</f>
        <v>1946641935058538800</v>
      </c>
      <c r="B2317" s="1" t="str">
        <f>T("249918168368")</f>
        <v>249918168368</v>
      </c>
      <c r="C2317" s="1" t="str">
        <f>T("1941094470854380944")</f>
        <v>1941094470854380944</v>
      </c>
      <c r="AC2317" s="1" t="s">
        <v>276</v>
      </c>
      <c r="AD2317" s="1" t="s">
        <v>517</v>
      </c>
      <c r="AE2317" s="1" t="s">
        <v>520</v>
      </c>
      <c r="AF2317" s="1" t="s">
        <v>107</v>
      </c>
      <c r="AO2317" s="2">
        <v>46280</v>
      </c>
      <c r="AP2317" s="1" t="s">
        <v>226</v>
      </c>
      <c r="AS2317" s="1" t="s">
        <v>71</v>
      </c>
      <c r="AU2317" s="1" t="s">
        <v>72</v>
      </c>
      <c r="AV2317" s="1" t="s">
        <v>73</v>
      </c>
      <c r="AX2317" s="1">
        <v>0</v>
      </c>
      <c r="BA2317" s="1">
        <v>9</v>
      </c>
      <c r="BB2317" s="1">
        <v>0</v>
      </c>
      <c r="BC2317" s="1">
        <v>0</v>
      </c>
      <c r="BE2317" s="1">
        <v>27431882</v>
      </c>
    </row>
    <row r="2318" spans="1:57" x14ac:dyDescent="0.25">
      <c r="A2318" s="1" t="str">
        <f>T("1946641935096287472")</f>
        <v>1946641935096287472</v>
      </c>
      <c r="B2318" s="1" t="str">
        <f>T("249912629334")</f>
        <v>249912629334</v>
      </c>
      <c r="C2318" s="1" t="str">
        <f>T("1941094470854381344")</f>
        <v>1941094470854381344</v>
      </c>
      <c r="AC2318" s="1" t="s">
        <v>276</v>
      </c>
      <c r="AD2318" s="1" t="s">
        <v>517</v>
      </c>
      <c r="AE2318" s="1" t="s">
        <v>280</v>
      </c>
      <c r="AF2318" s="1" t="s">
        <v>107</v>
      </c>
      <c r="AO2318" s="2">
        <v>46280</v>
      </c>
      <c r="AP2318" s="1" t="s">
        <v>226</v>
      </c>
      <c r="AS2318" s="1" t="s">
        <v>71</v>
      </c>
      <c r="AU2318" s="1" t="s">
        <v>72</v>
      </c>
      <c r="AV2318" s="1" t="s">
        <v>73</v>
      </c>
      <c r="AX2318" s="1">
        <v>0</v>
      </c>
      <c r="BA2318" s="1">
        <v>9</v>
      </c>
      <c r="BB2318" s="1">
        <v>0</v>
      </c>
      <c r="BC2318" s="1">
        <v>0</v>
      </c>
      <c r="BE2318" s="1">
        <v>27431882</v>
      </c>
    </row>
    <row r="2319" spans="1:57" x14ac:dyDescent="0.25">
      <c r="A2319" s="1" t="str">
        <f>T("1946641935121454120")</f>
        <v>1946641935121454120</v>
      </c>
      <c r="B2319" s="1" t="str">
        <f>T("249912886852")</f>
        <v>249912886852</v>
      </c>
      <c r="C2319" s="1" t="str">
        <f>T("1941094470858571852")</f>
        <v>1941094470858571852</v>
      </c>
      <c r="AC2319" s="1" t="s">
        <v>276</v>
      </c>
      <c r="AD2319" s="1" t="s">
        <v>517</v>
      </c>
      <c r="AE2319" s="1" t="s">
        <v>280</v>
      </c>
      <c r="AF2319" s="1" t="s">
        <v>107</v>
      </c>
      <c r="AO2319" s="2">
        <v>46280</v>
      </c>
      <c r="AP2319" s="1" t="s">
        <v>226</v>
      </c>
      <c r="AS2319" s="1" t="s">
        <v>71</v>
      </c>
      <c r="AU2319" s="1" t="s">
        <v>72</v>
      </c>
      <c r="AV2319" s="1" t="s">
        <v>437</v>
      </c>
      <c r="AX2319" s="1">
        <v>0</v>
      </c>
      <c r="BA2319" s="1">
        <v>9</v>
      </c>
      <c r="BB2319" s="1">
        <v>0</v>
      </c>
      <c r="BC2319" s="1">
        <v>0</v>
      </c>
      <c r="BE2319" s="1">
        <v>27431882</v>
      </c>
    </row>
    <row r="2320" spans="1:57" x14ac:dyDescent="0.25">
      <c r="A2320" s="1" t="str">
        <f>T("1946641935142427660")</f>
        <v>1946641935142427660</v>
      </c>
      <c r="B2320" s="1" t="str">
        <f>T("249912800632")</f>
        <v>249912800632</v>
      </c>
      <c r="C2320" s="1" t="str">
        <f>T("1941094470858575152")</f>
        <v>1941094470858575152</v>
      </c>
      <c r="AC2320" s="1" t="s">
        <v>276</v>
      </c>
      <c r="AD2320" s="1" t="s">
        <v>517</v>
      </c>
      <c r="AE2320" s="1" t="s">
        <v>280</v>
      </c>
      <c r="AF2320" s="1" t="s">
        <v>107</v>
      </c>
      <c r="AO2320" s="2">
        <v>46280</v>
      </c>
      <c r="AP2320" s="1" t="s">
        <v>226</v>
      </c>
      <c r="AS2320" s="1" t="s">
        <v>71</v>
      </c>
      <c r="AU2320" s="1" t="s">
        <v>72</v>
      </c>
      <c r="AV2320" s="1" t="s">
        <v>73</v>
      </c>
      <c r="AX2320" s="1">
        <v>0</v>
      </c>
      <c r="BA2320" s="1">
        <v>9</v>
      </c>
      <c r="BB2320" s="1">
        <v>0</v>
      </c>
      <c r="BC2320" s="1">
        <v>0</v>
      </c>
      <c r="BE2320" s="1">
        <v>27431882</v>
      </c>
    </row>
    <row r="2321" spans="1:57" x14ac:dyDescent="0.25">
      <c r="A2321" s="1" t="str">
        <f>T("1946641935222116512")</f>
        <v>1946641935222116512</v>
      </c>
      <c r="B2321" s="1" t="str">
        <f>T("249914723192")</f>
        <v>249914723192</v>
      </c>
      <c r="C2321" s="1" t="str">
        <f>T("1941094470862769760")</f>
        <v>1941094470862769760</v>
      </c>
      <c r="AC2321" s="1" t="s">
        <v>276</v>
      </c>
      <c r="AD2321" s="1" t="s">
        <v>517</v>
      </c>
      <c r="AE2321" s="1" t="s">
        <v>280</v>
      </c>
      <c r="AF2321" s="1" t="s">
        <v>107</v>
      </c>
      <c r="AO2321" s="2">
        <v>46280</v>
      </c>
      <c r="AP2321" s="1" t="s">
        <v>226</v>
      </c>
      <c r="AS2321" s="1" t="s">
        <v>71</v>
      </c>
      <c r="AU2321" s="1" t="s">
        <v>72</v>
      </c>
      <c r="AV2321" s="1" t="s">
        <v>437</v>
      </c>
      <c r="AX2321" s="1">
        <v>0</v>
      </c>
      <c r="BA2321" s="1">
        <v>9</v>
      </c>
      <c r="BB2321" s="1">
        <v>0</v>
      </c>
      <c r="BC2321" s="1">
        <v>0</v>
      </c>
      <c r="BE2321" s="1">
        <v>27431882</v>
      </c>
    </row>
    <row r="2322" spans="1:57" x14ac:dyDescent="0.25">
      <c r="A2322" s="1" t="str">
        <f>T("1946641935230508628")</f>
        <v>1946641935230508628</v>
      </c>
      <c r="B2322" s="1" t="str">
        <f>T("249914229226")</f>
        <v>249914229226</v>
      </c>
      <c r="C2322" s="1" t="str">
        <f>T("1941094470866960468")</f>
        <v>1941094470866960468</v>
      </c>
      <c r="AC2322" s="1" t="s">
        <v>276</v>
      </c>
      <c r="AD2322" s="1" t="s">
        <v>517</v>
      </c>
      <c r="AE2322" s="1" t="s">
        <v>280</v>
      </c>
      <c r="AF2322" s="1" t="s">
        <v>107</v>
      </c>
      <c r="AO2322" s="2">
        <v>46280</v>
      </c>
      <c r="AP2322" s="1" t="s">
        <v>226</v>
      </c>
      <c r="AS2322" s="1" t="s">
        <v>71</v>
      </c>
      <c r="AU2322" s="1" t="s">
        <v>72</v>
      </c>
      <c r="AV2322" s="1" t="s">
        <v>437</v>
      </c>
      <c r="AX2322" s="1">
        <v>0</v>
      </c>
      <c r="BA2322" s="1">
        <v>9</v>
      </c>
      <c r="BB2322" s="1">
        <v>0</v>
      </c>
      <c r="BC2322" s="1">
        <v>0</v>
      </c>
      <c r="BE2322" s="1">
        <v>27431882</v>
      </c>
    </row>
    <row r="2323" spans="1:57" x14ac:dyDescent="0.25">
      <c r="A2323" s="1" t="str">
        <f>T("1946641935335364728")</f>
        <v>1946641935335364728</v>
      </c>
      <c r="B2323" s="1" t="str">
        <f>T("249916783831")</f>
        <v>249916783831</v>
      </c>
      <c r="C2323" s="1" t="str">
        <f>T("1941094470866961568")</f>
        <v>1941094470866961568</v>
      </c>
      <c r="AC2323" s="1" t="s">
        <v>276</v>
      </c>
      <c r="AD2323" s="1" t="s">
        <v>517</v>
      </c>
      <c r="AE2323" s="1" t="s">
        <v>280</v>
      </c>
      <c r="AF2323" s="1" t="s">
        <v>144</v>
      </c>
      <c r="AO2323" s="2">
        <v>46280</v>
      </c>
      <c r="AP2323" s="1" t="s">
        <v>226</v>
      </c>
      <c r="AS2323" s="1" t="s">
        <v>71</v>
      </c>
      <c r="AU2323" s="1" t="s">
        <v>72</v>
      </c>
      <c r="AV2323" s="1" t="s">
        <v>73</v>
      </c>
      <c r="AX2323" s="1">
        <v>0</v>
      </c>
      <c r="BA2323" s="1">
        <v>9</v>
      </c>
      <c r="BB2323" s="1">
        <v>0</v>
      </c>
      <c r="BC2323" s="1">
        <v>0</v>
      </c>
      <c r="BE2323" s="1">
        <v>27431882</v>
      </c>
    </row>
    <row r="2324" spans="1:57" x14ac:dyDescent="0.25">
      <c r="A2324" s="1" t="str">
        <f>T("1946641935347947052")</f>
        <v>1946641935347947052</v>
      </c>
      <c r="B2324" s="1" t="str">
        <f>T("249914828782")</f>
        <v>249914828782</v>
      </c>
      <c r="C2324" s="1" t="str">
        <f>T("1941094470866962068")</f>
        <v>1941094470866962068</v>
      </c>
      <c r="AC2324" s="1" t="s">
        <v>276</v>
      </c>
      <c r="AD2324" s="1" t="s">
        <v>517</v>
      </c>
      <c r="AE2324" s="1" t="s">
        <v>282</v>
      </c>
      <c r="AF2324" s="1" t="s">
        <v>107</v>
      </c>
      <c r="AO2324" s="2">
        <v>46280</v>
      </c>
      <c r="AP2324" s="1" t="s">
        <v>226</v>
      </c>
      <c r="AS2324" s="1" t="s">
        <v>71</v>
      </c>
      <c r="AU2324" s="1" t="s">
        <v>72</v>
      </c>
      <c r="AV2324" s="1" t="s">
        <v>437</v>
      </c>
      <c r="AX2324" s="1">
        <v>0</v>
      </c>
      <c r="BA2324" s="1">
        <v>9</v>
      </c>
      <c r="BB2324" s="1">
        <v>0</v>
      </c>
      <c r="BC2324" s="1">
        <v>0</v>
      </c>
      <c r="BE2324" s="1">
        <v>27431882</v>
      </c>
    </row>
    <row r="2325" spans="1:57" x14ac:dyDescent="0.25">
      <c r="A2325" s="1" t="str">
        <f>T("1946641935410860872")</f>
        <v>1946641935410860872</v>
      </c>
      <c r="B2325" s="1" t="str">
        <f>T("249967961828")</f>
        <v>249967961828</v>
      </c>
      <c r="C2325" s="1" t="str">
        <f>T("1941094470866964468")</f>
        <v>1941094470866964468</v>
      </c>
      <c r="AC2325" s="1" t="s">
        <v>276</v>
      </c>
      <c r="AD2325" s="1" t="s">
        <v>517</v>
      </c>
      <c r="AE2325" s="1" t="s">
        <v>282</v>
      </c>
      <c r="AF2325" s="1" t="s">
        <v>107</v>
      </c>
      <c r="AO2325" s="2">
        <v>46280</v>
      </c>
      <c r="AP2325" s="1" t="s">
        <v>226</v>
      </c>
      <c r="AS2325" s="1" t="s">
        <v>71</v>
      </c>
      <c r="AU2325" s="1" t="s">
        <v>72</v>
      </c>
      <c r="AV2325" s="1" t="s">
        <v>126</v>
      </c>
      <c r="AX2325" s="1">
        <v>0</v>
      </c>
      <c r="BA2325" s="1">
        <v>9</v>
      </c>
      <c r="BB2325" s="1">
        <v>0</v>
      </c>
      <c r="BC2325" s="1">
        <v>0</v>
      </c>
      <c r="BE2325" s="1">
        <v>27431882</v>
      </c>
    </row>
    <row r="2326" spans="1:57" x14ac:dyDescent="0.25">
      <c r="A2326" s="1" t="str">
        <f>T("1946641935494750032")</f>
        <v>1946641935494750032</v>
      </c>
      <c r="B2326" s="1" t="str">
        <f>T("249915597037")</f>
        <v>249915597037</v>
      </c>
      <c r="C2326" s="1" t="str">
        <f>T("1941094470871154976")</f>
        <v>1941094470871154976</v>
      </c>
      <c r="AC2326" s="1" t="s">
        <v>276</v>
      </c>
      <c r="AD2326" s="1" t="s">
        <v>517</v>
      </c>
      <c r="AE2326" s="1" t="s">
        <v>282</v>
      </c>
      <c r="AF2326" s="1" t="s">
        <v>144</v>
      </c>
      <c r="AO2326" s="2">
        <v>46280</v>
      </c>
      <c r="AP2326" s="1" t="s">
        <v>226</v>
      </c>
      <c r="AS2326" s="1" t="s">
        <v>71</v>
      </c>
      <c r="AU2326" s="1" t="s">
        <v>72</v>
      </c>
      <c r="AV2326" s="1" t="s">
        <v>73</v>
      </c>
      <c r="AX2326" s="1">
        <v>0</v>
      </c>
      <c r="BA2326" s="1">
        <v>9</v>
      </c>
      <c r="BB2326" s="1">
        <v>0</v>
      </c>
      <c r="BC2326" s="1">
        <v>0</v>
      </c>
      <c r="BE2326" s="1">
        <v>27431882</v>
      </c>
    </row>
    <row r="2327" spans="1:57" x14ac:dyDescent="0.25">
      <c r="A2327" s="1" t="str">
        <f>T("1946641935515719272")</f>
        <v>1946641935515719272</v>
      </c>
      <c r="B2327" s="1" t="str">
        <f>T("249913145077")</f>
        <v>249913145077</v>
      </c>
      <c r="C2327" s="1" t="str">
        <f>T("1941094470871155276")</f>
        <v>1941094470871155276</v>
      </c>
      <c r="AC2327" s="1" t="s">
        <v>276</v>
      </c>
      <c r="AD2327" s="1" t="s">
        <v>517</v>
      </c>
      <c r="AE2327" s="1" t="s">
        <v>282</v>
      </c>
      <c r="AF2327" s="1" t="s">
        <v>107</v>
      </c>
      <c r="AO2327" s="2">
        <v>46280</v>
      </c>
      <c r="AP2327" s="1" t="s">
        <v>226</v>
      </c>
      <c r="AS2327" s="1" t="s">
        <v>71</v>
      </c>
      <c r="AU2327" s="1" t="s">
        <v>72</v>
      </c>
      <c r="AV2327" s="1" t="s">
        <v>73</v>
      </c>
      <c r="AX2327" s="1">
        <v>0</v>
      </c>
      <c r="BA2327" s="1">
        <v>9</v>
      </c>
      <c r="BB2327" s="1">
        <v>0</v>
      </c>
      <c r="BC2327" s="1">
        <v>0</v>
      </c>
      <c r="BE2327" s="1">
        <v>27431882</v>
      </c>
    </row>
    <row r="2328" spans="1:57" x14ac:dyDescent="0.25">
      <c r="A2328" s="1" t="str">
        <f>T("1946641935570244876")</f>
        <v>1946641935570244876</v>
      </c>
      <c r="B2328" s="1" t="str">
        <f>T("249960345513")</f>
        <v>249960345513</v>
      </c>
      <c r="C2328" s="1" t="str">
        <f>T("1941094470871156076")</f>
        <v>1941094470871156076</v>
      </c>
      <c r="AC2328" s="1" t="s">
        <v>276</v>
      </c>
      <c r="AD2328" s="1" t="s">
        <v>517</v>
      </c>
      <c r="AE2328" s="1" t="s">
        <v>282</v>
      </c>
      <c r="AF2328" s="1" t="s">
        <v>144</v>
      </c>
      <c r="AO2328" s="2">
        <v>46280</v>
      </c>
      <c r="AP2328" s="1" t="s">
        <v>226</v>
      </c>
      <c r="AS2328" s="1" t="s">
        <v>71</v>
      </c>
      <c r="AU2328" s="1" t="s">
        <v>72</v>
      </c>
      <c r="AV2328" s="1" t="s">
        <v>437</v>
      </c>
      <c r="AX2328" s="1">
        <v>0</v>
      </c>
      <c r="BA2328" s="1">
        <v>9</v>
      </c>
      <c r="BB2328" s="1">
        <v>0</v>
      </c>
      <c r="BC2328" s="1">
        <v>0</v>
      </c>
      <c r="BE2328" s="1">
        <v>27431882</v>
      </c>
    </row>
    <row r="2329" spans="1:57" x14ac:dyDescent="0.25">
      <c r="A2329" s="1" t="str">
        <f>T("1946641935587024508")</f>
        <v>1946641935587024508</v>
      </c>
      <c r="B2329" s="1" t="str">
        <f>T("249967981646")</f>
        <v>249967981646</v>
      </c>
      <c r="C2329" s="1" t="str">
        <f>T("1941094470871156376")</f>
        <v>1941094470871156376</v>
      </c>
      <c r="AC2329" s="1" t="s">
        <v>276</v>
      </c>
      <c r="AD2329" s="1" t="s">
        <v>517</v>
      </c>
      <c r="AE2329" s="1" t="s">
        <v>521</v>
      </c>
      <c r="AF2329" s="1" t="s">
        <v>144</v>
      </c>
      <c r="AG2329" s="1">
        <v>26</v>
      </c>
      <c r="AO2329" s="2">
        <v>46280</v>
      </c>
      <c r="AP2329" s="1" t="s">
        <v>226</v>
      </c>
      <c r="AS2329" s="1" t="s">
        <v>71</v>
      </c>
      <c r="AU2329" s="1" t="s">
        <v>72</v>
      </c>
      <c r="AV2329" s="1" t="s">
        <v>437</v>
      </c>
      <c r="AX2329" s="1">
        <v>0</v>
      </c>
      <c r="BA2329" s="1">
        <v>9</v>
      </c>
      <c r="BB2329" s="1">
        <v>0</v>
      </c>
      <c r="BC2329" s="1">
        <v>0</v>
      </c>
      <c r="BE2329" s="1">
        <v>27431882</v>
      </c>
    </row>
    <row r="2330" spans="1:57" x14ac:dyDescent="0.25">
      <c r="A2330" s="1" t="str">
        <f>T("1946641935641548512")</f>
        <v>1946641935641548512</v>
      </c>
      <c r="B2330" s="1" t="str">
        <f>T("249915023507")</f>
        <v>249915023507</v>
      </c>
      <c r="C2330" s="1" t="str">
        <f>T("1941094470871157976")</f>
        <v>1941094470871157976</v>
      </c>
      <c r="AC2330" s="1" t="s">
        <v>276</v>
      </c>
      <c r="AD2330" s="1" t="s">
        <v>298</v>
      </c>
      <c r="AE2330" s="1" t="s">
        <v>526</v>
      </c>
      <c r="AF2330" s="1" t="s">
        <v>144</v>
      </c>
      <c r="AG2330" s="1">
        <v>30</v>
      </c>
      <c r="AO2330" s="2">
        <v>46280</v>
      </c>
      <c r="AP2330" s="1" t="s">
        <v>226</v>
      </c>
      <c r="AS2330" s="1" t="s">
        <v>71</v>
      </c>
      <c r="AU2330" s="1" t="s">
        <v>72</v>
      </c>
      <c r="AV2330" s="1" t="s">
        <v>73</v>
      </c>
      <c r="AX2330" s="1">
        <v>0</v>
      </c>
      <c r="BA2330" s="1">
        <v>9</v>
      </c>
      <c r="BB2330" s="1">
        <v>0</v>
      </c>
      <c r="BC2330" s="1">
        <v>0</v>
      </c>
      <c r="BE2330" s="1">
        <v>27431882</v>
      </c>
    </row>
    <row r="2331" spans="1:57" x14ac:dyDescent="0.25">
      <c r="A2331" s="1" t="str">
        <f>T("1946641935649935628")</f>
        <v>1946641935649935628</v>
      </c>
      <c r="B2331" s="1" t="str">
        <f>T("249968170952")</f>
        <v>249968170952</v>
      </c>
      <c r="C2331" s="1" t="str">
        <f>T("1941094470871158376")</f>
        <v>1941094470871158376</v>
      </c>
      <c r="AC2331" s="1" t="s">
        <v>276</v>
      </c>
      <c r="AD2331" s="1" t="s">
        <v>298</v>
      </c>
      <c r="AE2331" s="1" t="s">
        <v>526</v>
      </c>
      <c r="AF2331" s="1" t="s">
        <v>144</v>
      </c>
      <c r="AG2331" s="1">
        <v>19</v>
      </c>
      <c r="AO2331" s="2">
        <v>46280</v>
      </c>
      <c r="AP2331" s="1" t="s">
        <v>226</v>
      </c>
      <c r="AS2331" s="1" t="s">
        <v>71</v>
      </c>
      <c r="AU2331" s="1" t="s">
        <v>72</v>
      </c>
      <c r="AV2331" s="1" t="s">
        <v>126</v>
      </c>
      <c r="AX2331" s="1">
        <v>0</v>
      </c>
      <c r="BA2331" s="1">
        <v>9</v>
      </c>
      <c r="BB2331" s="1">
        <v>0</v>
      </c>
      <c r="BC2331" s="1">
        <v>0</v>
      </c>
      <c r="BE2331" s="1">
        <v>27431882</v>
      </c>
    </row>
    <row r="2332" spans="1:57" x14ac:dyDescent="0.25">
      <c r="A2332" s="1" t="str">
        <f>T("1946641935662522152")</f>
        <v>1946641935662522152</v>
      </c>
      <c r="B2332" s="1" t="str">
        <f>T("249908237964")</f>
        <v>249908237964</v>
      </c>
      <c r="C2332" s="1" t="str">
        <f>T("1941094470875349684")</f>
        <v>1941094470875349684</v>
      </c>
      <c r="AC2332" s="1" t="s">
        <v>344</v>
      </c>
      <c r="AD2332" s="1" t="s">
        <v>524</v>
      </c>
      <c r="AE2332" s="1" t="s">
        <v>527</v>
      </c>
      <c r="AF2332" s="1" t="s">
        <v>144</v>
      </c>
      <c r="AG2332" s="1">
        <v>0</v>
      </c>
      <c r="AO2332" s="2">
        <v>46280</v>
      </c>
      <c r="AP2332" s="1" t="s">
        <v>226</v>
      </c>
      <c r="AS2332" s="1" t="s">
        <v>71</v>
      </c>
      <c r="AU2332" s="1" t="s">
        <v>72</v>
      </c>
      <c r="AV2332" s="1" t="s">
        <v>73</v>
      </c>
      <c r="AX2332" s="1">
        <v>0</v>
      </c>
      <c r="BA2332" s="1">
        <v>9</v>
      </c>
      <c r="BB2332" s="1">
        <v>0</v>
      </c>
      <c r="BC2332" s="1">
        <v>0</v>
      </c>
      <c r="BE2332" s="1">
        <v>27431882</v>
      </c>
    </row>
    <row r="2333" spans="1:57" x14ac:dyDescent="0.25">
      <c r="A2333" s="1" t="str">
        <f>T("1946641935687685600")</f>
        <v>1946641935687685600</v>
      </c>
      <c r="B2333" s="1" t="str">
        <f>T("24996353352")</f>
        <v>24996353352</v>
      </c>
      <c r="C2333" s="1" t="str">
        <f>T("1941094470875350284")</f>
        <v>1941094470875350284</v>
      </c>
      <c r="AC2333" s="1" t="s">
        <v>344</v>
      </c>
      <c r="AD2333" s="1" t="s">
        <v>345</v>
      </c>
      <c r="AE2333" s="1" t="s">
        <v>522</v>
      </c>
      <c r="AF2333" s="1" t="s">
        <v>144</v>
      </c>
      <c r="AG2333" s="1">
        <v>33</v>
      </c>
      <c r="AO2333" s="2">
        <v>46280</v>
      </c>
      <c r="AP2333" s="1" t="s">
        <v>226</v>
      </c>
      <c r="AS2333" s="1" t="s">
        <v>71</v>
      </c>
      <c r="AU2333" s="1" t="s">
        <v>72</v>
      </c>
      <c r="AV2333" s="1" t="s">
        <v>73</v>
      </c>
      <c r="AX2333" s="1">
        <v>0</v>
      </c>
      <c r="BA2333" s="1">
        <v>9</v>
      </c>
      <c r="BB2333" s="1">
        <v>0</v>
      </c>
      <c r="BC2333" s="1">
        <v>0</v>
      </c>
      <c r="BE2333" s="1">
        <v>27431882</v>
      </c>
    </row>
    <row r="2334" spans="1:57" x14ac:dyDescent="0.25">
      <c r="A2334" s="1" t="str">
        <f>T("1946641935704464632")</f>
        <v>1946641935704464632</v>
      </c>
      <c r="B2334" s="1" t="str">
        <f>T("249905050565")</f>
        <v>249905050565</v>
      </c>
      <c r="C2334" s="1" t="str">
        <f>T("1941094470875350684")</f>
        <v>1941094470875350684</v>
      </c>
      <c r="AC2334" s="1" t="s">
        <v>344</v>
      </c>
      <c r="AD2334" s="1" t="s">
        <v>524</v>
      </c>
      <c r="AE2334" s="1" t="s">
        <v>528</v>
      </c>
      <c r="AF2334" s="1" t="s">
        <v>144</v>
      </c>
      <c r="AG2334" s="1" t="s">
        <v>529</v>
      </c>
      <c r="AO2334" s="2">
        <v>46280</v>
      </c>
      <c r="AP2334" s="1" t="s">
        <v>226</v>
      </c>
      <c r="AS2334" s="1" t="s">
        <v>71</v>
      </c>
      <c r="AU2334" s="1" t="s">
        <v>72</v>
      </c>
      <c r="AV2334" s="1" t="s">
        <v>437</v>
      </c>
      <c r="AX2334" s="1">
        <v>0</v>
      </c>
      <c r="BA2334" s="1">
        <v>9</v>
      </c>
      <c r="BB2334" s="1">
        <v>0</v>
      </c>
      <c r="BC2334" s="1">
        <v>0</v>
      </c>
      <c r="BE2334" s="1">
        <v>27431882</v>
      </c>
    </row>
    <row r="2335" spans="1:57" x14ac:dyDescent="0.25">
      <c r="A2335" s="1" t="str">
        <f>T("1946641935750599520")</f>
        <v>1946641935750599520</v>
      </c>
      <c r="B2335" s="1" t="str">
        <f>T("249964684052")</f>
        <v>249964684052</v>
      </c>
      <c r="C2335" s="1" t="str">
        <f>T("1941094470875351184")</f>
        <v>1941094470875351184</v>
      </c>
      <c r="AC2335" s="1" t="s">
        <v>344</v>
      </c>
      <c r="AD2335" s="1" t="s">
        <v>524</v>
      </c>
      <c r="AE2335" s="1" t="s">
        <v>528</v>
      </c>
      <c r="AF2335" s="1" t="s">
        <v>144</v>
      </c>
      <c r="AG2335" s="1" t="s">
        <v>529</v>
      </c>
      <c r="AO2335" s="2">
        <v>46280</v>
      </c>
      <c r="AP2335" s="1" t="s">
        <v>226</v>
      </c>
      <c r="AS2335" s="1" t="s">
        <v>71</v>
      </c>
      <c r="AU2335" s="1" t="s">
        <v>72</v>
      </c>
      <c r="AV2335" s="1" t="s">
        <v>437</v>
      </c>
      <c r="AX2335" s="1">
        <v>0</v>
      </c>
      <c r="BA2335" s="1">
        <v>9</v>
      </c>
      <c r="BB2335" s="1">
        <v>0</v>
      </c>
      <c r="BC2335" s="1">
        <v>0</v>
      </c>
      <c r="BE2335" s="1">
        <v>27431882</v>
      </c>
    </row>
    <row r="2336" spans="1:57" x14ac:dyDescent="0.25">
      <c r="A2336" s="1" t="str">
        <f>T("1946641935754793828")</f>
        <v>1946641935754793828</v>
      </c>
      <c r="B2336" s="1" t="str">
        <f>T("249916108417")</f>
        <v>249916108417</v>
      </c>
      <c r="C2336" s="1" t="str">
        <f>T("1941094470879543692")</f>
        <v>1941094470879543692</v>
      </c>
      <c r="AC2336" s="1" t="s">
        <v>366</v>
      </c>
      <c r="AD2336" s="1" t="s">
        <v>367</v>
      </c>
      <c r="AE2336" s="1" t="s">
        <v>368</v>
      </c>
      <c r="AF2336" s="1" t="s">
        <v>144</v>
      </c>
      <c r="AG2336" s="1">
        <v>36</v>
      </c>
      <c r="AO2336" s="2">
        <v>46280</v>
      </c>
      <c r="AP2336" s="1" t="s">
        <v>226</v>
      </c>
      <c r="AS2336" s="1" t="s">
        <v>71</v>
      </c>
      <c r="AU2336" s="1" t="s">
        <v>72</v>
      </c>
      <c r="AV2336" s="1" t="s">
        <v>437</v>
      </c>
      <c r="AX2336" s="1">
        <v>0</v>
      </c>
      <c r="BA2336" s="1">
        <v>9</v>
      </c>
      <c r="BB2336" s="1">
        <v>0</v>
      </c>
      <c r="BC2336" s="1">
        <v>0</v>
      </c>
      <c r="BE2336" s="1">
        <v>27431882</v>
      </c>
    </row>
    <row r="2337" spans="1:57" x14ac:dyDescent="0.25">
      <c r="A2337" s="1" t="str">
        <f>T("1946641935842873496")</f>
        <v>1946641935842873496</v>
      </c>
      <c r="B2337" s="1" t="str">
        <f>T("249904138738")</f>
        <v>249904138738</v>
      </c>
      <c r="C2337" s="1" t="str">
        <f>T("1941094470883739500")</f>
        <v>1941094470883739500</v>
      </c>
      <c r="AC2337" s="1" t="s">
        <v>344</v>
      </c>
      <c r="AD2337" s="1" t="s">
        <v>524</v>
      </c>
      <c r="AE2337" s="1" t="s">
        <v>528</v>
      </c>
      <c r="AF2337" s="1" t="s">
        <v>144</v>
      </c>
      <c r="AG2337" s="1" t="s">
        <v>529</v>
      </c>
      <c r="AO2337" s="2">
        <v>46280</v>
      </c>
      <c r="AP2337" s="1" t="s">
        <v>226</v>
      </c>
      <c r="AS2337" s="1" t="s">
        <v>71</v>
      </c>
      <c r="AU2337" s="1" t="s">
        <v>72</v>
      </c>
      <c r="AV2337" s="1" t="s">
        <v>437</v>
      </c>
      <c r="AX2337" s="1">
        <v>0</v>
      </c>
      <c r="BA2337" s="1">
        <v>9</v>
      </c>
      <c r="BB2337" s="1">
        <v>0</v>
      </c>
      <c r="BC2337" s="1">
        <v>0</v>
      </c>
      <c r="BE2337" s="1">
        <v>27431882</v>
      </c>
    </row>
    <row r="2338" spans="1:57" x14ac:dyDescent="0.25">
      <c r="A2338" s="1" t="str">
        <f>T("1946641935884817576")</f>
        <v>1946641935884817576</v>
      </c>
      <c r="B2338" s="1" t="str">
        <f>T("249919263641")</f>
        <v>249919263641</v>
      </c>
      <c r="C2338" s="1" t="str">
        <f>T("1941094470883740000")</f>
        <v>1941094470883740000</v>
      </c>
      <c r="AC2338" s="1" t="s">
        <v>276</v>
      </c>
      <c r="AD2338" s="1" t="s">
        <v>517</v>
      </c>
      <c r="AE2338" s="1" t="s">
        <v>530</v>
      </c>
      <c r="AF2338" s="1" t="s">
        <v>144</v>
      </c>
      <c r="AG2338" s="1">
        <v>38</v>
      </c>
      <c r="AO2338" s="2">
        <v>46280</v>
      </c>
      <c r="AP2338" s="1" t="s">
        <v>226</v>
      </c>
      <c r="AS2338" s="1" t="s">
        <v>71</v>
      </c>
      <c r="AU2338" s="1" t="s">
        <v>72</v>
      </c>
      <c r="AV2338" s="1" t="s">
        <v>126</v>
      </c>
      <c r="AX2338" s="1">
        <v>0</v>
      </c>
      <c r="BA2338" s="1">
        <v>9</v>
      </c>
      <c r="BB2338" s="1">
        <v>0</v>
      </c>
      <c r="BC2338" s="1">
        <v>0</v>
      </c>
      <c r="BE2338" s="1">
        <v>27431882</v>
      </c>
    </row>
    <row r="2339" spans="1:57" x14ac:dyDescent="0.25">
      <c r="A2339" s="1" t="str">
        <f>T("1946641935905788816")</f>
        <v>1946641935905788816</v>
      </c>
      <c r="B2339" s="1" t="str">
        <f>T("249908706206")</f>
        <v>249908706206</v>
      </c>
      <c r="C2339" s="1" t="str">
        <f>T("1941094470883740400")</f>
        <v>1941094470883740400</v>
      </c>
      <c r="AC2339" s="1" t="s">
        <v>344</v>
      </c>
      <c r="AD2339" s="1" t="s">
        <v>430</v>
      </c>
      <c r="AE2339" s="1" t="s">
        <v>531</v>
      </c>
      <c r="AF2339" s="1" t="s">
        <v>144</v>
      </c>
      <c r="AG2339" s="1">
        <v>0</v>
      </c>
      <c r="AO2339" s="2">
        <v>46280</v>
      </c>
      <c r="AP2339" s="1" t="s">
        <v>226</v>
      </c>
      <c r="AS2339" s="1" t="s">
        <v>71</v>
      </c>
      <c r="AU2339" s="1" t="s">
        <v>72</v>
      </c>
      <c r="AV2339" s="1" t="s">
        <v>437</v>
      </c>
      <c r="AX2339" s="1">
        <v>0</v>
      </c>
      <c r="BA2339" s="1">
        <v>9</v>
      </c>
      <c r="BB2339" s="1">
        <v>0</v>
      </c>
      <c r="BC2339" s="1">
        <v>0</v>
      </c>
      <c r="BE2339" s="1">
        <v>27431882</v>
      </c>
    </row>
    <row r="2340" spans="1:57" x14ac:dyDescent="0.25">
      <c r="A2340" s="1" t="str">
        <f>T("1946641935926759656")</f>
        <v>1946641935926759656</v>
      </c>
      <c r="B2340" s="1" t="str">
        <f>T("249917056233")</f>
        <v>249917056233</v>
      </c>
      <c r="C2340" s="1" t="str">
        <f>T("1941094470883741000")</f>
        <v>1941094470883741000</v>
      </c>
      <c r="AC2340" s="1" t="s">
        <v>344</v>
      </c>
      <c r="AD2340" s="1" t="s">
        <v>524</v>
      </c>
      <c r="AE2340" s="1" t="s">
        <v>528</v>
      </c>
      <c r="AF2340" s="1" t="s">
        <v>144</v>
      </c>
      <c r="AG2340" s="1" t="s">
        <v>529</v>
      </c>
      <c r="AO2340" s="2">
        <v>46280</v>
      </c>
      <c r="AP2340" s="1" t="s">
        <v>226</v>
      </c>
      <c r="AS2340" s="1" t="s">
        <v>71</v>
      </c>
      <c r="AU2340" s="1" t="s">
        <v>72</v>
      </c>
      <c r="AV2340" s="1" t="s">
        <v>73</v>
      </c>
      <c r="AX2340" s="1">
        <v>0</v>
      </c>
      <c r="BA2340" s="1">
        <v>9</v>
      </c>
      <c r="BB2340" s="1">
        <v>0</v>
      </c>
      <c r="BC2340" s="1">
        <v>0</v>
      </c>
      <c r="BE2340" s="1">
        <v>27431882</v>
      </c>
    </row>
    <row r="2341" spans="1:57" x14ac:dyDescent="0.25">
      <c r="A2341" s="1" t="str">
        <f>T("1946641935947732596")</f>
        <v>1946641935947732596</v>
      </c>
      <c r="B2341" s="1" t="str">
        <f>T("249968121389")</f>
        <v>249968121389</v>
      </c>
      <c r="C2341" s="1" t="str">
        <f>T("1941094470883741500")</f>
        <v>1941094470883741500</v>
      </c>
      <c r="AC2341" s="1" t="s">
        <v>344</v>
      </c>
      <c r="AD2341" s="1" t="s">
        <v>430</v>
      </c>
      <c r="AE2341" s="1" t="s">
        <v>532</v>
      </c>
      <c r="AF2341" s="1" t="s">
        <v>144</v>
      </c>
      <c r="AG2341" s="1">
        <v>0</v>
      </c>
      <c r="AO2341" s="2">
        <v>46280</v>
      </c>
      <c r="AP2341" s="1" t="s">
        <v>226</v>
      </c>
      <c r="AS2341" s="1" t="s">
        <v>71</v>
      </c>
      <c r="AU2341" s="1" t="s">
        <v>72</v>
      </c>
      <c r="AV2341" s="1" t="s">
        <v>126</v>
      </c>
      <c r="AX2341" s="1">
        <v>0</v>
      </c>
      <c r="BA2341" s="1">
        <v>9</v>
      </c>
      <c r="BB2341" s="1">
        <v>0</v>
      </c>
      <c r="BC2341" s="1">
        <v>0</v>
      </c>
      <c r="BE2341" s="1">
        <v>27431882</v>
      </c>
    </row>
    <row r="2342" spans="1:57" x14ac:dyDescent="0.25">
      <c r="A2342" s="1" t="str">
        <f>T("1946641935989674476")</f>
        <v>1946641935989674476</v>
      </c>
      <c r="B2342" s="1" t="str">
        <f>T("249903543989")</f>
        <v>249903543989</v>
      </c>
      <c r="C2342" s="1" t="str">
        <f>T("1941094470887932508")</f>
        <v>1941094470887932508</v>
      </c>
      <c r="AC2342" s="1" t="s">
        <v>276</v>
      </c>
      <c r="AD2342" s="1" t="s">
        <v>277</v>
      </c>
      <c r="AE2342" s="1" t="s">
        <v>530</v>
      </c>
      <c r="AF2342" s="1" t="s">
        <v>144</v>
      </c>
      <c r="AG2342" s="1">
        <v>21</v>
      </c>
      <c r="AO2342" s="2">
        <v>46280</v>
      </c>
      <c r="AP2342" s="1" t="s">
        <v>226</v>
      </c>
      <c r="AS2342" s="1" t="s">
        <v>71</v>
      </c>
      <c r="AU2342" s="1" t="s">
        <v>72</v>
      </c>
      <c r="AV2342" s="1" t="s">
        <v>73</v>
      </c>
      <c r="AX2342" s="1">
        <v>0</v>
      </c>
      <c r="BA2342" s="1">
        <v>9</v>
      </c>
      <c r="BB2342" s="1">
        <v>0</v>
      </c>
      <c r="BC2342" s="1">
        <v>0</v>
      </c>
      <c r="BE2342" s="1">
        <v>27431882</v>
      </c>
    </row>
    <row r="2343" spans="1:57" x14ac:dyDescent="0.25">
      <c r="A2343" s="1" t="str">
        <f>T("1946641936019035332")</f>
        <v>1946641936019035332</v>
      </c>
      <c r="B2343" s="1" t="str">
        <f>T("249969205566")</f>
        <v>249969205566</v>
      </c>
      <c r="C2343" s="1" t="str">
        <f>T("1941094470887933208")</f>
        <v>1941094470887933208</v>
      </c>
      <c r="AC2343" s="1" t="s">
        <v>276</v>
      </c>
      <c r="AD2343" s="1" t="s">
        <v>517</v>
      </c>
      <c r="AE2343" s="1" t="s">
        <v>530</v>
      </c>
      <c r="AF2343" s="1" t="s">
        <v>144</v>
      </c>
      <c r="AG2343" s="1">
        <v>24</v>
      </c>
      <c r="AO2343" s="2">
        <v>46280</v>
      </c>
      <c r="AP2343" s="1" t="s">
        <v>226</v>
      </c>
      <c r="AS2343" s="1" t="s">
        <v>71</v>
      </c>
      <c r="AU2343" s="1" t="s">
        <v>72</v>
      </c>
      <c r="AV2343" s="1" t="s">
        <v>73</v>
      </c>
      <c r="AX2343" s="1">
        <v>0</v>
      </c>
      <c r="BA2343" s="1">
        <v>9</v>
      </c>
      <c r="BB2343" s="1">
        <v>0</v>
      </c>
      <c r="BC2343" s="1">
        <v>0</v>
      </c>
      <c r="BE2343" s="1">
        <v>27431882</v>
      </c>
    </row>
    <row r="2344" spans="1:57" x14ac:dyDescent="0.25">
      <c r="A2344" s="1" t="str">
        <f>T("1946641936048396588")</f>
        <v>1946641936048396588</v>
      </c>
      <c r="B2344" s="1" t="str">
        <f>T("249904425002")</f>
        <v>249904425002</v>
      </c>
      <c r="C2344" s="1" t="str">
        <f>T("1941094470887935908")</f>
        <v>1941094470887935908</v>
      </c>
      <c r="AC2344" s="1" t="s">
        <v>344</v>
      </c>
      <c r="AD2344" s="1" t="s">
        <v>524</v>
      </c>
      <c r="AE2344" s="1" t="s">
        <v>527</v>
      </c>
      <c r="AF2344" s="1" t="s">
        <v>144</v>
      </c>
      <c r="AG2344" s="1">
        <v>0</v>
      </c>
      <c r="AO2344" s="2">
        <v>46280</v>
      </c>
      <c r="AP2344" s="1" t="s">
        <v>226</v>
      </c>
      <c r="AS2344" s="1" t="s">
        <v>71</v>
      </c>
      <c r="AU2344" s="1" t="s">
        <v>72</v>
      </c>
      <c r="AV2344" s="1" t="s">
        <v>73</v>
      </c>
      <c r="AX2344" s="1">
        <v>0</v>
      </c>
      <c r="BA2344" s="1">
        <v>9</v>
      </c>
      <c r="BB2344" s="1">
        <v>0</v>
      </c>
      <c r="BC2344" s="1">
        <v>0</v>
      </c>
      <c r="BE2344" s="1">
        <v>27431882</v>
      </c>
    </row>
    <row r="2345" spans="1:57" x14ac:dyDescent="0.25">
      <c r="A2345" s="1" t="str">
        <f>T("1946641936060980612")</f>
        <v>1946641936060980612</v>
      </c>
      <c r="B2345" s="1" t="str">
        <f>T("249901102110")</f>
        <v>249901102110</v>
      </c>
      <c r="C2345" s="1" t="str">
        <f>T("1941094470892129016")</f>
        <v>1941094470892129016</v>
      </c>
      <c r="AC2345" s="1" t="s">
        <v>190</v>
      </c>
      <c r="AD2345" s="1" t="s">
        <v>274</v>
      </c>
      <c r="AE2345" s="1" t="s">
        <v>275</v>
      </c>
      <c r="AF2345" s="1" t="s">
        <v>107</v>
      </c>
      <c r="AG2345" s="1">
        <v>0</v>
      </c>
      <c r="AO2345" s="2">
        <v>46280</v>
      </c>
      <c r="AP2345" s="1" t="s">
        <v>226</v>
      </c>
      <c r="AS2345" s="1" t="s">
        <v>71</v>
      </c>
      <c r="AU2345" s="1" t="s">
        <v>72</v>
      </c>
      <c r="AV2345" s="1" t="s">
        <v>437</v>
      </c>
      <c r="AX2345" s="1">
        <v>0</v>
      </c>
      <c r="BA2345" s="1">
        <v>9</v>
      </c>
      <c r="BB2345" s="1">
        <v>0</v>
      </c>
      <c r="BC2345" s="1">
        <v>0</v>
      </c>
      <c r="BE2345" s="1">
        <v>27431882</v>
      </c>
    </row>
    <row r="2346" spans="1:57" x14ac:dyDescent="0.25">
      <c r="A2346" s="1" t="str">
        <f>T("1946641936090339468")</f>
        <v>1946641936090339468</v>
      </c>
      <c r="B2346" s="1" t="str">
        <f>T("249905793583")</f>
        <v>249905793583</v>
      </c>
      <c r="C2346" s="1" t="str">
        <f>T("1941094470892130116")</f>
        <v>1941094470892130116</v>
      </c>
      <c r="AC2346" s="1" t="s">
        <v>344</v>
      </c>
      <c r="AD2346" s="1" t="s">
        <v>430</v>
      </c>
      <c r="AE2346" s="1" t="s">
        <v>531</v>
      </c>
      <c r="AF2346" s="1" t="s">
        <v>144</v>
      </c>
      <c r="AG2346" s="1">
        <v>0</v>
      </c>
      <c r="AO2346" s="2">
        <v>46280</v>
      </c>
      <c r="AP2346" s="1" t="s">
        <v>226</v>
      </c>
      <c r="AS2346" s="1" t="s">
        <v>71</v>
      </c>
      <c r="AU2346" s="1" t="s">
        <v>72</v>
      </c>
      <c r="AV2346" s="1" t="s">
        <v>437</v>
      </c>
      <c r="AX2346" s="1">
        <v>0</v>
      </c>
      <c r="BA2346" s="1">
        <v>9</v>
      </c>
      <c r="BB2346" s="1">
        <v>0</v>
      </c>
      <c r="BC2346" s="1">
        <v>0</v>
      </c>
      <c r="BE2346" s="1">
        <v>27431882</v>
      </c>
    </row>
    <row r="2347" spans="1:57" x14ac:dyDescent="0.25">
      <c r="A2347" s="1" t="str">
        <f>T("1946641936119700124")</f>
        <v>1946641936119700124</v>
      </c>
      <c r="B2347" s="1" t="str">
        <f>T("249916734139")</f>
        <v>249916734139</v>
      </c>
      <c r="C2347" s="1" t="str">
        <f>T("1941094470896320824")</f>
        <v>1941094470896320824</v>
      </c>
      <c r="AC2347" s="1" t="s">
        <v>344</v>
      </c>
      <c r="AD2347" s="1" t="s">
        <v>524</v>
      </c>
      <c r="AE2347" s="1" t="s">
        <v>504</v>
      </c>
      <c r="AF2347" s="1" t="s">
        <v>144</v>
      </c>
      <c r="AG2347" s="1">
        <v>0</v>
      </c>
      <c r="AO2347" s="2">
        <v>46280</v>
      </c>
      <c r="AP2347" s="1" t="s">
        <v>226</v>
      </c>
      <c r="AS2347" s="1" t="s">
        <v>71</v>
      </c>
      <c r="AU2347" s="1" t="s">
        <v>72</v>
      </c>
      <c r="AV2347" s="1" t="s">
        <v>437</v>
      </c>
      <c r="AX2347" s="1">
        <v>0</v>
      </c>
      <c r="BA2347" s="1">
        <v>9</v>
      </c>
      <c r="BB2347" s="1">
        <v>0</v>
      </c>
      <c r="BC2347" s="1">
        <v>0</v>
      </c>
      <c r="BE2347" s="1">
        <v>27431882</v>
      </c>
    </row>
    <row r="2348" spans="1:57" x14ac:dyDescent="0.25">
      <c r="A2348" s="1" t="str">
        <f>T("1946641936140671464")</f>
        <v>1946641936140671464</v>
      </c>
      <c r="B2348" s="1" t="str">
        <f>T("249909057182")</f>
        <v>249909057182</v>
      </c>
      <c r="C2348" s="1" t="str">
        <f>T("1941094470896321324")</f>
        <v>1941094470896321324</v>
      </c>
      <c r="AC2348" s="1" t="s">
        <v>344</v>
      </c>
      <c r="AD2348" s="1" t="s">
        <v>524</v>
      </c>
      <c r="AE2348" s="1" t="s">
        <v>534</v>
      </c>
      <c r="AF2348" s="1" t="s">
        <v>144</v>
      </c>
      <c r="AG2348" s="1" t="s">
        <v>529</v>
      </c>
      <c r="AO2348" s="2">
        <v>46280</v>
      </c>
      <c r="AP2348" s="1" t="s">
        <v>226</v>
      </c>
      <c r="AS2348" s="1" t="s">
        <v>71</v>
      </c>
      <c r="AU2348" s="1" t="s">
        <v>72</v>
      </c>
      <c r="AV2348" s="1" t="s">
        <v>437</v>
      </c>
      <c r="AX2348" s="1">
        <v>0</v>
      </c>
      <c r="BA2348" s="1">
        <v>9</v>
      </c>
      <c r="BB2348" s="1">
        <v>0</v>
      </c>
      <c r="BC2348" s="1">
        <v>0</v>
      </c>
      <c r="BE2348" s="1">
        <v>27431882</v>
      </c>
    </row>
    <row r="2349" spans="1:57" x14ac:dyDescent="0.25">
      <c r="A2349" s="1" t="str">
        <f>T("1946641936157448696")</f>
        <v>1946641936157448696</v>
      </c>
      <c r="B2349" s="1" t="str">
        <f>T("24991187429")</f>
        <v>24991187429</v>
      </c>
      <c r="C2349" s="1" t="str">
        <f>T("1941094470896322024")</f>
        <v>1941094470896322024</v>
      </c>
      <c r="AC2349" s="1" t="s">
        <v>344</v>
      </c>
      <c r="AD2349" s="1" t="s">
        <v>524</v>
      </c>
      <c r="AE2349" s="1" t="s">
        <v>535</v>
      </c>
      <c r="AF2349" s="1" t="s">
        <v>144</v>
      </c>
      <c r="AG2349" s="1">
        <v>0</v>
      </c>
      <c r="AO2349" s="2">
        <v>46280</v>
      </c>
      <c r="AP2349" s="1" t="s">
        <v>226</v>
      </c>
      <c r="AS2349" s="1" t="s">
        <v>71</v>
      </c>
      <c r="AU2349" s="1" t="s">
        <v>72</v>
      </c>
      <c r="AV2349" s="1" t="s">
        <v>73</v>
      </c>
      <c r="AX2349" s="1">
        <v>0</v>
      </c>
      <c r="BA2349" s="1">
        <v>9</v>
      </c>
      <c r="BB2349" s="1">
        <v>0</v>
      </c>
      <c r="BC2349" s="1">
        <v>0</v>
      </c>
      <c r="BE2349" s="1">
        <v>27431882</v>
      </c>
    </row>
    <row r="2350" spans="1:57" x14ac:dyDescent="0.25">
      <c r="A2350" s="1" t="str">
        <f>T("1946641936195197968")</f>
        <v>1946641936195197968</v>
      </c>
      <c r="B2350" s="1" t="str">
        <f>T("249904906636")</f>
        <v>249904906636</v>
      </c>
      <c r="C2350" s="1" t="str">
        <f>T("1941094470896322524")</f>
        <v>1941094470896322524</v>
      </c>
      <c r="AC2350" s="1" t="s">
        <v>276</v>
      </c>
      <c r="AD2350" s="1" t="s">
        <v>277</v>
      </c>
      <c r="AE2350" s="1" t="s">
        <v>530</v>
      </c>
      <c r="AF2350" s="1" t="s">
        <v>144</v>
      </c>
      <c r="AG2350" s="1">
        <v>38</v>
      </c>
      <c r="AO2350" s="2">
        <v>46280</v>
      </c>
      <c r="AP2350" s="1" t="s">
        <v>226</v>
      </c>
      <c r="AS2350" s="1" t="s">
        <v>71</v>
      </c>
      <c r="AU2350" s="1" t="s">
        <v>72</v>
      </c>
      <c r="AV2350" s="1" t="s">
        <v>437</v>
      </c>
      <c r="AX2350" s="1">
        <v>0</v>
      </c>
      <c r="BA2350" s="1">
        <v>9</v>
      </c>
      <c r="BB2350" s="1">
        <v>0</v>
      </c>
      <c r="BC2350" s="1">
        <v>0</v>
      </c>
      <c r="BE2350" s="1">
        <v>27431882</v>
      </c>
    </row>
    <row r="2351" spans="1:57" x14ac:dyDescent="0.25">
      <c r="A2351" s="1" t="str">
        <f>T("1946641936216167908")</f>
        <v>1946641936216167908</v>
      </c>
      <c r="B2351" s="1" t="str">
        <f>T("249109604936")</f>
        <v>249109604936</v>
      </c>
      <c r="C2351" s="1" t="str">
        <f>T("1941094470904712440")</f>
        <v>1941094470904712440</v>
      </c>
      <c r="AC2351" s="1" t="s">
        <v>276</v>
      </c>
      <c r="AD2351" s="1" t="s">
        <v>517</v>
      </c>
      <c r="AE2351" s="1" t="s">
        <v>530</v>
      </c>
      <c r="AF2351" s="1" t="s">
        <v>144</v>
      </c>
      <c r="AG2351" s="1">
        <v>31</v>
      </c>
      <c r="AO2351" s="2">
        <v>46280</v>
      </c>
      <c r="AP2351" s="1" t="s">
        <v>226</v>
      </c>
      <c r="AS2351" s="1" t="s">
        <v>71</v>
      </c>
      <c r="AU2351" s="1" t="s">
        <v>72</v>
      </c>
      <c r="AV2351" s="1" t="s">
        <v>73</v>
      </c>
      <c r="AX2351" s="1">
        <v>0</v>
      </c>
      <c r="BA2351" s="1">
        <v>9</v>
      </c>
      <c r="BB2351" s="1">
        <v>0</v>
      </c>
      <c r="BC2351" s="1">
        <v>0</v>
      </c>
      <c r="BE2351" s="1">
        <v>27431882</v>
      </c>
    </row>
    <row r="2352" spans="1:57" x14ac:dyDescent="0.25">
      <c r="A2352" s="1" t="str">
        <f>T("1946641936232945540")</f>
        <v>1946641936232945540</v>
      </c>
      <c r="B2352" s="1" t="str">
        <f>T("249161578941")</f>
        <v>249161578941</v>
      </c>
      <c r="C2352" s="1" t="str">
        <f>T("1941094470908903448")</f>
        <v>1941094470908903448</v>
      </c>
      <c r="AC2352" s="1" t="s">
        <v>276</v>
      </c>
      <c r="AD2352" s="1" t="s">
        <v>277</v>
      </c>
      <c r="AE2352" s="1" t="s">
        <v>530</v>
      </c>
      <c r="AF2352" s="1" t="s">
        <v>144</v>
      </c>
      <c r="AG2352" s="1">
        <v>35</v>
      </c>
      <c r="AO2352" s="2">
        <v>46280</v>
      </c>
      <c r="AP2352" s="1" t="s">
        <v>226</v>
      </c>
      <c r="AS2352" s="1" t="s">
        <v>71</v>
      </c>
      <c r="AU2352" s="1" t="s">
        <v>72</v>
      </c>
      <c r="AV2352" s="1" t="s">
        <v>73</v>
      </c>
      <c r="AX2352" s="1">
        <v>0</v>
      </c>
      <c r="BA2352" s="1">
        <v>9</v>
      </c>
      <c r="BB2352" s="1">
        <v>0</v>
      </c>
      <c r="BC2352" s="1">
        <v>0</v>
      </c>
      <c r="BE2352" s="1">
        <v>27431882</v>
      </c>
    </row>
    <row r="2353" spans="1:57" x14ac:dyDescent="0.25">
      <c r="A2353" s="1" t="str">
        <f>T("1946641936279083328")</f>
        <v>1946641936279083328</v>
      </c>
      <c r="B2353" s="1" t="str">
        <f>T("249906110399")</f>
        <v>249906110399</v>
      </c>
      <c r="C2353" s="1" t="str">
        <f>T("1941094470908904048")</f>
        <v>1941094470908904048</v>
      </c>
      <c r="AC2353" s="1" t="s">
        <v>344</v>
      </c>
      <c r="AD2353" s="1" t="s">
        <v>430</v>
      </c>
      <c r="AE2353" s="1" t="s">
        <v>531</v>
      </c>
      <c r="AF2353" s="1" t="s">
        <v>144</v>
      </c>
      <c r="AG2353" s="1">
        <v>0</v>
      </c>
      <c r="AO2353" s="2">
        <v>46280</v>
      </c>
      <c r="AP2353" s="1" t="s">
        <v>226</v>
      </c>
      <c r="AS2353" s="1" t="s">
        <v>71</v>
      </c>
      <c r="AU2353" s="1" t="s">
        <v>72</v>
      </c>
      <c r="AV2353" s="1" t="s">
        <v>73</v>
      </c>
      <c r="AX2353" s="1">
        <v>0</v>
      </c>
      <c r="BA2353" s="1">
        <v>9</v>
      </c>
      <c r="BB2353" s="1">
        <v>0</v>
      </c>
      <c r="BC2353" s="1">
        <v>0</v>
      </c>
      <c r="BE2353" s="1">
        <v>27431882</v>
      </c>
    </row>
    <row r="2354" spans="1:57" x14ac:dyDescent="0.25">
      <c r="A2354" s="1" t="str">
        <f>T("1946641936291667552")</f>
        <v>1946641936291667552</v>
      </c>
      <c r="B2354" s="1" t="str">
        <f>T("249916457559")</f>
        <v>249916457559</v>
      </c>
      <c r="C2354" s="1" t="str">
        <f>T("1941094470908904448")</f>
        <v>1941094470908904448</v>
      </c>
      <c r="AC2354" s="1" t="s">
        <v>366</v>
      </c>
      <c r="AD2354" s="1" t="s">
        <v>367</v>
      </c>
      <c r="AE2354" s="1" t="s">
        <v>368</v>
      </c>
      <c r="AF2354" s="1" t="s">
        <v>144</v>
      </c>
      <c r="AG2354" s="1">
        <v>56</v>
      </c>
      <c r="AO2354" s="2">
        <v>46280</v>
      </c>
      <c r="AP2354" s="1" t="s">
        <v>226</v>
      </c>
      <c r="AS2354" s="1" t="s">
        <v>71</v>
      </c>
      <c r="AU2354" s="1" t="s">
        <v>72</v>
      </c>
      <c r="AV2354" s="1" t="s">
        <v>437</v>
      </c>
      <c r="AX2354" s="1">
        <v>0</v>
      </c>
      <c r="BA2354" s="1">
        <v>9</v>
      </c>
      <c r="BB2354" s="1">
        <v>0</v>
      </c>
      <c r="BC2354" s="1">
        <v>0</v>
      </c>
      <c r="BE2354" s="1">
        <v>27431882</v>
      </c>
    </row>
    <row r="2355" spans="1:57" x14ac:dyDescent="0.25">
      <c r="A2355" s="1" t="str">
        <f>T("1946641936375553112")</f>
        <v>1946641936375553112</v>
      </c>
      <c r="B2355" s="1" t="str">
        <f>T("249904792500")</f>
        <v>249904792500</v>
      </c>
      <c r="C2355" s="1" t="str">
        <f>T("1941094470908904948")</f>
        <v>1941094470908904948</v>
      </c>
      <c r="AC2355" s="1" t="s">
        <v>276</v>
      </c>
      <c r="AD2355" s="1" t="s">
        <v>298</v>
      </c>
      <c r="AE2355" s="1" t="s">
        <v>526</v>
      </c>
      <c r="AF2355" s="1" t="s">
        <v>144</v>
      </c>
      <c r="AG2355" s="1">
        <v>18</v>
      </c>
      <c r="AO2355" s="2">
        <v>46280</v>
      </c>
      <c r="AP2355" s="1" t="s">
        <v>226</v>
      </c>
      <c r="AS2355" s="1" t="s">
        <v>71</v>
      </c>
      <c r="AU2355" s="1" t="s">
        <v>72</v>
      </c>
      <c r="AV2355" s="1" t="s">
        <v>73</v>
      </c>
      <c r="AX2355" s="1">
        <v>0</v>
      </c>
      <c r="BA2355" s="1">
        <v>9</v>
      </c>
      <c r="BB2355" s="1">
        <v>0</v>
      </c>
      <c r="BC2355" s="1">
        <v>0</v>
      </c>
      <c r="BE2355" s="1">
        <v>27431882</v>
      </c>
    </row>
    <row r="2356" spans="1:57" x14ac:dyDescent="0.25">
      <c r="A2356" s="1" t="str">
        <f>T("1946641936417494592")</f>
        <v>1946641936417494592</v>
      </c>
      <c r="B2356" s="1" t="str">
        <f>T("24990767304")</f>
        <v>24990767304</v>
      </c>
      <c r="C2356" s="1" t="str">
        <f>T("1941094470908905248")</f>
        <v>1941094470908905248</v>
      </c>
      <c r="AC2356" s="1" t="s">
        <v>344</v>
      </c>
      <c r="AD2356" s="1" t="s">
        <v>430</v>
      </c>
      <c r="AE2356" s="1" t="s">
        <v>532</v>
      </c>
      <c r="AF2356" s="1" t="s">
        <v>144</v>
      </c>
      <c r="AG2356" s="1">
        <v>0</v>
      </c>
      <c r="AO2356" s="2">
        <v>46280</v>
      </c>
      <c r="AP2356" s="1" t="s">
        <v>226</v>
      </c>
      <c r="AS2356" s="1" t="s">
        <v>71</v>
      </c>
      <c r="AU2356" s="1" t="s">
        <v>72</v>
      </c>
      <c r="AV2356" s="1" t="s">
        <v>73</v>
      </c>
      <c r="AX2356" s="1">
        <v>0</v>
      </c>
      <c r="BA2356" s="1">
        <v>9</v>
      </c>
      <c r="BB2356" s="1">
        <v>0</v>
      </c>
      <c r="BC2356" s="1">
        <v>0</v>
      </c>
      <c r="BE2356" s="1">
        <v>27431882</v>
      </c>
    </row>
    <row r="2357" spans="1:57" x14ac:dyDescent="0.25">
      <c r="A2357" s="1" t="str">
        <f>T("1946641936451051156")</f>
        <v>1946641936451051156</v>
      </c>
      <c r="B2357" s="1" t="str">
        <f>T("249968028868")</f>
        <v>249968028868</v>
      </c>
      <c r="C2357" s="1" t="str">
        <f>T("1941094470908905648")</f>
        <v>1941094470908905648</v>
      </c>
      <c r="AC2357" s="1" t="s">
        <v>344</v>
      </c>
      <c r="AD2357" s="1" t="s">
        <v>430</v>
      </c>
      <c r="AE2357" s="1" t="s">
        <v>536</v>
      </c>
      <c r="AF2357" s="1" t="s">
        <v>144</v>
      </c>
      <c r="AG2357" s="1">
        <v>0</v>
      </c>
      <c r="AO2357" s="2">
        <v>46280</v>
      </c>
      <c r="AP2357" s="1" t="s">
        <v>226</v>
      </c>
      <c r="AS2357" s="1" t="s">
        <v>71</v>
      </c>
      <c r="AU2357" s="1" t="s">
        <v>72</v>
      </c>
      <c r="AV2357" s="1" t="s">
        <v>437</v>
      </c>
      <c r="AX2357" s="1">
        <v>0</v>
      </c>
      <c r="BA2357" s="1">
        <v>9</v>
      </c>
      <c r="BB2357" s="1">
        <v>0</v>
      </c>
      <c r="BC2357" s="1">
        <v>0</v>
      </c>
      <c r="BE2357" s="1">
        <v>27431882</v>
      </c>
    </row>
    <row r="2358" spans="1:57" x14ac:dyDescent="0.25">
      <c r="A2358" s="1" t="str">
        <f>T("1946641936484602720")</f>
        <v>1946641936484602720</v>
      </c>
      <c r="B2358" s="1" t="str">
        <f>T("249912627851")</f>
        <v>249912627851</v>
      </c>
      <c r="C2358" s="1" t="str">
        <f>T("1941094470908906448")</f>
        <v>1941094470908906448</v>
      </c>
      <c r="AC2358" s="1" t="s">
        <v>276</v>
      </c>
      <c r="AD2358" s="1" t="s">
        <v>298</v>
      </c>
      <c r="AE2358" s="1" t="s">
        <v>526</v>
      </c>
      <c r="AF2358" s="1" t="s">
        <v>144</v>
      </c>
      <c r="AG2358" s="1">
        <v>34</v>
      </c>
      <c r="AO2358" s="2">
        <v>46280</v>
      </c>
      <c r="AP2358" s="1" t="s">
        <v>226</v>
      </c>
      <c r="AS2358" s="1" t="s">
        <v>71</v>
      </c>
      <c r="AU2358" s="1" t="s">
        <v>72</v>
      </c>
      <c r="AV2358" s="1" t="s">
        <v>437</v>
      </c>
      <c r="AX2358" s="1">
        <v>0</v>
      </c>
      <c r="BA2358" s="1">
        <v>9</v>
      </c>
      <c r="BB2358" s="1">
        <v>0</v>
      </c>
      <c r="BC2358" s="1">
        <v>0</v>
      </c>
      <c r="BE2358" s="1">
        <v>27431882</v>
      </c>
    </row>
    <row r="2359" spans="1:57" x14ac:dyDescent="0.25">
      <c r="A2359" s="1" t="str">
        <f>T("1946641936509769468")</f>
        <v>1946641936509769468</v>
      </c>
      <c r="B2359" s="1" t="str">
        <f>T("249901705277")</f>
        <v>249901705277</v>
      </c>
      <c r="C2359" s="1" t="str">
        <f>T("1941094470908907048")</f>
        <v>1941094470908907048</v>
      </c>
      <c r="AC2359" s="1" t="s">
        <v>276</v>
      </c>
      <c r="AD2359" s="1" t="s">
        <v>517</v>
      </c>
      <c r="AE2359" s="1" t="s">
        <v>530</v>
      </c>
      <c r="AF2359" s="1" t="s">
        <v>144</v>
      </c>
      <c r="AG2359" s="1">
        <v>25</v>
      </c>
      <c r="AO2359" s="2">
        <v>46280</v>
      </c>
      <c r="AP2359" s="1" t="s">
        <v>226</v>
      </c>
      <c r="AS2359" s="1" t="s">
        <v>71</v>
      </c>
      <c r="AU2359" s="1" t="s">
        <v>72</v>
      </c>
      <c r="AV2359" s="1" t="s">
        <v>437</v>
      </c>
      <c r="AX2359" s="1">
        <v>0</v>
      </c>
      <c r="BA2359" s="1">
        <v>9</v>
      </c>
      <c r="BB2359" s="1">
        <v>0</v>
      </c>
      <c r="BC2359" s="1">
        <v>0</v>
      </c>
      <c r="BE2359" s="1">
        <v>27431882</v>
      </c>
    </row>
    <row r="2360" spans="1:57" x14ac:dyDescent="0.25">
      <c r="A2360" s="1" t="str">
        <f>T("1946641936551714548")</f>
        <v>1946641936551714548</v>
      </c>
      <c r="B2360" s="1" t="str">
        <f>T("249906548204")</f>
        <v>249906548204</v>
      </c>
      <c r="C2360" s="1" t="str">
        <f>T("1941094470908907448")</f>
        <v>1941094470908907448</v>
      </c>
      <c r="AC2360" s="1" t="s">
        <v>276</v>
      </c>
      <c r="AD2360" s="1" t="s">
        <v>298</v>
      </c>
      <c r="AE2360" s="1" t="s">
        <v>538</v>
      </c>
      <c r="AF2360" s="1" t="s">
        <v>144</v>
      </c>
      <c r="AG2360" s="1">
        <v>36</v>
      </c>
      <c r="AO2360" s="2">
        <v>46280</v>
      </c>
      <c r="AP2360" s="1" t="s">
        <v>226</v>
      </c>
      <c r="AS2360" s="1" t="s">
        <v>71</v>
      </c>
      <c r="AU2360" s="1" t="s">
        <v>72</v>
      </c>
      <c r="AV2360" s="1" t="s">
        <v>73</v>
      </c>
      <c r="AX2360" s="1">
        <v>0</v>
      </c>
      <c r="BA2360" s="1">
        <v>9</v>
      </c>
      <c r="BB2360" s="1">
        <v>0</v>
      </c>
      <c r="BC2360" s="1">
        <v>0</v>
      </c>
      <c r="BE2360" s="1">
        <v>27431882</v>
      </c>
    </row>
    <row r="2361" spans="1:57" x14ac:dyDescent="0.25">
      <c r="A2361" s="1" t="str">
        <f>T("1946641936568488780")</f>
        <v>1946641936568488780</v>
      </c>
      <c r="B2361" s="1" t="str">
        <f>T("249917413330")</f>
        <v>249917413330</v>
      </c>
      <c r="C2361" s="1" t="str">
        <f>T("1941094470913098156")</f>
        <v>1941094470913098156</v>
      </c>
      <c r="AC2361" s="1" t="s">
        <v>344</v>
      </c>
      <c r="AD2361" s="1" t="s">
        <v>524</v>
      </c>
      <c r="AE2361" s="1" t="s">
        <v>504</v>
      </c>
      <c r="AF2361" s="1" t="s">
        <v>144</v>
      </c>
      <c r="AG2361" s="1">
        <v>0</v>
      </c>
      <c r="AO2361" s="2">
        <v>46280</v>
      </c>
      <c r="AP2361" s="1" t="s">
        <v>226</v>
      </c>
      <c r="AS2361" s="1" t="s">
        <v>71</v>
      </c>
      <c r="AU2361" s="1" t="s">
        <v>72</v>
      </c>
      <c r="AV2361" s="1" t="s">
        <v>437</v>
      </c>
      <c r="AX2361" s="1">
        <v>0</v>
      </c>
      <c r="BA2361" s="1">
        <v>9</v>
      </c>
      <c r="BB2361" s="1">
        <v>0</v>
      </c>
      <c r="BC2361" s="1">
        <v>0</v>
      </c>
      <c r="BE2361" s="1">
        <v>27431882</v>
      </c>
    </row>
    <row r="2362" spans="1:57" x14ac:dyDescent="0.25">
      <c r="A2362" s="1" t="str">
        <f>T("1946641936618820076")</f>
        <v>1946641936618820076</v>
      </c>
      <c r="B2362" s="1" t="str">
        <f>T("249960730442")</f>
        <v>249960730442</v>
      </c>
      <c r="C2362" s="1" t="str">
        <f>T("1941094470913098456")</f>
        <v>1941094470913098456</v>
      </c>
      <c r="AC2362" s="1" t="s">
        <v>276</v>
      </c>
      <c r="AD2362" s="1" t="s">
        <v>277</v>
      </c>
      <c r="AE2362" s="1" t="s">
        <v>530</v>
      </c>
      <c r="AF2362" s="1" t="s">
        <v>144</v>
      </c>
      <c r="AG2362" s="1">
        <v>35</v>
      </c>
      <c r="AO2362" s="2">
        <v>46280</v>
      </c>
      <c r="AP2362" s="1" t="s">
        <v>226</v>
      </c>
      <c r="AS2362" s="1" t="s">
        <v>71</v>
      </c>
      <c r="AU2362" s="1" t="s">
        <v>72</v>
      </c>
      <c r="AV2362" s="1" t="s">
        <v>73</v>
      </c>
      <c r="AX2362" s="1">
        <v>0</v>
      </c>
      <c r="BA2362" s="1">
        <v>9</v>
      </c>
      <c r="BB2362" s="1">
        <v>0</v>
      </c>
      <c r="BC2362" s="1">
        <v>0</v>
      </c>
      <c r="BE2362" s="1">
        <v>27431882</v>
      </c>
    </row>
    <row r="2363" spans="1:57" x14ac:dyDescent="0.25">
      <c r="A2363" s="1" t="str">
        <f>T("1946641936639791116")</f>
        <v>1946641936639791116</v>
      </c>
      <c r="B2363" s="1" t="str">
        <f>T("249919851619")</f>
        <v>249919851619</v>
      </c>
      <c r="C2363" s="1" t="str">
        <f>T("1941094470913098856")</f>
        <v>1941094470913098856</v>
      </c>
      <c r="AC2363" s="1" t="s">
        <v>366</v>
      </c>
      <c r="AD2363" s="1" t="s">
        <v>367</v>
      </c>
      <c r="AE2363" s="1" t="s">
        <v>368</v>
      </c>
      <c r="AF2363" s="1" t="s">
        <v>144</v>
      </c>
      <c r="AG2363" s="1">
        <v>35</v>
      </c>
      <c r="AO2363" s="2">
        <v>46280</v>
      </c>
      <c r="AP2363" s="1" t="s">
        <v>226</v>
      </c>
      <c r="AS2363" s="1" t="s">
        <v>71</v>
      </c>
      <c r="AU2363" s="1" t="s">
        <v>72</v>
      </c>
      <c r="AV2363" s="1" t="s">
        <v>73</v>
      </c>
      <c r="AX2363" s="1">
        <v>0</v>
      </c>
      <c r="BA2363" s="1">
        <v>9</v>
      </c>
      <c r="BB2363" s="1">
        <v>0</v>
      </c>
      <c r="BC2363" s="1">
        <v>0</v>
      </c>
      <c r="BE2363" s="1">
        <v>27431882</v>
      </c>
    </row>
    <row r="2364" spans="1:57" x14ac:dyDescent="0.25">
      <c r="A2364" s="1" t="str">
        <f>T("1946641936778204580")</f>
        <v>1946641936778204580</v>
      </c>
      <c r="B2364" s="1" t="str">
        <f>T("249915825097")</f>
        <v>249915825097</v>
      </c>
      <c r="C2364" s="1" t="str">
        <f>T("1941094470913099256")</f>
        <v>1941094470913099256</v>
      </c>
      <c r="AC2364" s="1" t="s">
        <v>344</v>
      </c>
      <c r="AD2364" s="1" t="s">
        <v>524</v>
      </c>
      <c r="AE2364" s="1" t="s">
        <v>504</v>
      </c>
      <c r="AF2364" s="1" t="s">
        <v>144</v>
      </c>
      <c r="AG2364" s="1">
        <v>0</v>
      </c>
      <c r="AO2364" s="2">
        <v>46280</v>
      </c>
      <c r="AP2364" s="1" t="s">
        <v>226</v>
      </c>
      <c r="AS2364" s="1" t="s">
        <v>71</v>
      </c>
      <c r="AU2364" s="1" t="s">
        <v>72</v>
      </c>
      <c r="AV2364" s="1" t="s">
        <v>73</v>
      </c>
      <c r="AX2364" s="1">
        <v>0</v>
      </c>
      <c r="BA2364" s="1">
        <v>9</v>
      </c>
      <c r="BB2364" s="1">
        <v>0</v>
      </c>
      <c r="BC2364" s="1">
        <v>0</v>
      </c>
      <c r="BE2364" s="1">
        <v>27431882</v>
      </c>
    </row>
    <row r="2365" spans="1:57" x14ac:dyDescent="0.25">
      <c r="A2365" s="1" t="str">
        <f>T("1946641936790787204")</f>
        <v>1946641936790787204</v>
      </c>
      <c r="B2365" s="1" t="str">
        <f>T("249918576295")</f>
        <v>249918576295</v>
      </c>
      <c r="C2365" s="1" t="str">
        <f>T("1941094470913100056")</f>
        <v>1941094470913100056</v>
      </c>
      <c r="AC2365" s="1" t="s">
        <v>344</v>
      </c>
      <c r="AD2365" s="1" t="s">
        <v>524</v>
      </c>
      <c r="AE2365" s="1" t="s">
        <v>534</v>
      </c>
      <c r="AF2365" s="1" t="s">
        <v>144</v>
      </c>
      <c r="AG2365" s="1" t="s">
        <v>529</v>
      </c>
      <c r="AO2365" s="2">
        <v>46280</v>
      </c>
      <c r="AP2365" s="1" t="s">
        <v>226</v>
      </c>
      <c r="AS2365" s="1" t="s">
        <v>71</v>
      </c>
      <c r="AU2365" s="1" t="s">
        <v>72</v>
      </c>
      <c r="AV2365" s="1" t="s">
        <v>437</v>
      </c>
      <c r="AX2365" s="1">
        <v>0</v>
      </c>
      <c r="BA2365" s="1">
        <v>9</v>
      </c>
      <c r="BB2365" s="1">
        <v>0</v>
      </c>
      <c r="BC2365" s="1">
        <v>0</v>
      </c>
      <c r="BE2365" s="1">
        <v>27431882</v>
      </c>
    </row>
    <row r="2366" spans="1:57" x14ac:dyDescent="0.25">
      <c r="A2366" s="1" t="str">
        <f>T("1946641936887258288")</f>
        <v>1946641936887258288</v>
      </c>
      <c r="B2366" s="1" t="str">
        <f>T("249910338234")</f>
        <v>249910338234</v>
      </c>
      <c r="C2366" s="1" t="str">
        <f>T("1941094470913100456")</f>
        <v>1941094470913100456</v>
      </c>
      <c r="AC2366" s="1" t="s">
        <v>344</v>
      </c>
      <c r="AD2366" s="1" t="s">
        <v>345</v>
      </c>
      <c r="AE2366" s="1" t="s">
        <v>522</v>
      </c>
      <c r="AF2366" s="1" t="s">
        <v>144</v>
      </c>
      <c r="AG2366" s="1">
        <v>44</v>
      </c>
      <c r="AO2366" s="2">
        <v>46280</v>
      </c>
      <c r="AP2366" s="1" t="s">
        <v>226</v>
      </c>
      <c r="AS2366" s="1" t="s">
        <v>71</v>
      </c>
      <c r="AU2366" s="1" t="s">
        <v>72</v>
      </c>
      <c r="AV2366" s="1" t="s">
        <v>73</v>
      </c>
      <c r="AX2366" s="1">
        <v>0</v>
      </c>
      <c r="BA2366" s="1">
        <v>9</v>
      </c>
      <c r="BB2366" s="1">
        <v>0</v>
      </c>
      <c r="BC2366" s="1">
        <v>0</v>
      </c>
      <c r="BE2366" s="1">
        <v>27431882</v>
      </c>
    </row>
    <row r="2367" spans="1:57" x14ac:dyDescent="0.25">
      <c r="A2367" s="1" t="str">
        <f>T("1946641936895646104")</f>
        <v>1946641936895646104</v>
      </c>
      <c r="B2367" s="1" t="str">
        <f>T("249913925496")</f>
        <v>249913925496</v>
      </c>
      <c r="C2367" s="1" t="str">
        <f>T("1941094470913100856")</f>
        <v>1941094470913100856</v>
      </c>
      <c r="AC2367" s="1" t="s">
        <v>276</v>
      </c>
      <c r="AD2367" s="1" t="s">
        <v>298</v>
      </c>
      <c r="AE2367" s="1" t="s">
        <v>538</v>
      </c>
      <c r="AF2367" s="1" t="s">
        <v>144</v>
      </c>
      <c r="AG2367" s="1">
        <v>24</v>
      </c>
      <c r="AO2367" s="2">
        <v>46280</v>
      </c>
      <c r="AP2367" s="1" t="s">
        <v>226</v>
      </c>
      <c r="AS2367" s="1" t="s">
        <v>71</v>
      </c>
      <c r="AU2367" s="1" t="s">
        <v>72</v>
      </c>
      <c r="AV2367" s="1" t="s">
        <v>437</v>
      </c>
      <c r="AX2367" s="1">
        <v>0</v>
      </c>
      <c r="BA2367" s="1">
        <v>9</v>
      </c>
      <c r="BB2367" s="1">
        <v>0</v>
      </c>
      <c r="BC2367" s="1">
        <v>0</v>
      </c>
      <c r="BE2367" s="1">
        <v>27431882</v>
      </c>
    </row>
    <row r="2368" spans="1:57" x14ac:dyDescent="0.25">
      <c r="A2368" s="1" t="str">
        <f>T("1946641936904033720")</f>
        <v>1946641936904033720</v>
      </c>
      <c r="B2368" s="1" t="str">
        <f>T("249966420921")</f>
        <v>249966420921</v>
      </c>
      <c r="C2368" s="1" t="str">
        <f>T("1941094470917292064")</f>
        <v>1941094470917292064</v>
      </c>
      <c r="AC2368" s="1" t="s">
        <v>344</v>
      </c>
      <c r="AD2368" s="1" t="s">
        <v>345</v>
      </c>
      <c r="AE2368" s="1" t="s">
        <v>522</v>
      </c>
      <c r="AF2368" s="1" t="s">
        <v>144</v>
      </c>
      <c r="AG2368" s="1">
        <v>41</v>
      </c>
      <c r="AO2368" s="2">
        <v>46280</v>
      </c>
      <c r="AP2368" s="1" t="s">
        <v>226</v>
      </c>
      <c r="AS2368" s="1" t="s">
        <v>71</v>
      </c>
      <c r="AU2368" s="1" t="s">
        <v>72</v>
      </c>
      <c r="AV2368" s="1" t="s">
        <v>437</v>
      </c>
      <c r="AX2368" s="1">
        <v>0</v>
      </c>
      <c r="BA2368" s="1">
        <v>9</v>
      </c>
      <c r="BB2368" s="1">
        <v>0</v>
      </c>
      <c r="BC2368" s="1">
        <v>0</v>
      </c>
      <c r="BE2368" s="1">
        <v>27431882</v>
      </c>
    </row>
    <row r="2369" spans="1:57" x14ac:dyDescent="0.25">
      <c r="A2369" s="1" t="str">
        <f>T("1946641937046639092")</f>
        <v>1946641937046639092</v>
      </c>
      <c r="B2369" s="1" t="str">
        <f>T("249965990024")</f>
        <v>249965990024</v>
      </c>
      <c r="C2369" s="1" t="str">
        <f>T("1941094470917292564")</f>
        <v>1941094470917292564</v>
      </c>
      <c r="AC2369" s="1" t="s">
        <v>344</v>
      </c>
      <c r="AD2369" s="1" t="s">
        <v>524</v>
      </c>
      <c r="AE2369" s="1" t="s">
        <v>528</v>
      </c>
      <c r="AF2369" s="1" t="s">
        <v>144</v>
      </c>
      <c r="AG2369" s="1" t="s">
        <v>529</v>
      </c>
      <c r="AO2369" s="2">
        <v>46280</v>
      </c>
      <c r="AP2369" s="1" t="s">
        <v>226</v>
      </c>
      <c r="AS2369" s="1" t="s">
        <v>71</v>
      </c>
      <c r="AU2369" s="1" t="s">
        <v>72</v>
      </c>
      <c r="AV2369" s="1" t="s">
        <v>437</v>
      </c>
      <c r="AX2369" s="1">
        <v>0</v>
      </c>
      <c r="BA2369" s="1">
        <v>9</v>
      </c>
      <c r="BB2369" s="1">
        <v>0</v>
      </c>
      <c r="BC2369" s="1">
        <v>0</v>
      </c>
      <c r="BE2369" s="1">
        <v>27431882</v>
      </c>
    </row>
    <row r="2370" spans="1:57" x14ac:dyDescent="0.25">
      <c r="A2370" s="1" t="str">
        <f>T("1946641937055029108")</f>
        <v>1946641937055029108</v>
      </c>
      <c r="B2370" s="1" t="str">
        <f>T("249124923563")</f>
        <v>249124923563</v>
      </c>
      <c r="C2370" s="1" t="str">
        <f>T("1941094470917293064")</f>
        <v>1941094470917293064</v>
      </c>
      <c r="AC2370" s="1" t="s">
        <v>344</v>
      </c>
      <c r="AD2370" s="1" t="s">
        <v>345</v>
      </c>
      <c r="AE2370" s="1" t="s">
        <v>522</v>
      </c>
      <c r="AF2370" s="1" t="s">
        <v>144</v>
      </c>
      <c r="AG2370" s="1">
        <v>45</v>
      </c>
      <c r="AO2370" s="2">
        <v>46280</v>
      </c>
      <c r="AP2370" s="1" t="s">
        <v>226</v>
      </c>
      <c r="AS2370" s="1" t="s">
        <v>71</v>
      </c>
      <c r="AU2370" s="1" t="s">
        <v>72</v>
      </c>
      <c r="AV2370" s="1" t="s">
        <v>126</v>
      </c>
      <c r="AX2370" s="1">
        <v>0</v>
      </c>
      <c r="BA2370" s="1">
        <v>9</v>
      </c>
      <c r="BB2370" s="1">
        <v>0</v>
      </c>
      <c r="BC2370" s="1">
        <v>0</v>
      </c>
      <c r="BE2370" s="1">
        <v>27431882</v>
      </c>
    </row>
    <row r="2371" spans="1:57" x14ac:dyDescent="0.25">
      <c r="A2371" s="1" t="str">
        <f>T("1946641937109553312")</f>
        <v>1946641937109553312</v>
      </c>
      <c r="B2371" s="1" t="str">
        <f>T("249917486772")</f>
        <v>249917486772</v>
      </c>
      <c r="C2371" s="1" t="str">
        <f>T("1941094470917293464")</f>
        <v>1941094470917293464</v>
      </c>
      <c r="AC2371" s="1" t="s">
        <v>344</v>
      </c>
      <c r="AD2371" s="1" t="s">
        <v>524</v>
      </c>
      <c r="AE2371" s="1" t="s">
        <v>527</v>
      </c>
      <c r="AF2371" s="1" t="s">
        <v>144</v>
      </c>
      <c r="AG2371" s="1">
        <v>0</v>
      </c>
      <c r="AO2371" s="2">
        <v>46280</v>
      </c>
      <c r="AP2371" s="1" t="s">
        <v>226</v>
      </c>
      <c r="AS2371" s="1" t="s">
        <v>71</v>
      </c>
      <c r="AU2371" s="1" t="s">
        <v>72</v>
      </c>
      <c r="AV2371" s="1" t="s">
        <v>73</v>
      </c>
      <c r="AX2371" s="1">
        <v>0</v>
      </c>
      <c r="BA2371" s="1">
        <v>9</v>
      </c>
      <c r="BB2371" s="1">
        <v>0</v>
      </c>
      <c r="BC2371" s="1">
        <v>0</v>
      </c>
      <c r="BE2371" s="1">
        <v>27431882</v>
      </c>
    </row>
    <row r="2372" spans="1:57" x14ac:dyDescent="0.25">
      <c r="A2372" s="1" t="str">
        <f>T("1946641937117943328")</f>
        <v>1946641937117943328</v>
      </c>
      <c r="B2372" s="1" t="str">
        <f>T("249904773936")</f>
        <v>249904773936</v>
      </c>
      <c r="C2372" s="1" t="str">
        <f>T("1941094470917293964")</f>
        <v>1941094470917293964</v>
      </c>
      <c r="AC2372" s="1" t="s">
        <v>344</v>
      </c>
      <c r="AD2372" s="1" t="s">
        <v>345</v>
      </c>
      <c r="AE2372" s="1" t="s">
        <v>522</v>
      </c>
      <c r="AF2372" s="1" t="s">
        <v>144</v>
      </c>
      <c r="AG2372" s="1">
        <v>35</v>
      </c>
      <c r="AO2372" s="2">
        <v>46280</v>
      </c>
      <c r="AP2372" s="1" t="s">
        <v>226</v>
      </c>
      <c r="AS2372" s="1" t="s">
        <v>71</v>
      </c>
      <c r="AU2372" s="1" t="s">
        <v>72</v>
      </c>
      <c r="AV2372" s="1" t="s">
        <v>73</v>
      </c>
      <c r="AX2372" s="1">
        <v>0</v>
      </c>
      <c r="BA2372" s="1">
        <v>9</v>
      </c>
      <c r="BB2372" s="1">
        <v>0</v>
      </c>
      <c r="BC2372" s="1">
        <v>0</v>
      </c>
      <c r="BE2372" s="1">
        <v>27431882</v>
      </c>
    </row>
    <row r="2373" spans="1:57" x14ac:dyDescent="0.25">
      <c r="A2373" s="1" t="str">
        <f>T("1946641937176664240")</f>
        <v>1946641937176664240</v>
      </c>
      <c r="B2373" s="1" t="str">
        <f>T("249962826685")</f>
        <v>249962826685</v>
      </c>
      <c r="C2373" s="1" t="str">
        <f>T("1941094470917294364")</f>
        <v>1941094470917294364</v>
      </c>
      <c r="AC2373" s="1" t="s">
        <v>344</v>
      </c>
      <c r="AD2373" s="1" t="s">
        <v>524</v>
      </c>
      <c r="AE2373" s="1" t="s">
        <v>528</v>
      </c>
      <c r="AF2373" s="1" t="s">
        <v>144</v>
      </c>
      <c r="AG2373" s="1" t="s">
        <v>529</v>
      </c>
      <c r="AO2373" s="2">
        <v>46280</v>
      </c>
      <c r="AP2373" s="1" t="s">
        <v>226</v>
      </c>
      <c r="AS2373" s="1" t="s">
        <v>71</v>
      </c>
      <c r="AU2373" s="1" t="s">
        <v>72</v>
      </c>
      <c r="AV2373" s="1" t="s">
        <v>126</v>
      </c>
      <c r="AX2373" s="1">
        <v>0</v>
      </c>
      <c r="BA2373" s="1">
        <v>9</v>
      </c>
      <c r="BB2373" s="1">
        <v>0</v>
      </c>
      <c r="BC2373" s="1">
        <v>0</v>
      </c>
      <c r="BE2373" s="1">
        <v>27431882</v>
      </c>
    </row>
    <row r="2374" spans="1:57" x14ac:dyDescent="0.25">
      <c r="A2374" s="1" t="str">
        <f>T("1946641937189245264")</f>
        <v>1946641937189245264</v>
      </c>
      <c r="B2374" s="1" t="str">
        <f>T("249910235645")</f>
        <v>249910235645</v>
      </c>
      <c r="C2374" s="1" t="str">
        <f>T("1941094470917294764")</f>
        <v>1941094470917294764</v>
      </c>
      <c r="AC2374" s="1" t="s">
        <v>344</v>
      </c>
      <c r="AD2374" s="1" t="s">
        <v>524</v>
      </c>
      <c r="AE2374" s="1" t="s">
        <v>528</v>
      </c>
      <c r="AF2374" s="1" t="s">
        <v>144</v>
      </c>
      <c r="AG2374" s="1" t="s">
        <v>529</v>
      </c>
      <c r="AO2374" s="2">
        <v>46280</v>
      </c>
      <c r="AP2374" s="1" t="s">
        <v>226</v>
      </c>
      <c r="AS2374" s="1" t="s">
        <v>71</v>
      </c>
      <c r="AU2374" s="1" t="s">
        <v>72</v>
      </c>
      <c r="AV2374" s="1" t="s">
        <v>73</v>
      </c>
      <c r="AX2374" s="1">
        <v>0</v>
      </c>
      <c r="BA2374" s="1">
        <v>9</v>
      </c>
      <c r="BB2374" s="1">
        <v>0</v>
      </c>
      <c r="BC2374" s="1">
        <v>0</v>
      </c>
      <c r="BE2374" s="1">
        <v>27431882</v>
      </c>
    </row>
    <row r="2375" spans="1:57" x14ac:dyDescent="0.25">
      <c r="A2375" s="1" t="str">
        <f>T("1946641937239577360")</f>
        <v>1946641937239577360</v>
      </c>
      <c r="B2375" s="1" t="str">
        <f>T("249962144512")</f>
        <v>249962144512</v>
      </c>
      <c r="C2375" s="1" t="str">
        <f>T("1941094470917295164")</f>
        <v>1941094470917295164</v>
      </c>
      <c r="AC2375" s="1" t="s">
        <v>344</v>
      </c>
      <c r="AD2375" s="1" t="s">
        <v>524</v>
      </c>
      <c r="AE2375" s="1" t="s">
        <v>535</v>
      </c>
      <c r="AF2375" s="1" t="s">
        <v>144</v>
      </c>
      <c r="AG2375" s="1">
        <v>0</v>
      </c>
      <c r="AO2375" s="2">
        <v>46280</v>
      </c>
      <c r="AP2375" s="1" t="s">
        <v>226</v>
      </c>
      <c r="AS2375" s="1" t="s">
        <v>71</v>
      </c>
      <c r="AU2375" s="1" t="s">
        <v>72</v>
      </c>
      <c r="AV2375" s="1" t="s">
        <v>126</v>
      </c>
      <c r="AX2375" s="1">
        <v>0</v>
      </c>
      <c r="BA2375" s="1">
        <v>9</v>
      </c>
      <c r="BB2375" s="1">
        <v>0</v>
      </c>
      <c r="BC2375" s="1">
        <v>0</v>
      </c>
      <c r="BE2375" s="1">
        <v>27431882</v>
      </c>
    </row>
    <row r="2376" spans="1:57" x14ac:dyDescent="0.25">
      <c r="A2376" s="1" t="str">
        <f>T("1946641937264743008")</f>
        <v>1946641937264743008</v>
      </c>
      <c r="B2376" s="1" t="str">
        <f>T("249964605955")</f>
        <v>249964605955</v>
      </c>
      <c r="C2376" s="1" t="str">
        <f>T("1941094470917295664")</f>
        <v>1941094470917295664</v>
      </c>
      <c r="AC2376" s="1" t="s">
        <v>344</v>
      </c>
      <c r="AD2376" s="1" t="s">
        <v>524</v>
      </c>
      <c r="AE2376" s="1" t="s">
        <v>527</v>
      </c>
      <c r="AF2376" s="1" t="s">
        <v>144</v>
      </c>
      <c r="AG2376" s="1">
        <v>0</v>
      </c>
      <c r="AO2376" s="2">
        <v>46280</v>
      </c>
      <c r="AP2376" s="1" t="s">
        <v>226</v>
      </c>
      <c r="AS2376" s="1" t="s">
        <v>71</v>
      </c>
      <c r="AU2376" s="1" t="s">
        <v>72</v>
      </c>
      <c r="AV2376" s="1" t="s">
        <v>73</v>
      </c>
      <c r="AX2376" s="1">
        <v>0</v>
      </c>
      <c r="BA2376" s="1">
        <v>9</v>
      </c>
      <c r="BB2376" s="1">
        <v>0</v>
      </c>
      <c r="BC2376" s="1">
        <v>0</v>
      </c>
      <c r="BE2376" s="1">
        <v>27431882</v>
      </c>
    </row>
    <row r="2377" spans="1:57" x14ac:dyDescent="0.25">
      <c r="A2377" s="1" t="str">
        <f>T("1946641937310882196")</f>
        <v>1946641937310882196</v>
      </c>
      <c r="B2377" s="1" t="str">
        <f>T("249904749503")</f>
        <v>249904749503</v>
      </c>
      <c r="C2377" s="1" t="str">
        <f>T("1941094470917296064")</f>
        <v>1941094470917296064</v>
      </c>
      <c r="AC2377" s="1" t="s">
        <v>276</v>
      </c>
      <c r="AD2377" s="1" t="s">
        <v>517</v>
      </c>
      <c r="AE2377" s="1" t="s">
        <v>540</v>
      </c>
      <c r="AF2377" s="1" t="s">
        <v>144</v>
      </c>
      <c r="AG2377" s="1">
        <v>33</v>
      </c>
      <c r="AO2377" s="2">
        <v>46280</v>
      </c>
      <c r="AP2377" s="1" t="s">
        <v>226</v>
      </c>
      <c r="AS2377" s="1" t="s">
        <v>71</v>
      </c>
      <c r="AU2377" s="1" t="s">
        <v>72</v>
      </c>
      <c r="AV2377" s="1" t="s">
        <v>73</v>
      </c>
      <c r="AX2377" s="1">
        <v>0</v>
      </c>
      <c r="BA2377" s="1">
        <v>9</v>
      </c>
      <c r="BB2377" s="1">
        <v>0</v>
      </c>
      <c r="BC2377" s="1">
        <v>0</v>
      </c>
      <c r="BE2377" s="1">
        <v>27431882</v>
      </c>
    </row>
    <row r="2378" spans="1:57" x14ac:dyDescent="0.25">
      <c r="A2378" s="1" t="str">
        <f>T("1946641937319269812")</f>
        <v>1946641937319269812</v>
      </c>
      <c r="B2378" s="1" t="str">
        <f>T("249969366884")</f>
        <v>249969366884</v>
      </c>
      <c r="C2378" s="1" t="str">
        <f>T("1941094470921486672")</f>
        <v>1941094470921486672</v>
      </c>
      <c r="AC2378" s="1" t="s">
        <v>344</v>
      </c>
      <c r="AD2378" s="1" t="s">
        <v>430</v>
      </c>
      <c r="AE2378" s="1" t="s">
        <v>532</v>
      </c>
      <c r="AF2378" s="1" t="s">
        <v>144</v>
      </c>
      <c r="AG2378" s="1">
        <v>0</v>
      </c>
      <c r="AO2378" s="2">
        <v>46280</v>
      </c>
      <c r="AP2378" s="1" t="s">
        <v>226</v>
      </c>
      <c r="AS2378" s="1" t="s">
        <v>71</v>
      </c>
      <c r="AU2378" s="1" t="s">
        <v>72</v>
      </c>
      <c r="AV2378" s="1" t="s">
        <v>126</v>
      </c>
      <c r="AX2378" s="1">
        <v>0</v>
      </c>
      <c r="BA2378" s="1">
        <v>9</v>
      </c>
      <c r="BB2378" s="1">
        <v>0</v>
      </c>
      <c r="BC2378" s="1">
        <v>0</v>
      </c>
      <c r="BE2378" s="1">
        <v>27431882</v>
      </c>
    </row>
    <row r="2379" spans="1:57" x14ac:dyDescent="0.25">
      <c r="A2379" s="1" t="str">
        <f>T("1946641937336047944")</f>
        <v>1946641937336047944</v>
      </c>
      <c r="B2379" s="1" t="str">
        <f>T("249916748149")</f>
        <v>249916748149</v>
      </c>
      <c r="C2379" s="1" t="str">
        <f>T("1941094470921487072")</f>
        <v>1941094470921487072</v>
      </c>
      <c r="AC2379" s="1" t="s">
        <v>276</v>
      </c>
      <c r="AD2379" s="1" t="s">
        <v>277</v>
      </c>
      <c r="AE2379" s="1" t="s">
        <v>530</v>
      </c>
      <c r="AF2379" s="1" t="s">
        <v>144</v>
      </c>
      <c r="AG2379" s="1">
        <v>37</v>
      </c>
      <c r="AO2379" s="2">
        <v>46280</v>
      </c>
      <c r="AP2379" s="1" t="s">
        <v>226</v>
      </c>
      <c r="AS2379" s="1" t="s">
        <v>71</v>
      </c>
      <c r="AU2379" s="1" t="s">
        <v>72</v>
      </c>
      <c r="AV2379" s="1" t="s">
        <v>437</v>
      </c>
      <c r="AX2379" s="1">
        <v>0</v>
      </c>
      <c r="BA2379" s="1">
        <v>9</v>
      </c>
      <c r="BB2379" s="1">
        <v>0</v>
      </c>
      <c r="BC2379" s="1">
        <v>0</v>
      </c>
      <c r="BE2379" s="1">
        <v>27431882</v>
      </c>
    </row>
    <row r="2380" spans="1:57" x14ac:dyDescent="0.25">
      <c r="A2380" s="1" t="str">
        <f>T("1946641937508016072")</f>
        <v>1946641937508016072</v>
      </c>
      <c r="B2380" s="1" t="str">
        <f>T("249903076151")</f>
        <v>249903076151</v>
      </c>
      <c r="C2380" s="1" t="str">
        <f>T("1941094470921488072")</f>
        <v>1941094470921488072</v>
      </c>
      <c r="AC2380" s="1" t="s">
        <v>344</v>
      </c>
      <c r="AD2380" s="1" t="s">
        <v>430</v>
      </c>
      <c r="AE2380" s="1" t="s">
        <v>531</v>
      </c>
      <c r="AF2380" s="1" t="s">
        <v>144</v>
      </c>
      <c r="AG2380" s="1">
        <v>0</v>
      </c>
      <c r="AO2380" s="2">
        <v>46280</v>
      </c>
      <c r="AP2380" s="1" t="s">
        <v>226</v>
      </c>
      <c r="AS2380" s="1" t="s">
        <v>71</v>
      </c>
      <c r="AU2380" s="1" t="s">
        <v>72</v>
      </c>
      <c r="AV2380" s="1" t="s">
        <v>126</v>
      </c>
      <c r="AX2380" s="1">
        <v>0</v>
      </c>
      <c r="BA2380" s="1">
        <v>9</v>
      </c>
      <c r="BB2380" s="1">
        <v>0</v>
      </c>
      <c r="BC2380" s="1">
        <v>0</v>
      </c>
      <c r="BE2380" s="1">
        <v>27431882</v>
      </c>
    </row>
    <row r="2381" spans="1:57" x14ac:dyDescent="0.25">
      <c r="A2381" s="1" t="str">
        <f>T("1946641937520595796")</f>
        <v>1946641937520595796</v>
      </c>
      <c r="B2381" s="1" t="str">
        <f>T("249900883149")</f>
        <v>249900883149</v>
      </c>
      <c r="C2381" s="1" t="str">
        <f>T("1941094470921488472")</f>
        <v>1941094470921488472</v>
      </c>
      <c r="AC2381" s="1" t="s">
        <v>276</v>
      </c>
      <c r="AD2381" s="1" t="s">
        <v>517</v>
      </c>
      <c r="AE2381" s="1" t="s">
        <v>521</v>
      </c>
      <c r="AF2381" s="1" t="s">
        <v>144</v>
      </c>
      <c r="AG2381" s="1">
        <v>28</v>
      </c>
      <c r="AO2381" s="2">
        <v>46280</v>
      </c>
      <c r="AP2381" s="1" t="s">
        <v>226</v>
      </c>
      <c r="AS2381" s="1" t="s">
        <v>71</v>
      </c>
      <c r="AU2381" s="1" t="s">
        <v>72</v>
      </c>
      <c r="AV2381" s="1" t="s">
        <v>73</v>
      </c>
      <c r="AX2381" s="1">
        <v>0</v>
      </c>
      <c r="BA2381" s="1">
        <v>9</v>
      </c>
      <c r="BB2381" s="1">
        <v>0</v>
      </c>
      <c r="BC2381" s="1">
        <v>0</v>
      </c>
      <c r="BE2381" s="1">
        <v>27431882</v>
      </c>
    </row>
    <row r="2382" spans="1:57" x14ac:dyDescent="0.25">
      <c r="A2382" s="1" t="str">
        <f>T("1946641937734507804")</f>
        <v>1946641937734507804</v>
      </c>
      <c r="B2382" s="1" t="str">
        <f>T("249910212590")</f>
        <v>249910212590</v>
      </c>
      <c r="C2382" s="1" t="str">
        <f>T("1941094470921489272")</f>
        <v>1941094470921489272</v>
      </c>
      <c r="AC2382" s="1" t="s">
        <v>344</v>
      </c>
      <c r="AD2382" s="1" t="s">
        <v>524</v>
      </c>
      <c r="AE2382" s="1" t="s">
        <v>528</v>
      </c>
      <c r="AF2382" s="1" t="s">
        <v>144</v>
      </c>
      <c r="AG2382" s="1" t="s">
        <v>529</v>
      </c>
      <c r="AO2382" s="2">
        <v>46280</v>
      </c>
      <c r="AP2382" s="1" t="s">
        <v>226</v>
      </c>
      <c r="AS2382" s="1" t="s">
        <v>71</v>
      </c>
      <c r="AU2382" s="1" t="s">
        <v>72</v>
      </c>
      <c r="AV2382" s="1" t="s">
        <v>73</v>
      </c>
      <c r="AX2382" s="1">
        <v>0</v>
      </c>
      <c r="BA2382" s="1">
        <v>9</v>
      </c>
      <c r="BB2382" s="1">
        <v>0</v>
      </c>
      <c r="BC2382" s="1">
        <v>0</v>
      </c>
      <c r="BE2382" s="1">
        <v>27431882</v>
      </c>
    </row>
    <row r="2383" spans="1:57" x14ac:dyDescent="0.25">
      <c r="A2383" s="1" t="str">
        <f>T("1946641937734508004")</f>
        <v>1946641937734508004</v>
      </c>
      <c r="B2383" s="1" t="str">
        <f>T("249969869414")</f>
        <v>249969869414</v>
      </c>
      <c r="C2383" s="1" t="str">
        <f>T("1941094470921489772")</f>
        <v>1941094470921489772</v>
      </c>
      <c r="AC2383" s="1" t="s">
        <v>276</v>
      </c>
      <c r="AD2383" s="1" t="s">
        <v>298</v>
      </c>
      <c r="AE2383" s="1" t="s">
        <v>538</v>
      </c>
      <c r="AF2383" s="1" t="s">
        <v>144</v>
      </c>
      <c r="AG2383" s="1">
        <v>42</v>
      </c>
      <c r="AO2383" s="2">
        <v>46280</v>
      </c>
      <c r="AP2383" s="1" t="s">
        <v>226</v>
      </c>
      <c r="AS2383" s="1" t="s">
        <v>71</v>
      </c>
      <c r="AU2383" s="1" t="s">
        <v>72</v>
      </c>
      <c r="AV2383" s="1" t="s">
        <v>73</v>
      </c>
      <c r="AX2383" s="1">
        <v>0</v>
      </c>
      <c r="BA2383" s="1">
        <v>9</v>
      </c>
      <c r="BB2383" s="1">
        <v>0</v>
      </c>
      <c r="BC2383" s="1">
        <v>0</v>
      </c>
      <c r="BE2383" s="1">
        <v>27431882</v>
      </c>
    </row>
    <row r="2384" spans="1:57" x14ac:dyDescent="0.25">
      <c r="A2384" s="1" t="str">
        <f>T("1946641937881305184")</f>
        <v>1946641937881305184</v>
      </c>
      <c r="B2384" s="1" t="str">
        <f>T("249911290311")</f>
        <v>249911290311</v>
      </c>
      <c r="C2384" s="1" t="str">
        <f>T("1941094470925680880")</f>
        <v>1941094470925680880</v>
      </c>
      <c r="AC2384" s="1" t="s">
        <v>104</v>
      </c>
      <c r="AD2384" s="1" t="s">
        <v>105</v>
      </c>
      <c r="AE2384" s="1" t="s">
        <v>401</v>
      </c>
      <c r="AF2384" s="1" t="s">
        <v>144</v>
      </c>
      <c r="AG2384" s="1">
        <v>58</v>
      </c>
      <c r="AO2384" s="2">
        <v>46280</v>
      </c>
      <c r="AP2384" s="1" t="s">
        <v>226</v>
      </c>
      <c r="AS2384" s="1" t="s">
        <v>71</v>
      </c>
      <c r="AU2384" s="1" t="s">
        <v>72</v>
      </c>
      <c r="AV2384" s="1" t="s">
        <v>73</v>
      </c>
      <c r="AX2384" s="1">
        <v>0</v>
      </c>
      <c r="BA2384" s="1">
        <v>9</v>
      </c>
      <c r="BB2384" s="1">
        <v>0</v>
      </c>
      <c r="BC2384" s="1">
        <v>0</v>
      </c>
      <c r="BE2384" s="1">
        <v>27431882</v>
      </c>
    </row>
    <row r="2385" spans="1:57" x14ac:dyDescent="0.25">
      <c r="A2385" s="1" t="str">
        <f>T("1946641937885501292")</f>
        <v>1946641937885501292</v>
      </c>
      <c r="B2385" s="1" t="str">
        <f>T("249904463521")</f>
        <v>249904463521</v>
      </c>
      <c r="C2385" s="1" t="str">
        <f>T("1941094470925681280")</f>
        <v>1941094470925681280</v>
      </c>
      <c r="AC2385" s="1" t="s">
        <v>344</v>
      </c>
      <c r="AD2385" s="1" t="s">
        <v>345</v>
      </c>
      <c r="AE2385" s="1" t="s">
        <v>522</v>
      </c>
      <c r="AF2385" s="1" t="s">
        <v>144</v>
      </c>
      <c r="AG2385" s="1">
        <v>40</v>
      </c>
      <c r="AO2385" s="2">
        <v>46280</v>
      </c>
      <c r="AP2385" s="1" t="s">
        <v>226</v>
      </c>
      <c r="AS2385" s="1" t="s">
        <v>71</v>
      </c>
      <c r="AU2385" s="1" t="s">
        <v>72</v>
      </c>
      <c r="AV2385" s="1" t="s">
        <v>126</v>
      </c>
      <c r="AX2385" s="1">
        <v>0</v>
      </c>
      <c r="BA2385" s="1">
        <v>9</v>
      </c>
      <c r="BB2385" s="1">
        <v>0</v>
      </c>
      <c r="BC2385" s="1">
        <v>0</v>
      </c>
      <c r="BE2385" s="1">
        <v>27431882</v>
      </c>
    </row>
    <row r="2386" spans="1:57" x14ac:dyDescent="0.25">
      <c r="A2386" s="1" t="str">
        <f>T("1946641937960999836")</f>
        <v>1946641937960999836</v>
      </c>
      <c r="B2386" s="1" t="str">
        <f>T("249914425904")</f>
        <v>249914425904</v>
      </c>
      <c r="C2386" s="1" t="str">
        <f>T("1941094470925681680")</f>
        <v>1941094470925681680</v>
      </c>
      <c r="AC2386" s="1" t="s">
        <v>344</v>
      </c>
      <c r="AD2386" s="1" t="s">
        <v>345</v>
      </c>
      <c r="AE2386" s="1" t="s">
        <v>522</v>
      </c>
      <c r="AF2386" s="1" t="s">
        <v>144</v>
      </c>
      <c r="AG2386" s="1">
        <v>41</v>
      </c>
      <c r="AO2386" s="2">
        <v>46280</v>
      </c>
      <c r="AP2386" s="1" t="s">
        <v>226</v>
      </c>
      <c r="AS2386" s="1" t="s">
        <v>71</v>
      </c>
      <c r="AU2386" s="1" t="s">
        <v>72</v>
      </c>
      <c r="AV2386" s="1" t="s">
        <v>437</v>
      </c>
      <c r="AX2386" s="1">
        <v>0</v>
      </c>
      <c r="BA2386" s="1">
        <v>9</v>
      </c>
      <c r="BB2386" s="1">
        <v>0</v>
      </c>
      <c r="BC2386" s="1">
        <v>0</v>
      </c>
      <c r="BE2386" s="1">
        <v>27431882</v>
      </c>
    </row>
    <row r="2387" spans="1:57" x14ac:dyDescent="0.25">
      <c r="A2387" s="1" t="str">
        <f>T("1946641937969389052")</f>
        <v>1946641937969389052</v>
      </c>
      <c r="B2387" s="1" t="str">
        <f>T("249914059554")</f>
        <v>249914059554</v>
      </c>
      <c r="C2387" s="1" t="str">
        <f>T("1941094470925682080")</f>
        <v>1941094470925682080</v>
      </c>
      <c r="AC2387" s="1" t="s">
        <v>344</v>
      </c>
      <c r="AD2387" s="1" t="s">
        <v>524</v>
      </c>
      <c r="AE2387" s="1" t="s">
        <v>528</v>
      </c>
      <c r="AF2387" s="1" t="s">
        <v>144</v>
      </c>
      <c r="AG2387" s="1" t="s">
        <v>529</v>
      </c>
      <c r="AO2387" s="2">
        <v>46280</v>
      </c>
      <c r="AP2387" s="1" t="s">
        <v>226</v>
      </c>
      <c r="AS2387" s="1" t="s">
        <v>71</v>
      </c>
      <c r="AU2387" s="1" t="s">
        <v>72</v>
      </c>
      <c r="AV2387" s="1" t="s">
        <v>437</v>
      </c>
      <c r="AX2387" s="1">
        <v>0</v>
      </c>
      <c r="BA2387" s="1">
        <v>9</v>
      </c>
      <c r="BB2387" s="1">
        <v>0</v>
      </c>
      <c r="BC2387" s="1">
        <v>0</v>
      </c>
      <c r="BE2387" s="1">
        <v>27431882</v>
      </c>
    </row>
    <row r="2388" spans="1:57" x14ac:dyDescent="0.25">
      <c r="A2388" s="1" t="str">
        <f>T("1946641938091022984")</f>
        <v>1946641938091022984</v>
      </c>
      <c r="B2388" s="1" t="str">
        <f>T("249917148036")</f>
        <v>249917148036</v>
      </c>
      <c r="C2388" s="1" t="str">
        <f>T("1941094470925683880")</f>
        <v>1941094470925683880</v>
      </c>
      <c r="AC2388" s="1" t="s">
        <v>366</v>
      </c>
      <c r="AD2388" s="1" t="s">
        <v>367</v>
      </c>
      <c r="AE2388" s="1" t="s">
        <v>368</v>
      </c>
      <c r="AF2388" s="1" t="s">
        <v>144</v>
      </c>
      <c r="AG2388" s="1">
        <v>46</v>
      </c>
      <c r="AO2388" s="2">
        <v>46280</v>
      </c>
      <c r="AP2388" s="1" t="s">
        <v>226</v>
      </c>
      <c r="AS2388" s="1" t="s">
        <v>71</v>
      </c>
      <c r="AU2388" s="1" t="s">
        <v>72</v>
      </c>
      <c r="AV2388" s="1" t="s">
        <v>126</v>
      </c>
      <c r="AX2388" s="1">
        <v>0</v>
      </c>
      <c r="BA2388" s="1">
        <v>9</v>
      </c>
      <c r="BB2388" s="1">
        <v>0</v>
      </c>
      <c r="BC2388" s="1">
        <v>0</v>
      </c>
      <c r="BE2388" s="1">
        <v>27431882</v>
      </c>
    </row>
    <row r="2389" spans="1:57" x14ac:dyDescent="0.25">
      <c r="A2389" s="1" t="str">
        <f>T("1946641938166520328")</f>
        <v>1946641938166520328</v>
      </c>
      <c r="B2389" s="1" t="str">
        <f>T("249962200597")</f>
        <v>249962200597</v>
      </c>
      <c r="C2389" s="1" t="str">
        <f>T("1941094470929875288")</f>
        <v>1941094470929875288</v>
      </c>
      <c r="AC2389" s="1" t="s">
        <v>276</v>
      </c>
      <c r="AD2389" s="1" t="s">
        <v>517</v>
      </c>
      <c r="AE2389" s="1" t="s">
        <v>540</v>
      </c>
      <c r="AF2389" s="1" t="s">
        <v>144</v>
      </c>
      <c r="AG2389" s="1">
        <v>29</v>
      </c>
      <c r="AO2389" s="2">
        <v>46280</v>
      </c>
      <c r="AP2389" s="1" t="s">
        <v>226</v>
      </c>
      <c r="AS2389" s="1" t="s">
        <v>71</v>
      </c>
      <c r="AU2389" s="1" t="s">
        <v>72</v>
      </c>
      <c r="AV2389" s="1" t="s">
        <v>126</v>
      </c>
      <c r="AX2389" s="1">
        <v>0</v>
      </c>
      <c r="BA2389" s="1">
        <v>9</v>
      </c>
      <c r="BB2389" s="1">
        <v>0</v>
      </c>
      <c r="BC2389" s="1">
        <v>0</v>
      </c>
      <c r="BE2389" s="1">
        <v>27431882</v>
      </c>
    </row>
    <row r="2390" spans="1:57" x14ac:dyDescent="0.25">
      <c r="A2390" s="1" t="str">
        <f>T("1946641938166521728")</f>
        <v>1946641938166521728</v>
      </c>
      <c r="B2390" s="1" t="str">
        <f>T("249906446977")</f>
        <v>249906446977</v>
      </c>
      <c r="C2390" s="1" t="str">
        <f>T("1941094470925684580")</f>
        <v>1941094470925684580</v>
      </c>
      <c r="AC2390" s="1" t="s">
        <v>344</v>
      </c>
      <c r="AD2390" s="1" t="s">
        <v>345</v>
      </c>
      <c r="AE2390" s="1" t="s">
        <v>522</v>
      </c>
      <c r="AF2390" s="1" t="s">
        <v>144</v>
      </c>
      <c r="AG2390" s="1">
        <v>25</v>
      </c>
      <c r="AO2390" s="2">
        <v>46280</v>
      </c>
      <c r="AP2390" s="1" t="s">
        <v>226</v>
      </c>
      <c r="AS2390" s="1" t="s">
        <v>71</v>
      </c>
      <c r="AU2390" s="1" t="s">
        <v>72</v>
      </c>
      <c r="AV2390" s="1" t="s">
        <v>126</v>
      </c>
      <c r="AX2390" s="1">
        <v>0</v>
      </c>
      <c r="BA2390" s="1">
        <v>9</v>
      </c>
      <c r="BB2390" s="1">
        <v>0</v>
      </c>
      <c r="BC2390" s="1">
        <v>0</v>
      </c>
      <c r="BE2390" s="1">
        <v>27431882</v>
      </c>
    </row>
    <row r="2391" spans="1:57" x14ac:dyDescent="0.25">
      <c r="A2391" s="1" t="str">
        <f>T("1946641938174908944")</f>
        <v>1946641938174908944</v>
      </c>
      <c r="B2391" s="1" t="str">
        <f>T("249903645111")</f>
        <v>249903645111</v>
      </c>
      <c r="C2391" s="1" t="str">
        <f>T("1941094470929875688")</f>
        <v>1941094470929875688</v>
      </c>
      <c r="AC2391" s="1" t="s">
        <v>276</v>
      </c>
      <c r="AD2391" s="1" t="s">
        <v>517</v>
      </c>
      <c r="AE2391" s="1" t="s">
        <v>530</v>
      </c>
      <c r="AF2391" s="1" t="s">
        <v>144</v>
      </c>
      <c r="AG2391" s="1">
        <v>31</v>
      </c>
      <c r="AO2391" s="2">
        <v>46280</v>
      </c>
      <c r="AP2391" s="1" t="s">
        <v>226</v>
      </c>
      <c r="AS2391" s="1" t="s">
        <v>71</v>
      </c>
      <c r="AU2391" s="1" t="s">
        <v>72</v>
      </c>
      <c r="AV2391" s="1" t="s">
        <v>437</v>
      </c>
      <c r="AX2391" s="1">
        <v>0</v>
      </c>
      <c r="BA2391" s="1">
        <v>9</v>
      </c>
      <c r="BB2391" s="1">
        <v>0</v>
      </c>
      <c r="BC2391" s="1">
        <v>0</v>
      </c>
      <c r="BE2391" s="1">
        <v>27431882</v>
      </c>
    </row>
    <row r="2392" spans="1:57" x14ac:dyDescent="0.25">
      <c r="A2392" s="1" t="str">
        <f>T("1946641938179104052")</f>
        <v>1946641938179104052</v>
      </c>
      <c r="B2392" s="1" t="str">
        <f>T("249902670702")</f>
        <v>249902670702</v>
      </c>
      <c r="C2392" s="1" t="str">
        <f>T("1941094470929876088")</f>
        <v>1941094470929876088</v>
      </c>
      <c r="AC2392" s="1" t="s">
        <v>344</v>
      </c>
      <c r="AD2392" s="1" t="s">
        <v>430</v>
      </c>
      <c r="AE2392" s="1" t="s">
        <v>531</v>
      </c>
      <c r="AF2392" s="1" t="s">
        <v>144</v>
      </c>
      <c r="AG2392" s="1">
        <v>0</v>
      </c>
      <c r="AO2392" s="2">
        <v>46280</v>
      </c>
      <c r="AP2392" s="1" t="s">
        <v>226</v>
      </c>
      <c r="AS2392" s="1" t="s">
        <v>71</v>
      </c>
      <c r="AU2392" s="1" t="s">
        <v>72</v>
      </c>
      <c r="AV2392" s="1" t="s">
        <v>73</v>
      </c>
      <c r="AX2392" s="1">
        <v>0</v>
      </c>
      <c r="BA2392" s="1">
        <v>9</v>
      </c>
      <c r="BB2392" s="1">
        <v>0</v>
      </c>
      <c r="BC2392" s="1">
        <v>0</v>
      </c>
      <c r="BE2392" s="1">
        <v>27431882</v>
      </c>
    </row>
    <row r="2393" spans="1:57" x14ac:dyDescent="0.25">
      <c r="A2393" s="1" t="str">
        <f>T("1946641938237824064")</f>
        <v>1946641938237824064</v>
      </c>
      <c r="B2393" s="1" t="str">
        <f>T("249915372538")</f>
        <v>249915372538</v>
      </c>
      <c r="C2393" s="1" t="str">
        <f>T("1941094470929876488")</f>
        <v>1941094470929876488</v>
      </c>
      <c r="AC2393" s="1" t="s">
        <v>344</v>
      </c>
      <c r="AD2393" s="1" t="s">
        <v>524</v>
      </c>
      <c r="AE2393" s="1" t="s">
        <v>528</v>
      </c>
      <c r="AF2393" s="1" t="s">
        <v>144</v>
      </c>
      <c r="AG2393" s="1" t="s">
        <v>529</v>
      </c>
      <c r="AO2393" s="2">
        <v>46280</v>
      </c>
      <c r="AP2393" s="1" t="s">
        <v>226</v>
      </c>
      <c r="AS2393" s="1" t="s">
        <v>71</v>
      </c>
      <c r="AU2393" s="1" t="s">
        <v>72</v>
      </c>
      <c r="AV2393" s="1" t="s">
        <v>437</v>
      </c>
      <c r="AX2393" s="1">
        <v>0</v>
      </c>
      <c r="BA2393" s="1">
        <v>9</v>
      </c>
      <c r="BB2393" s="1">
        <v>0</v>
      </c>
      <c r="BC2393" s="1">
        <v>0</v>
      </c>
      <c r="BE2393" s="1">
        <v>27431882</v>
      </c>
    </row>
    <row r="2394" spans="1:57" x14ac:dyDescent="0.25">
      <c r="A2394" s="1" t="str">
        <f>T("1946641938262987212")</f>
        <v>1946641938262987212</v>
      </c>
      <c r="B2394" s="1" t="str">
        <f>T("249966528075")</f>
        <v>249966528075</v>
      </c>
      <c r="C2394" s="1" t="str">
        <f>T("1941094470938267404")</f>
        <v>1941094470938267404</v>
      </c>
      <c r="AC2394" s="1" t="s">
        <v>344</v>
      </c>
      <c r="AD2394" s="1" t="s">
        <v>430</v>
      </c>
      <c r="AE2394" s="1" t="s">
        <v>531</v>
      </c>
      <c r="AF2394" s="1" t="s">
        <v>144</v>
      </c>
      <c r="AG2394" s="1">
        <v>0</v>
      </c>
      <c r="AO2394" s="2">
        <v>46280</v>
      </c>
      <c r="AP2394" s="1" t="s">
        <v>226</v>
      </c>
      <c r="AS2394" s="1" t="s">
        <v>71</v>
      </c>
      <c r="AU2394" s="1" t="s">
        <v>72</v>
      </c>
      <c r="AV2394" s="1" t="s">
        <v>126</v>
      </c>
      <c r="AX2394" s="1">
        <v>0</v>
      </c>
      <c r="BA2394" s="1">
        <v>9</v>
      </c>
      <c r="BB2394" s="1">
        <v>0</v>
      </c>
      <c r="BC2394" s="1">
        <v>0</v>
      </c>
      <c r="BE2394" s="1">
        <v>27431882</v>
      </c>
    </row>
    <row r="2395" spans="1:57" x14ac:dyDescent="0.25">
      <c r="A2395" s="1" t="str">
        <f>T("1946641938489481944")</f>
        <v>1946641938489481944</v>
      </c>
      <c r="B2395" s="1" t="str">
        <f>T("249917235951")</f>
        <v>249917235951</v>
      </c>
      <c r="C2395" s="1" t="str">
        <f>T("1941094470942459212")</f>
        <v>1941094470942459212</v>
      </c>
      <c r="AC2395" s="1" t="s">
        <v>344</v>
      </c>
      <c r="AD2395" s="1" t="s">
        <v>524</v>
      </c>
      <c r="AE2395" s="1" t="s">
        <v>528</v>
      </c>
      <c r="AF2395" s="1" t="s">
        <v>144</v>
      </c>
      <c r="AG2395" s="1" t="s">
        <v>529</v>
      </c>
      <c r="AO2395" s="2">
        <v>46280</v>
      </c>
      <c r="AP2395" s="1" t="s">
        <v>226</v>
      </c>
      <c r="AS2395" s="1" t="s">
        <v>71</v>
      </c>
      <c r="AU2395" s="1" t="s">
        <v>72</v>
      </c>
      <c r="AV2395" s="1" t="s">
        <v>73</v>
      </c>
      <c r="AX2395" s="1">
        <v>0</v>
      </c>
      <c r="BA2395" s="1">
        <v>9</v>
      </c>
      <c r="BB2395" s="1">
        <v>0</v>
      </c>
      <c r="BC2395" s="1">
        <v>0</v>
      </c>
      <c r="BE2395" s="1">
        <v>27431882</v>
      </c>
    </row>
    <row r="2396" spans="1:57" x14ac:dyDescent="0.25">
      <c r="A2396" s="1" t="str">
        <f>T("1946641938573367204")</f>
        <v>1946641938573367204</v>
      </c>
      <c r="B2396" s="1" t="str">
        <f>T("249908233554")</f>
        <v>249908233554</v>
      </c>
      <c r="C2396" s="1" t="str">
        <f>T("1941094470942461612")</f>
        <v>1941094470942461612</v>
      </c>
      <c r="AC2396" s="1" t="s">
        <v>276</v>
      </c>
      <c r="AD2396" s="1" t="s">
        <v>517</v>
      </c>
      <c r="AE2396" s="1" t="s">
        <v>530</v>
      </c>
      <c r="AF2396" s="1" t="s">
        <v>144</v>
      </c>
      <c r="AG2396" s="1">
        <v>25</v>
      </c>
      <c r="AO2396" s="2">
        <v>46280</v>
      </c>
      <c r="AP2396" s="1" t="s">
        <v>226</v>
      </c>
      <c r="AS2396" s="1" t="s">
        <v>71</v>
      </c>
      <c r="AU2396" s="1" t="s">
        <v>72</v>
      </c>
      <c r="AV2396" s="1" t="s">
        <v>73</v>
      </c>
      <c r="AX2396" s="1">
        <v>0</v>
      </c>
      <c r="BA2396" s="1">
        <v>9</v>
      </c>
      <c r="BB2396" s="1">
        <v>0</v>
      </c>
      <c r="BC2396" s="1">
        <v>0</v>
      </c>
      <c r="BE2396" s="1">
        <v>27431882</v>
      </c>
    </row>
    <row r="2397" spans="1:57" x14ac:dyDescent="0.25">
      <c r="A2397" s="1" t="str">
        <f>T("1946641938577559612")</f>
        <v>1946641938577559612</v>
      </c>
      <c r="B2397" s="1" t="str">
        <f>T("249968280882")</f>
        <v>249968280882</v>
      </c>
      <c r="C2397" s="1" t="str">
        <f>T("1941094470946652520")</f>
        <v>1941094470946652520</v>
      </c>
      <c r="AC2397" s="1" t="s">
        <v>344</v>
      </c>
      <c r="AD2397" s="1" t="s">
        <v>524</v>
      </c>
      <c r="AE2397" s="1" t="s">
        <v>534</v>
      </c>
      <c r="AF2397" s="1" t="s">
        <v>144</v>
      </c>
      <c r="AG2397" s="1" t="s">
        <v>529</v>
      </c>
      <c r="AO2397" s="2">
        <v>46280</v>
      </c>
      <c r="AP2397" s="1" t="s">
        <v>226</v>
      </c>
      <c r="AS2397" s="1" t="s">
        <v>71</v>
      </c>
      <c r="AU2397" s="1" t="s">
        <v>72</v>
      </c>
      <c r="AV2397" s="1" t="s">
        <v>126</v>
      </c>
      <c r="AX2397" s="1">
        <v>0</v>
      </c>
      <c r="BA2397" s="1">
        <v>9</v>
      </c>
      <c r="BB2397" s="1">
        <v>0</v>
      </c>
      <c r="BC2397" s="1">
        <v>0</v>
      </c>
      <c r="BE2397" s="1">
        <v>27431882</v>
      </c>
    </row>
    <row r="2398" spans="1:57" x14ac:dyDescent="0.25">
      <c r="A2398" s="1" t="str">
        <f>T("1946641938585950528")</f>
        <v>1946641938585950528</v>
      </c>
      <c r="B2398" s="1" t="str">
        <f>T("249917021733")</f>
        <v>249917021733</v>
      </c>
      <c r="C2398" s="1" t="str">
        <f>T("1941094470946653320")</f>
        <v>1941094470946653320</v>
      </c>
      <c r="AC2398" s="1" t="s">
        <v>344</v>
      </c>
      <c r="AD2398" s="1" t="s">
        <v>524</v>
      </c>
      <c r="AE2398" s="1" t="s">
        <v>535</v>
      </c>
      <c r="AF2398" s="1" t="s">
        <v>144</v>
      </c>
      <c r="AG2398" s="1">
        <v>0</v>
      </c>
      <c r="AO2398" s="2">
        <v>46280</v>
      </c>
      <c r="AP2398" s="1" t="s">
        <v>226</v>
      </c>
      <c r="AS2398" s="1" t="s">
        <v>71</v>
      </c>
      <c r="AU2398" s="1" t="s">
        <v>72</v>
      </c>
      <c r="AV2398" s="1" t="s">
        <v>126</v>
      </c>
      <c r="AX2398" s="1">
        <v>0</v>
      </c>
      <c r="BA2398" s="1">
        <v>9</v>
      </c>
      <c r="BB2398" s="1">
        <v>0</v>
      </c>
      <c r="BC2398" s="1">
        <v>0</v>
      </c>
      <c r="BE2398" s="1">
        <v>27431882</v>
      </c>
    </row>
    <row r="2399" spans="1:57" x14ac:dyDescent="0.25">
      <c r="A2399" s="1" t="str">
        <f>T("1946853326377918044")</f>
        <v>1946853326377918044</v>
      </c>
      <c r="B2399" s="1" t="str">
        <f>T("249965650100")</f>
        <v>249965650100</v>
      </c>
      <c r="C2399" s="1" t="str">
        <f>T("1941094470946653820")</f>
        <v>1941094470946653820</v>
      </c>
      <c r="AC2399" s="1" t="s">
        <v>276</v>
      </c>
      <c r="AD2399" s="1" t="s">
        <v>517</v>
      </c>
      <c r="AE2399" s="1" t="s">
        <v>540</v>
      </c>
      <c r="AF2399" s="1" t="s">
        <v>144</v>
      </c>
      <c r="AG2399" s="1">
        <v>26</v>
      </c>
      <c r="AO2399" s="2">
        <v>46281</v>
      </c>
      <c r="AP2399" s="1" t="s">
        <v>248</v>
      </c>
      <c r="AS2399" s="1" t="s">
        <v>71</v>
      </c>
      <c r="AU2399" s="1" t="s">
        <v>72</v>
      </c>
      <c r="AV2399" s="1" t="s">
        <v>73</v>
      </c>
      <c r="AX2399" s="1">
        <v>0</v>
      </c>
      <c r="BA2399" s="1">
        <v>9</v>
      </c>
      <c r="BB2399" s="1">
        <v>0</v>
      </c>
      <c r="BC2399" s="1">
        <v>0</v>
      </c>
      <c r="BE2399" s="1">
        <v>27431897</v>
      </c>
    </row>
    <row r="2400" spans="1:57" x14ac:dyDescent="0.25">
      <c r="A2400" s="1" t="str">
        <f>T("1946853326436635856")</f>
        <v>1946853326436635856</v>
      </c>
      <c r="B2400" s="1" t="str">
        <f>T("249919728348")</f>
        <v>249919728348</v>
      </c>
      <c r="C2400" s="1" t="str">
        <f>T("1941094470946654420")</f>
        <v>1941094470946654420</v>
      </c>
      <c r="AC2400" s="1" t="s">
        <v>276</v>
      </c>
      <c r="AD2400" s="1" t="s">
        <v>517</v>
      </c>
      <c r="AE2400" s="1" t="s">
        <v>521</v>
      </c>
      <c r="AF2400" s="1" t="s">
        <v>144</v>
      </c>
      <c r="AG2400" s="1">
        <v>35</v>
      </c>
      <c r="AO2400" s="2">
        <v>46281</v>
      </c>
      <c r="AP2400" s="1" t="s">
        <v>248</v>
      </c>
      <c r="AS2400" s="1" t="s">
        <v>71</v>
      </c>
      <c r="AU2400" s="1" t="s">
        <v>72</v>
      </c>
      <c r="AV2400" s="1" t="s">
        <v>73</v>
      </c>
      <c r="AX2400" s="1">
        <v>0</v>
      </c>
      <c r="BA2400" s="1">
        <v>9</v>
      </c>
      <c r="BB2400" s="1">
        <v>0</v>
      </c>
      <c r="BC2400" s="1">
        <v>0</v>
      </c>
      <c r="BE2400" s="1">
        <v>27431897</v>
      </c>
    </row>
    <row r="2401" spans="1:57" x14ac:dyDescent="0.25">
      <c r="A2401" s="1" t="str">
        <f>T("1946853326541495756")</f>
        <v>1946853326541495756</v>
      </c>
      <c r="B2401" s="1" t="str">
        <f>T("249908310570")</f>
        <v>249908310570</v>
      </c>
      <c r="C2401" s="1" t="str">
        <f>T("1941094470946655120")</f>
        <v>1941094470946655120</v>
      </c>
      <c r="AC2401" s="1" t="s">
        <v>276</v>
      </c>
      <c r="AD2401" s="1" t="s">
        <v>517</v>
      </c>
      <c r="AE2401" s="1" t="s">
        <v>521</v>
      </c>
      <c r="AF2401" s="1" t="s">
        <v>144</v>
      </c>
      <c r="AG2401" s="1">
        <v>29</v>
      </c>
      <c r="AO2401" s="2">
        <v>46281</v>
      </c>
      <c r="AP2401" s="1" t="s">
        <v>248</v>
      </c>
      <c r="AS2401" s="1" t="s">
        <v>71</v>
      </c>
      <c r="AU2401" s="1" t="s">
        <v>72</v>
      </c>
      <c r="AV2401" s="1" t="s">
        <v>437</v>
      </c>
      <c r="AX2401" s="1">
        <v>0</v>
      </c>
      <c r="BA2401" s="1">
        <v>9</v>
      </c>
      <c r="BB2401" s="1">
        <v>0</v>
      </c>
      <c r="BC2401" s="1">
        <v>0</v>
      </c>
      <c r="BE2401" s="1">
        <v>27431897</v>
      </c>
    </row>
    <row r="2402" spans="1:57" x14ac:dyDescent="0.25">
      <c r="A2402" s="1" t="str">
        <f>T("1946853326596020560")</f>
        <v>1946853326596020560</v>
      </c>
      <c r="B2402" s="1" t="str">
        <f>T("249966289716")</f>
        <v>249966289716</v>
      </c>
      <c r="C2402" s="1" t="str">
        <f>T("1941094470950846628")</f>
        <v>1941094470950846628</v>
      </c>
      <c r="AC2402" s="1" t="s">
        <v>276</v>
      </c>
      <c r="AD2402" s="1" t="s">
        <v>517</v>
      </c>
      <c r="AE2402" s="1" t="s">
        <v>530</v>
      </c>
      <c r="AF2402" s="1" t="s">
        <v>144</v>
      </c>
      <c r="AG2402" s="1">
        <v>33</v>
      </c>
      <c r="AO2402" s="2">
        <v>46281</v>
      </c>
      <c r="AP2402" s="1" t="s">
        <v>248</v>
      </c>
      <c r="AS2402" s="1" t="s">
        <v>71</v>
      </c>
      <c r="AU2402" s="1" t="s">
        <v>72</v>
      </c>
      <c r="AV2402" s="1" t="s">
        <v>437</v>
      </c>
      <c r="AX2402" s="1">
        <v>0</v>
      </c>
      <c r="BA2402" s="1">
        <v>9</v>
      </c>
      <c r="BB2402" s="1">
        <v>0</v>
      </c>
      <c r="BC2402" s="1">
        <v>0</v>
      </c>
      <c r="BE2402" s="1">
        <v>27431897</v>
      </c>
    </row>
    <row r="2403" spans="1:57" x14ac:dyDescent="0.25">
      <c r="A2403" s="1" t="str">
        <f>T("1946853326596020960")</f>
        <v>1946853326596020960</v>
      </c>
      <c r="B2403" s="1" t="str">
        <f>T("249904577253")</f>
        <v>249904577253</v>
      </c>
      <c r="C2403" s="1" t="str">
        <f>T("1941094470946655820")</f>
        <v>1941094470946655820</v>
      </c>
      <c r="AC2403" s="1" t="s">
        <v>344</v>
      </c>
      <c r="AD2403" s="1" t="s">
        <v>345</v>
      </c>
      <c r="AE2403" s="1" t="s">
        <v>522</v>
      </c>
      <c r="AF2403" s="1" t="s">
        <v>144</v>
      </c>
      <c r="AG2403" s="1">
        <v>33</v>
      </c>
      <c r="AO2403" s="2">
        <v>46281</v>
      </c>
      <c r="AP2403" s="1" t="s">
        <v>248</v>
      </c>
      <c r="AS2403" s="1" t="s">
        <v>71</v>
      </c>
      <c r="AU2403" s="1" t="s">
        <v>72</v>
      </c>
      <c r="AV2403" s="1" t="s">
        <v>73</v>
      </c>
      <c r="AX2403" s="1">
        <v>0</v>
      </c>
      <c r="BA2403" s="1">
        <v>9</v>
      </c>
      <c r="BB2403" s="1">
        <v>0</v>
      </c>
      <c r="BC2403" s="1">
        <v>0</v>
      </c>
      <c r="BE2403" s="1">
        <v>27431897</v>
      </c>
    </row>
    <row r="2404" spans="1:57" x14ac:dyDescent="0.25">
      <c r="A2404" s="1" t="str">
        <f>T("1946853326646352456")</f>
        <v>1946853326646352456</v>
      </c>
      <c r="B2404" s="1" t="str">
        <f>T("249904968657")</f>
        <v>249904968657</v>
      </c>
      <c r="C2404" s="1" t="str">
        <f>T("1941094470950847128")</f>
        <v>1941094470950847128</v>
      </c>
      <c r="AC2404" s="1" t="s">
        <v>344</v>
      </c>
      <c r="AD2404" s="1" t="s">
        <v>524</v>
      </c>
      <c r="AE2404" s="1" t="s">
        <v>527</v>
      </c>
      <c r="AF2404" s="1" t="s">
        <v>144</v>
      </c>
      <c r="AG2404" s="1">
        <v>0</v>
      </c>
      <c r="AO2404" s="2">
        <v>46281</v>
      </c>
      <c r="AP2404" s="1" t="s">
        <v>248</v>
      </c>
      <c r="AS2404" s="1" t="s">
        <v>71</v>
      </c>
      <c r="AU2404" s="1" t="s">
        <v>72</v>
      </c>
      <c r="AV2404" s="1" t="s">
        <v>73</v>
      </c>
      <c r="AX2404" s="1">
        <v>0</v>
      </c>
      <c r="BA2404" s="1">
        <v>9</v>
      </c>
      <c r="BB2404" s="1">
        <v>0</v>
      </c>
      <c r="BC2404" s="1">
        <v>0</v>
      </c>
      <c r="BE2404" s="1">
        <v>27431897</v>
      </c>
    </row>
    <row r="2405" spans="1:57" x14ac:dyDescent="0.25">
      <c r="A2405" s="1" t="str">
        <f>T("1946853326658936480")</f>
        <v>1946853326658936480</v>
      </c>
      <c r="B2405" s="1" t="str">
        <f>T("249963857201")</f>
        <v>249963857201</v>
      </c>
      <c r="C2405" s="1" t="str">
        <f>T("1941094470950847628")</f>
        <v>1941094470950847628</v>
      </c>
      <c r="AC2405" s="1" t="s">
        <v>344</v>
      </c>
      <c r="AD2405" s="1" t="s">
        <v>524</v>
      </c>
      <c r="AE2405" s="1" t="s">
        <v>528</v>
      </c>
      <c r="AF2405" s="1" t="s">
        <v>144</v>
      </c>
      <c r="AG2405" s="1" t="s">
        <v>529</v>
      </c>
      <c r="AO2405" s="2">
        <v>46281</v>
      </c>
      <c r="AP2405" s="1" t="s">
        <v>248</v>
      </c>
      <c r="AS2405" s="1" t="s">
        <v>71</v>
      </c>
      <c r="AU2405" s="1" t="s">
        <v>72</v>
      </c>
      <c r="AV2405" s="1" t="s">
        <v>73</v>
      </c>
      <c r="AX2405" s="1">
        <v>0</v>
      </c>
      <c r="BA2405" s="1">
        <v>9</v>
      </c>
      <c r="BB2405" s="1">
        <v>0</v>
      </c>
      <c r="BC2405" s="1">
        <v>0</v>
      </c>
      <c r="BE2405" s="1">
        <v>27431897</v>
      </c>
    </row>
    <row r="2406" spans="1:57" x14ac:dyDescent="0.25">
      <c r="A2406" s="1" t="str">
        <f>T("1946853326675712812")</f>
        <v>1946853326675712812</v>
      </c>
      <c r="B2406" s="1" t="str">
        <f>T("24992426833")</f>
        <v>24992426833</v>
      </c>
      <c r="C2406" s="1" t="str">
        <f>T("1941094470950848128")</f>
        <v>1941094470950848128</v>
      </c>
      <c r="AC2406" s="1" t="s">
        <v>344</v>
      </c>
      <c r="AD2406" s="1" t="s">
        <v>524</v>
      </c>
      <c r="AE2406" s="1" t="s">
        <v>534</v>
      </c>
      <c r="AF2406" s="1" t="s">
        <v>144</v>
      </c>
      <c r="AG2406" s="1" t="s">
        <v>529</v>
      </c>
      <c r="AO2406" s="2">
        <v>46281</v>
      </c>
      <c r="AP2406" s="1" t="s">
        <v>248</v>
      </c>
      <c r="AS2406" s="1" t="s">
        <v>71</v>
      </c>
      <c r="AU2406" s="1" t="s">
        <v>72</v>
      </c>
      <c r="AV2406" s="1" t="s">
        <v>73</v>
      </c>
      <c r="AX2406" s="1">
        <v>0</v>
      </c>
      <c r="BA2406" s="1">
        <v>9</v>
      </c>
      <c r="BB2406" s="1">
        <v>0</v>
      </c>
      <c r="BC2406" s="1">
        <v>0</v>
      </c>
      <c r="BE2406" s="1">
        <v>27431897</v>
      </c>
    </row>
    <row r="2407" spans="1:57" x14ac:dyDescent="0.25">
      <c r="A2407" s="1" t="str">
        <f>T("1946853326696683452")</f>
        <v>1946853326696683452</v>
      </c>
      <c r="B2407" s="1" t="str">
        <f>T("249917576317")</f>
        <v>249917576317</v>
      </c>
      <c r="C2407" s="1" t="str">
        <f>T("1941094470955041836")</f>
        <v>1941094470955041836</v>
      </c>
      <c r="AC2407" s="1" t="s">
        <v>344</v>
      </c>
      <c r="AD2407" s="1" t="s">
        <v>524</v>
      </c>
      <c r="AE2407" s="1" t="s">
        <v>534</v>
      </c>
      <c r="AF2407" s="1" t="s">
        <v>144</v>
      </c>
      <c r="AG2407" s="1" t="s">
        <v>529</v>
      </c>
      <c r="AO2407" s="2">
        <v>46281</v>
      </c>
      <c r="AP2407" s="1" t="s">
        <v>248</v>
      </c>
      <c r="AS2407" s="1" t="s">
        <v>71</v>
      </c>
      <c r="AU2407" s="1" t="s">
        <v>72</v>
      </c>
      <c r="AV2407" s="1" t="s">
        <v>437</v>
      </c>
      <c r="AX2407" s="1">
        <v>0</v>
      </c>
      <c r="BA2407" s="1">
        <v>9</v>
      </c>
      <c r="BB2407" s="1">
        <v>0</v>
      </c>
      <c r="BC2407" s="1">
        <v>0</v>
      </c>
      <c r="BE2407" s="1">
        <v>27431897</v>
      </c>
    </row>
    <row r="2408" spans="1:57" x14ac:dyDescent="0.25">
      <c r="A2408" s="1" t="str">
        <f>T("1946853326705072368")</f>
        <v>1946853326705072368</v>
      </c>
      <c r="B2408" s="1" t="str">
        <f>T("249963360116")</f>
        <v>249963360116</v>
      </c>
      <c r="C2408" s="1" t="str">
        <f>T("1941094470959236144")</f>
        <v>1941094470959236144</v>
      </c>
      <c r="AC2408" s="1" t="s">
        <v>344</v>
      </c>
      <c r="AD2408" s="1" t="s">
        <v>524</v>
      </c>
      <c r="AE2408" s="1" t="s">
        <v>535</v>
      </c>
      <c r="AF2408" s="1" t="s">
        <v>144</v>
      </c>
      <c r="AG2408" s="1">
        <v>0</v>
      </c>
      <c r="AO2408" s="2">
        <v>46281</v>
      </c>
      <c r="AP2408" s="1" t="s">
        <v>248</v>
      </c>
      <c r="AS2408" s="1" t="s">
        <v>71</v>
      </c>
      <c r="AU2408" s="1" t="s">
        <v>72</v>
      </c>
      <c r="AV2408" s="1" t="s">
        <v>437</v>
      </c>
      <c r="AX2408" s="1">
        <v>0</v>
      </c>
      <c r="BA2408" s="1">
        <v>9</v>
      </c>
      <c r="BB2408" s="1">
        <v>0</v>
      </c>
      <c r="BC2408" s="1">
        <v>0</v>
      </c>
      <c r="BE2408" s="1">
        <v>27431897</v>
      </c>
    </row>
    <row r="2409" spans="1:57" x14ac:dyDescent="0.25">
      <c r="A2409" s="1" t="str">
        <f>T("1946853326763790980")</f>
        <v>1946853326763790980</v>
      </c>
      <c r="B2409" s="1" t="str">
        <f>T("249962534113")</f>
        <v>249962534113</v>
      </c>
      <c r="C2409" s="1" t="str">
        <f>T("1941094470963430352")</f>
        <v>1941094470963430352</v>
      </c>
      <c r="AC2409" s="1" t="s">
        <v>344</v>
      </c>
      <c r="AD2409" s="1" t="s">
        <v>524</v>
      </c>
      <c r="AE2409" s="1" t="s">
        <v>528</v>
      </c>
      <c r="AF2409" s="1" t="s">
        <v>144</v>
      </c>
      <c r="AG2409" s="1" t="s">
        <v>529</v>
      </c>
      <c r="AO2409" s="2">
        <v>46281</v>
      </c>
      <c r="AP2409" s="1" t="s">
        <v>248</v>
      </c>
      <c r="AS2409" s="1" t="s">
        <v>71</v>
      </c>
      <c r="AU2409" s="1" t="s">
        <v>72</v>
      </c>
      <c r="AV2409" s="1" t="s">
        <v>437</v>
      </c>
      <c r="AX2409" s="1">
        <v>0</v>
      </c>
      <c r="BA2409" s="1">
        <v>9</v>
      </c>
      <c r="BB2409" s="1">
        <v>0</v>
      </c>
      <c r="BC2409" s="1">
        <v>0</v>
      </c>
      <c r="BE2409" s="1">
        <v>27431897</v>
      </c>
    </row>
    <row r="2410" spans="1:57" x14ac:dyDescent="0.25">
      <c r="A2410" s="1" t="str">
        <f>T("1946853326780568112")</f>
        <v>1946853326780568112</v>
      </c>
      <c r="B2410" s="1" t="str">
        <f>T("249968110577")</f>
        <v>249968110577</v>
      </c>
      <c r="C2410" s="1" t="str">
        <f>T("1941094470963431152")</f>
        <v>1941094470963431152</v>
      </c>
      <c r="AC2410" s="1" t="s">
        <v>344</v>
      </c>
      <c r="AD2410" s="1" t="s">
        <v>430</v>
      </c>
      <c r="AE2410" s="1" t="s">
        <v>531</v>
      </c>
      <c r="AF2410" s="1" t="s">
        <v>144</v>
      </c>
      <c r="AG2410" s="1">
        <v>0</v>
      </c>
      <c r="AO2410" s="2">
        <v>46281</v>
      </c>
      <c r="AP2410" s="1" t="s">
        <v>248</v>
      </c>
      <c r="AS2410" s="1" t="s">
        <v>71</v>
      </c>
      <c r="AU2410" s="1" t="s">
        <v>72</v>
      </c>
      <c r="AV2410" s="1" t="s">
        <v>73</v>
      </c>
      <c r="AX2410" s="1">
        <v>0</v>
      </c>
      <c r="BA2410" s="1">
        <v>9</v>
      </c>
      <c r="BB2410" s="1">
        <v>0</v>
      </c>
      <c r="BC2410" s="1">
        <v>0</v>
      </c>
      <c r="BE2410" s="1">
        <v>27431897</v>
      </c>
    </row>
    <row r="2411" spans="1:57" x14ac:dyDescent="0.25">
      <c r="A2411" s="1" t="str">
        <f>T("1946853326809929968")</f>
        <v>1946853326809929968</v>
      </c>
      <c r="B2411" s="1" t="str">
        <f>T("249903994784")</f>
        <v>249903994784</v>
      </c>
      <c r="C2411" s="1" t="str">
        <f>T("1941094470963431652")</f>
        <v>1941094470963431652</v>
      </c>
      <c r="AC2411" s="1" t="s">
        <v>366</v>
      </c>
      <c r="AD2411" s="1" t="s">
        <v>367</v>
      </c>
      <c r="AE2411" s="1" t="s">
        <v>368</v>
      </c>
      <c r="AF2411" s="1" t="s">
        <v>144</v>
      </c>
      <c r="AG2411" s="1">
        <v>44</v>
      </c>
      <c r="AO2411" s="2">
        <v>46281</v>
      </c>
      <c r="AP2411" s="1" t="s">
        <v>248</v>
      </c>
      <c r="AS2411" s="1" t="s">
        <v>71</v>
      </c>
      <c r="AU2411" s="1" t="s">
        <v>72</v>
      </c>
      <c r="AV2411" s="1" t="s">
        <v>437</v>
      </c>
      <c r="AX2411" s="1">
        <v>0</v>
      </c>
      <c r="BA2411" s="1">
        <v>9</v>
      </c>
      <c r="BB2411" s="1">
        <v>0</v>
      </c>
      <c r="BC2411" s="1">
        <v>0</v>
      </c>
      <c r="BE2411" s="1">
        <v>27431897</v>
      </c>
    </row>
    <row r="2412" spans="1:57" x14ac:dyDescent="0.25">
      <c r="A2412" s="1" t="str">
        <f>T("1946853326818318184")</f>
        <v>1946853326818318184</v>
      </c>
      <c r="B2412" s="1" t="str">
        <f>T("249964565729")</f>
        <v>249964565729</v>
      </c>
      <c r="C2412" s="1" t="str">
        <f>T("1941094470963432652")</f>
        <v>1941094470963432652</v>
      </c>
      <c r="AC2412" s="1" t="s">
        <v>344</v>
      </c>
      <c r="AD2412" s="1" t="s">
        <v>524</v>
      </c>
      <c r="AE2412" s="1" t="s">
        <v>504</v>
      </c>
      <c r="AF2412" s="1" t="s">
        <v>144</v>
      </c>
      <c r="AG2412" s="1">
        <v>0</v>
      </c>
      <c r="AO2412" s="2">
        <v>46281</v>
      </c>
      <c r="AP2412" s="1" t="s">
        <v>248</v>
      </c>
      <c r="AS2412" s="1" t="s">
        <v>71</v>
      </c>
      <c r="AU2412" s="1" t="s">
        <v>72</v>
      </c>
      <c r="AV2412" s="1" t="s">
        <v>437</v>
      </c>
      <c r="AX2412" s="1">
        <v>0</v>
      </c>
      <c r="BA2412" s="1">
        <v>9</v>
      </c>
      <c r="BB2412" s="1">
        <v>0</v>
      </c>
      <c r="BC2412" s="1">
        <v>0</v>
      </c>
      <c r="BE2412" s="1">
        <v>27431897</v>
      </c>
    </row>
    <row r="2413" spans="1:57" x14ac:dyDescent="0.25">
      <c r="A2413" s="1" t="str">
        <f>T("1946853326843483732")</f>
        <v>1946853326843483732</v>
      </c>
      <c r="B2413" s="1" t="str">
        <f>T("24996731833")</f>
        <v>24996731833</v>
      </c>
      <c r="C2413" s="1" t="str">
        <f>T("1941094470963433152")</f>
        <v>1941094470963433152</v>
      </c>
      <c r="AC2413" s="1" t="s">
        <v>344</v>
      </c>
      <c r="AD2413" s="1" t="s">
        <v>524</v>
      </c>
      <c r="AE2413" s="1" t="s">
        <v>527</v>
      </c>
      <c r="AF2413" s="1" t="s">
        <v>144</v>
      </c>
      <c r="AG2413" s="1">
        <v>0</v>
      </c>
      <c r="AO2413" s="2">
        <v>46281</v>
      </c>
      <c r="AP2413" s="1" t="s">
        <v>248</v>
      </c>
      <c r="AS2413" s="1" t="s">
        <v>71</v>
      </c>
      <c r="AU2413" s="1" t="s">
        <v>72</v>
      </c>
      <c r="AV2413" s="1" t="s">
        <v>73</v>
      </c>
      <c r="AX2413" s="1">
        <v>0</v>
      </c>
      <c r="BA2413" s="1">
        <v>9</v>
      </c>
      <c r="BB2413" s="1">
        <v>0</v>
      </c>
      <c r="BC2413" s="1">
        <v>0</v>
      </c>
      <c r="BE2413" s="1">
        <v>27431897</v>
      </c>
    </row>
    <row r="2414" spans="1:57" x14ac:dyDescent="0.25">
      <c r="A2414" s="1" t="str">
        <f>T("1946853326872843188")</f>
        <v>1946853326872843188</v>
      </c>
      <c r="B2414" s="1" t="str">
        <f>T("249962821009")</f>
        <v>249962821009</v>
      </c>
      <c r="C2414" s="1" t="str">
        <f>T("1941094470967624560")</f>
        <v>1941094470967624560</v>
      </c>
      <c r="AC2414" s="1" t="s">
        <v>344</v>
      </c>
      <c r="AD2414" s="1" t="s">
        <v>430</v>
      </c>
      <c r="AE2414" s="1" t="s">
        <v>531</v>
      </c>
      <c r="AF2414" s="1" t="s">
        <v>144</v>
      </c>
      <c r="AG2414" s="1">
        <v>0</v>
      </c>
      <c r="AO2414" s="2">
        <v>46281</v>
      </c>
      <c r="AP2414" s="1" t="s">
        <v>248</v>
      </c>
      <c r="AS2414" s="1" t="s">
        <v>71</v>
      </c>
      <c r="AU2414" s="1" t="s">
        <v>72</v>
      </c>
      <c r="AV2414" s="1" t="s">
        <v>73</v>
      </c>
      <c r="AX2414" s="1">
        <v>0</v>
      </c>
      <c r="BA2414" s="1">
        <v>9</v>
      </c>
      <c r="BB2414" s="1">
        <v>0</v>
      </c>
      <c r="BC2414" s="1">
        <v>0</v>
      </c>
      <c r="BE2414" s="1">
        <v>27431897</v>
      </c>
    </row>
    <row r="2415" spans="1:57" x14ac:dyDescent="0.25">
      <c r="A2415" s="1" t="str">
        <f>T("1946853326906397152")</f>
        <v>1946853326906397152</v>
      </c>
      <c r="B2415" s="1" t="str">
        <f>T("249963091092")</f>
        <v>249963091092</v>
      </c>
      <c r="C2415" s="1" t="str">
        <f>T("1941094470967625060")</f>
        <v>1941094470967625060</v>
      </c>
      <c r="AC2415" s="1" t="s">
        <v>276</v>
      </c>
      <c r="AD2415" s="1" t="s">
        <v>517</v>
      </c>
      <c r="AE2415" s="1" t="s">
        <v>521</v>
      </c>
      <c r="AF2415" s="1" t="s">
        <v>144</v>
      </c>
      <c r="AG2415" s="1">
        <v>35</v>
      </c>
      <c r="AO2415" s="2">
        <v>46281</v>
      </c>
      <c r="AP2415" s="1" t="s">
        <v>248</v>
      </c>
      <c r="AS2415" s="1" t="s">
        <v>71</v>
      </c>
      <c r="AU2415" s="1" t="s">
        <v>72</v>
      </c>
      <c r="AV2415" s="1" t="s">
        <v>437</v>
      </c>
      <c r="AX2415" s="1">
        <v>0</v>
      </c>
      <c r="BA2415" s="1">
        <v>9</v>
      </c>
      <c r="BB2415" s="1">
        <v>0</v>
      </c>
      <c r="BC2415" s="1">
        <v>0</v>
      </c>
      <c r="BE2415" s="1">
        <v>27431897</v>
      </c>
    </row>
    <row r="2416" spans="1:57" x14ac:dyDescent="0.25">
      <c r="A2416" s="1" t="str">
        <f>T("1946853326927368692")</f>
        <v>1946853326927368692</v>
      </c>
      <c r="B2416" s="1" t="str">
        <f>T("249915977605")</f>
        <v>249915977605</v>
      </c>
      <c r="C2416" s="1" t="str">
        <f>T("1941094470971820368")</f>
        <v>1941094470971820368</v>
      </c>
      <c r="AC2416" s="1" t="s">
        <v>344</v>
      </c>
      <c r="AD2416" s="1" t="s">
        <v>345</v>
      </c>
      <c r="AE2416" s="1" t="s">
        <v>522</v>
      </c>
      <c r="AF2416" s="1" t="s">
        <v>144</v>
      </c>
      <c r="AG2416" s="1">
        <v>35</v>
      </c>
      <c r="AO2416" s="2">
        <v>46281</v>
      </c>
      <c r="AP2416" s="1" t="s">
        <v>248</v>
      </c>
      <c r="AS2416" s="1" t="s">
        <v>71</v>
      </c>
      <c r="AU2416" s="1" t="s">
        <v>72</v>
      </c>
      <c r="AV2416" s="1" t="s">
        <v>73</v>
      </c>
      <c r="AX2416" s="1">
        <v>0</v>
      </c>
      <c r="BA2416" s="1">
        <v>9</v>
      </c>
      <c r="BB2416" s="1">
        <v>0</v>
      </c>
      <c r="BC2416" s="1">
        <v>0</v>
      </c>
      <c r="BE2416" s="1">
        <v>27431897</v>
      </c>
    </row>
    <row r="2417" spans="1:57" x14ac:dyDescent="0.25">
      <c r="A2417" s="1" t="str">
        <f>T("1946853326948339832")</f>
        <v>1946853326948339832</v>
      </c>
      <c r="B2417" s="1" t="str">
        <f>T("249914777920")</f>
        <v>249914777920</v>
      </c>
      <c r="C2417" s="1" t="str">
        <f>T("1941094470976013076")</f>
        <v>1941094470976013076</v>
      </c>
      <c r="AC2417" s="1" t="s">
        <v>366</v>
      </c>
      <c r="AD2417" s="1" t="s">
        <v>367</v>
      </c>
      <c r="AE2417" s="1" t="s">
        <v>368</v>
      </c>
      <c r="AF2417" s="1" t="s">
        <v>144</v>
      </c>
      <c r="AG2417" s="1">
        <v>37</v>
      </c>
      <c r="AO2417" s="2">
        <v>46281</v>
      </c>
      <c r="AP2417" s="1" t="s">
        <v>248</v>
      </c>
      <c r="AS2417" s="1" t="s">
        <v>71</v>
      </c>
      <c r="AU2417" s="1" t="s">
        <v>72</v>
      </c>
      <c r="AV2417" s="1" t="s">
        <v>126</v>
      </c>
      <c r="AX2417" s="1">
        <v>0</v>
      </c>
      <c r="BA2417" s="1">
        <v>9</v>
      </c>
      <c r="BB2417" s="1">
        <v>0</v>
      </c>
      <c r="BC2417" s="1">
        <v>0</v>
      </c>
      <c r="BE2417" s="1">
        <v>27431897</v>
      </c>
    </row>
    <row r="2418" spans="1:57" x14ac:dyDescent="0.25">
      <c r="A2418" s="1" t="str">
        <f>T("1946853326969313472")</f>
        <v>1946853326969313472</v>
      </c>
      <c r="B2418" s="1" t="str">
        <f>T("249902099769")</f>
        <v>249902099769</v>
      </c>
      <c r="C2418" s="1" t="str">
        <f>T("1941094470976015776")</f>
        <v>1941094470976015776</v>
      </c>
      <c r="AC2418" s="1" t="s">
        <v>344</v>
      </c>
      <c r="AD2418" s="1" t="s">
        <v>345</v>
      </c>
      <c r="AE2418" s="1" t="s">
        <v>522</v>
      </c>
      <c r="AF2418" s="1" t="s">
        <v>144</v>
      </c>
      <c r="AG2418" s="1">
        <v>41</v>
      </c>
      <c r="AO2418" s="2">
        <v>46281</v>
      </c>
      <c r="AP2418" s="1" t="s">
        <v>248</v>
      </c>
      <c r="AS2418" s="1" t="s">
        <v>71</v>
      </c>
      <c r="AU2418" s="1" t="s">
        <v>72</v>
      </c>
      <c r="AV2418" s="1" t="s">
        <v>437</v>
      </c>
      <c r="AX2418" s="1">
        <v>0</v>
      </c>
      <c r="BA2418" s="1">
        <v>9</v>
      </c>
      <c r="BB2418" s="1">
        <v>0</v>
      </c>
      <c r="BC2418" s="1">
        <v>0</v>
      </c>
      <c r="BE2418" s="1">
        <v>27431897</v>
      </c>
    </row>
    <row r="2419" spans="1:57" x14ac:dyDescent="0.25">
      <c r="A2419" s="1" t="str">
        <f>T("1946853327002866336")</f>
        <v>1946853327002866336</v>
      </c>
      <c r="B2419" s="1" t="str">
        <f>T("249910229981")</f>
        <v>249910229981</v>
      </c>
      <c r="C2419" s="1" t="str">
        <f>T("1941094470976016376")</f>
        <v>1941094470976016376</v>
      </c>
      <c r="AC2419" s="1" t="s">
        <v>276</v>
      </c>
      <c r="AD2419" s="1" t="s">
        <v>517</v>
      </c>
      <c r="AE2419" s="1" t="s">
        <v>540</v>
      </c>
      <c r="AF2419" s="1" t="s">
        <v>144</v>
      </c>
      <c r="AG2419" s="1">
        <v>27</v>
      </c>
      <c r="AO2419" s="2">
        <v>46281</v>
      </c>
      <c r="AP2419" s="1" t="s">
        <v>248</v>
      </c>
      <c r="AS2419" s="1" t="s">
        <v>71</v>
      </c>
      <c r="AU2419" s="1" t="s">
        <v>72</v>
      </c>
      <c r="AV2419" s="1" t="s">
        <v>126</v>
      </c>
      <c r="AX2419" s="1">
        <v>0</v>
      </c>
      <c r="BA2419" s="1">
        <v>9</v>
      </c>
      <c r="BB2419" s="1">
        <v>0</v>
      </c>
      <c r="BC2419" s="1">
        <v>0</v>
      </c>
      <c r="BE2419" s="1">
        <v>27431897</v>
      </c>
    </row>
    <row r="2420" spans="1:57" x14ac:dyDescent="0.25">
      <c r="A2420" s="1" t="str">
        <f>T("1946853327032228492")</f>
        <v>1946853327032228492</v>
      </c>
      <c r="B2420" s="1" t="str">
        <f>T("249901101386")</f>
        <v>249901101386</v>
      </c>
      <c r="C2420" s="1" t="str">
        <f>T("1941094470980207684")</f>
        <v>1941094470980207684</v>
      </c>
      <c r="AC2420" s="1" t="s">
        <v>276</v>
      </c>
      <c r="AD2420" s="1" t="s">
        <v>277</v>
      </c>
      <c r="AE2420" s="1" t="s">
        <v>530</v>
      </c>
      <c r="AF2420" s="1" t="s">
        <v>144</v>
      </c>
      <c r="AG2420" s="1">
        <v>22</v>
      </c>
      <c r="AO2420" s="2">
        <v>46281</v>
      </c>
      <c r="AP2420" s="1" t="s">
        <v>248</v>
      </c>
      <c r="AS2420" s="1" t="s">
        <v>71</v>
      </c>
      <c r="AU2420" s="1" t="s">
        <v>72</v>
      </c>
      <c r="AV2420" s="1" t="s">
        <v>73</v>
      </c>
      <c r="AX2420" s="1">
        <v>0</v>
      </c>
      <c r="BA2420" s="1">
        <v>9</v>
      </c>
      <c r="BB2420" s="1">
        <v>0</v>
      </c>
      <c r="BC2420" s="1">
        <v>0</v>
      </c>
      <c r="BE2420" s="1">
        <v>27431897</v>
      </c>
    </row>
    <row r="2421" spans="1:57" x14ac:dyDescent="0.25">
      <c r="A2421" s="1" t="str">
        <f>T("1946853327053198332")</f>
        <v>1946853327053198332</v>
      </c>
      <c r="B2421" s="1" t="str">
        <f>T("249964596969")</f>
        <v>249964596969</v>
      </c>
      <c r="C2421" s="1" t="str">
        <f>T("1941094470980208184")</f>
        <v>1941094470980208184</v>
      </c>
      <c r="AC2421" s="1" t="s">
        <v>344</v>
      </c>
      <c r="AD2421" s="1" t="s">
        <v>524</v>
      </c>
      <c r="AE2421" s="1" t="s">
        <v>527</v>
      </c>
      <c r="AF2421" s="1" t="s">
        <v>144</v>
      </c>
      <c r="AG2421" s="1">
        <v>0</v>
      </c>
      <c r="AO2421" s="2">
        <v>46281</v>
      </c>
      <c r="AP2421" s="1" t="s">
        <v>248</v>
      </c>
      <c r="AS2421" s="1" t="s">
        <v>71</v>
      </c>
      <c r="AU2421" s="1" t="s">
        <v>72</v>
      </c>
      <c r="AV2421" s="1" t="s">
        <v>73</v>
      </c>
      <c r="AX2421" s="1">
        <v>0</v>
      </c>
      <c r="BA2421" s="1">
        <v>9</v>
      </c>
      <c r="BB2421" s="1">
        <v>0</v>
      </c>
      <c r="BC2421" s="1">
        <v>0</v>
      </c>
      <c r="BE2421" s="1">
        <v>27431897</v>
      </c>
    </row>
    <row r="2422" spans="1:57" x14ac:dyDescent="0.25">
      <c r="A2422" s="1" t="str">
        <f>T("1946853327053199732")</f>
        <v>1946853327053199732</v>
      </c>
      <c r="B2422" s="1" t="str">
        <f>T("249963024661")</f>
        <v>249963024661</v>
      </c>
      <c r="C2422" s="1" t="str">
        <f>T("1941094470984401292")</f>
        <v>1941094470984401292</v>
      </c>
      <c r="AC2422" s="1" t="s">
        <v>276</v>
      </c>
      <c r="AD2422" s="1" t="s">
        <v>517</v>
      </c>
      <c r="AE2422" s="1" t="s">
        <v>544</v>
      </c>
      <c r="AF2422" s="1" t="s">
        <v>144</v>
      </c>
      <c r="AG2422" s="1">
        <v>28</v>
      </c>
      <c r="AO2422" s="2">
        <v>46281</v>
      </c>
      <c r="AP2422" s="1" t="s">
        <v>248</v>
      </c>
      <c r="AS2422" s="1" t="s">
        <v>71</v>
      </c>
      <c r="AU2422" s="1" t="s">
        <v>72</v>
      </c>
      <c r="AV2422" s="1" t="s">
        <v>73</v>
      </c>
      <c r="AX2422" s="1">
        <v>0</v>
      </c>
      <c r="BA2422" s="1">
        <v>9</v>
      </c>
      <c r="BB2422" s="1">
        <v>0</v>
      </c>
      <c r="BC2422" s="1">
        <v>0</v>
      </c>
      <c r="BE2422" s="1">
        <v>27431897</v>
      </c>
    </row>
    <row r="2423" spans="1:57" x14ac:dyDescent="0.25">
      <c r="A2423" s="1" t="str">
        <f>T("1946853327099334720")</f>
        <v>1946853327099334720</v>
      </c>
      <c r="B2423" s="1" t="str">
        <f>T("249915453947")</f>
        <v>249915453947</v>
      </c>
      <c r="C2423" s="1" t="str">
        <f>T("1941094470984402492")</f>
        <v>1941094470984402492</v>
      </c>
      <c r="AC2423" s="1" t="s">
        <v>344</v>
      </c>
      <c r="AD2423" s="1" t="s">
        <v>345</v>
      </c>
      <c r="AE2423" s="1" t="s">
        <v>522</v>
      </c>
      <c r="AF2423" s="1" t="s">
        <v>144</v>
      </c>
      <c r="AG2423" s="1">
        <v>45</v>
      </c>
      <c r="AO2423" s="2">
        <v>46281</v>
      </c>
      <c r="AP2423" s="1" t="s">
        <v>248</v>
      </c>
      <c r="AS2423" s="1" t="s">
        <v>71</v>
      </c>
      <c r="AU2423" s="1" t="s">
        <v>72</v>
      </c>
      <c r="AV2423" s="1" t="s">
        <v>437</v>
      </c>
      <c r="AX2423" s="1">
        <v>0</v>
      </c>
      <c r="BA2423" s="1">
        <v>9</v>
      </c>
      <c r="BB2423" s="1">
        <v>0</v>
      </c>
      <c r="BC2423" s="1">
        <v>0</v>
      </c>
      <c r="BE2423" s="1">
        <v>27431897</v>
      </c>
    </row>
    <row r="2424" spans="1:57" x14ac:dyDescent="0.25">
      <c r="A2424" s="1" t="str">
        <f>T("1946853327107727236")</f>
        <v>1946853327107727236</v>
      </c>
      <c r="B2424" s="1" t="str">
        <f>T("249969604337")</f>
        <v>249969604337</v>
      </c>
      <c r="C2424" s="1" t="str">
        <f>T("1941094470988597000")</f>
        <v>1941094470988597000</v>
      </c>
      <c r="AC2424" s="1" t="s">
        <v>344</v>
      </c>
      <c r="AD2424" s="1" t="s">
        <v>345</v>
      </c>
      <c r="AE2424" s="1" t="s">
        <v>522</v>
      </c>
      <c r="AF2424" s="1" t="s">
        <v>144</v>
      </c>
      <c r="AG2424" s="1">
        <v>30</v>
      </c>
      <c r="AO2424" s="2">
        <v>46281</v>
      </c>
      <c r="AP2424" s="1" t="s">
        <v>248</v>
      </c>
      <c r="AS2424" s="1" t="s">
        <v>71</v>
      </c>
      <c r="AU2424" s="1" t="s">
        <v>72</v>
      </c>
      <c r="AV2424" s="1" t="s">
        <v>126</v>
      </c>
      <c r="AX2424" s="1">
        <v>0</v>
      </c>
      <c r="BA2424" s="1">
        <v>9</v>
      </c>
      <c r="BB2424" s="1">
        <v>0</v>
      </c>
      <c r="BC2424" s="1">
        <v>0</v>
      </c>
      <c r="BE2424" s="1">
        <v>27431897</v>
      </c>
    </row>
    <row r="2425" spans="1:57" x14ac:dyDescent="0.25">
      <c r="A2425" s="1" t="str">
        <f>T("1946853327149669716")</f>
        <v>1946853327149669716</v>
      </c>
      <c r="B2425" s="1" t="str">
        <f>T("249906464166")</f>
        <v>249906464166</v>
      </c>
      <c r="C2425" s="1" t="str">
        <f>T("1941094470988597600")</f>
        <v>1941094470988597600</v>
      </c>
      <c r="AC2425" s="1" t="s">
        <v>344</v>
      </c>
      <c r="AD2425" s="1" t="s">
        <v>524</v>
      </c>
      <c r="AE2425" s="1" t="s">
        <v>527</v>
      </c>
      <c r="AF2425" s="1" t="s">
        <v>144</v>
      </c>
      <c r="AG2425" s="1">
        <v>0</v>
      </c>
      <c r="AO2425" s="2">
        <v>46281</v>
      </c>
      <c r="AP2425" s="1" t="s">
        <v>248</v>
      </c>
      <c r="AS2425" s="1" t="s">
        <v>71</v>
      </c>
      <c r="AU2425" s="1" t="s">
        <v>72</v>
      </c>
      <c r="AV2425" s="1" t="s">
        <v>437</v>
      </c>
      <c r="AX2425" s="1">
        <v>0</v>
      </c>
      <c r="BA2425" s="1">
        <v>9</v>
      </c>
      <c r="BB2425" s="1">
        <v>0</v>
      </c>
      <c r="BC2425" s="1">
        <v>0</v>
      </c>
      <c r="BE2425" s="1">
        <v>27431897</v>
      </c>
    </row>
    <row r="2426" spans="1:57" x14ac:dyDescent="0.25">
      <c r="A2426" s="1" t="str">
        <f>T("1946853327174833464")</f>
        <v>1946853327174833464</v>
      </c>
      <c r="B2426" s="1" t="str">
        <f>T("249964862667")</f>
        <v>249964862667</v>
      </c>
      <c r="C2426" s="1" t="str">
        <f>T("1941094470988597900")</f>
        <v>1941094470988597900</v>
      </c>
      <c r="AC2426" s="1" t="s">
        <v>276</v>
      </c>
      <c r="AD2426" s="1" t="s">
        <v>517</v>
      </c>
      <c r="AE2426" s="1" t="s">
        <v>521</v>
      </c>
      <c r="AF2426" s="1" t="s">
        <v>144</v>
      </c>
      <c r="AG2426" s="1">
        <v>24</v>
      </c>
      <c r="AO2426" s="2">
        <v>46281</v>
      </c>
      <c r="AP2426" s="1" t="s">
        <v>248</v>
      </c>
      <c r="AS2426" s="1" t="s">
        <v>71</v>
      </c>
      <c r="AU2426" s="1" t="s">
        <v>72</v>
      </c>
      <c r="AV2426" s="1" t="s">
        <v>437</v>
      </c>
      <c r="AX2426" s="1">
        <v>0</v>
      </c>
      <c r="BA2426" s="1">
        <v>9</v>
      </c>
      <c r="BB2426" s="1">
        <v>0</v>
      </c>
      <c r="BC2426" s="1">
        <v>0</v>
      </c>
      <c r="BE2426" s="1">
        <v>27431897</v>
      </c>
    </row>
    <row r="2427" spans="1:57" x14ac:dyDescent="0.25">
      <c r="A2427" s="1" t="str">
        <f>T("1946853327191610096")</f>
        <v>1946853327191610096</v>
      </c>
      <c r="B2427" s="1" t="str">
        <f>T("249914934073")</f>
        <v>249914934073</v>
      </c>
      <c r="C2427" s="1" t="str">
        <f>T("1941094470988598400")</f>
        <v>1941094470988598400</v>
      </c>
      <c r="AC2427" s="1" t="s">
        <v>276</v>
      </c>
      <c r="AD2427" s="1" t="s">
        <v>298</v>
      </c>
      <c r="AE2427" s="1" t="s">
        <v>538</v>
      </c>
      <c r="AF2427" s="1" t="s">
        <v>144</v>
      </c>
      <c r="AG2427" s="1">
        <v>30</v>
      </c>
      <c r="AO2427" s="2">
        <v>46281</v>
      </c>
      <c r="AP2427" s="1" t="s">
        <v>248</v>
      </c>
      <c r="AS2427" s="1" t="s">
        <v>71</v>
      </c>
      <c r="AU2427" s="1" t="s">
        <v>72</v>
      </c>
      <c r="AV2427" s="1" t="s">
        <v>73</v>
      </c>
      <c r="AX2427" s="1">
        <v>0</v>
      </c>
      <c r="BA2427" s="1">
        <v>9</v>
      </c>
      <c r="BB2427" s="1">
        <v>0</v>
      </c>
      <c r="BC2427" s="1">
        <v>0</v>
      </c>
      <c r="BE2427" s="1">
        <v>27431897</v>
      </c>
    </row>
    <row r="2428" spans="1:57" x14ac:dyDescent="0.25">
      <c r="A2428" s="1" t="str">
        <f>T("1946853327225164160")</f>
        <v>1946853327225164160</v>
      </c>
      <c r="B2428" s="1" t="str">
        <f>T("249911930169")</f>
        <v>249911930169</v>
      </c>
      <c r="C2428" s="1" t="str">
        <f>T("1941094470988598800")</f>
        <v>1941094470988598800</v>
      </c>
      <c r="AC2428" s="1" t="s">
        <v>344</v>
      </c>
      <c r="AD2428" s="1" t="s">
        <v>524</v>
      </c>
      <c r="AE2428" s="1" t="s">
        <v>534</v>
      </c>
      <c r="AF2428" s="1" t="s">
        <v>144</v>
      </c>
      <c r="AG2428" s="1" t="s">
        <v>529</v>
      </c>
      <c r="AO2428" s="2">
        <v>46281</v>
      </c>
      <c r="AP2428" s="1" t="s">
        <v>248</v>
      </c>
      <c r="AS2428" s="1" t="s">
        <v>71</v>
      </c>
      <c r="AU2428" s="1" t="s">
        <v>72</v>
      </c>
      <c r="AV2428" s="1" t="s">
        <v>73</v>
      </c>
      <c r="AX2428" s="1">
        <v>0</v>
      </c>
      <c r="BA2428" s="1">
        <v>9</v>
      </c>
      <c r="BB2428" s="1">
        <v>0</v>
      </c>
      <c r="BC2428" s="1">
        <v>0</v>
      </c>
      <c r="BE2428" s="1">
        <v>27431897</v>
      </c>
    </row>
    <row r="2429" spans="1:57" x14ac:dyDescent="0.25">
      <c r="A2429" s="1" t="str">
        <f>T("1946853327258719924")</f>
        <v>1946853327258719924</v>
      </c>
      <c r="B2429" s="1" t="str">
        <f>T("249909948691")</f>
        <v>249909948691</v>
      </c>
      <c r="C2429" s="1" t="str">
        <f>T("1941094470992789808")</f>
        <v>1941094470992789808</v>
      </c>
      <c r="AC2429" s="1" t="s">
        <v>344</v>
      </c>
      <c r="AD2429" s="1" t="s">
        <v>524</v>
      </c>
      <c r="AE2429" s="1" t="s">
        <v>528</v>
      </c>
      <c r="AF2429" s="1" t="s">
        <v>144</v>
      </c>
      <c r="AG2429" s="1" t="s">
        <v>529</v>
      </c>
      <c r="AO2429" s="2">
        <v>46281</v>
      </c>
      <c r="AP2429" s="1" t="s">
        <v>248</v>
      </c>
      <c r="AS2429" s="1" t="s">
        <v>71</v>
      </c>
      <c r="AU2429" s="1" t="s">
        <v>72</v>
      </c>
      <c r="AV2429" s="1" t="s">
        <v>437</v>
      </c>
      <c r="AX2429" s="1">
        <v>0</v>
      </c>
      <c r="BA2429" s="1">
        <v>9</v>
      </c>
      <c r="BB2429" s="1">
        <v>0</v>
      </c>
      <c r="BC2429" s="1">
        <v>0</v>
      </c>
      <c r="BE2429" s="1">
        <v>27431897</v>
      </c>
    </row>
    <row r="2430" spans="1:57" x14ac:dyDescent="0.25">
      <c r="A2430" s="1" t="str">
        <f>T("1946853327283886372")</f>
        <v>1946853327283886372</v>
      </c>
      <c r="B2430" s="1" t="str">
        <f>T("249907339516")</f>
        <v>249907339516</v>
      </c>
      <c r="C2430" s="1" t="str">
        <f>T("1941094470992791908")</f>
        <v>1941094470992791908</v>
      </c>
      <c r="AC2430" s="1" t="s">
        <v>344</v>
      </c>
      <c r="AD2430" s="1" t="s">
        <v>430</v>
      </c>
      <c r="AE2430" s="1" t="s">
        <v>531</v>
      </c>
      <c r="AF2430" s="1" t="s">
        <v>144</v>
      </c>
      <c r="AG2430" s="1">
        <v>0</v>
      </c>
      <c r="AO2430" s="2">
        <v>46281</v>
      </c>
      <c r="AP2430" s="1" t="s">
        <v>248</v>
      </c>
      <c r="AS2430" s="1" t="s">
        <v>71</v>
      </c>
      <c r="AU2430" s="1" t="s">
        <v>72</v>
      </c>
      <c r="AV2430" s="1" t="s">
        <v>126</v>
      </c>
      <c r="AX2430" s="1">
        <v>0</v>
      </c>
      <c r="BA2430" s="1">
        <v>9</v>
      </c>
      <c r="BB2430" s="1">
        <v>0</v>
      </c>
      <c r="BC2430" s="1">
        <v>0</v>
      </c>
      <c r="BE2430" s="1">
        <v>27431897</v>
      </c>
    </row>
    <row r="2431" spans="1:57" x14ac:dyDescent="0.25">
      <c r="A2431" s="1" t="str">
        <f>T("1946853327317440836")</f>
        <v>1946853327317440836</v>
      </c>
      <c r="B2431" s="1" t="str">
        <f>T("249909315941")</f>
        <v>249909315941</v>
      </c>
      <c r="C2431" s="1" t="str">
        <f>T("1941094470992792508")</f>
        <v>1941094470992792508</v>
      </c>
      <c r="AC2431" s="1" t="s">
        <v>344</v>
      </c>
      <c r="AD2431" s="1" t="s">
        <v>430</v>
      </c>
      <c r="AE2431" s="1" t="s">
        <v>531</v>
      </c>
      <c r="AF2431" s="1" t="s">
        <v>144</v>
      </c>
      <c r="AG2431" s="1">
        <v>0</v>
      </c>
      <c r="AO2431" s="2">
        <v>46281</v>
      </c>
      <c r="AP2431" s="1" t="s">
        <v>248</v>
      </c>
      <c r="AS2431" s="1" t="s">
        <v>71</v>
      </c>
      <c r="AU2431" s="1" t="s">
        <v>72</v>
      </c>
      <c r="AV2431" s="1" t="s">
        <v>73</v>
      </c>
      <c r="AX2431" s="1">
        <v>0</v>
      </c>
      <c r="BA2431" s="1">
        <v>9</v>
      </c>
      <c r="BB2431" s="1">
        <v>0</v>
      </c>
      <c r="BC2431" s="1">
        <v>0</v>
      </c>
      <c r="BE2431" s="1">
        <v>27431897</v>
      </c>
    </row>
    <row r="2432" spans="1:57" x14ac:dyDescent="0.25">
      <c r="A2432" s="1" t="str">
        <f>T("1946853327342607984")</f>
        <v>1946853327342607984</v>
      </c>
      <c r="B2432" s="1" t="str">
        <f>T("249917886449")</f>
        <v>249917886449</v>
      </c>
      <c r="C2432" s="1" t="str">
        <f>T("1941094470992793208")</f>
        <v>1941094470992793208</v>
      </c>
      <c r="AC2432" s="1" t="s">
        <v>276</v>
      </c>
      <c r="AD2432" s="1" t="s">
        <v>517</v>
      </c>
      <c r="AE2432" s="1" t="s">
        <v>530</v>
      </c>
      <c r="AF2432" s="1" t="s">
        <v>144</v>
      </c>
      <c r="AG2432" s="1">
        <v>28</v>
      </c>
      <c r="AO2432" s="2">
        <v>46281</v>
      </c>
      <c r="AP2432" s="1" t="s">
        <v>248</v>
      </c>
      <c r="AS2432" s="1" t="s">
        <v>71</v>
      </c>
      <c r="AU2432" s="1" t="s">
        <v>72</v>
      </c>
      <c r="AV2432" s="1" t="s">
        <v>437</v>
      </c>
      <c r="AX2432" s="1">
        <v>0</v>
      </c>
      <c r="BA2432" s="1">
        <v>9</v>
      </c>
      <c r="BB2432" s="1">
        <v>0</v>
      </c>
      <c r="BC2432" s="1">
        <v>0</v>
      </c>
      <c r="BE2432" s="1">
        <v>27431897</v>
      </c>
    </row>
    <row r="2433" spans="1:57" x14ac:dyDescent="0.25">
      <c r="A2433" s="1" t="str">
        <f>T("1946853327367772132")</f>
        <v>1946853327367772132</v>
      </c>
      <c r="B2433" s="1" t="str">
        <f>T("249906563501")</f>
        <v>249906563501</v>
      </c>
      <c r="C2433" s="1" t="str">
        <f>T("1941094470996984116")</f>
        <v>1941094470996984116</v>
      </c>
      <c r="AC2433" s="1" t="s">
        <v>344</v>
      </c>
      <c r="AD2433" s="1" t="s">
        <v>430</v>
      </c>
      <c r="AE2433" s="1" t="s">
        <v>531</v>
      </c>
      <c r="AF2433" s="1" t="s">
        <v>144</v>
      </c>
      <c r="AG2433" s="1">
        <v>0</v>
      </c>
      <c r="AO2433" s="2">
        <v>46281</v>
      </c>
      <c r="AP2433" s="1" t="s">
        <v>248</v>
      </c>
      <c r="AS2433" s="1" t="s">
        <v>71</v>
      </c>
      <c r="AU2433" s="1" t="s">
        <v>72</v>
      </c>
      <c r="AV2433" s="1" t="s">
        <v>437</v>
      </c>
      <c r="AX2433" s="1">
        <v>0</v>
      </c>
      <c r="BA2433" s="1">
        <v>9</v>
      </c>
      <c r="BB2433" s="1">
        <v>0</v>
      </c>
      <c r="BC2433" s="1">
        <v>0</v>
      </c>
      <c r="BE2433" s="1">
        <v>27431897</v>
      </c>
    </row>
    <row r="2434" spans="1:57" x14ac:dyDescent="0.25">
      <c r="A2434" s="1" t="str">
        <f>T("1946853327397134289")</f>
        <v>1946853327397134289</v>
      </c>
      <c r="B2434" s="1" t="str">
        <f>T("249911283113")</f>
        <v>249911283113</v>
      </c>
      <c r="C2434" s="1" t="str">
        <f>T("1941094470996987416")</f>
        <v>1941094470996987416</v>
      </c>
      <c r="AC2434" s="1" t="s">
        <v>344</v>
      </c>
      <c r="AD2434" s="1" t="s">
        <v>345</v>
      </c>
      <c r="AE2434" s="1" t="s">
        <v>522</v>
      </c>
      <c r="AF2434" s="1" t="s">
        <v>144</v>
      </c>
      <c r="AG2434" s="1">
        <v>39</v>
      </c>
      <c r="AO2434" s="2">
        <v>46281</v>
      </c>
      <c r="AP2434" s="1" t="s">
        <v>248</v>
      </c>
      <c r="AS2434" s="1" t="s">
        <v>71</v>
      </c>
      <c r="AU2434" s="1" t="s">
        <v>72</v>
      </c>
      <c r="AV2434" s="1" t="s">
        <v>73</v>
      </c>
      <c r="AX2434" s="1">
        <v>0</v>
      </c>
      <c r="BA2434" s="1">
        <v>9</v>
      </c>
      <c r="BB2434" s="1">
        <v>0</v>
      </c>
      <c r="BC2434" s="1">
        <v>0</v>
      </c>
      <c r="BE2434" s="1">
        <v>27431897</v>
      </c>
    </row>
    <row r="2435" spans="1:57" x14ac:dyDescent="0.25">
      <c r="A2435" s="1" t="str">
        <f>T("1946853327405520704")</f>
        <v>1946853327405520704</v>
      </c>
      <c r="B2435" s="1" t="str">
        <f>T("24996478334")</f>
        <v>24996478334</v>
      </c>
      <c r="C2435" s="1" t="str">
        <f>T("1941094470996984516")</f>
        <v>1941094470996984516</v>
      </c>
      <c r="AC2435" s="1" t="s">
        <v>344</v>
      </c>
      <c r="AD2435" s="1" t="s">
        <v>524</v>
      </c>
      <c r="AE2435" s="1" t="s">
        <v>528</v>
      </c>
      <c r="AF2435" s="1" t="s">
        <v>144</v>
      </c>
      <c r="AG2435" s="1" t="s">
        <v>529</v>
      </c>
      <c r="AO2435" s="2">
        <v>46281</v>
      </c>
      <c r="AP2435" s="1" t="s">
        <v>248</v>
      </c>
      <c r="AS2435" s="1" t="s">
        <v>71</v>
      </c>
      <c r="AU2435" s="1" t="s">
        <v>72</v>
      </c>
      <c r="AV2435" s="1" t="s">
        <v>73</v>
      </c>
      <c r="AX2435" s="1">
        <v>0</v>
      </c>
      <c r="BA2435" s="1">
        <v>9</v>
      </c>
      <c r="BB2435" s="1">
        <v>0</v>
      </c>
      <c r="BC2435" s="1">
        <v>0</v>
      </c>
      <c r="BE2435" s="1">
        <v>27431897</v>
      </c>
    </row>
    <row r="2436" spans="1:57" x14ac:dyDescent="0.25">
      <c r="A2436" s="1" t="str">
        <f>T("1946853327426491344")</f>
        <v>1946853327426491344</v>
      </c>
      <c r="B2436" s="1" t="str">
        <f>T("249908515483")</f>
        <v>249908515483</v>
      </c>
      <c r="C2436" s="1" t="str">
        <f>T("1941094471001178224")</f>
        <v>1941094471001178224</v>
      </c>
      <c r="AC2436" s="1" t="s">
        <v>276</v>
      </c>
      <c r="AD2436" s="1" t="s">
        <v>517</v>
      </c>
      <c r="AE2436" s="1" t="s">
        <v>530</v>
      </c>
      <c r="AF2436" s="1" t="s">
        <v>144</v>
      </c>
      <c r="AG2436" s="1">
        <v>29</v>
      </c>
      <c r="AO2436" s="2">
        <v>46281</v>
      </c>
      <c r="AP2436" s="1" t="s">
        <v>248</v>
      </c>
      <c r="AS2436" s="1" t="s">
        <v>71</v>
      </c>
      <c r="AU2436" s="1" t="s">
        <v>72</v>
      </c>
      <c r="AV2436" s="1" t="s">
        <v>73</v>
      </c>
      <c r="AX2436" s="1">
        <v>0</v>
      </c>
      <c r="BA2436" s="1">
        <v>9</v>
      </c>
      <c r="BB2436" s="1">
        <v>0</v>
      </c>
      <c r="BC2436" s="1">
        <v>0</v>
      </c>
      <c r="BE2436" s="1">
        <v>27431897</v>
      </c>
    </row>
    <row r="2437" spans="1:57" x14ac:dyDescent="0.25">
      <c r="A2437" s="1" t="str">
        <f>T("1946853327451658992")</f>
        <v>1946853327451658992</v>
      </c>
      <c r="B2437" s="1" t="str">
        <f>T("249967182997")</f>
        <v>249967182997</v>
      </c>
      <c r="C2437" s="1" t="str">
        <f>T("1941094471001178624")</f>
        <v>1941094471001178624</v>
      </c>
      <c r="AC2437" s="1" t="s">
        <v>276</v>
      </c>
      <c r="AD2437" s="1" t="s">
        <v>298</v>
      </c>
      <c r="AE2437" s="1" t="s">
        <v>538</v>
      </c>
      <c r="AF2437" s="1" t="s">
        <v>144</v>
      </c>
      <c r="AG2437" s="1">
        <v>25</v>
      </c>
      <c r="AO2437" s="2">
        <v>46281</v>
      </c>
      <c r="AP2437" s="1" t="s">
        <v>248</v>
      </c>
      <c r="AS2437" s="1" t="s">
        <v>71</v>
      </c>
      <c r="AU2437" s="1" t="s">
        <v>72</v>
      </c>
      <c r="AV2437" s="1" t="s">
        <v>73</v>
      </c>
      <c r="AX2437" s="1">
        <v>0</v>
      </c>
      <c r="BA2437" s="1">
        <v>9</v>
      </c>
      <c r="BB2437" s="1">
        <v>0</v>
      </c>
      <c r="BC2437" s="1">
        <v>0</v>
      </c>
      <c r="BE2437" s="1">
        <v>27431897</v>
      </c>
    </row>
    <row r="2438" spans="1:57" x14ac:dyDescent="0.25">
      <c r="A2438" s="1" t="str">
        <f>T("1946853327472631232")</f>
        <v>1946853327472631232</v>
      </c>
      <c r="B2438" s="1" t="str">
        <f>T("249965589909")</f>
        <v>249965589909</v>
      </c>
      <c r="C2438" s="1" t="str">
        <f>T("1941094471001179124")</f>
        <v>1941094471001179124</v>
      </c>
      <c r="AC2438" s="1" t="s">
        <v>276</v>
      </c>
      <c r="AD2438" s="1" t="s">
        <v>298</v>
      </c>
      <c r="AE2438" s="1" t="s">
        <v>526</v>
      </c>
      <c r="AF2438" s="1" t="s">
        <v>144</v>
      </c>
      <c r="AG2438" s="1">
        <v>35</v>
      </c>
      <c r="AO2438" s="2">
        <v>46281</v>
      </c>
      <c r="AP2438" s="1" t="s">
        <v>248</v>
      </c>
      <c r="AS2438" s="1" t="s">
        <v>71</v>
      </c>
      <c r="AU2438" s="1" t="s">
        <v>72</v>
      </c>
      <c r="AV2438" s="1" t="s">
        <v>437</v>
      </c>
      <c r="AX2438" s="1">
        <v>0</v>
      </c>
      <c r="BA2438" s="1">
        <v>9</v>
      </c>
      <c r="BB2438" s="1">
        <v>0</v>
      </c>
      <c r="BC2438" s="1">
        <v>0</v>
      </c>
      <c r="BE2438" s="1">
        <v>27431897</v>
      </c>
    </row>
    <row r="2439" spans="1:57" x14ac:dyDescent="0.25">
      <c r="A2439" s="1" t="str">
        <f>T("1946853327510377304")</f>
        <v>1946853327510377304</v>
      </c>
      <c r="B2439" s="1" t="str">
        <f>T("249964116471")</f>
        <v>249964116471</v>
      </c>
      <c r="C2439" s="1" t="str">
        <f>T("1941094471001179524")</f>
        <v>1941094471001179524</v>
      </c>
      <c r="AC2439" s="1" t="s">
        <v>344</v>
      </c>
      <c r="AD2439" s="1" t="s">
        <v>524</v>
      </c>
      <c r="AE2439" s="1" t="s">
        <v>527</v>
      </c>
      <c r="AF2439" s="1" t="s">
        <v>144</v>
      </c>
      <c r="AG2439" s="1">
        <v>0</v>
      </c>
      <c r="AO2439" s="2">
        <v>46281</v>
      </c>
      <c r="AP2439" s="1" t="s">
        <v>248</v>
      </c>
      <c r="AS2439" s="1" t="s">
        <v>71</v>
      </c>
      <c r="AU2439" s="1" t="s">
        <v>72</v>
      </c>
      <c r="AV2439" s="1" t="s">
        <v>73</v>
      </c>
      <c r="AX2439" s="1">
        <v>0</v>
      </c>
      <c r="BA2439" s="1">
        <v>9</v>
      </c>
      <c r="BB2439" s="1">
        <v>0</v>
      </c>
      <c r="BC2439" s="1">
        <v>0</v>
      </c>
      <c r="BE2439" s="1">
        <v>27431897</v>
      </c>
    </row>
    <row r="2440" spans="1:57" x14ac:dyDescent="0.25">
      <c r="A2440" s="1" t="str">
        <f>T("1946853327543933968")</f>
        <v>1946853327543933968</v>
      </c>
      <c r="B2440" s="1" t="str">
        <f>T("249963579923")</f>
        <v>249963579923</v>
      </c>
      <c r="C2440" s="1" t="str">
        <f>T("1941094471001179824")</f>
        <v>1941094471001179824</v>
      </c>
      <c r="AC2440" s="1" t="s">
        <v>344</v>
      </c>
      <c r="AD2440" s="1" t="s">
        <v>524</v>
      </c>
      <c r="AE2440" s="1" t="s">
        <v>528</v>
      </c>
      <c r="AF2440" s="1" t="s">
        <v>144</v>
      </c>
      <c r="AG2440" s="1" t="s">
        <v>529</v>
      </c>
      <c r="AO2440" s="2">
        <v>46281</v>
      </c>
      <c r="AP2440" s="1" t="s">
        <v>248</v>
      </c>
      <c r="AS2440" s="1" t="s">
        <v>71</v>
      </c>
      <c r="AU2440" s="1" t="s">
        <v>72</v>
      </c>
      <c r="AV2440" s="1" t="s">
        <v>73</v>
      </c>
      <c r="AX2440" s="1">
        <v>0</v>
      </c>
      <c r="BA2440" s="1">
        <v>9</v>
      </c>
      <c r="BB2440" s="1">
        <v>0</v>
      </c>
      <c r="BC2440" s="1">
        <v>0</v>
      </c>
      <c r="BE2440" s="1">
        <v>27431897</v>
      </c>
    </row>
    <row r="2441" spans="1:57" x14ac:dyDescent="0.25">
      <c r="A2441" s="1" t="str">
        <f>T("1946853327548126476")</f>
        <v>1946853327548126476</v>
      </c>
      <c r="B2441" s="1" t="str">
        <f>T("249903583975")</f>
        <v>249903583975</v>
      </c>
      <c r="C2441" s="1" t="str">
        <f>T("1941094471001180124")</f>
        <v>1941094471001180124</v>
      </c>
      <c r="AC2441" s="1" t="s">
        <v>276</v>
      </c>
      <c r="AD2441" s="1" t="s">
        <v>298</v>
      </c>
      <c r="AE2441" s="1" t="s">
        <v>526</v>
      </c>
      <c r="AF2441" s="1" t="s">
        <v>144</v>
      </c>
      <c r="AG2441" s="1">
        <v>40</v>
      </c>
      <c r="AO2441" s="2">
        <v>46281</v>
      </c>
      <c r="AP2441" s="1" t="s">
        <v>248</v>
      </c>
      <c r="AS2441" s="1" t="s">
        <v>71</v>
      </c>
      <c r="AU2441" s="1" t="s">
        <v>72</v>
      </c>
      <c r="AV2441" s="1" t="s">
        <v>73</v>
      </c>
      <c r="AX2441" s="1">
        <v>0</v>
      </c>
      <c r="BA2441" s="1">
        <v>9</v>
      </c>
      <c r="BB2441" s="1">
        <v>0</v>
      </c>
      <c r="BC2441" s="1">
        <v>0</v>
      </c>
      <c r="BE2441" s="1">
        <v>27431897</v>
      </c>
    </row>
    <row r="2442" spans="1:57" x14ac:dyDescent="0.25">
      <c r="A2442" s="1" t="str">
        <f>T("1946853327569099016")</f>
        <v>1946853327569099016</v>
      </c>
      <c r="B2442" s="1" t="str">
        <f>T("249915520401")</f>
        <v>249915520401</v>
      </c>
      <c r="C2442" s="1" t="str">
        <f>T("1941094471001180524")</f>
        <v>1941094471001180524</v>
      </c>
      <c r="AC2442" s="1" t="s">
        <v>276</v>
      </c>
      <c r="AD2442" s="1" t="s">
        <v>298</v>
      </c>
      <c r="AE2442" s="1" t="s">
        <v>526</v>
      </c>
      <c r="AF2442" s="1" t="s">
        <v>144</v>
      </c>
      <c r="AG2442" s="1">
        <v>40</v>
      </c>
      <c r="AO2442" s="2">
        <v>46281</v>
      </c>
      <c r="AP2442" s="1" t="s">
        <v>248</v>
      </c>
      <c r="AS2442" s="1" t="s">
        <v>71</v>
      </c>
      <c r="AU2442" s="1" t="s">
        <v>72</v>
      </c>
      <c r="AV2442" s="1" t="s">
        <v>437</v>
      </c>
      <c r="AX2442" s="1">
        <v>0</v>
      </c>
      <c r="BA2442" s="1">
        <v>9</v>
      </c>
      <c r="BB2442" s="1">
        <v>0</v>
      </c>
      <c r="BC2442" s="1">
        <v>0</v>
      </c>
      <c r="BE2442" s="1">
        <v>27431897</v>
      </c>
    </row>
    <row r="2443" spans="1:57" x14ac:dyDescent="0.25">
      <c r="A2443" s="1" t="str">
        <f>T("1946853327606847488")</f>
        <v>1946853327606847488</v>
      </c>
      <c r="B2443" s="1" t="str">
        <f>T("249902421848")</f>
        <v>249902421848</v>
      </c>
      <c r="C2443" s="1" t="str">
        <f>T("1941094471005375132")</f>
        <v>1941094471005375132</v>
      </c>
      <c r="AC2443" s="1" t="s">
        <v>276</v>
      </c>
      <c r="AD2443" s="1" t="s">
        <v>277</v>
      </c>
      <c r="AE2443" s="1" t="s">
        <v>530</v>
      </c>
      <c r="AF2443" s="1" t="s">
        <v>144</v>
      </c>
      <c r="AG2443" s="1">
        <v>19</v>
      </c>
      <c r="AO2443" s="2">
        <v>46281</v>
      </c>
      <c r="AP2443" s="1" t="s">
        <v>248</v>
      </c>
      <c r="AS2443" s="1" t="s">
        <v>71</v>
      </c>
      <c r="AU2443" s="1" t="s">
        <v>72</v>
      </c>
      <c r="AV2443" s="1" t="s">
        <v>437</v>
      </c>
      <c r="AX2443" s="1">
        <v>0</v>
      </c>
      <c r="BA2443" s="1">
        <v>9</v>
      </c>
      <c r="BB2443" s="1">
        <v>0</v>
      </c>
      <c r="BC2443" s="1">
        <v>0</v>
      </c>
      <c r="BE2443" s="1">
        <v>27431897</v>
      </c>
    </row>
    <row r="2444" spans="1:57" x14ac:dyDescent="0.25">
      <c r="A2444" s="1" t="str">
        <f>T("1946853327640402452")</f>
        <v>1946853327640402452</v>
      </c>
      <c r="B2444" s="1" t="str">
        <f>T("249903881406")</f>
        <v>249903881406</v>
      </c>
      <c r="C2444" s="1" t="str">
        <f>T("1941094471005375732")</f>
        <v>1941094471005375732</v>
      </c>
      <c r="AC2444" s="1" t="s">
        <v>344</v>
      </c>
      <c r="AD2444" s="1" t="s">
        <v>430</v>
      </c>
      <c r="AE2444" s="1" t="s">
        <v>531</v>
      </c>
      <c r="AF2444" s="1" t="s">
        <v>144</v>
      </c>
      <c r="AG2444" s="1">
        <v>0</v>
      </c>
      <c r="AO2444" s="2">
        <v>46281</v>
      </c>
      <c r="AP2444" s="1" t="s">
        <v>248</v>
      </c>
      <c r="AS2444" s="1" t="s">
        <v>71</v>
      </c>
      <c r="AU2444" s="1" t="s">
        <v>72</v>
      </c>
      <c r="AV2444" s="1" t="s">
        <v>73</v>
      </c>
      <c r="AX2444" s="1">
        <v>0</v>
      </c>
      <c r="BA2444" s="1">
        <v>9</v>
      </c>
      <c r="BB2444" s="1">
        <v>0</v>
      </c>
      <c r="BC2444" s="1">
        <v>0</v>
      </c>
      <c r="BE2444" s="1">
        <v>27431897</v>
      </c>
    </row>
    <row r="2445" spans="1:57" x14ac:dyDescent="0.25">
      <c r="A2445" s="1" t="str">
        <f>T("1946853327678149224")</f>
        <v>1946853327678149224</v>
      </c>
      <c r="B2445" s="1" t="str">
        <f>T("249918813519")</f>
        <v>249918813519</v>
      </c>
      <c r="C2445" s="1" t="str">
        <f>T("1941094471005376232")</f>
        <v>1941094471005376232</v>
      </c>
      <c r="AC2445" s="1" t="s">
        <v>276</v>
      </c>
      <c r="AD2445" s="1" t="s">
        <v>517</v>
      </c>
      <c r="AE2445" s="1" t="s">
        <v>530</v>
      </c>
      <c r="AF2445" s="1" t="s">
        <v>144</v>
      </c>
      <c r="AG2445" s="1">
        <v>40</v>
      </c>
      <c r="AO2445" s="2">
        <v>46281</v>
      </c>
      <c r="AP2445" s="1" t="s">
        <v>248</v>
      </c>
      <c r="AS2445" s="1" t="s">
        <v>71</v>
      </c>
      <c r="AU2445" s="1" t="s">
        <v>72</v>
      </c>
      <c r="AV2445" s="1" t="s">
        <v>437</v>
      </c>
      <c r="AX2445" s="1">
        <v>0</v>
      </c>
      <c r="BA2445" s="1">
        <v>9</v>
      </c>
      <c r="BB2445" s="1">
        <v>0</v>
      </c>
      <c r="BC2445" s="1">
        <v>0</v>
      </c>
      <c r="BE2445" s="1">
        <v>27431897</v>
      </c>
    </row>
    <row r="2446" spans="1:57" x14ac:dyDescent="0.25">
      <c r="A2446" s="1" t="str">
        <f>T("1946853327724288412")</f>
        <v>1946853327724288412</v>
      </c>
      <c r="B2446" s="1" t="str">
        <f>T("249918793657")</f>
        <v>249918793657</v>
      </c>
      <c r="C2446" s="1" t="str">
        <f>T("1941094471009566840")</f>
        <v>1941094471009566840</v>
      </c>
      <c r="AC2446" s="1" t="s">
        <v>344</v>
      </c>
      <c r="AD2446" s="1" t="s">
        <v>524</v>
      </c>
      <c r="AE2446" s="1" t="s">
        <v>535</v>
      </c>
      <c r="AF2446" s="1" t="s">
        <v>144</v>
      </c>
      <c r="AG2446" s="1">
        <v>0</v>
      </c>
      <c r="AO2446" s="2">
        <v>46281</v>
      </c>
      <c r="AP2446" s="1" t="s">
        <v>248</v>
      </c>
      <c r="AS2446" s="1" t="s">
        <v>71</v>
      </c>
      <c r="AU2446" s="1" t="s">
        <v>72</v>
      </c>
      <c r="AV2446" s="1" t="s">
        <v>437</v>
      </c>
      <c r="AX2446" s="1">
        <v>0</v>
      </c>
      <c r="BA2446" s="1">
        <v>9</v>
      </c>
      <c r="BB2446" s="1">
        <v>0</v>
      </c>
      <c r="BC2446" s="1">
        <v>0</v>
      </c>
      <c r="BE2446" s="1">
        <v>27431897</v>
      </c>
    </row>
    <row r="2447" spans="1:57" x14ac:dyDescent="0.25">
      <c r="A2447" s="1" t="str">
        <f>T("1946853327770425800")</f>
        <v>1946853327770425800</v>
      </c>
      <c r="B2447" s="1" t="str">
        <f>T("249969737825")</f>
        <v>249969737825</v>
      </c>
      <c r="C2447" s="1" t="str">
        <f>T("1941094471009567340")</f>
        <v>1941094471009567340</v>
      </c>
      <c r="AC2447" s="1" t="s">
        <v>344</v>
      </c>
      <c r="AD2447" s="1" t="s">
        <v>524</v>
      </c>
      <c r="AE2447" s="1" t="s">
        <v>527</v>
      </c>
      <c r="AF2447" s="1" t="s">
        <v>144</v>
      </c>
      <c r="AG2447" s="1">
        <v>0</v>
      </c>
      <c r="AO2447" s="2">
        <v>46281</v>
      </c>
      <c r="AP2447" s="1" t="s">
        <v>248</v>
      </c>
      <c r="AS2447" s="1" t="s">
        <v>71</v>
      </c>
      <c r="AU2447" s="1" t="s">
        <v>72</v>
      </c>
      <c r="AV2447" s="1" t="s">
        <v>73</v>
      </c>
      <c r="AX2447" s="1">
        <v>0</v>
      </c>
      <c r="BA2447" s="1">
        <v>9</v>
      </c>
      <c r="BB2447" s="1">
        <v>0</v>
      </c>
      <c r="BC2447" s="1">
        <v>0</v>
      </c>
      <c r="BE2447" s="1">
        <v>27431897</v>
      </c>
    </row>
    <row r="2448" spans="1:57" x14ac:dyDescent="0.25">
      <c r="A2448" s="1" t="str">
        <f>T("1946853327850116752")</f>
        <v>1946853327850116752</v>
      </c>
      <c r="B2448" s="1" t="str">
        <f>T("249966678142")</f>
        <v>249966678142</v>
      </c>
      <c r="C2448" s="1" t="str">
        <f>T("1941094471009567740")</f>
        <v>1941094471009567740</v>
      </c>
      <c r="AC2448" s="1" t="s">
        <v>344</v>
      </c>
      <c r="AD2448" s="1" t="s">
        <v>345</v>
      </c>
      <c r="AE2448" s="1" t="s">
        <v>522</v>
      </c>
      <c r="AF2448" s="1" t="s">
        <v>144</v>
      </c>
      <c r="AG2448" s="1">
        <v>33</v>
      </c>
      <c r="AO2448" s="2">
        <v>46281</v>
      </c>
      <c r="AP2448" s="1" t="s">
        <v>248</v>
      </c>
      <c r="AS2448" s="1" t="s">
        <v>71</v>
      </c>
      <c r="AU2448" s="1" t="s">
        <v>72</v>
      </c>
      <c r="AV2448" s="1" t="s">
        <v>437</v>
      </c>
      <c r="AX2448" s="1">
        <v>0</v>
      </c>
      <c r="BA2448" s="1">
        <v>9</v>
      </c>
      <c r="BB2448" s="1">
        <v>0</v>
      </c>
      <c r="BC2448" s="1">
        <v>0</v>
      </c>
      <c r="BE2448" s="1">
        <v>27431897</v>
      </c>
    </row>
    <row r="2449" spans="1:57" x14ac:dyDescent="0.25">
      <c r="A2449" s="1" t="str">
        <f>T("1946853327871090492")</f>
        <v>1946853327871090492</v>
      </c>
      <c r="B2449" s="1" t="str">
        <f>T("249913456860")</f>
        <v>249913456860</v>
      </c>
      <c r="C2449" s="1" t="str">
        <f>T("1941094471009568640")</f>
        <v>1941094471009568640</v>
      </c>
      <c r="AC2449" s="1" t="s">
        <v>276</v>
      </c>
      <c r="AD2449" s="1" t="s">
        <v>517</v>
      </c>
      <c r="AE2449" s="1" t="s">
        <v>530</v>
      </c>
      <c r="AF2449" s="1" t="s">
        <v>144</v>
      </c>
      <c r="AG2449" s="1">
        <v>24</v>
      </c>
      <c r="AO2449" s="2">
        <v>46281</v>
      </c>
      <c r="AP2449" s="1" t="s">
        <v>248</v>
      </c>
      <c r="AS2449" s="1" t="s">
        <v>71</v>
      </c>
      <c r="AU2449" s="1" t="s">
        <v>72</v>
      </c>
      <c r="AV2449" s="1" t="s">
        <v>437</v>
      </c>
      <c r="AX2449" s="1">
        <v>0</v>
      </c>
      <c r="BA2449" s="1">
        <v>9</v>
      </c>
      <c r="BB2449" s="1">
        <v>0</v>
      </c>
      <c r="BC2449" s="1">
        <v>0</v>
      </c>
      <c r="BE2449" s="1">
        <v>27431897</v>
      </c>
    </row>
    <row r="2450" spans="1:57" x14ac:dyDescent="0.25">
      <c r="A2450" s="1" t="str">
        <f>T("1946853327875283200")</f>
        <v>1946853327875283200</v>
      </c>
      <c r="B2450" s="1" t="str">
        <f>T("249961695608")</f>
        <v>249961695608</v>
      </c>
      <c r="C2450" s="1" t="str">
        <f>T("1941094471009568140")</f>
        <v>1941094471009568140</v>
      </c>
      <c r="AC2450" s="1" t="s">
        <v>366</v>
      </c>
      <c r="AD2450" s="1" t="s">
        <v>367</v>
      </c>
      <c r="AE2450" s="1" t="s">
        <v>368</v>
      </c>
      <c r="AF2450" s="1" t="s">
        <v>144</v>
      </c>
      <c r="AG2450" s="1">
        <v>24</v>
      </c>
      <c r="AO2450" s="2">
        <v>46281</v>
      </c>
      <c r="AP2450" s="1" t="s">
        <v>248</v>
      </c>
      <c r="AS2450" s="1" t="s">
        <v>71</v>
      </c>
      <c r="AU2450" s="1" t="s">
        <v>72</v>
      </c>
      <c r="AV2450" s="1" t="s">
        <v>73</v>
      </c>
      <c r="AX2450" s="1">
        <v>0</v>
      </c>
      <c r="BA2450" s="1">
        <v>9</v>
      </c>
      <c r="BB2450" s="1">
        <v>0</v>
      </c>
      <c r="BC2450" s="1">
        <v>0</v>
      </c>
      <c r="BE2450" s="1">
        <v>27431897</v>
      </c>
    </row>
    <row r="2451" spans="1:57" x14ac:dyDescent="0.25">
      <c r="A2451" s="1" t="str">
        <f>T("1946853327921419588")</f>
        <v>1946853327921419588</v>
      </c>
      <c r="B2451" s="1" t="str">
        <f>T("249907763451")</f>
        <v>249907763451</v>
      </c>
      <c r="C2451" s="1" t="str">
        <f>T("1941094471009569040")</f>
        <v>1941094471009569040</v>
      </c>
      <c r="AC2451" s="1" t="s">
        <v>276</v>
      </c>
      <c r="AD2451" s="1" t="s">
        <v>277</v>
      </c>
      <c r="AE2451" s="1" t="s">
        <v>530</v>
      </c>
      <c r="AF2451" s="1" t="s">
        <v>144</v>
      </c>
      <c r="AG2451" s="1">
        <v>34</v>
      </c>
      <c r="AO2451" s="2">
        <v>46281</v>
      </c>
      <c r="AP2451" s="1" t="s">
        <v>248</v>
      </c>
      <c r="AS2451" s="1" t="s">
        <v>71</v>
      </c>
      <c r="AU2451" s="1" t="s">
        <v>72</v>
      </c>
      <c r="AV2451" s="1" t="s">
        <v>437</v>
      </c>
      <c r="AX2451" s="1">
        <v>0</v>
      </c>
      <c r="BA2451" s="1">
        <v>9</v>
      </c>
      <c r="BB2451" s="1">
        <v>0</v>
      </c>
      <c r="BC2451" s="1">
        <v>0</v>
      </c>
      <c r="BE2451" s="1">
        <v>27431897</v>
      </c>
    </row>
    <row r="2452" spans="1:57" x14ac:dyDescent="0.25">
      <c r="A2452" s="1" t="str">
        <f>T("1946853327946587036")</f>
        <v>1946853327946587036</v>
      </c>
      <c r="B2452" s="1" t="str">
        <f>T("249969142802")</f>
        <v>249969142802</v>
      </c>
      <c r="C2452" s="1" t="str">
        <f>T("1941094471009569540")</f>
        <v>1941094471009569540</v>
      </c>
      <c r="AC2452" s="1" t="s">
        <v>276</v>
      </c>
      <c r="AD2452" s="1" t="s">
        <v>277</v>
      </c>
      <c r="AE2452" s="1" t="s">
        <v>530</v>
      </c>
      <c r="AF2452" s="1" t="s">
        <v>144</v>
      </c>
      <c r="AG2452" s="1">
        <v>30</v>
      </c>
      <c r="AO2452" s="2">
        <v>46281</v>
      </c>
      <c r="AP2452" s="1" t="s">
        <v>248</v>
      </c>
      <c r="AS2452" s="1" t="s">
        <v>71</v>
      </c>
      <c r="AU2452" s="1" t="s">
        <v>72</v>
      </c>
      <c r="AV2452" s="1" t="s">
        <v>73</v>
      </c>
      <c r="AX2452" s="1">
        <v>0</v>
      </c>
      <c r="BA2452" s="1">
        <v>9</v>
      </c>
      <c r="BB2452" s="1">
        <v>0</v>
      </c>
      <c r="BC2452" s="1">
        <v>0</v>
      </c>
      <c r="BE2452" s="1">
        <v>27431897</v>
      </c>
    </row>
    <row r="2453" spans="1:57" x14ac:dyDescent="0.25">
      <c r="A2453" s="1" t="str">
        <f>T("1946853327984335108")</f>
        <v>1946853327984335108</v>
      </c>
      <c r="B2453" s="1" t="str">
        <f>T("249962342895")</f>
        <v>249962342895</v>
      </c>
      <c r="C2453" s="1" t="str">
        <f>T("1941094471009570140")</f>
        <v>1941094471009570140</v>
      </c>
      <c r="AC2453" s="1" t="s">
        <v>276</v>
      </c>
      <c r="AD2453" s="1" t="s">
        <v>517</v>
      </c>
      <c r="AE2453" s="1" t="s">
        <v>540</v>
      </c>
      <c r="AF2453" s="1" t="s">
        <v>144</v>
      </c>
      <c r="AG2453" s="1">
        <v>28</v>
      </c>
      <c r="AO2453" s="2">
        <v>46281</v>
      </c>
      <c r="AP2453" s="1" t="s">
        <v>248</v>
      </c>
      <c r="AS2453" s="1" t="s">
        <v>71</v>
      </c>
      <c r="AU2453" s="1" t="s">
        <v>72</v>
      </c>
      <c r="AV2453" s="1" t="s">
        <v>437</v>
      </c>
      <c r="AX2453" s="1">
        <v>0</v>
      </c>
      <c r="BA2453" s="1">
        <v>9</v>
      </c>
      <c r="BB2453" s="1">
        <v>0</v>
      </c>
      <c r="BC2453" s="1">
        <v>0</v>
      </c>
      <c r="BE2453" s="1">
        <v>27431897</v>
      </c>
    </row>
    <row r="2454" spans="1:57" x14ac:dyDescent="0.25">
      <c r="A2454" s="1" t="str">
        <f>T("1946853328043056020")</f>
        <v>1946853328043056020</v>
      </c>
      <c r="B2454" s="1" t="str">
        <f>T("249910180072")</f>
        <v>249910180072</v>
      </c>
      <c r="C2454" s="1" t="str">
        <f>T("1941094471009570540")</f>
        <v>1941094471009570540</v>
      </c>
      <c r="AC2454" s="1" t="s">
        <v>276</v>
      </c>
      <c r="AD2454" s="1" t="s">
        <v>298</v>
      </c>
      <c r="AE2454" s="1" t="s">
        <v>526</v>
      </c>
      <c r="AF2454" s="1" t="s">
        <v>144</v>
      </c>
      <c r="AG2454" s="1">
        <v>25</v>
      </c>
      <c r="AO2454" s="2">
        <v>46281</v>
      </c>
      <c r="AP2454" s="1" t="s">
        <v>248</v>
      </c>
      <c r="AS2454" s="1" t="s">
        <v>71</v>
      </c>
      <c r="AU2454" s="1" t="s">
        <v>72</v>
      </c>
      <c r="AV2454" s="1" t="s">
        <v>73</v>
      </c>
      <c r="AX2454" s="1">
        <v>0</v>
      </c>
      <c r="BA2454" s="1">
        <v>9</v>
      </c>
      <c r="BB2454" s="1">
        <v>0</v>
      </c>
      <c r="BC2454" s="1">
        <v>0</v>
      </c>
      <c r="BE2454" s="1">
        <v>27431897</v>
      </c>
    </row>
    <row r="2455" spans="1:57" x14ac:dyDescent="0.25">
      <c r="A2455" s="1" t="str">
        <f>T("1946853328064025260")</f>
        <v>1946853328064025260</v>
      </c>
      <c r="B2455" s="1" t="str">
        <f>T("249903999145")</f>
        <v>249903999145</v>
      </c>
      <c r="C2455" s="1" t="str">
        <f>T("1941094471013761148")</f>
        <v>1941094471013761148</v>
      </c>
      <c r="AC2455" s="1" t="s">
        <v>344</v>
      </c>
      <c r="AD2455" s="1" t="s">
        <v>430</v>
      </c>
      <c r="AE2455" s="1" t="s">
        <v>531</v>
      </c>
      <c r="AF2455" s="1" t="s">
        <v>144</v>
      </c>
      <c r="AG2455" s="1">
        <v>0</v>
      </c>
      <c r="AO2455" s="2">
        <v>46281</v>
      </c>
      <c r="AP2455" s="1" t="s">
        <v>248</v>
      </c>
      <c r="AS2455" s="1" t="s">
        <v>71</v>
      </c>
      <c r="AU2455" s="1" t="s">
        <v>72</v>
      </c>
      <c r="AV2455" s="1" t="s">
        <v>437</v>
      </c>
      <c r="AX2455" s="1">
        <v>0</v>
      </c>
      <c r="BA2455" s="1">
        <v>9</v>
      </c>
      <c r="BB2455" s="1">
        <v>0</v>
      </c>
      <c r="BC2455" s="1">
        <v>0</v>
      </c>
      <c r="BE2455" s="1">
        <v>27431897</v>
      </c>
    </row>
    <row r="2456" spans="1:57" x14ac:dyDescent="0.25">
      <c r="A2456" s="1" t="str">
        <f>T("1946853328173079268")</f>
        <v>1946853328173079268</v>
      </c>
      <c r="B2456" s="1" t="str">
        <f>T("249925607686")</f>
        <v>249925607686</v>
      </c>
      <c r="C2456" s="1" t="str">
        <f>T("1941094471013761548")</f>
        <v>1941094471013761548</v>
      </c>
      <c r="AC2456" s="1" t="s">
        <v>344</v>
      </c>
      <c r="AD2456" s="1" t="s">
        <v>524</v>
      </c>
      <c r="AE2456" s="1" t="s">
        <v>527</v>
      </c>
      <c r="AF2456" s="1" t="s">
        <v>144</v>
      </c>
      <c r="AG2456" s="1">
        <v>0</v>
      </c>
      <c r="AO2456" s="2">
        <v>46281</v>
      </c>
      <c r="AP2456" s="1" t="s">
        <v>248</v>
      </c>
      <c r="AS2456" s="1" t="s">
        <v>71</v>
      </c>
      <c r="AU2456" s="1" t="s">
        <v>72</v>
      </c>
      <c r="AV2456" s="1" t="s">
        <v>73</v>
      </c>
      <c r="AX2456" s="1">
        <v>0</v>
      </c>
      <c r="BA2456" s="1">
        <v>9</v>
      </c>
      <c r="BB2456" s="1">
        <v>0</v>
      </c>
      <c r="BC2456" s="1">
        <v>0</v>
      </c>
      <c r="BE2456" s="1">
        <v>27431897</v>
      </c>
    </row>
    <row r="2457" spans="1:57" x14ac:dyDescent="0.25">
      <c r="A2457" s="1" t="str">
        <f>T("1946853328181467784")</f>
        <v>1946853328181467784</v>
      </c>
      <c r="B2457" s="1" t="str">
        <f>T("249903142786")</f>
        <v>249903142786</v>
      </c>
      <c r="C2457" s="1" t="str">
        <f>T("1941094471013761948")</f>
        <v>1941094471013761948</v>
      </c>
      <c r="AC2457" s="1" t="s">
        <v>276</v>
      </c>
      <c r="AD2457" s="1" t="s">
        <v>277</v>
      </c>
      <c r="AE2457" s="1" t="s">
        <v>530</v>
      </c>
      <c r="AF2457" s="1" t="s">
        <v>144</v>
      </c>
      <c r="AG2457" s="1">
        <v>21</v>
      </c>
      <c r="AO2457" s="2">
        <v>46281</v>
      </c>
      <c r="AP2457" s="1" t="s">
        <v>248</v>
      </c>
      <c r="AS2457" s="1" t="s">
        <v>71</v>
      </c>
      <c r="AU2457" s="1" t="s">
        <v>72</v>
      </c>
      <c r="AV2457" s="1" t="s">
        <v>437</v>
      </c>
      <c r="AX2457" s="1">
        <v>0</v>
      </c>
      <c r="BA2457" s="1">
        <v>9</v>
      </c>
      <c r="BB2457" s="1">
        <v>0</v>
      </c>
      <c r="BC2457" s="1">
        <v>0</v>
      </c>
      <c r="BE2457" s="1">
        <v>27431897</v>
      </c>
    </row>
    <row r="2458" spans="1:57" x14ac:dyDescent="0.25">
      <c r="A2458" s="1" t="str">
        <f>T("1946853328206633832")</f>
        <v>1946853328206633832</v>
      </c>
      <c r="B2458" s="1" t="str">
        <f>T("249966310409")</f>
        <v>249966310409</v>
      </c>
      <c r="C2458" s="1" t="str">
        <f>T("1941094471013763348")</f>
        <v>1941094471013763348</v>
      </c>
      <c r="AC2458" s="1" t="s">
        <v>366</v>
      </c>
      <c r="AD2458" s="1" t="s">
        <v>367</v>
      </c>
      <c r="AE2458" s="1" t="s">
        <v>368</v>
      </c>
      <c r="AF2458" s="1" t="s">
        <v>144</v>
      </c>
      <c r="AG2458" s="1">
        <v>36</v>
      </c>
      <c r="AO2458" s="2">
        <v>46281</v>
      </c>
      <c r="AP2458" s="1" t="s">
        <v>248</v>
      </c>
      <c r="AS2458" s="1" t="s">
        <v>71</v>
      </c>
      <c r="AU2458" s="1" t="s">
        <v>72</v>
      </c>
      <c r="AV2458" s="1" t="s">
        <v>437</v>
      </c>
      <c r="AX2458" s="1">
        <v>0</v>
      </c>
      <c r="BA2458" s="1">
        <v>9</v>
      </c>
      <c r="BB2458" s="1">
        <v>0</v>
      </c>
      <c r="BC2458" s="1">
        <v>0</v>
      </c>
      <c r="BE2458" s="1">
        <v>27431897</v>
      </c>
    </row>
    <row r="2459" spans="1:57" x14ac:dyDescent="0.25">
      <c r="A2459" s="1" t="str">
        <f>T("1946853328277935468")</f>
        <v>1946853328277935468</v>
      </c>
      <c r="B2459" s="1" t="str">
        <f>T("249914761186")</f>
        <v>249914761186</v>
      </c>
      <c r="C2459" s="1" t="str">
        <f>T("1941094471017955456")</f>
        <v>1941094471017955456</v>
      </c>
      <c r="AC2459" s="1" t="s">
        <v>344</v>
      </c>
      <c r="AD2459" s="1" t="s">
        <v>524</v>
      </c>
      <c r="AE2459" s="1" t="s">
        <v>504</v>
      </c>
      <c r="AF2459" s="1" t="s">
        <v>144</v>
      </c>
      <c r="AG2459" s="1">
        <v>0</v>
      </c>
      <c r="AO2459" s="2">
        <v>46281</v>
      </c>
      <c r="AP2459" s="1" t="s">
        <v>248</v>
      </c>
      <c r="AS2459" s="1" t="s">
        <v>71</v>
      </c>
      <c r="AU2459" s="1" t="s">
        <v>72</v>
      </c>
      <c r="AV2459" s="1" t="s">
        <v>437</v>
      </c>
      <c r="AX2459" s="1">
        <v>0</v>
      </c>
      <c r="BA2459" s="1">
        <v>9</v>
      </c>
      <c r="BB2459" s="1">
        <v>0</v>
      </c>
      <c r="BC2459" s="1">
        <v>0</v>
      </c>
      <c r="BE2459" s="1">
        <v>27431897</v>
      </c>
    </row>
    <row r="2460" spans="1:57" x14ac:dyDescent="0.25">
      <c r="A2460" s="1" t="str">
        <f>T("1946853328298906508")</f>
        <v>1946853328298906508</v>
      </c>
      <c r="B2460" s="1" t="str">
        <f>T("249903874751")</f>
        <v>249903874751</v>
      </c>
      <c r="C2460" s="1" t="str">
        <f>T("1941094471017956056")</f>
        <v>1941094471017956056</v>
      </c>
      <c r="AC2460" s="1" t="s">
        <v>344</v>
      </c>
      <c r="AD2460" s="1" t="s">
        <v>524</v>
      </c>
      <c r="AE2460" s="1" t="s">
        <v>528</v>
      </c>
      <c r="AF2460" s="1" t="s">
        <v>144</v>
      </c>
      <c r="AG2460" s="1" t="s">
        <v>529</v>
      </c>
      <c r="AO2460" s="2">
        <v>46281</v>
      </c>
      <c r="AP2460" s="1" t="s">
        <v>248</v>
      </c>
      <c r="AS2460" s="1" t="s">
        <v>71</v>
      </c>
      <c r="AU2460" s="1" t="s">
        <v>72</v>
      </c>
      <c r="AV2460" s="1" t="s">
        <v>73</v>
      </c>
      <c r="AX2460" s="1">
        <v>0</v>
      </c>
      <c r="BA2460" s="1">
        <v>9</v>
      </c>
      <c r="BB2460" s="1">
        <v>0</v>
      </c>
      <c r="BC2460" s="1">
        <v>0</v>
      </c>
      <c r="BE2460" s="1">
        <v>27431897</v>
      </c>
    </row>
    <row r="2461" spans="1:57" x14ac:dyDescent="0.25">
      <c r="A2461" s="1" t="str">
        <f>T("1946853328403765808")</f>
        <v>1946853328403765808</v>
      </c>
      <c r="B2461" s="1" t="str">
        <f>T("249916125515")</f>
        <v>249916125515</v>
      </c>
      <c r="C2461" s="1" t="str">
        <f>T("1941094471017956456")</f>
        <v>1941094471017956456</v>
      </c>
      <c r="AC2461" s="1" t="s">
        <v>344</v>
      </c>
      <c r="AD2461" s="1" t="s">
        <v>430</v>
      </c>
      <c r="AE2461" s="1" t="s">
        <v>531</v>
      </c>
      <c r="AF2461" s="1" t="s">
        <v>144</v>
      </c>
      <c r="AG2461" s="1">
        <v>0</v>
      </c>
      <c r="AO2461" s="2">
        <v>46281</v>
      </c>
      <c r="AP2461" s="1" t="s">
        <v>248</v>
      </c>
      <c r="AS2461" s="1" t="s">
        <v>71</v>
      </c>
      <c r="AU2461" s="1" t="s">
        <v>72</v>
      </c>
      <c r="AV2461" s="1" t="s">
        <v>73</v>
      </c>
      <c r="AX2461" s="1">
        <v>0</v>
      </c>
      <c r="BA2461" s="1">
        <v>9</v>
      </c>
      <c r="BB2461" s="1">
        <v>0</v>
      </c>
      <c r="BC2461" s="1">
        <v>0</v>
      </c>
      <c r="BE2461" s="1">
        <v>27431897</v>
      </c>
    </row>
    <row r="2462" spans="1:57" x14ac:dyDescent="0.25">
      <c r="A2462" s="1" t="str">
        <f>T("1946853328412154824")</f>
        <v>1946853328412154824</v>
      </c>
      <c r="B2462" s="1" t="str">
        <f>T("249917774687")</f>
        <v>249917774687</v>
      </c>
      <c r="C2462" s="1" t="str">
        <f>T("1941094471017956956")</f>
        <v>1941094471017956956</v>
      </c>
      <c r="AC2462" s="1" t="s">
        <v>276</v>
      </c>
      <c r="AD2462" s="1" t="s">
        <v>298</v>
      </c>
      <c r="AE2462" s="1" t="s">
        <v>526</v>
      </c>
      <c r="AF2462" s="1" t="s">
        <v>144</v>
      </c>
      <c r="AG2462" s="1">
        <v>45</v>
      </c>
      <c r="AO2462" s="2">
        <v>46281</v>
      </c>
      <c r="AP2462" s="1" t="s">
        <v>248</v>
      </c>
      <c r="AS2462" s="1" t="s">
        <v>71</v>
      </c>
      <c r="AU2462" s="1" t="s">
        <v>72</v>
      </c>
      <c r="AV2462" s="1" t="s">
        <v>73</v>
      </c>
      <c r="AX2462" s="1">
        <v>0</v>
      </c>
      <c r="BA2462" s="1">
        <v>9</v>
      </c>
      <c r="BB2462" s="1">
        <v>0</v>
      </c>
      <c r="BC2462" s="1">
        <v>0</v>
      </c>
      <c r="BE2462" s="1">
        <v>27431897</v>
      </c>
    </row>
    <row r="2463" spans="1:57" x14ac:dyDescent="0.25">
      <c r="A2463" s="1" t="str">
        <f>T("1946853328428929956")</f>
        <v>1946853328428929956</v>
      </c>
      <c r="B2463" s="1" t="str">
        <f>T("249902876562")</f>
        <v>249902876562</v>
      </c>
      <c r="C2463" s="1" t="str">
        <f>T("1941094471017957356")</f>
        <v>1941094471017957356</v>
      </c>
      <c r="AC2463" s="1" t="s">
        <v>344</v>
      </c>
      <c r="AD2463" s="1" t="s">
        <v>430</v>
      </c>
      <c r="AE2463" s="1" t="s">
        <v>531</v>
      </c>
      <c r="AF2463" s="1" t="s">
        <v>144</v>
      </c>
      <c r="AG2463" s="1">
        <v>0</v>
      </c>
      <c r="AO2463" s="2">
        <v>46281</v>
      </c>
      <c r="AP2463" s="1" t="s">
        <v>248</v>
      </c>
      <c r="AS2463" s="1" t="s">
        <v>71</v>
      </c>
      <c r="AU2463" s="1" t="s">
        <v>72</v>
      </c>
      <c r="AV2463" s="1" t="s">
        <v>73</v>
      </c>
      <c r="AX2463" s="1">
        <v>0</v>
      </c>
      <c r="BA2463" s="1">
        <v>9</v>
      </c>
      <c r="BB2463" s="1">
        <v>0</v>
      </c>
      <c r="BC2463" s="1">
        <v>0</v>
      </c>
      <c r="BE2463" s="1">
        <v>27431897</v>
      </c>
    </row>
    <row r="2464" spans="1:57" x14ac:dyDescent="0.25">
      <c r="A2464" s="1" t="str">
        <f>T("1946853328517010724")</f>
        <v>1946853328517010724</v>
      </c>
      <c r="B2464" s="1" t="str">
        <f>T("249135858039")</f>
        <v>249135858039</v>
      </c>
      <c r="C2464" s="1" t="str">
        <f>T("1941094471022149764")</f>
        <v>1941094471022149764</v>
      </c>
      <c r="AC2464" s="1" t="s">
        <v>344</v>
      </c>
      <c r="AD2464" s="1" t="s">
        <v>430</v>
      </c>
      <c r="AE2464" s="1" t="s">
        <v>536</v>
      </c>
      <c r="AF2464" s="1" t="s">
        <v>144</v>
      </c>
      <c r="AG2464" s="1">
        <v>0</v>
      </c>
      <c r="AO2464" s="2">
        <v>46281</v>
      </c>
      <c r="AP2464" s="1" t="s">
        <v>248</v>
      </c>
      <c r="AS2464" s="1" t="s">
        <v>71</v>
      </c>
      <c r="AU2464" s="1" t="s">
        <v>72</v>
      </c>
      <c r="AV2464" s="1" t="s">
        <v>73</v>
      </c>
      <c r="AX2464" s="1">
        <v>0</v>
      </c>
      <c r="BA2464" s="1">
        <v>9</v>
      </c>
      <c r="BB2464" s="1">
        <v>0</v>
      </c>
      <c r="BC2464" s="1">
        <v>0</v>
      </c>
      <c r="BE2464" s="1">
        <v>27431897</v>
      </c>
    </row>
    <row r="2465" spans="1:57" x14ac:dyDescent="0.25">
      <c r="A2465" s="1" t="str">
        <f>T("1946853328517012124")</f>
        <v>1946853328517012124</v>
      </c>
      <c r="B2465" s="1" t="str">
        <f>T("249969410106")</f>
        <v>249969410106</v>
      </c>
      <c r="C2465" s="1" t="str">
        <f>T("1941094471017958556")</f>
        <v>1941094471017958556</v>
      </c>
      <c r="AC2465" s="1" t="s">
        <v>366</v>
      </c>
      <c r="AD2465" s="1" t="s">
        <v>367</v>
      </c>
      <c r="AE2465" s="1" t="s">
        <v>368</v>
      </c>
      <c r="AF2465" s="1" t="s">
        <v>144</v>
      </c>
      <c r="AG2465" s="1">
        <v>37</v>
      </c>
      <c r="AO2465" s="2">
        <v>46281</v>
      </c>
      <c r="AP2465" s="1" t="s">
        <v>248</v>
      </c>
      <c r="AS2465" s="1" t="s">
        <v>71</v>
      </c>
      <c r="AU2465" s="1" t="s">
        <v>72</v>
      </c>
      <c r="AV2465" s="1" t="s">
        <v>73</v>
      </c>
      <c r="AX2465" s="1">
        <v>0</v>
      </c>
      <c r="BA2465" s="1">
        <v>9</v>
      </c>
      <c r="BB2465" s="1">
        <v>0</v>
      </c>
      <c r="BC2465" s="1">
        <v>0</v>
      </c>
      <c r="BE2465" s="1">
        <v>27431897</v>
      </c>
    </row>
    <row r="2466" spans="1:57" x14ac:dyDescent="0.25">
      <c r="A2466" s="1" t="str">
        <f>T("1946853328592508268")</f>
        <v>1946853328592508268</v>
      </c>
      <c r="B2466" s="1" t="str">
        <f>T("249962662426")</f>
        <v>249962662426</v>
      </c>
      <c r="C2466" s="1" t="str">
        <f>T("1941094471022150364")</f>
        <v>1941094471022150364</v>
      </c>
      <c r="AC2466" s="1" t="s">
        <v>276</v>
      </c>
      <c r="AD2466" s="1" t="s">
        <v>298</v>
      </c>
      <c r="AE2466" s="1" t="s">
        <v>538</v>
      </c>
      <c r="AF2466" s="1" t="s">
        <v>144</v>
      </c>
      <c r="AG2466" s="1">
        <v>40</v>
      </c>
      <c r="AO2466" s="2">
        <v>46281</v>
      </c>
      <c r="AP2466" s="1" t="s">
        <v>248</v>
      </c>
      <c r="AS2466" s="1" t="s">
        <v>71</v>
      </c>
      <c r="AU2466" s="1" t="s">
        <v>72</v>
      </c>
      <c r="AV2466" s="1" t="s">
        <v>73</v>
      </c>
      <c r="AX2466" s="1">
        <v>0</v>
      </c>
      <c r="BA2466" s="1">
        <v>9</v>
      </c>
      <c r="BB2466" s="1">
        <v>0</v>
      </c>
      <c r="BC2466" s="1">
        <v>0</v>
      </c>
      <c r="BE2466" s="1">
        <v>27431897</v>
      </c>
    </row>
    <row r="2467" spans="1:57" x14ac:dyDescent="0.25">
      <c r="A2467" s="1" t="str">
        <f>T("1946853328613479908")</f>
        <v>1946853328613479908</v>
      </c>
      <c r="B2467" s="1" t="str">
        <f>T("249915853761")</f>
        <v>249915853761</v>
      </c>
      <c r="C2467" s="1" t="str">
        <f>T("1941094471022151964")</f>
        <v>1941094471022151964</v>
      </c>
      <c r="AC2467" s="1" t="s">
        <v>344</v>
      </c>
      <c r="AD2467" s="1" t="s">
        <v>524</v>
      </c>
      <c r="AE2467" s="1" t="s">
        <v>528</v>
      </c>
      <c r="AF2467" s="1" t="s">
        <v>144</v>
      </c>
      <c r="AG2467" s="1" t="s">
        <v>529</v>
      </c>
      <c r="AO2467" s="2">
        <v>46281</v>
      </c>
      <c r="AP2467" s="1" t="s">
        <v>248</v>
      </c>
      <c r="AS2467" s="1" t="s">
        <v>71</v>
      </c>
      <c r="AU2467" s="1" t="s">
        <v>72</v>
      </c>
      <c r="AV2467" s="1" t="s">
        <v>437</v>
      </c>
      <c r="AX2467" s="1">
        <v>0</v>
      </c>
      <c r="BA2467" s="1">
        <v>9</v>
      </c>
      <c r="BB2467" s="1">
        <v>0</v>
      </c>
      <c r="BC2467" s="1">
        <v>0</v>
      </c>
      <c r="BE2467" s="1">
        <v>27431897</v>
      </c>
    </row>
    <row r="2468" spans="1:57" x14ac:dyDescent="0.25">
      <c r="A2468" s="1" t="str">
        <f>T("1946853328613480308")</f>
        <v>1946853328613480308</v>
      </c>
      <c r="B2468" s="1" t="str">
        <f>T("249613413397")</f>
        <v>249613413397</v>
      </c>
      <c r="C2468" s="1" t="str">
        <f>T("1941094471022150864")</f>
        <v>1941094471022150864</v>
      </c>
      <c r="AC2468" s="1" t="s">
        <v>344</v>
      </c>
      <c r="AD2468" s="1" t="s">
        <v>345</v>
      </c>
      <c r="AE2468" s="1" t="s">
        <v>522</v>
      </c>
      <c r="AF2468" s="1" t="s">
        <v>144</v>
      </c>
      <c r="AG2468" s="1">
        <v>41</v>
      </c>
      <c r="AO2468" s="2">
        <v>46281</v>
      </c>
      <c r="AP2468" s="1" t="s">
        <v>248</v>
      </c>
      <c r="AS2468" s="1" t="s">
        <v>71</v>
      </c>
      <c r="AU2468" s="1" t="s">
        <v>72</v>
      </c>
      <c r="AV2468" s="1" t="s">
        <v>73</v>
      </c>
      <c r="AX2468" s="1">
        <v>0</v>
      </c>
      <c r="BA2468" s="1">
        <v>9</v>
      </c>
      <c r="BB2468" s="1">
        <v>0</v>
      </c>
      <c r="BC2468" s="1">
        <v>0</v>
      </c>
      <c r="BE2468" s="1">
        <v>27431897</v>
      </c>
    </row>
    <row r="2469" spans="1:57" x14ac:dyDescent="0.25">
      <c r="A2469" s="1" t="str">
        <f>T("1946853328676395228")</f>
        <v>1946853328676395228</v>
      </c>
      <c r="B2469" s="1" t="str">
        <f>T("249918578705")</f>
        <v>249918578705</v>
      </c>
      <c r="C2469" s="1" t="str">
        <f>T("1941094471022152364")</f>
        <v>1941094471022152364</v>
      </c>
      <c r="AC2469" s="1" t="s">
        <v>344</v>
      </c>
      <c r="AD2469" s="1" t="s">
        <v>345</v>
      </c>
      <c r="AE2469" s="1" t="s">
        <v>522</v>
      </c>
      <c r="AF2469" s="1" t="s">
        <v>144</v>
      </c>
      <c r="AG2469" s="1">
        <v>35</v>
      </c>
      <c r="AO2469" s="2">
        <v>46281</v>
      </c>
      <c r="AP2469" s="1" t="s">
        <v>248</v>
      </c>
      <c r="AS2469" s="1" t="s">
        <v>71</v>
      </c>
      <c r="AU2469" s="1" t="s">
        <v>72</v>
      </c>
      <c r="AV2469" s="1" t="s">
        <v>437</v>
      </c>
      <c r="AX2469" s="1">
        <v>0</v>
      </c>
      <c r="BA2469" s="1">
        <v>9</v>
      </c>
      <c r="BB2469" s="1">
        <v>0</v>
      </c>
      <c r="BC2469" s="1">
        <v>0</v>
      </c>
      <c r="BE2469" s="1">
        <v>27431897</v>
      </c>
    </row>
    <row r="2470" spans="1:57" x14ac:dyDescent="0.25">
      <c r="A2470" s="1" t="str">
        <f>T("1946853328714144300")</f>
        <v>1946853328714144300</v>
      </c>
      <c r="B2470" s="1" t="str">
        <f>T("249923842118")</f>
        <v>249923842118</v>
      </c>
      <c r="C2470" s="1" t="str">
        <f>T("1941094471026345572")</f>
        <v>1941094471026345572</v>
      </c>
      <c r="AC2470" s="1" t="s">
        <v>344</v>
      </c>
      <c r="AD2470" s="1" t="s">
        <v>524</v>
      </c>
      <c r="AE2470" s="1" t="s">
        <v>535</v>
      </c>
      <c r="AF2470" s="1" t="s">
        <v>144</v>
      </c>
      <c r="AG2470" s="1">
        <v>0</v>
      </c>
      <c r="AO2470" s="2">
        <v>46281</v>
      </c>
      <c r="AP2470" s="1" t="s">
        <v>248</v>
      </c>
      <c r="AS2470" s="1" t="s">
        <v>71</v>
      </c>
      <c r="AU2470" s="1" t="s">
        <v>72</v>
      </c>
      <c r="AV2470" s="1" t="s">
        <v>73</v>
      </c>
      <c r="AX2470" s="1">
        <v>0</v>
      </c>
      <c r="BA2470" s="1">
        <v>9</v>
      </c>
      <c r="BB2470" s="1">
        <v>0</v>
      </c>
      <c r="BC2470" s="1">
        <v>0</v>
      </c>
      <c r="BE2470" s="1">
        <v>27431897</v>
      </c>
    </row>
    <row r="2471" spans="1:57" x14ac:dyDescent="0.25">
      <c r="A2471" s="1" t="str">
        <f>T("1946853328739308848")</f>
        <v>1946853328739308848</v>
      </c>
      <c r="B2471" s="1" t="str">
        <f>T("249911962902")</f>
        <v>249911962902</v>
      </c>
      <c r="C2471" s="1" t="str">
        <f>T("1941094471026346472")</f>
        <v>1941094471026346472</v>
      </c>
      <c r="AC2471" s="1" t="s">
        <v>344</v>
      </c>
      <c r="AD2471" s="1" t="s">
        <v>524</v>
      </c>
      <c r="AE2471" s="1" t="s">
        <v>527</v>
      </c>
      <c r="AF2471" s="1" t="s">
        <v>144</v>
      </c>
      <c r="AG2471" s="1">
        <v>0</v>
      </c>
      <c r="AO2471" s="2">
        <v>46281</v>
      </c>
      <c r="AP2471" s="1" t="s">
        <v>248</v>
      </c>
      <c r="AS2471" s="1" t="s">
        <v>71</v>
      </c>
      <c r="AU2471" s="1" t="s">
        <v>72</v>
      </c>
      <c r="AV2471" s="1" t="s">
        <v>73</v>
      </c>
      <c r="AX2471" s="1">
        <v>0</v>
      </c>
      <c r="BA2471" s="1">
        <v>9</v>
      </c>
      <c r="BB2471" s="1">
        <v>0</v>
      </c>
      <c r="BC2471" s="1">
        <v>0</v>
      </c>
      <c r="BE2471" s="1">
        <v>27431897</v>
      </c>
    </row>
    <row r="2472" spans="1:57" x14ac:dyDescent="0.25">
      <c r="A2472" s="1" t="str">
        <f>T("1946853328747698164")</f>
        <v>1946853328747698164</v>
      </c>
      <c r="B2472" s="1" t="str">
        <f>T("249919478172")</f>
        <v>249919478172</v>
      </c>
      <c r="C2472" s="1" t="str">
        <f>T("1941094471026346772")</f>
        <v>1941094471026346772</v>
      </c>
      <c r="AC2472" s="1" t="s">
        <v>276</v>
      </c>
      <c r="AD2472" s="1" t="s">
        <v>517</v>
      </c>
      <c r="AE2472" s="1" t="s">
        <v>530</v>
      </c>
      <c r="AF2472" s="1" t="s">
        <v>144</v>
      </c>
      <c r="AG2472" s="1">
        <v>19</v>
      </c>
      <c r="AO2472" s="2">
        <v>46281</v>
      </c>
      <c r="AP2472" s="1" t="s">
        <v>248</v>
      </c>
      <c r="AS2472" s="1" t="s">
        <v>71</v>
      </c>
      <c r="AU2472" s="1" t="s">
        <v>72</v>
      </c>
      <c r="AV2472" s="1" t="s">
        <v>437</v>
      </c>
      <c r="AX2472" s="1">
        <v>0</v>
      </c>
      <c r="BA2472" s="1">
        <v>9</v>
      </c>
      <c r="BB2472" s="1">
        <v>0</v>
      </c>
      <c r="BC2472" s="1">
        <v>0</v>
      </c>
      <c r="BE2472" s="1">
        <v>27431897</v>
      </c>
    </row>
    <row r="2473" spans="1:57" x14ac:dyDescent="0.25">
      <c r="A2473" s="1" t="str">
        <f>T("1946853328789639744")</f>
        <v>1946853328789639744</v>
      </c>
      <c r="B2473" s="1" t="str">
        <f>T("249965768611")</f>
        <v>249965768611</v>
      </c>
      <c r="C2473" s="1" t="str">
        <f>T("1941094471030538980")</f>
        <v>1941094471030538980</v>
      </c>
      <c r="AC2473" s="1" t="s">
        <v>344</v>
      </c>
      <c r="AD2473" s="1" t="s">
        <v>524</v>
      </c>
      <c r="AE2473" s="1" t="s">
        <v>527</v>
      </c>
      <c r="AF2473" s="1" t="s">
        <v>144</v>
      </c>
      <c r="AG2473" s="1">
        <v>0</v>
      </c>
      <c r="AO2473" s="2">
        <v>46281</v>
      </c>
      <c r="AP2473" s="1" t="s">
        <v>248</v>
      </c>
      <c r="AS2473" s="1" t="s">
        <v>71</v>
      </c>
      <c r="AU2473" s="1" t="s">
        <v>72</v>
      </c>
      <c r="AV2473" s="1" t="s">
        <v>437</v>
      </c>
      <c r="AX2473" s="1">
        <v>0</v>
      </c>
      <c r="BA2473" s="1">
        <v>9</v>
      </c>
      <c r="BB2473" s="1">
        <v>0</v>
      </c>
      <c r="BC2473" s="1">
        <v>0</v>
      </c>
      <c r="BE2473" s="1">
        <v>27431897</v>
      </c>
    </row>
    <row r="2474" spans="1:57" x14ac:dyDescent="0.25">
      <c r="A2474" s="1" t="str">
        <f>T("1946853328823197508")</f>
        <v>1946853328823197508</v>
      </c>
      <c r="B2474" s="1" t="str">
        <f>T("249906203781")</f>
        <v>249906203781</v>
      </c>
      <c r="C2474" s="1" t="str">
        <f>T("1941094471030539780")</f>
        <v>1941094471030539780</v>
      </c>
      <c r="AC2474" s="1" t="s">
        <v>344</v>
      </c>
      <c r="AD2474" s="1" t="s">
        <v>524</v>
      </c>
      <c r="AE2474" s="1" t="s">
        <v>527</v>
      </c>
      <c r="AF2474" s="1" t="s">
        <v>144</v>
      </c>
      <c r="AG2474" s="1">
        <v>0</v>
      </c>
      <c r="AO2474" s="2">
        <v>46281</v>
      </c>
      <c r="AP2474" s="1" t="s">
        <v>248</v>
      </c>
      <c r="AS2474" s="1" t="s">
        <v>71</v>
      </c>
      <c r="AU2474" s="1" t="s">
        <v>72</v>
      </c>
      <c r="AV2474" s="1" t="s">
        <v>73</v>
      </c>
      <c r="AX2474" s="1">
        <v>0</v>
      </c>
      <c r="BA2474" s="1">
        <v>9</v>
      </c>
      <c r="BB2474" s="1">
        <v>0</v>
      </c>
      <c r="BC2474" s="1">
        <v>0</v>
      </c>
      <c r="BE2474" s="1">
        <v>27431897</v>
      </c>
    </row>
    <row r="2475" spans="1:57" x14ac:dyDescent="0.25">
      <c r="A2475" s="1" t="str">
        <f>T("1946853328827388616")</f>
        <v>1946853328827388616</v>
      </c>
      <c r="B2475" s="1" t="str">
        <f>T("249963805416")</f>
        <v>249963805416</v>
      </c>
      <c r="C2475" s="1" t="str">
        <f>T("1941094471030540280")</f>
        <v>1941094471030540280</v>
      </c>
      <c r="AC2475" s="1" t="s">
        <v>276</v>
      </c>
      <c r="AD2475" s="1" t="s">
        <v>277</v>
      </c>
      <c r="AE2475" s="1" t="s">
        <v>530</v>
      </c>
      <c r="AF2475" s="1" t="s">
        <v>144</v>
      </c>
      <c r="AG2475" s="1">
        <v>31</v>
      </c>
      <c r="AO2475" s="2">
        <v>46281</v>
      </c>
      <c r="AP2475" s="1" t="s">
        <v>248</v>
      </c>
      <c r="AS2475" s="1" t="s">
        <v>71</v>
      </c>
      <c r="AU2475" s="1" t="s">
        <v>72</v>
      </c>
      <c r="AV2475" s="1" t="s">
        <v>126</v>
      </c>
      <c r="AX2475" s="1">
        <v>0</v>
      </c>
      <c r="BA2475" s="1">
        <v>9</v>
      </c>
      <c r="BB2475" s="1">
        <v>0</v>
      </c>
      <c r="BC2475" s="1">
        <v>0</v>
      </c>
      <c r="BE2475" s="1">
        <v>27431897</v>
      </c>
    </row>
    <row r="2476" spans="1:57" x14ac:dyDescent="0.25">
      <c r="A2476" s="1" t="str">
        <f>T("1946853328919663892")</f>
        <v>1946853328919663892</v>
      </c>
      <c r="B2476" s="1" t="str">
        <f>T("249903199657")</f>
        <v>249903199657</v>
      </c>
      <c r="C2476" s="1" t="str">
        <f>T("1941094471030541280")</f>
        <v>1941094471030541280</v>
      </c>
      <c r="AC2476" s="1" t="s">
        <v>344</v>
      </c>
      <c r="AD2476" s="1" t="s">
        <v>345</v>
      </c>
      <c r="AE2476" s="1" t="s">
        <v>522</v>
      </c>
      <c r="AF2476" s="1" t="s">
        <v>144</v>
      </c>
      <c r="AG2476" s="1">
        <v>30</v>
      </c>
      <c r="AO2476" s="2">
        <v>46281</v>
      </c>
      <c r="AP2476" s="1" t="s">
        <v>248</v>
      </c>
      <c r="AS2476" s="1" t="s">
        <v>71</v>
      </c>
      <c r="AU2476" s="1" t="s">
        <v>72</v>
      </c>
      <c r="AV2476" s="1" t="s">
        <v>126</v>
      </c>
      <c r="AX2476" s="1">
        <v>0</v>
      </c>
      <c r="BA2476" s="1">
        <v>9</v>
      </c>
      <c r="BB2476" s="1">
        <v>0</v>
      </c>
      <c r="BC2476" s="1">
        <v>0</v>
      </c>
      <c r="BE2476" s="1">
        <v>27431897</v>
      </c>
    </row>
    <row r="2477" spans="1:57" x14ac:dyDescent="0.25">
      <c r="A2477" s="1" t="str">
        <f>T("1946853328919663893")</f>
        <v>1946853328919663893</v>
      </c>
      <c r="B2477" s="1" t="str">
        <f>T("249913781321")</f>
        <v>249913781321</v>
      </c>
      <c r="C2477" s="1" t="str">
        <f>T("1941094471030540780")</f>
        <v>1941094471030540780</v>
      </c>
      <c r="AC2477" s="1" t="s">
        <v>276</v>
      </c>
      <c r="AD2477" s="1" t="s">
        <v>517</v>
      </c>
      <c r="AE2477" s="1" t="s">
        <v>521</v>
      </c>
      <c r="AF2477" s="1" t="s">
        <v>144</v>
      </c>
      <c r="AG2477" s="1">
        <v>29</v>
      </c>
      <c r="AO2477" s="2">
        <v>46281</v>
      </c>
      <c r="AP2477" s="1" t="s">
        <v>248</v>
      </c>
      <c r="AS2477" s="1" t="s">
        <v>71</v>
      </c>
      <c r="AU2477" s="1" t="s">
        <v>72</v>
      </c>
      <c r="AV2477" s="1" t="s">
        <v>73</v>
      </c>
      <c r="AX2477" s="1">
        <v>0</v>
      </c>
      <c r="BA2477" s="1">
        <v>9</v>
      </c>
      <c r="BB2477" s="1">
        <v>0</v>
      </c>
      <c r="BC2477" s="1">
        <v>0</v>
      </c>
      <c r="BE2477" s="1">
        <v>27431897</v>
      </c>
    </row>
    <row r="2478" spans="1:57" x14ac:dyDescent="0.25">
      <c r="A2478" s="1" t="str">
        <f>T("1946853328999355444")</f>
        <v>1946853328999355444</v>
      </c>
      <c r="B2478" s="1" t="str">
        <f>T("249903873033")</f>
        <v>249903873033</v>
      </c>
      <c r="C2478" s="1" t="str">
        <f>T("1941094471030541880")</f>
        <v>1941094471030541880</v>
      </c>
      <c r="AC2478" s="1" t="s">
        <v>344</v>
      </c>
      <c r="AD2478" s="1" t="s">
        <v>524</v>
      </c>
      <c r="AE2478" s="1" t="s">
        <v>527</v>
      </c>
      <c r="AF2478" s="1" t="s">
        <v>144</v>
      </c>
      <c r="AG2478" s="1">
        <v>0</v>
      </c>
      <c r="AO2478" s="2">
        <v>46281</v>
      </c>
      <c r="AP2478" s="1" t="s">
        <v>248</v>
      </c>
      <c r="AS2478" s="1" t="s">
        <v>71</v>
      </c>
      <c r="AU2478" s="1" t="s">
        <v>72</v>
      </c>
      <c r="AV2478" s="1" t="s">
        <v>126</v>
      </c>
      <c r="AX2478" s="1">
        <v>0</v>
      </c>
      <c r="BA2478" s="1">
        <v>9</v>
      </c>
      <c r="BB2478" s="1">
        <v>0</v>
      </c>
      <c r="BC2478" s="1">
        <v>0</v>
      </c>
      <c r="BE2478" s="1">
        <v>27431897</v>
      </c>
    </row>
    <row r="2479" spans="1:57" x14ac:dyDescent="0.25">
      <c r="A2479" s="1" t="str">
        <f>T("1946853329011940868")</f>
        <v>1946853329011940868</v>
      </c>
      <c r="B2479" s="1" t="str">
        <f>T("249907667553")</f>
        <v>249907667553</v>
      </c>
      <c r="C2479" s="1" t="str">
        <f>T("1941094471034733788")</f>
        <v>1941094471034733788</v>
      </c>
      <c r="AC2479" s="1" t="s">
        <v>366</v>
      </c>
      <c r="AD2479" s="1" t="s">
        <v>367</v>
      </c>
      <c r="AE2479" s="1" t="s">
        <v>368</v>
      </c>
      <c r="AF2479" s="1" t="s">
        <v>144</v>
      </c>
      <c r="AG2479" s="1">
        <v>28</v>
      </c>
      <c r="AO2479" s="2">
        <v>46281</v>
      </c>
      <c r="AP2479" s="1" t="s">
        <v>248</v>
      </c>
      <c r="AS2479" s="1" t="s">
        <v>71</v>
      </c>
      <c r="AU2479" s="1" t="s">
        <v>72</v>
      </c>
      <c r="AV2479" s="1" t="s">
        <v>126</v>
      </c>
      <c r="AX2479" s="1">
        <v>0</v>
      </c>
      <c r="BA2479" s="1">
        <v>9</v>
      </c>
      <c r="BB2479" s="1">
        <v>0</v>
      </c>
      <c r="BC2479" s="1">
        <v>0</v>
      </c>
      <c r="BE2479" s="1">
        <v>27431897</v>
      </c>
    </row>
    <row r="2480" spans="1:57" x14ac:dyDescent="0.25">
      <c r="A2480" s="1" t="str">
        <f>T("1946853329016133376")</f>
        <v>1946853329016133376</v>
      </c>
      <c r="B2480" s="1" t="str">
        <f>T("24991887991")</f>
        <v>24991887991</v>
      </c>
      <c r="C2480" s="1" t="str">
        <f>T("1941094471034734288")</f>
        <v>1941094471034734288</v>
      </c>
      <c r="AC2480" s="1" t="s">
        <v>344</v>
      </c>
      <c r="AD2480" s="1" t="s">
        <v>524</v>
      </c>
      <c r="AE2480" s="1" t="s">
        <v>504</v>
      </c>
      <c r="AF2480" s="1" t="s">
        <v>144</v>
      </c>
      <c r="AG2480" s="1">
        <v>0</v>
      </c>
      <c r="AO2480" s="2">
        <v>46281</v>
      </c>
      <c r="AP2480" s="1" t="s">
        <v>248</v>
      </c>
      <c r="AS2480" s="1" t="s">
        <v>71</v>
      </c>
      <c r="AU2480" s="1" t="s">
        <v>72</v>
      </c>
      <c r="AV2480" s="1" t="s">
        <v>73</v>
      </c>
      <c r="AX2480" s="1">
        <v>0</v>
      </c>
      <c r="BA2480" s="1">
        <v>9</v>
      </c>
      <c r="BB2480" s="1">
        <v>0</v>
      </c>
      <c r="BC2480" s="1">
        <v>0</v>
      </c>
      <c r="BE2480" s="1">
        <v>27431897</v>
      </c>
    </row>
    <row r="2481" spans="1:57" x14ac:dyDescent="0.25">
      <c r="A2481" s="1" t="str">
        <f>T("1946853329112600760")</f>
        <v>1946853329112600760</v>
      </c>
      <c r="B2481" s="1" t="str">
        <f>T("249964143729")</f>
        <v>249964143729</v>
      </c>
      <c r="C2481" s="1" t="str">
        <f>T("1941094471034734788")</f>
        <v>1941094471034734788</v>
      </c>
      <c r="AC2481" s="1" t="s">
        <v>344</v>
      </c>
      <c r="AD2481" s="1" t="s">
        <v>430</v>
      </c>
      <c r="AE2481" s="1" t="s">
        <v>531</v>
      </c>
      <c r="AF2481" s="1" t="s">
        <v>144</v>
      </c>
      <c r="AG2481" s="1">
        <v>0</v>
      </c>
      <c r="AO2481" s="2">
        <v>46281</v>
      </c>
      <c r="AP2481" s="1" t="s">
        <v>248</v>
      </c>
      <c r="AS2481" s="1" t="s">
        <v>71</v>
      </c>
      <c r="AU2481" s="1" t="s">
        <v>72</v>
      </c>
      <c r="AV2481" s="1" t="s">
        <v>73</v>
      </c>
      <c r="AX2481" s="1">
        <v>0</v>
      </c>
      <c r="BA2481" s="1">
        <v>9</v>
      </c>
      <c r="BB2481" s="1">
        <v>0</v>
      </c>
      <c r="BC2481" s="1">
        <v>0</v>
      </c>
      <c r="BE2481" s="1">
        <v>27431897</v>
      </c>
    </row>
    <row r="2482" spans="1:57" x14ac:dyDescent="0.25">
      <c r="A2482" s="1" t="str">
        <f>T("1946853329150350232")</f>
        <v>1946853329150350232</v>
      </c>
      <c r="B2482" s="1" t="str">
        <f>T("249917196428")</f>
        <v>249917196428</v>
      </c>
      <c r="C2482" s="1" t="str">
        <f>T("1941094471034736588")</f>
        <v>1941094471034736588</v>
      </c>
      <c r="AC2482" s="1" t="s">
        <v>276</v>
      </c>
      <c r="AD2482" s="1" t="s">
        <v>277</v>
      </c>
      <c r="AE2482" s="1" t="s">
        <v>530</v>
      </c>
      <c r="AF2482" s="1" t="s">
        <v>107</v>
      </c>
      <c r="AG2482" s="1">
        <v>27</v>
      </c>
      <c r="AO2482" s="2">
        <v>46281</v>
      </c>
      <c r="AP2482" s="1" t="s">
        <v>248</v>
      </c>
      <c r="AS2482" s="1" t="s">
        <v>71</v>
      </c>
      <c r="AU2482" s="1" t="s">
        <v>72</v>
      </c>
      <c r="AV2482" s="1" t="s">
        <v>126</v>
      </c>
      <c r="AX2482" s="1">
        <v>0</v>
      </c>
      <c r="BA2482" s="1">
        <v>9</v>
      </c>
      <c r="BB2482" s="1">
        <v>0</v>
      </c>
      <c r="BC2482" s="1">
        <v>0</v>
      </c>
      <c r="BE2482" s="1">
        <v>27431897</v>
      </c>
    </row>
    <row r="2483" spans="1:57" x14ac:dyDescent="0.25">
      <c r="A2483" s="1" t="str">
        <f>T("1946853329263597548")</f>
        <v>1946853329263597548</v>
      </c>
      <c r="B2483" s="1" t="str">
        <f>T("249905480371")</f>
        <v>249905480371</v>
      </c>
      <c r="C2483" s="1" t="str">
        <f>T("1941094471038927296")</f>
        <v>1941094471038927296</v>
      </c>
      <c r="AC2483" s="1" t="s">
        <v>344</v>
      </c>
      <c r="AD2483" s="1" t="s">
        <v>430</v>
      </c>
      <c r="AE2483" s="1" t="s">
        <v>532</v>
      </c>
      <c r="AF2483" s="1" t="s">
        <v>144</v>
      </c>
      <c r="AG2483" s="1">
        <v>0</v>
      </c>
      <c r="AO2483" s="2">
        <v>46281</v>
      </c>
      <c r="AP2483" s="1" t="s">
        <v>248</v>
      </c>
      <c r="AS2483" s="1" t="s">
        <v>71</v>
      </c>
      <c r="AU2483" s="1" t="s">
        <v>72</v>
      </c>
      <c r="AV2483" s="1" t="s">
        <v>437</v>
      </c>
      <c r="AX2483" s="1">
        <v>0</v>
      </c>
      <c r="BA2483" s="1">
        <v>9</v>
      </c>
      <c r="BB2483" s="1">
        <v>0</v>
      </c>
      <c r="BC2483" s="1">
        <v>0</v>
      </c>
      <c r="BE2483" s="1">
        <v>27431897</v>
      </c>
    </row>
    <row r="2484" spans="1:57" x14ac:dyDescent="0.25">
      <c r="A2484" s="1" t="str">
        <f>T("1946853329271988164")</f>
        <v>1946853329271988164</v>
      </c>
      <c r="B2484" s="1" t="str">
        <f>T("249911102925")</f>
        <v>249911102925</v>
      </c>
      <c r="C2484" s="1" t="str">
        <f>T("1941094471038927896")</f>
        <v>1941094471038927896</v>
      </c>
      <c r="AC2484" s="1" t="s">
        <v>276</v>
      </c>
      <c r="AD2484" s="1" t="s">
        <v>277</v>
      </c>
      <c r="AE2484" s="1" t="s">
        <v>530</v>
      </c>
      <c r="AF2484" s="1" t="s">
        <v>144</v>
      </c>
      <c r="AG2484" s="1">
        <v>39</v>
      </c>
      <c r="AO2484" s="2">
        <v>46281</v>
      </c>
      <c r="AP2484" s="1" t="s">
        <v>248</v>
      </c>
      <c r="AS2484" s="1" t="s">
        <v>71</v>
      </c>
      <c r="AU2484" s="1" t="s">
        <v>72</v>
      </c>
      <c r="AV2484" s="1" t="s">
        <v>126</v>
      </c>
      <c r="AX2484" s="1">
        <v>0</v>
      </c>
      <c r="BA2484" s="1">
        <v>9</v>
      </c>
      <c r="BB2484" s="1">
        <v>0</v>
      </c>
      <c r="BC2484" s="1">
        <v>0</v>
      </c>
      <c r="BE2484" s="1">
        <v>27431897</v>
      </c>
    </row>
    <row r="2485" spans="1:57" x14ac:dyDescent="0.25">
      <c r="A2485" s="1" t="str">
        <f>T("1946853329313928544")</f>
        <v>1946853329313928544</v>
      </c>
      <c r="B2485" s="1" t="str">
        <f>T("249111992657")</f>
        <v>249111992657</v>
      </c>
      <c r="C2485" s="1" t="str">
        <f>T("1941094471038930896")</f>
        <v>1941094471038930896</v>
      </c>
      <c r="AC2485" s="1" t="s">
        <v>344</v>
      </c>
      <c r="AD2485" s="1" t="s">
        <v>524</v>
      </c>
      <c r="AE2485" s="1" t="s">
        <v>504</v>
      </c>
      <c r="AF2485" s="1" t="s">
        <v>144</v>
      </c>
      <c r="AG2485" s="1">
        <v>0</v>
      </c>
      <c r="AO2485" s="2">
        <v>46281</v>
      </c>
      <c r="AP2485" s="1" t="s">
        <v>248</v>
      </c>
      <c r="AS2485" s="1" t="s">
        <v>71</v>
      </c>
      <c r="AU2485" s="1" t="s">
        <v>72</v>
      </c>
      <c r="AV2485" s="1" t="s">
        <v>126</v>
      </c>
      <c r="AX2485" s="1">
        <v>0</v>
      </c>
      <c r="BA2485" s="1">
        <v>9</v>
      </c>
      <c r="BB2485" s="1">
        <v>0</v>
      </c>
      <c r="BC2485" s="1">
        <v>0</v>
      </c>
      <c r="BE2485" s="1">
        <v>27431897</v>
      </c>
    </row>
    <row r="2486" spans="1:57" x14ac:dyDescent="0.25">
      <c r="A2486" s="1" t="str">
        <f>T("1946853329364259940")</f>
        <v>1946853329364259940</v>
      </c>
      <c r="B2486" s="1" t="str">
        <f>T("249962461246")</f>
        <v>249962461246</v>
      </c>
      <c r="C2486" s="1" t="str">
        <f>T("1941094471043122104")</f>
        <v>1941094471043122104</v>
      </c>
      <c r="AC2486" s="1" t="s">
        <v>344</v>
      </c>
      <c r="AD2486" s="1" t="s">
        <v>524</v>
      </c>
      <c r="AE2486" s="1" t="s">
        <v>504</v>
      </c>
      <c r="AF2486" s="1" t="s">
        <v>144</v>
      </c>
      <c r="AG2486" s="1">
        <v>0</v>
      </c>
      <c r="AO2486" s="2">
        <v>46281</v>
      </c>
      <c r="AP2486" s="1" t="s">
        <v>248</v>
      </c>
      <c r="AS2486" s="1" t="s">
        <v>71</v>
      </c>
      <c r="AU2486" s="1" t="s">
        <v>72</v>
      </c>
      <c r="AV2486" s="1" t="s">
        <v>126</v>
      </c>
      <c r="AX2486" s="1">
        <v>0</v>
      </c>
      <c r="BA2486" s="1">
        <v>9</v>
      </c>
      <c r="BB2486" s="1">
        <v>0</v>
      </c>
      <c r="BC2486" s="1">
        <v>0</v>
      </c>
      <c r="BE2486" s="1">
        <v>27431897</v>
      </c>
    </row>
    <row r="2487" spans="1:57" x14ac:dyDescent="0.25">
      <c r="A2487" s="1" t="str">
        <f>T("1946853329431371268")</f>
        <v>1946853329431371268</v>
      </c>
      <c r="B2487" s="1" t="str">
        <f>T("249908790648")</f>
        <v>249908790648</v>
      </c>
      <c r="C2487" s="1" t="str">
        <f>T("1941094471043122904")</f>
        <v>1941094471043122904</v>
      </c>
      <c r="AC2487" s="1" t="s">
        <v>344</v>
      </c>
      <c r="AD2487" s="1" t="s">
        <v>345</v>
      </c>
      <c r="AE2487" s="1" t="s">
        <v>522</v>
      </c>
      <c r="AF2487" s="1" t="s">
        <v>144</v>
      </c>
      <c r="AG2487" s="1">
        <v>38</v>
      </c>
      <c r="AO2487" s="2">
        <v>46281</v>
      </c>
      <c r="AP2487" s="1" t="s">
        <v>248</v>
      </c>
      <c r="AS2487" s="1" t="s">
        <v>71</v>
      </c>
      <c r="AU2487" s="1" t="s">
        <v>72</v>
      </c>
      <c r="AV2487" s="1" t="s">
        <v>126</v>
      </c>
      <c r="AX2487" s="1">
        <v>0</v>
      </c>
      <c r="BA2487" s="1">
        <v>9</v>
      </c>
      <c r="BB2487" s="1">
        <v>0</v>
      </c>
      <c r="BC2487" s="1">
        <v>0</v>
      </c>
      <c r="BE2487" s="1">
        <v>27431897</v>
      </c>
    </row>
    <row r="2488" spans="1:57" x14ac:dyDescent="0.25">
      <c r="A2488" s="1" t="str">
        <f>T("1946853329477507956")</f>
        <v>1946853329477507956</v>
      </c>
      <c r="B2488" s="1" t="str">
        <f>T("249967933904")</f>
        <v>249967933904</v>
      </c>
      <c r="C2488" s="1" t="str">
        <f>T("1941094471043124004")</f>
        <v>1941094471043124004</v>
      </c>
      <c r="AC2488" s="1" t="s">
        <v>276</v>
      </c>
      <c r="AD2488" s="1" t="s">
        <v>517</v>
      </c>
      <c r="AE2488" s="1" t="s">
        <v>546</v>
      </c>
      <c r="AF2488" s="1" t="s">
        <v>144</v>
      </c>
      <c r="AG2488" s="1">
        <v>38</v>
      </c>
      <c r="AO2488" s="2">
        <v>46281</v>
      </c>
      <c r="AP2488" s="1" t="s">
        <v>248</v>
      </c>
      <c r="AS2488" s="1" t="s">
        <v>71</v>
      </c>
      <c r="AU2488" s="1" t="s">
        <v>72</v>
      </c>
      <c r="AV2488" s="1" t="s">
        <v>126</v>
      </c>
      <c r="AX2488" s="1">
        <v>0</v>
      </c>
      <c r="BA2488" s="1">
        <v>9</v>
      </c>
      <c r="BB2488" s="1">
        <v>0</v>
      </c>
      <c r="BC2488" s="1">
        <v>0</v>
      </c>
      <c r="BE2488" s="1">
        <v>27431897</v>
      </c>
    </row>
    <row r="2489" spans="1:57" x14ac:dyDescent="0.25">
      <c r="A2489" s="1" t="str">
        <f>T("1946853329490090080")</f>
        <v>1946853329490090080</v>
      </c>
      <c r="B2489" s="1" t="str">
        <f>T("249905650572")</f>
        <v>249905650572</v>
      </c>
      <c r="C2489" s="1" t="str">
        <f>T("1941094471043123304")</f>
        <v>1941094471043123304</v>
      </c>
      <c r="AC2489" s="1" t="s">
        <v>366</v>
      </c>
      <c r="AD2489" s="1" t="s">
        <v>367</v>
      </c>
      <c r="AE2489" s="1" t="s">
        <v>368</v>
      </c>
      <c r="AF2489" s="1" t="s">
        <v>144</v>
      </c>
      <c r="AG2489" s="1">
        <v>34</v>
      </c>
      <c r="AO2489" s="2">
        <v>46281</v>
      </c>
      <c r="AP2489" s="1" t="s">
        <v>248</v>
      </c>
      <c r="AS2489" s="1" t="s">
        <v>71</v>
      </c>
      <c r="AU2489" s="1" t="s">
        <v>72</v>
      </c>
      <c r="AV2489" s="1" t="s">
        <v>126</v>
      </c>
      <c r="AX2489" s="1">
        <v>0</v>
      </c>
      <c r="BA2489" s="1">
        <v>9</v>
      </c>
      <c r="BB2489" s="1">
        <v>0</v>
      </c>
      <c r="BC2489" s="1">
        <v>0</v>
      </c>
      <c r="BE2489" s="1">
        <v>27431897</v>
      </c>
    </row>
    <row r="2490" spans="1:57" x14ac:dyDescent="0.25">
      <c r="A2490" s="1" t="str">
        <f>T("1946853329569781932")</f>
        <v>1946853329569781932</v>
      </c>
      <c r="B2490" s="1" t="str">
        <f>T("249902446711")</f>
        <v>249902446711</v>
      </c>
      <c r="C2490" s="1" t="str">
        <f>T("1941094471043124804")</f>
        <v>1941094471043124804</v>
      </c>
      <c r="AC2490" s="1" t="s">
        <v>276</v>
      </c>
      <c r="AD2490" s="1" t="s">
        <v>298</v>
      </c>
      <c r="AE2490" s="1" t="s">
        <v>526</v>
      </c>
      <c r="AF2490" s="1" t="s">
        <v>144</v>
      </c>
      <c r="AG2490" s="1">
        <v>19</v>
      </c>
      <c r="AO2490" s="2">
        <v>46281</v>
      </c>
      <c r="AP2490" s="1" t="s">
        <v>248</v>
      </c>
      <c r="AS2490" s="1" t="s">
        <v>71</v>
      </c>
      <c r="AU2490" s="1" t="s">
        <v>72</v>
      </c>
      <c r="AV2490" s="1" t="s">
        <v>437</v>
      </c>
      <c r="AX2490" s="1">
        <v>0</v>
      </c>
      <c r="BA2490" s="1">
        <v>9</v>
      </c>
      <c r="BB2490" s="1">
        <v>0</v>
      </c>
      <c r="BC2490" s="1">
        <v>0</v>
      </c>
      <c r="BE2490" s="1">
        <v>27431897</v>
      </c>
    </row>
    <row r="2491" spans="1:57" x14ac:dyDescent="0.25">
      <c r="A2491" s="1" t="str">
        <f>T("1946853329607529504")</f>
        <v>1946853329607529504</v>
      </c>
      <c r="B2491" s="1" t="str">
        <f>T("249962344514")</f>
        <v>249962344514</v>
      </c>
      <c r="C2491" s="1" t="str">
        <f>T("1941094471047315512")</f>
        <v>1941094471047315512</v>
      </c>
      <c r="AC2491" s="1" t="s">
        <v>344</v>
      </c>
      <c r="AD2491" s="1" t="s">
        <v>524</v>
      </c>
      <c r="AE2491" s="1" t="s">
        <v>527</v>
      </c>
      <c r="AF2491" s="1" t="s">
        <v>144</v>
      </c>
      <c r="AG2491" s="1">
        <v>0</v>
      </c>
      <c r="AO2491" s="2">
        <v>46281</v>
      </c>
      <c r="AP2491" s="1" t="s">
        <v>248</v>
      </c>
      <c r="AS2491" s="1" t="s">
        <v>71</v>
      </c>
      <c r="AU2491" s="1" t="s">
        <v>72</v>
      </c>
      <c r="AV2491" s="1" t="s">
        <v>73</v>
      </c>
      <c r="AX2491" s="1">
        <v>0</v>
      </c>
      <c r="BA2491" s="1">
        <v>9</v>
      </c>
      <c r="BB2491" s="1">
        <v>0</v>
      </c>
      <c r="BC2491" s="1">
        <v>0</v>
      </c>
      <c r="BE2491" s="1">
        <v>27431897</v>
      </c>
    </row>
    <row r="2492" spans="1:57" x14ac:dyDescent="0.25">
      <c r="A2492" s="1" t="str">
        <f>T("1946853329674639632")</f>
        <v>1946853329674639632</v>
      </c>
      <c r="B2492" s="1" t="str">
        <f>T("249907698970")</f>
        <v>249907698970</v>
      </c>
      <c r="C2492" s="1" t="str">
        <f>T("1941094471047315912")</f>
        <v>1941094471047315912</v>
      </c>
      <c r="AC2492" s="1" t="s">
        <v>344</v>
      </c>
      <c r="AD2492" s="1" t="s">
        <v>524</v>
      </c>
      <c r="AE2492" s="1" t="s">
        <v>535</v>
      </c>
      <c r="AF2492" s="1" t="s">
        <v>144</v>
      </c>
      <c r="AG2492" s="1">
        <v>0</v>
      </c>
      <c r="AO2492" s="2">
        <v>46281</v>
      </c>
      <c r="AP2492" s="1" t="s">
        <v>248</v>
      </c>
      <c r="AS2492" s="1" t="s">
        <v>71</v>
      </c>
      <c r="AU2492" s="1" t="s">
        <v>72</v>
      </c>
      <c r="AV2492" s="1" t="s">
        <v>126</v>
      </c>
      <c r="AX2492" s="1">
        <v>0</v>
      </c>
      <c r="BA2492" s="1">
        <v>9</v>
      </c>
      <c r="BB2492" s="1">
        <v>0</v>
      </c>
      <c r="BC2492" s="1">
        <v>0</v>
      </c>
      <c r="BE2492" s="1">
        <v>27431897</v>
      </c>
    </row>
    <row r="2493" spans="1:57" x14ac:dyDescent="0.25">
      <c r="A2493" s="1" t="str">
        <f>T("1946853329720778220")</f>
        <v>1946853329720778220</v>
      </c>
      <c r="B2493" s="1" t="str">
        <f>T("249909600945")</f>
        <v>249909600945</v>
      </c>
      <c r="C2493" s="1" t="str">
        <f>T("1941094471047316312")</f>
        <v>1941094471047316312</v>
      </c>
      <c r="AC2493" s="1" t="s">
        <v>344</v>
      </c>
      <c r="AD2493" s="1" t="s">
        <v>524</v>
      </c>
      <c r="AE2493" s="1" t="s">
        <v>528</v>
      </c>
      <c r="AF2493" s="1" t="s">
        <v>144</v>
      </c>
      <c r="AG2493" s="1" t="s">
        <v>529</v>
      </c>
      <c r="AO2493" s="2">
        <v>46281</v>
      </c>
      <c r="AP2493" s="1" t="s">
        <v>248</v>
      </c>
      <c r="AS2493" s="1" t="s">
        <v>71</v>
      </c>
      <c r="AU2493" s="1" t="s">
        <v>72</v>
      </c>
      <c r="AV2493" s="1" t="s">
        <v>437</v>
      </c>
      <c r="AX2493" s="1">
        <v>0</v>
      </c>
      <c r="BA2493" s="1">
        <v>9</v>
      </c>
      <c r="BB2493" s="1">
        <v>0</v>
      </c>
      <c r="BC2493" s="1">
        <v>0</v>
      </c>
      <c r="BE2493" s="1">
        <v>27431897</v>
      </c>
    </row>
    <row r="2494" spans="1:57" x14ac:dyDescent="0.25">
      <c r="A2494" s="1" t="str">
        <f>T("1946853329792080956")</f>
        <v>1946853329792080956</v>
      </c>
      <c r="B2494" s="1" t="str">
        <f>T("249905712795")</f>
        <v>249905712795</v>
      </c>
      <c r="C2494" s="1" t="str">
        <f>T("1941094471047317212")</f>
        <v>1941094471047317212</v>
      </c>
      <c r="AC2494" s="1" t="s">
        <v>344</v>
      </c>
      <c r="AD2494" s="1" t="s">
        <v>430</v>
      </c>
      <c r="AE2494" s="1" t="s">
        <v>531</v>
      </c>
      <c r="AF2494" s="1" t="s">
        <v>144</v>
      </c>
      <c r="AG2494" s="1">
        <v>0</v>
      </c>
      <c r="AO2494" s="2">
        <v>46281</v>
      </c>
      <c r="AP2494" s="1" t="s">
        <v>248</v>
      </c>
      <c r="AS2494" s="1" t="s">
        <v>71</v>
      </c>
      <c r="AU2494" s="1" t="s">
        <v>72</v>
      </c>
      <c r="AV2494" s="1" t="s">
        <v>437</v>
      </c>
      <c r="AX2494" s="1">
        <v>0</v>
      </c>
      <c r="BA2494" s="1">
        <v>9</v>
      </c>
      <c r="BB2494" s="1">
        <v>0</v>
      </c>
      <c r="BC2494" s="1">
        <v>0</v>
      </c>
      <c r="BE2494" s="1">
        <v>27431897</v>
      </c>
    </row>
    <row r="2495" spans="1:57" x14ac:dyDescent="0.25">
      <c r="A2495" s="1" t="str">
        <f>T("1946913725123074608")</f>
        <v>1946913725123074608</v>
      </c>
      <c r="B2495" s="1" t="str">
        <f>T("249904189215")</f>
        <v>249904189215</v>
      </c>
      <c r="C2495" s="1" t="str">
        <f>T("1941094503427342872")</f>
        <v>1941094503427342872</v>
      </c>
      <c r="AC2495" s="1" t="s">
        <v>344</v>
      </c>
      <c r="AD2495" s="1" t="s">
        <v>441</v>
      </c>
      <c r="AE2495" s="1" t="s">
        <v>530</v>
      </c>
      <c r="AF2495" s="1" t="s">
        <v>144</v>
      </c>
      <c r="AG2495" s="1">
        <v>34</v>
      </c>
      <c r="AO2495" s="2">
        <v>46281</v>
      </c>
      <c r="AP2495" s="1" t="s">
        <v>301</v>
      </c>
      <c r="AS2495" s="1" t="s">
        <v>71</v>
      </c>
      <c r="AU2495" s="1" t="s">
        <v>72</v>
      </c>
      <c r="AV2495" s="1" t="s">
        <v>73</v>
      </c>
      <c r="AX2495" s="1">
        <v>0</v>
      </c>
      <c r="BA2495" s="1">
        <v>9</v>
      </c>
      <c r="BB2495" s="1">
        <v>0</v>
      </c>
      <c r="BC2495" s="1">
        <v>0</v>
      </c>
      <c r="BE2495" s="1">
        <v>27432006</v>
      </c>
    </row>
    <row r="2496" spans="1:57" x14ac:dyDescent="0.25">
      <c r="A2496" s="1" t="str">
        <f>T("1946913725248901548")</f>
        <v>1946913725248901548</v>
      </c>
      <c r="B2496" s="1" t="str">
        <f>T("249916381196")</f>
        <v>249916381196</v>
      </c>
      <c r="C2496" s="1" t="str">
        <f>T("1941094503427345372")</f>
        <v>1941094503427345372</v>
      </c>
      <c r="AC2496" s="1" t="s">
        <v>344</v>
      </c>
      <c r="AD2496" s="1" t="s">
        <v>441</v>
      </c>
      <c r="AE2496" s="1" t="s">
        <v>530</v>
      </c>
      <c r="AF2496" s="1" t="s">
        <v>144</v>
      </c>
      <c r="AG2496" s="1">
        <v>65</v>
      </c>
      <c r="AO2496" s="2">
        <v>46281</v>
      </c>
      <c r="AP2496" s="1" t="s">
        <v>301</v>
      </c>
      <c r="AS2496" s="1" t="s">
        <v>71</v>
      </c>
      <c r="AU2496" s="1" t="s">
        <v>72</v>
      </c>
      <c r="AV2496" s="1" t="s">
        <v>437</v>
      </c>
      <c r="AX2496" s="1">
        <v>0</v>
      </c>
      <c r="BA2496" s="1">
        <v>9</v>
      </c>
      <c r="BB2496" s="1">
        <v>0</v>
      </c>
      <c r="BC2496" s="1">
        <v>0</v>
      </c>
      <c r="BE2496" s="1">
        <v>27432006</v>
      </c>
    </row>
    <row r="2497" spans="1:57" x14ac:dyDescent="0.25">
      <c r="A2497" s="1" t="str">
        <f>T("1946913725278263004")</f>
        <v>1946913725278263004</v>
      </c>
      <c r="B2497" s="1" t="str">
        <f>T("249900349630")</f>
        <v>249900349630</v>
      </c>
      <c r="C2497" s="1" t="str">
        <f>T("1941094503427344572")</f>
        <v>1941094503427344572</v>
      </c>
      <c r="AC2497" s="1" t="s">
        <v>344</v>
      </c>
      <c r="AD2497" s="1" t="s">
        <v>430</v>
      </c>
      <c r="AE2497" s="1" t="s">
        <v>530</v>
      </c>
      <c r="AF2497" s="1" t="s">
        <v>144</v>
      </c>
      <c r="AG2497" s="1">
        <v>42</v>
      </c>
      <c r="AO2497" s="2">
        <v>46281</v>
      </c>
      <c r="AP2497" s="1" t="s">
        <v>301</v>
      </c>
      <c r="AS2497" s="1" t="s">
        <v>71</v>
      </c>
      <c r="AU2497" s="1" t="s">
        <v>72</v>
      </c>
      <c r="AV2497" s="1" t="s">
        <v>73</v>
      </c>
      <c r="AX2497" s="1">
        <v>0</v>
      </c>
      <c r="BA2497" s="1">
        <v>9</v>
      </c>
      <c r="BB2497" s="1">
        <v>0</v>
      </c>
      <c r="BC2497" s="1">
        <v>0</v>
      </c>
      <c r="BE2497" s="1">
        <v>27432006</v>
      </c>
    </row>
    <row r="2498" spans="1:57" x14ac:dyDescent="0.25">
      <c r="A2498" s="1" t="str">
        <f>T("1946913725303430952")</f>
        <v>1946913725303430952</v>
      </c>
      <c r="B2498" s="1" t="str">
        <f>T("249912455828")</f>
        <v>249912455828</v>
      </c>
      <c r="C2498" s="1" t="str">
        <f>T("1941094503427345872")</f>
        <v>1941094503427345872</v>
      </c>
      <c r="AC2498" s="1" t="s">
        <v>344</v>
      </c>
      <c r="AD2498" s="1" t="s">
        <v>430</v>
      </c>
      <c r="AE2498" s="1" t="s">
        <v>530</v>
      </c>
      <c r="AF2498" s="1" t="s">
        <v>107</v>
      </c>
      <c r="AG2498" s="1">
        <v>23</v>
      </c>
      <c r="AO2498" s="2">
        <v>46281</v>
      </c>
      <c r="AP2498" s="1" t="s">
        <v>301</v>
      </c>
      <c r="AS2498" s="1" t="s">
        <v>71</v>
      </c>
      <c r="AU2498" s="1" t="s">
        <v>72</v>
      </c>
      <c r="AV2498" s="1" t="s">
        <v>73</v>
      </c>
      <c r="AX2498" s="1">
        <v>0</v>
      </c>
      <c r="BA2498" s="1">
        <v>9</v>
      </c>
      <c r="BB2498" s="1">
        <v>0</v>
      </c>
      <c r="BC2498" s="1">
        <v>0</v>
      </c>
      <c r="BE2498" s="1">
        <v>27432006</v>
      </c>
    </row>
    <row r="2499" spans="1:57" x14ac:dyDescent="0.25">
      <c r="A2499" s="1" t="str">
        <f>T("1946913725366342072")</f>
        <v>1946913725366342072</v>
      </c>
      <c r="B2499" s="1" t="str">
        <f>T("249960818006")</f>
        <v>249960818006</v>
      </c>
      <c r="C2499" s="1" t="str">
        <f>T("1941094503431536780")</f>
        <v>1941094503431536780</v>
      </c>
      <c r="AC2499" s="1" t="s">
        <v>344</v>
      </c>
      <c r="AD2499" s="1" t="s">
        <v>441</v>
      </c>
      <c r="AE2499" s="1" t="s">
        <v>530</v>
      </c>
      <c r="AF2499" s="1" t="s">
        <v>144</v>
      </c>
      <c r="AG2499" s="1">
        <v>50</v>
      </c>
      <c r="AO2499" s="2">
        <v>46281</v>
      </c>
      <c r="AP2499" s="1" t="s">
        <v>301</v>
      </c>
      <c r="AS2499" s="1" t="s">
        <v>71</v>
      </c>
      <c r="AU2499" s="1" t="s">
        <v>72</v>
      </c>
      <c r="AV2499" s="1" t="s">
        <v>73</v>
      </c>
      <c r="AX2499" s="1">
        <v>0</v>
      </c>
      <c r="BA2499" s="1">
        <v>9</v>
      </c>
      <c r="BB2499" s="1">
        <v>0</v>
      </c>
      <c r="BC2499" s="1">
        <v>0</v>
      </c>
      <c r="BE2499" s="1">
        <v>27432006</v>
      </c>
    </row>
    <row r="2500" spans="1:57" x14ac:dyDescent="0.25">
      <c r="A2500" s="1" t="str">
        <f>T("1946913725366343672")</f>
        <v>1946913725366343672</v>
      </c>
      <c r="B2500" s="1" t="str">
        <f>T("249913114291")</f>
        <v>249913114291</v>
      </c>
      <c r="C2500" s="1" t="str">
        <f>T("1941094503435732588")</f>
        <v>1941094503435732588</v>
      </c>
      <c r="AC2500" s="1" t="s">
        <v>344</v>
      </c>
      <c r="AD2500" s="1" t="s">
        <v>430</v>
      </c>
      <c r="AE2500" s="1" t="s">
        <v>530</v>
      </c>
      <c r="AF2500" s="1" t="s">
        <v>107</v>
      </c>
      <c r="AG2500" s="1">
        <v>38</v>
      </c>
      <c r="AO2500" s="2">
        <v>46281</v>
      </c>
      <c r="AP2500" s="1" t="s">
        <v>301</v>
      </c>
      <c r="AS2500" s="1" t="s">
        <v>71</v>
      </c>
      <c r="AU2500" s="1" t="s">
        <v>72</v>
      </c>
      <c r="AV2500" s="1" t="s">
        <v>73</v>
      </c>
      <c r="AX2500" s="1">
        <v>0</v>
      </c>
      <c r="BA2500" s="1">
        <v>9</v>
      </c>
      <c r="BB2500" s="1">
        <v>0</v>
      </c>
      <c r="BC2500" s="1">
        <v>0</v>
      </c>
      <c r="BE2500" s="1">
        <v>27432006</v>
      </c>
    </row>
    <row r="2501" spans="1:57" x14ac:dyDescent="0.25">
      <c r="A2501" s="1" t="str">
        <f>T("1946913725425064484")</f>
        <v>1946913725425064484</v>
      </c>
      <c r="B2501" s="1" t="str">
        <f>T("249912948924")</f>
        <v>249912948924</v>
      </c>
      <c r="C2501" s="1" t="str">
        <f>T("1941094503435733388")</f>
        <v>1941094503435733388</v>
      </c>
      <c r="AC2501" s="1" t="s">
        <v>344</v>
      </c>
      <c r="AD2501" s="1" t="s">
        <v>372</v>
      </c>
      <c r="AE2501" s="1" t="s">
        <v>813</v>
      </c>
      <c r="AF2501" s="1" t="s">
        <v>107</v>
      </c>
      <c r="AG2501" s="1">
        <v>58</v>
      </c>
      <c r="AO2501" s="2">
        <v>46281</v>
      </c>
      <c r="AP2501" s="1" t="s">
        <v>301</v>
      </c>
      <c r="AS2501" s="1" t="s">
        <v>71</v>
      </c>
      <c r="AU2501" s="1" t="s">
        <v>72</v>
      </c>
      <c r="AV2501" s="1" t="s">
        <v>73</v>
      </c>
      <c r="AX2501" s="1">
        <v>0</v>
      </c>
      <c r="BA2501" s="1">
        <v>9</v>
      </c>
      <c r="BB2501" s="1">
        <v>0</v>
      </c>
      <c r="BC2501" s="1">
        <v>0</v>
      </c>
      <c r="BE2501" s="1">
        <v>27432006</v>
      </c>
    </row>
    <row r="2502" spans="1:57" x14ac:dyDescent="0.25">
      <c r="A2502" s="1" t="str">
        <f>T("1946913725429258892")</f>
        <v>1946913725429258892</v>
      </c>
      <c r="B2502" s="1" t="str">
        <f>T("249910498341")</f>
        <v>249910498341</v>
      </c>
      <c r="C2502" s="1" t="str">
        <f>T("1941094503435733888")</f>
        <v>1941094503435733888</v>
      </c>
      <c r="AC2502" s="1" t="s">
        <v>344</v>
      </c>
      <c r="AD2502" s="1" t="s">
        <v>357</v>
      </c>
      <c r="AE2502" s="1" t="s">
        <v>812</v>
      </c>
      <c r="AF2502" s="1" t="s">
        <v>107</v>
      </c>
      <c r="AG2502" s="1">
        <v>48</v>
      </c>
      <c r="AO2502" s="2">
        <v>46281</v>
      </c>
      <c r="AP2502" s="1" t="s">
        <v>301</v>
      </c>
      <c r="AS2502" s="1" t="s">
        <v>71</v>
      </c>
      <c r="AU2502" s="1" t="s">
        <v>72</v>
      </c>
      <c r="AV2502" s="1" t="s">
        <v>437</v>
      </c>
      <c r="AX2502" s="1">
        <v>0</v>
      </c>
      <c r="BA2502" s="1">
        <v>9</v>
      </c>
      <c r="BB2502" s="1">
        <v>0</v>
      </c>
      <c r="BC2502" s="1">
        <v>0</v>
      </c>
      <c r="BE2502" s="1">
        <v>27432006</v>
      </c>
    </row>
    <row r="2503" spans="1:57" x14ac:dyDescent="0.25">
      <c r="A2503" s="1" t="str">
        <f>T("1946913725496367520")</f>
        <v>1946913725496367520</v>
      </c>
      <c r="B2503" s="1" t="str">
        <f>T("249962399620")</f>
        <v>249962399620</v>
      </c>
      <c r="C2503" s="1" t="str">
        <f>T("1941094503435734488")</f>
        <v>1941094503435734488</v>
      </c>
      <c r="AC2503" s="1" t="s">
        <v>344</v>
      </c>
      <c r="AD2503" s="1" t="s">
        <v>430</v>
      </c>
      <c r="AE2503" s="1" t="s">
        <v>530</v>
      </c>
      <c r="AF2503" s="1" t="s">
        <v>144</v>
      </c>
      <c r="AG2503" s="1">
        <v>26</v>
      </c>
      <c r="AO2503" s="2">
        <v>46281</v>
      </c>
      <c r="AP2503" s="1" t="s">
        <v>301</v>
      </c>
      <c r="AS2503" s="1" t="s">
        <v>71</v>
      </c>
      <c r="AU2503" s="1" t="s">
        <v>72</v>
      </c>
      <c r="AV2503" s="1" t="s">
        <v>437</v>
      </c>
      <c r="AX2503" s="1">
        <v>0</v>
      </c>
      <c r="BA2503" s="1">
        <v>9</v>
      </c>
      <c r="BB2503" s="1">
        <v>0</v>
      </c>
      <c r="BC2503" s="1">
        <v>0</v>
      </c>
      <c r="BE2503" s="1">
        <v>27432006</v>
      </c>
    </row>
    <row r="2504" spans="1:57" x14ac:dyDescent="0.25">
      <c r="A2504" s="1" t="str">
        <f>T("1946913725504756336")</f>
        <v>1946913725504756336</v>
      </c>
      <c r="B2504" s="1" t="str">
        <f>T("249914546720")</f>
        <v>249914546720</v>
      </c>
      <c r="C2504" s="1" t="str">
        <f>T("1941094503435734988")</f>
        <v>1941094503435734988</v>
      </c>
      <c r="AC2504" s="1" t="s">
        <v>344</v>
      </c>
      <c r="AD2504" s="1" t="s">
        <v>441</v>
      </c>
      <c r="AE2504" s="1" t="s">
        <v>530</v>
      </c>
      <c r="AF2504" s="1" t="s">
        <v>107</v>
      </c>
      <c r="AG2504" s="1">
        <v>50</v>
      </c>
      <c r="AO2504" s="2">
        <v>46281</v>
      </c>
      <c r="AP2504" s="1" t="s">
        <v>301</v>
      </c>
      <c r="AS2504" s="1" t="s">
        <v>71</v>
      </c>
      <c r="AU2504" s="1" t="s">
        <v>72</v>
      </c>
      <c r="AV2504" s="1" t="s">
        <v>437</v>
      </c>
      <c r="AX2504" s="1">
        <v>0</v>
      </c>
      <c r="BA2504" s="1">
        <v>9</v>
      </c>
      <c r="BB2504" s="1">
        <v>0</v>
      </c>
      <c r="BC2504" s="1">
        <v>0</v>
      </c>
      <c r="BE2504" s="1">
        <v>27432006</v>
      </c>
    </row>
    <row r="2505" spans="1:57" x14ac:dyDescent="0.25">
      <c r="A2505" s="1" t="str">
        <f>T("1946913725588641496")</f>
        <v>1946913725588641496</v>
      </c>
      <c r="B2505" s="1" t="str">
        <f>T("249965312554")</f>
        <v>249965312554</v>
      </c>
      <c r="C2505" s="1" t="str">
        <f>T("1941094503439925596")</f>
        <v>1941094503439925596</v>
      </c>
      <c r="AC2505" s="1" t="s">
        <v>344</v>
      </c>
      <c r="AD2505" s="1" t="s">
        <v>430</v>
      </c>
      <c r="AE2505" s="1" t="s">
        <v>530</v>
      </c>
      <c r="AF2505" s="1" t="s">
        <v>144</v>
      </c>
      <c r="AG2505" s="1">
        <v>45</v>
      </c>
      <c r="AO2505" s="2">
        <v>46281</v>
      </c>
      <c r="AP2505" s="1" t="s">
        <v>301</v>
      </c>
      <c r="AS2505" s="1" t="s">
        <v>71</v>
      </c>
      <c r="AU2505" s="1" t="s">
        <v>72</v>
      </c>
      <c r="AV2505" s="1" t="s">
        <v>73</v>
      </c>
      <c r="AX2505" s="1">
        <v>0</v>
      </c>
      <c r="BA2505" s="1">
        <v>9</v>
      </c>
      <c r="BB2505" s="1">
        <v>0</v>
      </c>
      <c r="BC2505" s="1">
        <v>0</v>
      </c>
      <c r="BE2505" s="1">
        <v>27432006</v>
      </c>
    </row>
    <row r="2506" spans="1:57" x14ac:dyDescent="0.25">
      <c r="A2506" s="1" t="str">
        <f>T("1946913725601225320")</f>
        <v>1946913725601225320</v>
      </c>
      <c r="B2506" s="1" t="str">
        <f>T("249116789549")</f>
        <v>249116789549</v>
      </c>
      <c r="C2506" s="1" t="str">
        <f>T("1941094503452511420")</f>
        <v>1941094503452511420</v>
      </c>
      <c r="AC2506" s="1" t="s">
        <v>344</v>
      </c>
      <c r="AD2506" s="1" t="s">
        <v>372</v>
      </c>
      <c r="AE2506" s="1" t="s">
        <v>820</v>
      </c>
      <c r="AF2506" s="1" t="s">
        <v>144</v>
      </c>
      <c r="AG2506" s="1">
        <v>19</v>
      </c>
      <c r="AO2506" s="2">
        <v>46281</v>
      </c>
      <c r="AP2506" s="1" t="s">
        <v>301</v>
      </c>
      <c r="AS2506" s="1" t="s">
        <v>71</v>
      </c>
      <c r="AU2506" s="1" t="s">
        <v>72</v>
      </c>
      <c r="AV2506" s="1" t="s">
        <v>115</v>
      </c>
      <c r="AX2506" s="1">
        <v>0</v>
      </c>
      <c r="BA2506" s="1">
        <v>9</v>
      </c>
      <c r="BB2506" s="1">
        <v>0</v>
      </c>
      <c r="BC2506" s="1">
        <v>0</v>
      </c>
      <c r="BE2506" s="1">
        <v>27432006</v>
      </c>
    </row>
    <row r="2507" spans="1:57" x14ac:dyDescent="0.25">
      <c r="A2507" s="1" t="str">
        <f>T("1946913725664141040")</f>
        <v>1946913725664141040</v>
      </c>
      <c r="B2507" s="1" t="str">
        <f>T("249909391205")</f>
        <v>249909391205</v>
      </c>
      <c r="C2507" s="1" t="str">
        <f>T("1941094503456702628")</f>
        <v>1941094503456702628</v>
      </c>
      <c r="AC2507" s="1" t="s">
        <v>344</v>
      </c>
      <c r="AD2507" s="1" t="s">
        <v>372</v>
      </c>
      <c r="AE2507" s="1" t="s">
        <v>813</v>
      </c>
      <c r="AF2507" s="1" t="s">
        <v>144</v>
      </c>
      <c r="AG2507" s="1">
        <v>40</v>
      </c>
      <c r="AO2507" s="2">
        <v>46281</v>
      </c>
      <c r="AP2507" s="1" t="s">
        <v>301</v>
      </c>
      <c r="AS2507" s="1" t="s">
        <v>71</v>
      </c>
      <c r="AU2507" s="1" t="s">
        <v>72</v>
      </c>
      <c r="AV2507" s="1" t="s">
        <v>437</v>
      </c>
      <c r="AX2507" s="1">
        <v>0</v>
      </c>
      <c r="BA2507" s="1">
        <v>9</v>
      </c>
      <c r="BB2507" s="1">
        <v>0</v>
      </c>
      <c r="BC2507" s="1">
        <v>0</v>
      </c>
      <c r="BE2507" s="1">
        <v>27432006</v>
      </c>
    </row>
    <row r="2508" spans="1:57" x14ac:dyDescent="0.25">
      <c r="A2508" s="1" t="str">
        <f>T("1946913725680914572")</f>
        <v>1946913725680914572</v>
      </c>
      <c r="B2508" s="1" t="str">
        <f>T("249918974041")</f>
        <v>249918974041</v>
      </c>
      <c r="C2508" s="1" t="str">
        <f>T("1941094503456705028")</f>
        <v>1941094503456705028</v>
      </c>
      <c r="AC2508" s="1" t="s">
        <v>344</v>
      </c>
      <c r="AD2508" s="1" t="s">
        <v>372</v>
      </c>
      <c r="AE2508" s="1" t="s">
        <v>818</v>
      </c>
      <c r="AF2508" s="1" t="s">
        <v>144</v>
      </c>
      <c r="AG2508" s="1">
        <v>50</v>
      </c>
      <c r="AO2508" s="2">
        <v>46281</v>
      </c>
      <c r="AP2508" s="1" t="s">
        <v>301</v>
      </c>
      <c r="AS2508" s="1" t="s">
        <v>71</v>
      </c>
      <c r="AU2508" s="1" t="s">
        <v>72</v>
      </c>
      <c r="AV2508" s="1" t="s">
        <v>437</v>
      </c>
      <c r="AX2508" s="1">
        <v>0</v>
      </c>
      <c r="BA2508" s="1">
        <v>9</v>
      </c>
      <c r="BB2508" s="1">
        <v>0</v>
      </c>
      <c r="BC2508" s="1">
        <v>0</v>
      </c>
      <c r="BE2508" s="1">
        <v>27432006</v>
      </c>
    </row>
    <row r="2509" spans="1:57" x14ac:dyDescent="0.25">
      <c r="A2509" s="1" t="str">
        <f>T("1946913725731247568")</f>
        <v>1946913725731247568</v>
      </c>
      <c r="B2509" s="1" t="str">
        <f>T("249911020872")</f>
        <v>249911020872</v>
      </c>
      <c r="C2509" s="1" t="str">
        <f>T("1941094503456705628")</f>
        <v>1941094503456705628</v>
      </c>
      <c r="AC2509" s="1" t="s">
        <v>344</v>
      </c>
      <c r="AD2509" s="1" t="s">
        <v>441</v>
      </c>
      <c r="AE2509" s="1" t="s">
        <v>530</v>
      </c>
      <c r="AF2509" s="1" t="s">
        <v>144</v>
      </c>
      <c r="AG2509" s="1">
        <v>75</v>
      </c>
      <c r="AO2509" s="2">
        <v>46281</v>
      </c>
      <c r="AP2509" s="1" t="s">
        <v>301</v>
      </c>
      <c r="AS2509" s="1" t="s">
        <v>71</v>
      </c>
      <c r="AU2509" s="1" t="s">
        <v>72</v>
      </c>
      <c r="AV2509" s="1" t="s">
        <v>437</v>
      </c>
      <c r="AX2509" s="1">
        <v>0</v>
      </c>
      <c r="BA2509" s="1">
        <v>9</v>
      </c>
      <c r="BB2509" s="1">
        <v>0</v>
      </c>
      <c r="BC2509" s="1">
        <v>0</v>
      </c>
      <c r="BE2509" s="1">
        <v>27432006</v>
      </c>
    </row>
    <row r="2510" spans="1:57" x14ac:dyDescent="0.25">
      <c r="A2510" s="1" t="str">
        <f>T("1946913725739635084")</f>
        <v>1946913725739635084</v>
      </c>
      <c r="B2510" s="1" t="str">
        <f>T("249913416718")</f>
        <v>249913416718</v>
      </c>
      <c r="C2510" s="1" t="str">
        <f>T("1941094503460896936")</f>
        <v>1941094503460896936</v>
      </c>
      <c r="AC2510" s="1" t="s">
        <v>344</v>
      </c>
      <c r="AD2510" s="1" t="s">
        <v>372</v>
      </c>
      <c r="AE2510" s="1" t="s">
        <v>818</v>
      </c>
      <c r="AF2510" s="1" t="s">
        <v>107</v>
      </c>
      <c r="AG2510" s="1">
        <v>55</v>
      </c>
      <c r="AO2510" s="2">
        <v>46281</v>
      </c>
      <c r="AP2510" s="1" t="s">
        <v>301</v>
      </c>
      <c r="AS2510" s="1" t="s">
        <v>71</v>
      </c>
      <c r="AU2510" s="1" t="s">
        <v>72</v>
      </c>
      <c r="AV2510" s="1" t="s">
        <v>437</v>
      </c>
      <c r="AX2510" s="1">
        <v>0</v>
      </c>
      <c r="BA2510" s="1">
        <v>9</v>
      </c>
      <c r="BB2510" s="1">
        <v>0</v>
      </c>
      <c r="BC2510" s="1">
        <v>0</v>
      </c>
      <c r="BE2510" s="1">
        <v>27432006</v>
      </c>
    </row>
    <row r="2511" spans="1:57" x14ac:dyDescent="0.25">
      <c r="A2511" s="1" t="str">
        <f>T("1946913725840298176")</f>
        <v>1946913725840298176</v>
      </c>
      <c r="B2511" s="1" t="str">
        <f>T("249915585915")</f>
        <v>249915585915</v>
      </c>
      <c r="C2511" s="1" t="str">
        <f>T("1941094503465093544")</f>
        <v>1941094503465093544</v>
      </c>
      <c r="AC2511" s="1" t="s">
        <v>344</v>
      </c>
      <c r="AD2511" s="1" t="s">
        <v>441</v>
      </c>
      <c r="AE2511" s="1" t="s">
        <v>530</v>
      </c>
      <c r="AF2511" s="1" t="s">
        <v>107</v>
      </c>
      <c r="AG2511" s="1">
        <v>75</v>
      </c>
      <c r="AO2511" s="2">
        <v>46281</v>
      </c>
      <c r="AP2511" s="1" t="s">
        <v>301</v>
      </c>
      <c r="AS2511" s="1" t="s">
        <v>71</v>
      </c>
      <c r="AU2511" s="1" t="s">
        <v>72</v>
      </c>
      <c r="AV2511" s="1" t="s">
        <v>437</v>
      </c>
      <c r="AX2511" s="1">
        <v>0</v>
      </c>
      <c r="BA2511" s="1">
        <v>9</v>
      </c>
      <c r="BB2511" s="1">
        <v>0</v>
      </c>
      <c r="BC2511" s="1">
        <v>0</v>
      </c>
      <c r="BE2511" s="1">
        <v>27432006</v>
      </c>
    </row>
    <row r="2512" spans="1:57" x14ac:dyDescent="0.25">
      <c r="A2512" s="1" t="str">
        <f>T("1946913725840298776")</f>
        <v>1946913725840298776</v>
      </c>
      <c r="B2512" s="1" t="str">
        <f>T("249917929712")</f>
        <v>249917929712</v>
      </c>
      <c r="C2512" s="1" t="str">
        <f>T("1941094503469285752")</f>
        <v>1941094503469285752</v>
      </c>
      <c r="AC2512" s="1" t="s">
        <v>344</v>
      </c>
      <c r="AD2512" s="1" t="s">
        <v>372</v>
      </c>
      <c r="AE2512" s="1" t="s">
        <v>818</v>
      </c>
      <c r="AF2512" s="1" t="s">
        <v>107</v>
      </c>
      <c r="AG2512" s="1">
        <v>65</v>
      </c>
      <c r="AO2512" s="2">
        <v>46281</v>
      </c>
      <c r="AP2512" s="1" t="s">
        <v>301</v>
      </c>
      <c r="AS2512" s="1" t="s">
        <v>71</v>
      </c>
      <c r="AU2512" s="1" t="s">
        <v>72</v>
      </c>
      <c r="AV2512" s="1" t="s">
        <v>73</v>
      </c>
      <c r="AX2512" s="1">
        <v>0</v>
      </c>
      <c r="BA2512" s="1">
        <v>9</v>
      </c>
      <c r="BB2512" s="1">
        <v>0</v>
      </c>
      <c r="BC2512" s="1">
        <v>0</v>
      </c>
      <c r="BE2512" s="1">
        <v>27432006</v>
      </c>
    </row>
    <row r="2513" spans="1:57" x14ac:dyDescent="0.25">
      <c r="A2513" s="1" t="str">
        <f>T("1946913725919992028")</f>
        <v>1946913725919992028</v>
      </c>
      <c r="B2513" s="1" t="str">
        <f>T("249918714150")</f>
        <v>249918714150</v>
      </c>
      <c r="C2513" s="1" t="str">
        <f>T("1941094503481871676")</f>
        <v>1941094503481871676</v>
      </c>
      <c r="AC2513" s="1" t="s">
        <v>344</v>
      </c>
      <c r="AD2513" s="1" t="s">
        <v>441</v>
      </c>
      <c r="AE2513" s="1" t="s">
        <v>530</v>
      </c>
      <c r="AF2513" s="1" t="s">
        <v>107</v>
      </c>
      <c r="AG2513" s="1">
        <v>45</v>
      </c>
      <c r="AO2513" s="2">
        <v>46281</v>
      </c>
      <c r="AP2513" s="1" t="s">
        <v>301</v>
      </c>
      <c r="AS2513" s="1" t="s">
        <v>71</v>
      </c>
      <c r="AU2513" s="1" t="s">
        <v>72</v>
      </c>
      <c r="AV2513" s="1" t="s">
        <v>73</v>
      </c>
      <c r="AX2513" s="1">
        <v>0</v>
      </c>
      <c r="BA2513" s="1">
        <v>9</v>
      </c>
      <c r="BB2513" s="1">
        <v>0</v>
      </c>
      <c r="BC2513" s="1">
        <v>0</v>
      </c>
      <c r="BE2513" s="1">
        <v>27432006</v>
      </c>
    </row>
    <row r="2514" spans="1:57" x14ac:dyDescent="0.25">
      <c r="A2514" s="1" t="str">
        <f>T("1946913725924186636")</f>
        <v>1946913725924186636</v>
      </c>
      <c r="B2514" s="1" t="str">
        <f>T("249904676011")</f>
        <v>249904676011</v>
      </c>
      <c r="C2514" s="1" t="str">
        <f>T("1941094503486062684")</f>
        <v>1941094503486062684</v>
      </c>
      <c r="AC2514" s="1" t="s">
        <v>344</v>
      </c>
      <c r="AD2514" s="1" t="s">
        <v>441</v>
      </c>
      <c r="AE2514" s="1" t="s">
        <v>530</v>
      </c>
      <c r="AF2514" s="1" t="s">
        <v>107</v>
      </c>
      <c r="AG2514" s="1">
        <v>25</v>
      </c>
      <c r="AO2514" s="2">
        <v>46281</v>
      </c>
      <c r="AP2514" s="1" t="s">
        <v>301</v>
      </c>
      <c r="AS2514" s="1" t="s">
        <v>71</v>
      </c>
      <c r="AU2514" s="1" t="s">
        <v>72</v>
      </c>
      <c r="AV2514" s="1" t="s">
        <v>437</v>
      </c>
      <c r="AX2514" s="1">
        <v>0</v>
      </c>
      <c r="BA2514" s="1">
        <v>9</v>
      </c>
      <c r="BB2514" s="1">
        <v>0</v>
      </c>
      <c r="BC2514" s="1">
        <v>0</v>
      </c>
      <c r="BE2514" s="1">
        <v>27432006</v>
      </c>
    </row>
    <row r="2515" spans="1:57" x14ac:dyDescent="0.25">
      <c r="A2515" s="1" t="str">
        <f>T("1946913725970321724")</f>
        <v>1946913725970321724</v>
      </c>
      <c r="B2515" s="1" t="str">
        <f>T("249914226720")</f>
        <v>249914226720</v>
      </c>
      <c r="C2515" s="1" t="str">
        <f>T("1941094503486066684")</f>
        <v>1941094503486066684</v>
      </c>
      <c r="AC2515" s="1" t="s">
        <v>344</v>
      </c>
      <c r="AD2515" s="1" t="s">
        <v>441</v>
      </c>
      <c r="AE2515" s="1" t="s">
        <v>530</v>
      </c>
      <c r="AF2515" s="1" t="s">
        <v>144</v>
      </c>
      <c r="AG2515" s="1">
        <v>50</v>
      </c>
      <c r="AO2515" s="2">
        <v>46281</v>
      </c>
      <c r="AP2515" s="1" t="s">
        <v>301</v>
      </c>
      <c r="AS2515" s="1" t="s">
        <v>71</v>
      </c>
      <c r="AU2515" s="1" t="s">
        <v>72</v>
      </c>
      <c r="AV2515" s="1" t="s">
        <v>73</v>
      </c>
      <c r="AX2515" s="1">
        <v>0</v>
      </c>
      <c r="BA2515" s="1">
        <v>9</v>
      </c>
      <c r="BB2515" s="1">
        <v>0</v>
      </c>
      <c r="BC2515" s="1">
        <v>0</v>
      </c>
      <c r="BE2515" s="1">
        <v>27432006</v>
      </c>
    </row>
    <row r="2516" spans="1:57" x14ac:dyDescent="0.25">
      <c r="A2516" s="1" t="str">
        <f>T("1946913725995489672")</f>
        <v>1946913725995489672</v>
      </c>
      <c r="B2516" s="1" t="str">
        <f>T("249969417563")</f>
        <v>249969417563</v>
      </c>
      <c r="C2516" s="1" t="str">
        <f>T("1941094503523811756")</f>
        <v>1941094503523811756</v>
      </c>
      <c r="AC2516" s="1" t="s">
        <v>344</v>
      </c>
      <c r="AD2516" s="1" t="s">
        <v>441</v>
      </c>
      <c r="AE2516" s="1" t="s">
        <v>530</v>
      </c>
      <c r="AF2516" s="1" t="s">
        <v>107</v>
      </c>
      <c r="AG2516" s="1">
        <v>35</v>
      </c>
      <c r="AO2516" s="2">
        <v>46281</v>
      </c>
      <c r="AP2516" s="1" t="s">
        <v>301</v>
      </c>
      <c r="AS2516" s="1" t="s">
        <v>71</v>
      </c>
      <c r="AU2516" s="1" t="s">
        <v>72</v>
      </c>
      <c r="AV2516" s="1" t="s">
        <v>73</v>
      </c>
      <c r="AX2516" s="1">
        <v>0</v>
      </c>
      <c r="BA2516" s="1">
        <v>9</v>
      </c>
      <c r="BB2516" s="1">
        <v>0</v>
      </c>
      <c r="BC2516" s="1">
        <v>0</v>
      </c>
      <c r="BE2516" s="1">
        <v>27432006</v>
      </c>
    </row>
    <row r="2517" spans="1:57" x14ac:dyDescent="0.25">
      <c r="A2517" s="1" t="str">
        <f>T("1946913726033236544")</f>
        <v>1946913726033236544</v>
      </c>
      <c r="B2517" s="1" t="str">
        <f>T("249918103026")</f>
        <v>249918103026</v>
      </c>
      <c r="C2517" s="1" t="str">
        <f>T("1941094503523814256")</f>
        <v>1941094503523814256</v>
      </c>
      <c r="AC2517" s="1" t="s">
        <v>344</v>
      </c>
      <c r="AD2517" s="1" t="s">
        <v>372</v>
      </c>
      <c r="AE2517" s="1" t="s">
        <v>820</v>
      </c>
      <c r="AF2517" s="1" t="s">
        <v>144</v>
      </c>
      <c r="AG2517" s="1">
        <v>45</v>
      </c>
      <c r="AO2517" s="2">
        <v>46281</v>
      </c>
      <c r="AP2517" s="1" t="s">
        <v>301</v>
      </c>
      <c r="AS2517" s="1" t="s">
        <v>71</v>
      </c>
      <c r="AU2517" s="1" t="s">
        <v>72</v>
      </c>
      <c r="AV2517" s="1" t="s">
        <v>437</v>
      </c>
      <c r="AX2517" s="1">
        <v>0</v>
      </c>
      <c r="BA2517" s="1">
        <v>9</v>
      </c>
      <c r="BB2517" s="1">
        <v>0</v>
      </c>
      <c r="BC2517" s="1">
        <v>0</v>
      </c>
      <c r="BE2517" s="1">
        <v>27432006</v>
      </c>
    </row>
    <row r="2518" spans="1:57" x14ac:dyDescent="0.25">
      <c r="A2518" s="1" t="str">
        <f>T("1946913726058404892")</f>
        <v>1946913726058404892</v>
      </c>
      <c r="B2518" s="1" t="str">
        <f>T("249121201142")</f>
        <v>249121201142</v>
      </c>
      <c r="C2518" s="1" t="str">
        <f>T("1941094503532200772")</f>
        <v>1941094503532200772</v>
      </c>
      <c r="AA2518" s="1">
        <v>1</v>
      </c>
      <c r="AC2518" s="1" t="s">
        <v>344</v>
      </c>
      <c r="AD2518" s="1" t="s">
        <v>372</v>
      </c>
      <c r="AE2518" s="1" t="s">
        <v>818</v>
      </c>
      <c r="AF2518" s="1" t="s">
        <v>107</v>
      </c>
      <c r="AG2518" s="1">
        <v>64</v>
      </c>
      <c r="AO2518" s="2">
        <v>46281</v>
      </c>
      <c r="AP2518" s="1" t="s">
        <v>301</v>
      </c>
      <c r="AQ2518" s="2">
        <v>46281</v>
      </c>
      <c r="AR2518" s="1" t="s">
        <v>305</v>
      </c>
      <c r="AS2518" s="1" t="s">
        <v>71</v>
      </c>
      <c r="AU2518" s="1" t="s">
        <v>79</v>
      </c>
      <c r="AV2518" s="1" t="s">
        <v>80</v>
      </c>
      <c r="AW2518" s="1">
        <v>75.900999999999996</v>
      </c>
      <c r="AX2518" s="1">
        <v>0</v>
      </c>
      <c r="AZ2518" s="1" t="s">
        <v>81</v>
      </c>
      <c r="BA2518" s="1">
        <v>1</v>
      </c>
      <c r="BB2518" s="1">
        <v>0</v>
      </c>
      <c r="BC2518" s="1">
        <v>0</v>
      </c>
      <c r="BE2518" s="1">
        <v>27432006</v>
      </c>
    </row>
    <row r="2519" spans="1:57" x14ac:dyDescent="0.25">
      <c r="A2519" s="1" t="str">
        <f>T("1946913726112931396")</f>
        <v>1946913726112931396</v>
      </c>
      <c r="B2519" s="1" t="str">
        <f>T("249901934041")</f>
        <v>249901934041</v>
      </c>
      <c r="C2519" s="1" t="str">
        <f>T("1941094503532203572")</f>
        <v>1941094503532203572</v>
      </c>
      <c r="AC2519" s="1" t="s">
        <v>344</v>
      </c>
      <c r="AD2519" s="1" t="s">
        <v>430</v>
      </c>
      <c r="AE2519" s="1" t="s">
        <v>530</v>
      </c>
      <c r="AF2519" s="1" t="s">
        <v>144</v>
      </c>
      <c r="AG2519" s="1">
        <v>46</v>
      </c>
      <c r="AO2519" s="2">
        <v>46281</v>
      </c>
      <c r="AP2519" s="1" t="s">
        <v>301</v>
      </c>
      <c r="AS2519" s="1" t="s">
        <v>71</v>
      </c>
      <c r="AU2519" s="1" t="s">
        <v>72</v>
      </c>
      <c r="AV2519" s="1" t="s">
        <v>437</v>
      </c>
      <c r="AX2519" s="1">
        <v>0</v>
      </c>
      <c r="BA2519" s="1">
        <v>9</v>
      </c>
      <c r="BB2519" s="1">
        <v>0</v>
      </c>
      <c r="BC2519" s="1">
        <v>0</v>
      </c>
      <c r="BE2519" s="1">
        <v>27432006</v>
      </c>
    </row>
    <row r="2520" spans="1:57" x14ac:dyDescent="0.25">
      <c r="A2520" s="1" t="str">
        <f>T("1946913726117123604")</f>
        <v>1946913726117123604</v>
      </c>
      <c r="B2520" s="1" t="str">
        <f>T("249903760004")</f>
        <v>249903760004</v>
      </c>
      <c r="C2520" s="1" t="str">
        <f>T("1941094503536394580")</f>
        <v>1941094503536394580</v>
      </c>
      <c r="AC2520" s="1" t="s">
        <v>344</v>
      </c>
      <c r="AD2520" s="1" t="s">
        <v>441</v>
      </c>
      <c r="AE2520" s="1" t="s">
        <v>530</v>
      </c>
      <c r="AF2520" s="1" t="s">
        <v>107</v>
      </c>
      <c r="AG2520" s="1">
        <v>40</v>
      </c>
      <c r="AO2520" s="2">
        <v>46281</v>
      </c>
      <c r="AP2520" s="1" t="s">
        <v>301</v>
      </c>
      <c r="AS2520" s="1" t="s">
        <v>71</v>
      </c>
      <c r="AU2520" s="1" t="s">
        <v>72</v>
      </c>
      <c r="AV2520" s="1" t="s">
        <v>437</v>
      </c>
      <c r="AX2520" s="1">
        <v>0</v>
      </c>
      <c r="BA2520" s="1">
        <v>9</v>
      </c>
      <c r="BB2520" s="1">
        <v>0</v>
      </c>
      <c r="BC2520" s="1">
        <v>0</v>
      </c>
      <c r="BE2520" s="1">
        <v>27432006</v>
      </c>
    </row>
    <row r="2521" spans="1:57" x14ac:dyDescent="0.25">
      <c r="A2521" s="1" t="str">
        <f>T("1946913726180036724")</f>
        <v>1946913726180036724</v>
      </c>
      <c r="B2521" s="1" t="str">
        <f>T("249908509527")</f>
        <v>249908509527</v>
      </c>
      <c r="C2521" s="1" t="str">
        <f>T("1941094503536397680")</f>
        <v>1941094503536397680</v>
      </c>
      <c r="AC2521" s="1" t="s">
        <v>344</v>
      </c>
      <c r="AD2521" s="1" t="s">
        <v>372</v>
      </c>
      <c r="AE2521" s="1" t="s">
        <v>813</v>
      </c>
      <c r="AF2521" s="1" t="s">
        <v>144</v>
      </c>
      <c r="AG2521" s="1">
        <v>30</v>
      </c>
      <c r="AO2521" s="2">
        <v>46281</v>
      </c>
      <c r="AP2521" s="1" t="s">
        <v>301</v>
      </c>
      <c r="AS2521" s="1" t="s">
        <v>71</v>
      </c>
      <c r="AU2521" s="1" t="s">
        <v>72</v>
      </c>
      <c r="AV2521" s="1" t="s">
        <v>437</v>
      </c>
      <c r="AX2521" s="1">
        <v>0</v>
      </c>
      <c r="BA2521" s="1">
        <v>9</v>
      </c>
      <c r="BB2521" s="1">
        <v>0</v>
      </c>
      <c r="BC2521" s="1">
        <v>0</v>
      </c>
      <c r="BE2521" s="1">
        <v>27432006</v>
      </c>
    </row>
    <row r="2522" spans="1:57" x14ac:dyDescent="0.25">
      <c r="A2522" s="1" t="str">
        <f>T("1946913726188427540")</f>
        <v>1946913726188427540</v>
      </c>
      <c r="B2522" s="1" t="str">
        <f>T("249907033999")</f>
        <v>249907033999</v>
      </c>
      <c r="C2522" s="1" t="str">
        <f>T("1941094503540589588")</f>
        <v>1941094503540589588</v>
      </c>
      <c r="AC2522" s="1" t="s">
        <v>344</v>
      </c>
      <c r="AD2522" s="1" t="s">
        <v>372</v>
      </c>
      <c r="AE2522" s="1" t="s">
        <v>814</v>
      </c>
      <c r="AF2522" s="1" t="s">
        <v>107</v>
      </c>
      <c r="AG2522" s="1">
        <v>64</v>
      </c>
      <c r="AO2522" s="2">
        <v>46281</v>
      </c>
      <c r="AP2522" s="1" t="s">
        <v>301</v>
      </c>
      <c r="AS2522" s="1" t="s">
        <v>71</v>
      </c>
      <c r="AU2522" s="1" t="s">
        <v>75</v>
      </c>
      <c r="AV2522" s="1" t="s">
        <v>590</v>
      </c>
      <c r="AX2522" s="1">
        <v>0</v>
      </c>
      <c r="BA2522" s="1">
        <v>7</v>
      </c>
      <c r="BB2522" s="1">
        <v>0</v>
      </c>
      <c r="BC2522" s="1">
        <v>0</v>
      </c>
      <c r="BE2522" s="1">
        <v>27432006</v>
      </c>
    </row>
    <row r="2523" spans="1:57" x14ac:dyDescent="0.25">
      <c r="A2523" s="1" t="str">
        <f>T("1946913726226174312")</f>
        <v>1946913726226174312</v>
      </c>
      <c r="B2523" s="1" t="str">
        <f>T("249901593466")</f>
        <v>249901593466</v>
      </c>
      <c r="C2523" s="1" t="str">
        <f>T("1941094503544782996")</f>
        <v>1941094503544782996</v>
      </c>
      <c r="AC2523" s="1" t="s">
        <v>344</v>
      </c>
      <c r="AD2523" s="1" t="s">
        <v>441</v>
      </c>
      <c r="AE2523" s="1" t="s">
        <v>530</v>
      </c>
      <c r="AF2523" s="1" t="s">
        <v>144</v>
      </c>
      <c r="AG2523" s="1">
        <v>50</v>
      </c>
      <c r="AO2523" s="2">
        <v>46281</v>
      </c>
      <c r="AP2523" s="1" t="s">
        <v>301</v>
      </c>
      <c r="AS2523" s="1" t="s">
        <v>71</v>
      </c>
      <c r="AU2523" s="1" t="s">
        <v>72</v>
      </c>
      <c r="AV2523" s="1" t="s">
        <v>437</v>
      </c>
      <c r="AX2523" s="1">
        <v>0</v>
      </c>
      <c r="BA2523" s="1">
        <v>9</v>
      </c>
      <c r="BB2523" s="1">
        <v>0</v>
      </c>
      <c r="BC2523" s="1">
        <v>0</v>
      </c>
      <c r="BE2523" s="1">
        <v>27432006</v>
      </c>
    </row>
    <row r="2524" spans="1:57" x14ac:dyDescent="0.25">
      <c r="A2524" s="1" t="str">
        <f>T("1946913726259729476")</f>
        <v>1946913726259729476</v>
      </c>
      <c r="B2524" s="1" t="str">
        <f>T("249911596760")</f>
        <v>249911596760</v>
      </c>
      <c r="C2524" s="1" t="str">
        <f>T("1941094503544783496")</f>
        <v>1941094503544783496</v>
      </c>
      <c r="AC2524" s="1" t="s">
        <v>344</v>
      </c>
      <c r="AD2524" s="1" t="s">
        <v>372</v>
      </c>
      <c r="AE2524" s="1" t="s">
        <v>820</v>
      </c>
      <c r="AF2524" s="1" t="s">
        <v>144</v>
      </c>
      <c r="AG2524" s="1">
        <v>35</v>
      </c>
      <c r="AO2524" s="2">
        <v>46281</v>
      </c>
      <c r="AP2524" s="1" t="s">
        <v>301</v>
      </c>
      <c r="AS2524" s="1" t="s">
        <v>71</v>
      </c>
      <c r="AU2524" s="1" t="s">
        <v>72</v>
      </c>
      <c r="AV2524" s="1" t="s">
        <v>73</v>
      </c>
      <c r="AX2524" s="1">
        <v>0</v>
      </c>
      <c r="BA2524" s="1">
        <v>9</v>
      </c>
      <c r="BB2524" s="1">
        <v>0</v>
      </c>
      <c r="BC2524" s="1">
        <v>0</v>
      </c>
      <c r="BE2524" s="1">
        <v>27432006</v>
      </c>
    </row>
    <row r="2525" spans="1:57" x14ac:dyDescent="0.25">
      <c r="A2525" s="1" t="str">
        <f>T("1946913726280702916")</f>
        <v>1946913726280702916</v>
      </c>
      <c r="B2525" s="1" t="str">
        <f>T("249962142372")</f>
        <v>249962142372</v>
      </c>
      <c r="C2525" s="1" t="str">
        <f>T("1941094503544784496")</f>
        <v>1941094503544784496</v>
      </c>
      <c r="AC2525" s="1" t="s">
        <v>344</v>
      </c>
      <c r="AD2525" s="1" t="s">
        <v>441</v>
      </c>
      <c r="AE2525" s="1" t="s">
        <v>530</v>
      </c>
      <c r="AF2525" s="1" t="s">
        <v>144</v>
      </c>
      <c r="AG2525" s="1">
        <v>18</v>
      </c>
      <c r="AO2525" s="2">
        <v>46281</v>
      </c>
      <c r="AP2525" s="1" t="s">
        <v>301</v>
      </c>
      <c r="AS2525" s="1" t="s">
        <v>71</v>
      </c>
      <c r="AU2525" s="1" t="s">
        <v>72</v>
      </c>
      <c r="AV2525" s="1" t="s">
        <v>73</v>
      </c>
      <c r="AX2525" s="1">
        <v>0</v>
      </c>
      <c r="BA2525" s="1">
        <v>9</v>
      </c>
      <c r="BB2525" s="1">
        <v>0</v>
      </c>
      <c r="BC2525" s="1">
        <v>0</v>
      </c>
      <c r="BE2525" s="1">
        <v>27432006</v>
      </c>
    </row>
    <row r="2526" spans="1:57" x14ac:dyDescent="0.25">
      <c r="A2526" s="1" t="str">
        <f>T("1946913726335226420")</f>
        <v>1946913726335226420</v>
      </c>
      <c r="B2526" s="1" t="str">
        <f>T("249964883283")</f>
        <v>249964883283</v>
      </c>
      <c r="C2526" s="1" t="str">
        <f>T("1941094503548978204")</f>
        <v>1941094503548978204</v>
      </c>
      <c r="AC2526" s="1" t="s">
        <v>344</v>
      </c>
      <c r="AD2526" s="1" t="s">
        <v>441</v>
      </c>
      <c r="AE2526" s="1" t="s">
        <v>530</v>
      </c>
      <c r="AF2526" s="1" t="s">
        <v>144</v>
      </c>
      <c r="AG2526" s="1">
        <v>27</v>
      </c>
      <c r="AO2526" s="2">
        <v>46281</v>
      </c>
      <c r="AP2526" s="1" t="s">
        <v>301</v>
      </c>
      <c r="AS2526" s="1" t="s">
        <v>71</v>
      </c>
      <c r="AU2526" s="1" t="s">
        <v>72</v>
      </c>
      <c r="AV2526" s="1" t="s">
        <v>73</v>
      </c>
      <c r="AX2526" s="1">
        <v>0</v>
      </c>
      <c r="BA2526" s="1">
        <v>9</v>
      </c>
      <c r="BB2526" s="1">
        <v>0</v>
      </c>
      <c r="BC2526" s="1">
        <v>0</v>
      </c>
      <c r="BE2526" s="1">
        <v>27432006</v>
      </c>
    </row>
    <row r="2527" spans="1:57" x14ac:dyDescent="0.25">
      <c r="A2527" s="1" t="str">
        <f>T("1946913726335227220")</f>
        <v>1946913726335227220</v>
      </c>
      <c r="B2527" s="1" t="str">
        <f>T("249924421593")</f>
        <v>249924421593</v>
      </c>
      <c r="C2527" s="1" t="str">
        <f>T("1941094503548978904")</f>
        <v>1941094503548978904</v>
      </c>
      <c r="AC2527" s="1" t="s">
        <v>344</v>
      </c>
      <c r="AD2527" s="1" t="s">
        <v>372</v>
      </c>
      <c r="AE2527" s="1" t="s">
        <v>820</v>
      </c>
      <c r="AF2527" s="1" t="s">
        <v>107</v>
      </c>
      <c r="AG2527" s="1">
        <v>32</v>
      </c>
      <c r="AO2527" s="2">
        <v>46281</v>
      </c>
      <c r="AP2527" s="1" t="s">
        <v>301</v>
      </c>
      <c r="AS2527" s="1" t="s">
        <v>71</v>
      </c>
      <c r="AU2527" s="1" t="s">
        <v>72</v>
      </c>
      <c r="AV2527" s="1" t="s">
        <v>73</v>
      </c>
      <c r="AX2527" s="1">
        <v>0</v>
      </c>
      <c r="BA2527" s="1">
        <v>9</v>
      </c>
      <c r="BB2527" s="1">
        <v>0</v>
      </c>
      <c r="BC2527" s="1">
        <v>0</v>
      </c>
      <c r="BE2527" s="1">
        <v>27432006</v>
      </c>
    </row>
    <row r="2528" spans="1:57" x14ac:dyDescent="0.25">
      <c r="A2528" s="1" t="str">
        <f>T("1946913726398143940")</f>
        <v>1946913726398143940</v>
      </c>
      <c r="B2528" s="1" t="str">
        <f>T("249914247258")</f>
        <v>249914247258</v>
      </c>
      <c r="C2528" s="1" t="str">
        <f>T("1941094503548979304")</f>
        <v>1941094503548979304</v>
      </c>
      <c r="AC2528" s="1" t="s">
        <v>344</v>
      </c>
      <c r="AD2528" s="1" t="s">
        <v>441</v>
      </c>
      <c r="AE2528" s="1" t="s">
        <v>530</v>
      </c>
      <c r="AF2528" s="1" t="s">
        <v>144</v>
      </c>
      <c r="AG2528" s="1">
        <v>25</v>
      </c>
      <c r="AO2528" s="2">
        <v>46281</v>
      </c>
      <c r="AP2528" s="1" t="s">
        <v>301</v>
      </c>
      <c r="AS2528" s="1" t="s">
        <v>71</v>
      </c>
      <c r="AU2528" s="1" t="s">
        <v>72</v>
      </c>
      <c r="AV2528" s="1" t="s">
        <v>73</v>
      </c>
      <c r="AX2528" s="1">
        <v>0</v>
      </c>
      <c r="BA2528" s="1">
        <v>9</v>
      </c>
      <c r="BB2528" s="1">
        <v>0</v>
      </c>
      <c r="BC2528" s="1">
        <v>0</v>
      </c>
      <c r="BE2528" s="1">
        <v>27432006</v>
      </c>
    </row>
    <row r="2529" spans="1:57" x14ac:dyDescent="0.25">
      <c r="A2529" s="1" t="str">
        <f>T("1946913726410725964")</f>
        <v>1946913726410725964</v>
      </c>
      <c r="B2529" s="1" t="str">
        <f>T("249969255298")</f>
        <v>249969255298</v>
      </c>
      <c r="C2529" s="1" t="str">
        <f>T("1941094503548979704")</f>
        <v>1941094503548979704</v>
      </c>
      <c r="AC2529" s="1" t="s">
        <v>344</v>
      </c>
      <c r="AD2529" s="1" t="s">
        <v>430</v>
      </c>
      <c r="AE2529" s="1" t="s">
        <v>530</v>
      </c>
      <c r="AF2529" s="1" t="s">
        <v>107</v>
      </c>
      <c r="AG2529" s="1">
        <v>20</v>
      </c>
      <c r="AO2529" s="2">
        <v>46281</v>
      </c>
      <c r="AP2529" s="1" t="s">
        <v>301</v>
      </c>
      <c r="AS2529" s="1" t="s">
        <v>71</v>
      </c>
      <c r="AU2529" s="1" t="s">
        <v>72</v>
      </c>
      <c r="AV2529" s="1" t="s">
        <v>437</v>
      </c>
      <c r="AX2529" s="1">
        <v>0</v>
      </c>
      <c r="BA2529" s="1">
        <v>9</v>
      </c>
      <c r="BB2529" s="1">
        <v>0</v>
      </c>
      <c r="BC2529" s="1">
        <v>0</v>
      </c>
      <c r="BE2529" s="1">
        <v>27432006</v>
      </c>
    </row>
    <row r="2530" spans="1:57" x14ac:dyDescent="0.25">
      <c r="A2530" s="1" t="str">
        <f>T("1946913726473640484")</f>
        <v>1946913726473640484</v>
      </c>
      <c r="B2530" s="1" t="str">
        <f>T("249911496058")</f>
        <v>249911496058</v>
      </c>
      <c r="C2530" s="1" t="str">
        <f>T("1941094503548980604")</f>
        <v>1941094503548980604</v>
      </c>
      <c r="AC2530" s="1" t="s">
        <v>344</v>
      </c>
      <c r="AD2530" s="1" t="s">
        <v>430</v>
      </c>
      <c r="AE2530" s="1" t="s">
        <v>530</v>
      </c>
      <c r="AF2530" s="1" t="s">
        <v>107</v>
      </c>
      <c r="AG2530" s="1">
        <v>33</v>
      </c>
      <c r="AO2530" s="2">
        <v>46281</v>
      </c>
      <c r="AP2530" s="1" t="s">
        <v>301</v>
      </c>
      <c r="AS2530" s="1" t="s">
        <v>71</v>
      </c>
      <c r="AU2530" s="1" t="s">
        <v>72</v>
      </c>
      <c r="AV2530" s="1" t="s">
        <v>437</v>
      </c>
      <c r="AX2530" s="1">
        <v>0</v>
      </c>
      <c r="BA2530" s="1">
        <v>9</v>
      </c>
      <c r="BB2530" s="1">
        <v>0</v>
      </c>
      <c r="BC2530" s="1">
        <v>0</v>
      </c>
      <c r="BE2530" s="1">
        <v>27432006</v>
      </c>
    </row>
    <row r="2531" spans="1:57" x14ac:dyDescent="0.25">
      <c r="A2531" s="1" t="str">
        <f>T("1946913726482027600")</f>
        <v>1946913726482027600</v>
      </c>
      <c r="B2531" s="1" t="str">
        <f>T("249908229407")</f>
        <v>249908229407</v>
      </c>
      <c r="C2531" s="1" t="str">
        <f>T("1941094503553175312")</f>
        <v>1941094503553175312</v>
      </c>
      <c r="AC2531" s="1" t="s">
        <v>344</v>
      </c>
      <c r="AD2531" s="1" t="s">
        <v>441</v>
      </c>
      <c r="AE2531" s="1" t="s">
        <v>530</v>
      </c>
      <c r="AF2531" s="1" t="s">
        <v>144</v>
      </c>
      <c r="AG2531" s="1">
        <v>37</v>
      </c>
      <c r="AO2531" s="2">
        <v>46281</v>
      </c>
      <c r="AP2531" s="1" t="s">
        <v>301</v>
      </c>
      <c r="AS2531" s="1" t="s">
        <v>71</v>
      </c>
      <c r="AU2531" s="1" t="s">
        <v>72</v>
      </c>
      <c r="AV2531" s="1" t="s">
        <v>437</v>
      </c>
      <c r="AX2531" s="1">
        <v>0</v>
      </c>
      <c r="BA2531" s="1">
        <v>9</v>
      </c>
      <c r="BB2531" s="1">
        <v>0</v>
      </c>
      <c r="BC2531" s="1">
        <v>0</v>
      </c>
      <c r="BE2531" s="1">
        <v>27432006</v>
      </c>
    </row>
    <row r="2532" spans="1:57" x14ac:dyDescent="0.25">
      <c r="A2532" s="1" t="str">
        <f>T("1946913726540749512")</f>
        <v>1946913726540749512</v>
      </c>
      <c r="B2532" s="1" t="str">
        <f>T("249961337879")</f>
        <v>249961337879</v>
      </c>
      <c r="C2532" s="1" t="str">
        <f>T("1941094503557367320")</f>
        <v>1941094503557367320</v>
      </c>
      <c r="AC2532" s="1" t="s">
        <v>344</v>
      </c>
      <c r="AD2532" s="1" t="s">
        <v>430</v>
      </c>
      <c r="AE2532" s="1" t="s">
        <v>530</v>
      </c>
      <c r="AF2532" s="1" t="s">
        <v>107</v>
      </c>
      <c r="AG2532" s="1">
        <v>23</v>
      </c>
      <c r="AO2532" s="2">
        <v>46281</v>
      </c>
      <c r="AP2532" s="1" t="s">
        <v>301</v>
      </c>
      <c r="AS2532" s="1" t="s">
        <v>71</v>
      </c>
      <c r="AU2532" s="1" t="s">
        <v>72</v>
      </c>
      <c r="AV2532" s="1" t="s">
        <v>73</v>
      </c>
      <c r="AX2532" s="1">
        <v>0</v>
      </c>
      <c r="BA2532" s="1">
        <v>9</v>
      </c>
      <c r="BB2532" s="1">
        <v>0</v>
      </c>
      <c r="BC2532" s="1">
        <v>0</v>
      </c>
      <c r="BE2532" s="1">
        <v>27432006</v>
      </c>
    </row>
    <row r="2533" spans="1:57" x14ac:dyDescent="0.25">
      <c r="A2533" s="1" t="str">
        <f>T("1946913726540750412")</f>
        <v>1946913726540750412</v>
      </c>
      <c r="B2533" s="1" t="str">
        <f>T("249906006443")</f>
        <v>249906006443</v>
      </c>
      <c r="C2533" s="1" t="str">
        <f>T("1941094503557366320")</f>
        <v>1941094503557366320</v>
      </c>
      <c r="AC2533" s="1" t="s">
        <v>344</v>
      </c>
      <c r="AD2533" s="1" t="s">
        <v>441</v>
      </c>
      <c r="AE2533" s="1" t="s">
        <v>530</v>
      </c>
      <c r="AF2533" s="1" t="s">
        <v>107</v>
      </c>
      <c r="AG2533" s="1">
        <v>35</v>
      </c>
      <c r="AO2533" s="2">
        <v>46281</v>
      </c>
      <c r="AP2533" s="1" t="s">
        <v>301</v>
      </c>
      <c r="AS2533" s="1" t="s">
        <v>71</v>
      </c>
      <c r="AU2533" s="1" t="s">
        <v>72</v>
      </c>
      <c r="AV2533" s="1" t="s">
        <v>437</v>
      </c>
      <c r="AX2533" s="1">
        <v>0</v>
      </c>
      <c r="BA2533" s="1">
        <v>9</v>
      </c>
      <c r="BB2533" s="1">
        <v>0</v>
      </c>
      <c r="BC2533" s="1">
        <v>0</v>
      </c>
      <c r="BE2533" s="1">
        <v>27432006</v>
      </c>
    </row>
    <row r="2534" spans="1:57" x14ac:dyDescent="0.25">
      <c r="A2534" s="1" t="str">
        <f>T("1946913726612053948")</f>
        <v>1946913726612053948</v>
      </c>
      <c r="B2534" s="1" t="str">
        <f>T("249915833664")</f>
        <v>249915833664</v>
      </c>
      <c r="C2534" s="1" t="str">
        <f>T("1941094503557367920")</f>
        <v>1941094503557367920</v>
      </c>
      <c r="AC2534" s="1" t="s">
        <v>344</v>
      </c>
      <c r="AD2534" s="1" t="s">
        <v>430</v>
      </c>
      <c r="AE2534" s="1" t="s">
        <v>530</v>
      </c>
      <c r="AF2534" s="1" t="s">
        <v>144</v>
      </c>
      <c r="AG2534" s="1">
        <v>35</v>
      </c>
      <c r="AO2534" s="2">
        <v>46281</v>
      </c>
      <c r="AP2534" s="1" t="s">
        <v>301</v>
      </c>
      <c r="AS2534" s="1" t="s">
        <v>71</v>
      </c>
      <c r="AU2534" s="1" t="s">
        <v>72</v>
      </c>
      <c r="AV2534" s="1" t="s">
        <v>73</v>
      </c>
      <c r="AX2534" s="1">
        <v>0</v>
      </c>
      <c r="BA2534" s="1">
        <v>9</v>
      </c>
      <c r="BB2534" s="1">
        <v>0</v>
      </c>
      <c r="BC2534" s="1">
        <v>0</v>
      </c>
      <c r="BE2534" s="1">
        <v>27432006</v>
      </c>
    </row>
    <row r="2535" spans="1:57" x14ac:dyDescent="0.25">
      <c r="A2535" s="1" t="str">
        <f>T("1946913726628827980")</f>
        <v>1946913726628827980</v>
      </c>
      <c r="B2535" s="1" t="str">
        <f>T("249920602326")</f>
        <v>249920602326</v>
      </c>
      <c r="C2535" s="1" t="str">
        <f>T("1941094503561562128")</f>
        <v>1941094503561562128</v>
      </c>
      <c r="AA2535" s="1">
        <v>1</v>
      </c>
      <c r="AC2535" s="1" t="s">
        <v>344</v>
      </c>
      <c r="AD2535" s="1" t="s">
        <v>372</v>
      </c>
      <c r="AE2535" s="1" t="s">
        <v>820</v>
      </c>
      <c r="AF2535" s="1" t="s">
        <v>107</v>
      </c>
      <c r="AG2535" s="1">
        <v>28</v>
      </c>
      <c r="AO2535" s="2">
        <v>46281</v>
      </c>
      <c r="AP2535" s="1" t="s">
        <v>301</v>
      </c>
      <c r="AQ2535" s="2">
        <v>46281</v>
      </c>
      <c r="AR2535" s="1" t="s">
        <v>844</v>
      </c>
      <c r="AS2535" s="1" t="s">
        <v>71</v>
      </c>
      <c r="AU2535" s="1" t="s">
        <v>79</v>
      </c>
      <c r="AV2535" s="1" t="s">
        <v>80</v>
      </c>
      <c r="AW2535" s="1">
        <v>53.16</v>
      </c>
      <c r="AX2535" s="1">
        <v>0</v>
      </c>
      <c r="AZ2535" s="1" t="s">
        <v>81</v>
      </c>
      <c r="BA2535" s="1">
        <v>4</v>
      </c>
      <c r="BB2535" s="1">
        <v>0</v>
      </c>
      <c r="BC2535" s="1">
        <v>0</v>
      </c>
      <c r="BE2535" s="1">
        <v>27432006</v>
      </c>
    </row>
    <row r="2536" spans="1:57" x14ac:dyDescent="0.25">
      <c r="A2536" s="1" t="str">
        <f>T("1946913726662384244")</f>
        <v>1946913726662384244</v>
      </c>
      <c r="B2536" s="1" t="str">
        <f>T("249919406913")</f>
        <v>249919406913</v>
      </c>
      <c r="C2536" s="1" t="str">
        <f>T("1941094503561563628")</f>
        <v>1941094503561563628</v>
      </c>
      <c r="AC2536" s="1" t="s">
        <v>344</v>
      </c>
      <c r="AD2536" s="1" t="s">
        <v>441</v>
      </c>
      <c r="AE2536" s="1" t="s">
        <v>530</v>
      </c>
      <c r="AF2536" s="1" t="s">
        <v>144</v>
      </c>
      <c r="AG2536" s="1">
        <v>35</v>
      </c>
      <c r="AO2536" s="2">
        <v>46281</v>
      </c>
      <c r="AP2536" s="1" t="s">
        <v>301</v>
      </c>
      <c r="AS2536" s="1" t="s">
        <v>71</v>
      </c>
      <c r="AU2536" s="1" t="s">
        <v>72</v>
      </c>
      <c r="AV2536" s="1" t="s">
        <v>437</v>
      </c>
      <c r="AX2536" s="1">
        <v>0</v>
      </c>
      <c r="BA2536" s="1">
        <v>9</v>
      </c>
      <c r="BB2536" s="1">
        <v>0</v>
      </c>
      <c r="BC2536" s="1">
        <v>0</v>
      </c>
      <c r="BE2536" s="1">
        <v>27432006</v>
      </c>
    </row>
    <row r="2537" spans="1:57" x14ac:dyDescent="0.25">
      <c r="A2537" s="1" t="str">
        <f>T("1946913726700132916")</f>
        <v>1946913726700132916</v>
      </c>
      <c r="B2537" s="1" t="str">
        <f>T("249965769955")</f>
        <v>249965769955</v>
      </c>
      <c r="C2537" s="1" t="str">
        <f>T("1941094503565757336")</f>
        <v>1941094503565757336</v>
      </c>
      <c r="AC2537" s="1" t="s">
        <v>344</v>
      </c>
      <c r="AD2537" s="1" t="s">
        <v>372</v>
      </c>
      <c r="AE2537" s="1" t="s">
        <v>815</v>
      </c>
      <c r="AF2537" s="1" t="s">
        <v>144</v>
      </c>
      <c r="AG2537" s="1">
        <v>45</v>
      </c>
      <c r="AO2537" s="2">
        <v>46281</v>
      </c>
      <c r="AP2537" s="1" t="s">
        <v>301</v>
      </c>
      <c r="AS2537" s="1" t="s">
        <v>71</v>
      </c>
      <c r="AU2537" s="1" t="s">
        <v>72</v>
      </c>
      <c r="AV2537" s="1" t="s">
        <v>73</v>
      </c>
      <c r="AX2537" s="1">
        <v>0</v>
      </c>
      <c r="BA2537" s="1">
        <v>9</v>
      </c>
      <c r="BB2537" s="1">
        <v>0</v>
      </c>
      <c r="BC2537" s="1">
        <v>0</v>
      </c>
      <c r="BE2537" s="1">
        <v>27432006</v>
      </c>
    </row>
    <row r="2538" spans="1:57" x14ac:dyDescent="0.25">
      <c r="A2538" s="1" t="str">
        <f>T("1946913726716910148")</f>
        <v>1946913726716910148</v>
      </c>
      <c r="B2538" s="1" t="str">
        <f>T("249919494287")</f>
        <v>249919494287</v>
      </c>
      <c r="C2538" s="1" t="str">
        <f>T("1941094503590920584")</f>
        <v>1941094503590920584</v>
      </c>
      <c r="AC2538" s="1" t="s">
        <v>344</v>
      </c>
      <c r="AD2538" s="1" t="s">
        <v>430</v>
      </c>
      <c r="AE2538" s="1" t="s">
        <v>530</v>
      </c>
      <c r="AF2538" s="1" t="s">
        <v>107</v>
      </c>
      <c r="AG2538" s="1">
        <v>51</v>
      </c>
      <c r="AO2538" s="2">
        <v>46281</v>
      </c>
      <c r="AP2538" s="1" t="s">
        <v>301</v>
      </c>
      <c r="AS2538" s="1" t="s">
        <v>71</v>
      </c>
      <c r="AU2538" s="1" t="s">
        <v>72</v>
      </c>
      <c r="AV2538" s="1" t="s">
        <v>437</v>
      </c>
      <c r="AX2538" s="1">
        <v>0</v>
      </c>
      <c r="BA2538" s="1">
        <v>9</v>
      </c>
      <c r="BB2538" s="1">
        <v>0</v>
      </c>
      <c r="BC2538" s="1">
        <v>0</v>
      </c>
      <c r="BE2538" s="1">
        <v>27432006</v>
      </c>
    </row>
    <row r="2539" spans="1:57" x14ac:dyDescent="0.25">
      <c r="A2539" s="1" t="str">
        <f>T("1946913726784020476")</f>
        <v>1946913726784020476</v>
      </c>
      <c r="B2539" s="1" t="str">
        <f>T("249918952658")</f>
        <v>249918952658</v>
      </c>
      <c r="C2539" s="1" t="str">
        <f>T("1941094503595115192")</f>
        <v>1941094503595115192</v>
      </c>
      <c r="AC2539" s="1" t="s">
        <v>344</v>
      </c>
      <c r="AD2539" s="1" t="s">
        <v>372</v>
      </c>
      <c r="AE2539" s="1" t="s">
        <v>815</v>
      </c>
      <c r="AF2539" s="1" t="s">
        <v>144</v>
      </c>
      <c r="AG2539" s="1">
        <v>38</v>
      </c>
      <c r="AO2539" s="2">
        <v>46281</v>
      </c>
      <c r="AP2539" s="1" t="s">
        <v>301</v>
      </c>
      <c r="AS2539" s="1" t="s">
        <v>71</v>
      </c>
      <c r="AU2539" s="1" t="s">
        <v>72</v>
      </c>
      <c r="AV2539" s="1" t="s">
        <v>73</v>
      </c>
      <c r="AX2539" s="1">
        <v>0</v>
      </c>
      <c r="BA2539" s="1">
        <v>9</v>
      </c>
      <c r="BB2539" s="1">
        <v>0</v>
      </c>
      <c r="BC2539" s="1">
        <v>0</v>
      </c>
      <c r="BE2539" s="1">
        <v>27432006</v>
      </c>
    </row>
    <row r="2540" spans="1:57" x14ac:dyDescent="0.25">
      <c r="A2540" s="1" t="str">
        <f>T("1946913726792404992")</f>
        <v>1946913726792404992</v>
      </c>
      <c r="B2540" s="1" t="str">
        <f>T("249961842009")</f>
        <v>249961842009</v>
      </c>
      <c r="C2540" s="1" t="str">
        <f>T("1941094503595115992")</f>
        <v>1941094503595115992</v>
      </c>
      <c r="AC2540" s="1" t="s">
        <v>344</v>
      </c>
      <c r="AD2540" s="1" t="s">
        <v>430</v>
      </c>
      <c r="AE2540" s="1" t="s">
        <v>530</v>
      </c>
      <c r="AF2540" s="1" t="s">
        <v>107</v>
      </c>
      <c r="AG2540" s="1">
        <v>60</v>
      </c>
      <c r="AO2540" s="2">
        <v>46281</v>
      </c>
      <c r="AP2540" s="1" t="s">
        <v>301</v>
      </c>
      <c r="AS2540" s="1" t="s">
        <v>71</v>
      </c>
      <c r="AU2540" s="1" t="s">
        <v>72</v>
      </c>
      <c r="AV2540" s="1" t="s">
        <v>437</v>
      </c>
      <c r="AX2540" s="1">
        <v>0</v>
      </c>
      <c r="BA2540" s="1">
        <v>9</v>
      </c>
      <c r="BB2540" s="1">
        <v>0</v>
      </c>
      <c r="BC2540" s="1">
        <v>0</v>
      </c>
      <c r="BE2540" s="1">
        <v>27432006</v>
      </c>
    </row>
    <row r="2541" spans="1:57" x14ac:dyDescent="0.25">
      <c r="A2541" s="1" t="str">
        <f>T("1946913726905654108")</f>
        <v>1946913726905654108</v>
      </c>
      <c r="B2541" s="1" t="str">
        <f>T("249906006421")</f>
        <v>249906006421</v>
      </c>
      <c r="C2541" s="1" t="str">
        <f>T("1941094503599311900")</f>
        <v>1941094503599311900</v>
      </c>
      <c r="AC2541" s="1" t="s">
        <v>344</v>
      </c>
      <c r="AD2541" s="1" t="s">
        <v>441</v>
      </c>
      <c r="AE2541" s="1" t="s">
        <v>530</v>
      </c>
      <c r="AF2541" s="1" t="s">
        <v>107</v>
      </c>
      <c r="AG2541" s="1">
        <v>40</v>
      </c>
      <c r="AO2541" s="2">
        <v>46281</v>
      </c>
      <c r="AP2541" s="1" t="s">
        <v>301</v>
      </c>
      <c r="AS2541" s="1" t="s">
        <v>71</v>
      </c>
      <c r="AU2541" s="1" t="s">
        <v>72</v>
      </c>
      <c r="AV2541" s="1" t="s">
        <v>73</v>
      </c>
      <c r="AX2541" s="1">
        <v>0</v>
      </c>
      <c r="BA2541" s="1">
        <v>9</v>
      </c>
      <c r="BB2541" s="1">
        <v>0</v>
      </c>
      <c r="BC2541" s="1">
        <v>0</v>
      </c>
      <c r="BE2541" s="1">
        <v>27432006</v>
      </c>
    </row>
    <row r="2542" spans="1:57" x14ac:dyDescent="0.25">
      <c r="A2542" s="1" t="str">
        <f>T("1946913726922430240")</f>
        <v>1946913726922430240</v>
      </c>
      <c r="B2542" s="1" t="str">
        <f>T("249911376537")</f>
        <v>249911376537</v>
      </c>
      <c r="C2542" s="1" t="str">
        <f>T("1941094503595116492")</f>
        <v>1941094503595116492</v>
      </c>
      <c r="AC2542" s="1" t="s">
        <v>344</v>
      </c>
      <c r="AD2542" s="1" t="s">
        <v>430</v>
      </c>
      <c r="AE2542" s="1" t="s">
        <v>530</v>
      </c>
      <c r="AF2542" s="1" t="s">
        <v>107</v>
      </c>
      <c r="AG2542" s="1">
        <v>33</v>
      </c>
      <c r="AO2542" s="2">
        <v>46281</v>
      </c>
      <c r="AP2542" s="1" t="s">
        <v>301</v>
      </c>
      <c r="AS2542" s="1" t="s">
        <v>71</v>
      </c>
      <c r="AU2542" s="1" t="s">
        <v>72</v>
      </c>
      <c r="AV2542" s="1" t="s">
        <v>73</v>
      </c>
      <c r="AX2542" s="1">
        <v>0</v>
      </c>
      <c r="BA2542" s="1">
        <v>9</v>
      </c>
      <c r="BB2542" s="1">
        <v>0</v>
      </c>
      <c r="BC2542" s="1">
        <v>0</v>
      </c>
      <c r="BE2542" s="1">
        <v>27432006</v>
      </c>
    </row>
    <row r="2543" spans="1:57" x14ac:dyDescent="0.25">
      <c r="A2543" s="1" t="str">
        <f>T("1946913726989537968")</f>
        <v>1946913726989537968</v>
      </c>
      <c r="B2543" s="1" t="str">
        <f>T("249963345674")</f>
        <v>249963345674</v>
      </c>
      <c r="C2543" s="1" t="str">
        <f>T("1941094503603503708")</f>
        <v>1941094503603503708</v>
      </c>
      <c r="AC2543" s="1" t="s">
        <v>344</v>
      </c>
      <c r="AD2543" s="1" t="s">
        <v>441</v>
      </c>
      <c r="AE2543" s="1" t="s">
        <v>530</v>
      </c>
      <c r="AF2543" s="1" t="s">
        <v>144</v>
      </c>
      <c r="AG2543" s="1">
        <v>25</v>
      </c>
      <c r="AO2543" s="2">
        <v>46281</v>
      </c>
      <c r="AP2543" s="1" t="s">
        <v>301</v>
      </c>
      <c r="AS2543" s="1" t="s">
        <v>71</v>
      </c>
      <c r="AU2543" s="1" t="s">
        <v>72</v>
      </c>
      <c r="AV2543" s="1" t="s">
        <v>437</v>
      </c>
      <c r="AX2543" s="1">
        <v>0</v>
      </c>
      <c r="BA2543" s="1">
        <v>9</v>
      </c>
      <c r="BB2543" s="1">
        <v>0</v>
      </c>
      <c r="BC2543" s="1">
        <v>0</v>
      </c>
      <c r="BE2543" s="1">
        <v>27432006</v>
      </c>
    </row>
    <row r="2544" spans="1:57" x14ac:dyDescent="0.25">
      <c r="A2544" s="1" t="str">
        <f>T("1946913726989538668")</f>
        <v>1946913726989538668</v>
      </c>
      <c r="B2544" s="1" t="str">
        <f>T("249960168015")</f>
        <v>249960168015</v>
      </c>
      <c r="C2544" s="1" t="str">
        <f>T("1941094503599312700")</f>
        <v>1941094503599312700</v>
      </c>
      <c r="AC2544" s="1" t="s">
        <v>344</v>
      </c>
      <c r="AD2544" s="1" t="s">
        <v>441</v>
      </c>
      <c r="AE2544" s="1" t="s">
        <v>530</v>
      </c>
      <c r="AF2544" s="1" t="s">
        <v>144</v>
      </c>
      <c r="AG2544" s="1">
        <v>45</v>
      </c>
      <c r="AO2544" s="2">
        <v>46281</v>
      </c>
      <c r="AP2544" s="1" t="s">
        <v>301</v>
      </c>
      <c r="AS2544" s="1" t="s">
        <v>71</v>
      </c>
      <c r="AU2544" s="1" t="s">
        <v>72</v>
      </c>
      <c r="AV2544" s="1" t="s">
        <v>73</v>
      </c>
      <c r="AX2544" s="1">
        <v>0</v>
      </c>
      <c r="BA2544" s="1">
        <v>9</v>
      </c>
      <c r="BB2544" s="1">
        <v>0</v>
      </c>
      <c r="BC2544" s="1">
        <v>0</v>
      </c>
      <c r="BE2544" s="1">
        <v>27432006</v>
      </c>
    </row>
    <row r="2545" spans="1:57" x14ac:dyDescent="0.25">
      <c r="A2545" s="1" t="str">
        <f>T("1946913727077617936")</f>
        <v>1946913727077617936</v>
      </c>
      <c r="B2545" s="1" t="str">
        <f>T("249908222947")</f>
        <v>249908222947</v>
      </c>
      <c r="C2545" s="1" t="str">
        <f>T("1941094503595116892")</f>
        <v>1941094503595116892</v>
      </c>
      <c r="AC2545" s="1" t="s">
        <v>344</v>
      </c>
      <c r="AD2545" s="1" t="s">
        <v>441</v>
      </c>
      <c r="AE2545" s="1" t="s">
        <v>530</v>
      </c>
      <c r="AF2545" s="1" t="s">
        <v>144</v>
      </c>
      <c r="AG2545" s="1">
        <v>68</v>
      </c>
      <c r="AO2545" s="2">
        <v>46281</v>
      </c>
      <c r="AP2545" s="1" t="s">
        <v>301</v>
      </c>
      <c r="AS2545" s="1" t="s">
        <v>71</v>
      </c>
      <c r="AU2545" s="1" t="s">
        <v>72</v>
      </c>
      <c r="AV2545" s="1" t="s">
        <v>437</v>
      </c>
      <c r="AX2545" s="1">
        <v>0</v>
      </c>
      <c r="BA2545" s="1">
        <v>9</v>
      </c>
      <c r="BB2545" s="1">
        <v>0</v>
      </c>
      <c r="BC2545" s="1">
        <v>0</v>
      </c>
      <c r="BE2545" s="1">
        <v>27432006</v>
      </c>
    </row>
    <row r="2546" spans="1:57" x14ac:dyDescent="0.25">
      <c r="A2546" s="1" t="str">
        <f>T("1946913727077620836")</f>
        <v>1946913727077620836</v>
      </c>
      <c r="B2546" s="1" t="str">
        <f>T("249964370177")</f>
        <v>249964370177</v>
      </c>
      <c r="C2546" s="1" t="str">
        <f>T("1941094503603504308")</f>
        <v>1941094503603504308</v>
      </c>
      <c r="AC2546" s="1" t="s">
        <v>344</v>
      </c>
      <c r="AD2546" s="1" t="s">
        <v>372</v>
      </c>
      <c r="AE2546" s="1" t="s">
        <v>818</v>
      </c>
      <c r="AF2546" s="1" t="s">
        <v>107</v>
      </c>
      <c r="AG2546" s="1">
        <v>90</v>
      </c>
      <c r="AO2546" s="2">
        <v>46281</v>
      </c>
      <c r="AP2546" s="1" t="s">
        <v>301</v>
      </c>
      <c r="AS2546" s="1" t="s">
        <v>71</v>
      </c>
      <c r="AU2546" s="1" t="s">
        <v>72</v>
      </c>
      <c r="AV2546" s="1" t="s">
        <v>437</v>
      </c>
      <c r="AX2546" s="1">
        <v>0</v>
      </c>
      <c r="BA2546" s="1">
        <v>9</v>
      </c>
      <c r="BB2546" s="1">
        <v>0</v>
      </c>
      <c r="BC2546" s="1">
        <v>0</v>
      </c>
      <c r="BE2546" s="1">
        <v>27432006</v>
      </c>
    </row>
    <row r="2547" spans="1:57" x14ac:dyDescent="0.25">
      <c r="A2547" s="1" t="str">
        <f>T("1946913727090202960")</f>
        <v>1946913727090202960</v>
      </c>
      <c r="B2547" s="1" t="str">
        <f>T("249960918067")</f>
        <v>249960918067</v>
      </c>
      <c r="C2547" s="1" t="str">
        <f>T("1941094503603504908")</f>
        <v>1941094503603504908</v>
      </c>
      <c r="AC2547" s="1" t="s">
        <v>344</v>
      </c>
      <c r="AD2547" s="1" t="s">
        <v>430</v>
      </c>
      <c r="AE2547" s="1" t="s">
        <v>530</v>
      </c>
      <c r="AF2547" s="1" t="s">
        <v>144</v>
      </c>
      <c r="AG2547" s="1">
        <v>45</v>
      </c>
      <c r="AO2547" s="2">
        <v>46281</v>
      </c>
      <c r="AP2547" s="1" t="s">
        <v>301</v>
      </c>
      <c r="AS2547" s="1" t="s">
        <v>71</v>
      </c>
      <c r="AU2547" s="1" t="s">
        <v>72</v>
      </c>
      <c r="AV2547" s="1" t="s">
        <v>73</v>
      </c>
      <c r="AX2547" s="1">
        <v>0</v>
      </c>
      <c r="BA2547" s="1">
        <v>9</v>
      </c>
      <c r="BB2547" s="1">
        <v>0</v>
      </c>
      <c r="BC2547" s="1">
        <v>0</v>
      </c>
      <c r="BE2547" s="1">
        <v>27432006</v>
      </c>
    </row>
    <row r="2548" spans="1:57" x14ac:dyDescent="0.25">
      <c r="A2548" s="1" t="str">
        <f>T("1946913727140535956")</f>
        <v>1946913727140535956</v>
      </c>
      <c r="B2548" s="1" t="str">
        <f>T("249914416893")</f>
        <v>249914416893</v>
      </c>
      <c r="C2548" s="1" t="str">
        <f>T("1941094503611894024")</f>
        <v>1941094503611894024</v>
      </c>
      <c r="AC2548" s="1" t="s">
        <v>344</v>
      </c>
      <c r="AD2548" s="1" t="s">
        <v>430</v>
      </c>
      <c r="AE2548" s="1" t="s">
        <v>530</v>
      </c>
      <c r="AF2548" s="1" t="s">
        <v>107</v>
      </c>
      <c r="AG2548" s="1">
        <v>61</v>
      </c>
      <c r="AO2548" s="2">
        <v>46281</v>
      </c>
      <c r="AP2548" s="1" t="s">
        <v>301</v>
      </c>
      <c r="AS2548" s="1" t="s">
        <v>71</v>
      </c>
      <c r="AU2548" s="1" t="s">
        <v>72</v>
      </c>
      <c r="AV2548" s="1" t="s">
        <v>73</v>
      </c>
      <c r="AX2548" s="1">
        <v>0</v>
      </c>
      <c r="BA2548" s="1">
        <v>9</v>
      </c>
      <c r="BB2548" s="1">
        <v>0</v>
      </c>
      <c r="BC2548" s="1">
        <v>0</v>
      </c>
      <c r="BE2548" s="1">
        <v>27432006</v>
      </c>
    </row>
    <row r="2549" spans="1:57" x14ac:dyDescent="0.25">
      <c r="A2549" s="1" t="str">
        <f>T("1946913727157312288")</f>
        <v>1946913727157312288</v>
      </c>
      <c r="B2549" s="1" t="str">
        <f>T("249909072561")</f>
        <v>249909072561</v>
      </c>
      <c r="C2549" s="1" t="str">
        <f>T("1941094503620283640")</f>
        <v>1941094503620283640</v>
      </c>
      <c r="AC2549" s="1" t="s">
        <v>344</v>
      </c>
      <c r="AD2549" s="1" t="s">
        <v>357</v>
      </c>
      <c r="AE2549" s="1" t="s">
        <v>812</v>
      </c>
      <c r="AF2549" s="1" t="s">
        <v>107</v>
      </c>
      <c r="AG2549" s="1">
        <v>60</v>
      </c>
      <c r="AO2549" s="2">
        <v>46281</v>
      </c>
      <c r="AP2549" s="1" t="s">
        <v>301</v>
      </c>
      <c r="AS2549" s="1" t="s">
        <v>71</v>
      </c>
      <c r="AU2549" s="1" t="s">
        <v>72</v>
      </c>
      <c r="AV2549" s="1" t="s">
        <v>437</v>
      </c>
      <c r="AX2549" s="1">
        <v>0</v>
      </c>
      <c r="BA2549" s="1">
        <v>9</v>
      </c>
      <c r="BB2549" s="1">
        <v>0</v>
      </c>
      <c r="BC2549" s="1">
        <v>0</v>
      </c>
      <c r="BE2549" s="1">
        <v>27432006</v>
      </c>
    </row>
    <row r="2550" spans="1:57" x14ac:dyDescent="0.25">
      <c r="A2550" s="1" t="str">
        <f>T("1946913727203449476")</f>
        <v>1946913727203449476</v>
      </c>
      <c r="B2550" s="1" t="str">
        <f>T("249969081001")</f>
        <v>249969081001</v>
      </c>
      <c r="C2550" s="1" t="str">
        <f>T("1941094503624476048")</f>
        <v>1941094503624476048</v>
      </c>
      <c r="AC2550" s="1" t="s">
        <v>344</v>
      </c>
      <c r="AD2550" s="1" t="s">
        <v>372</v>
      </c>
      <c r="AE2550" s="1" t="s">
        <v>814</v>
      </c>
      <c r="AF2550" s="1" t="s">
        <v>107</v>
      </c>
      <c r="AG2550" s="1">
        <v>46</v>
      </c>
      <c r="AO2550" s="2">
        <v>46281</v>
      </c>
      <c r="AP2550" s="1" t="s">
        <v>301</v>
      </c>
      <c r="AS2550" s="1" t="s">
        <v>71</v>
      </c>
      <c r="AU2550" s="1" t="s">
        <v>72</v>
      </c>
      <c r="AV2550" s="1" t="s">
        <v>73</v>
      </c>
      <c r="AX2550" s="1">
        <v>0</v>
      </c>
      <c r="BA2550" s="1">
        <v>9</v>
      </c>
      <c r="BB2550" s="1">
        <v>0</v>
      </c>
      <c r="BC2550" s="1">
        <v>0</v>
      </c>
      <c r="BE2550" s="1">
        <v>27432006</v>
      </c>
    </row>
    <row r="2551" spans="1:57" x14ac:dyDescent="0.25">
      <c r="A2551" s="1" t="str">
        <f>T("1946913727211838892")</f>
        <v>1946913727211838892</v>
      </c>
      <c r="B2551" s="1" t="str">
        <f>T("249915264108")</f>
        <v>249915264108</v>
      </c>
      <c r="C2551" s="1" t="str">
        <f>T("1941094503632865464")</f>
        <v>1941094503632865464</v>
      </c>
      <c r="AC2551" s="1" t="s">
        <v>344</v>
      </c>
      <c r="AD2551" s="1" t="s">
        <v>441</v>
      </c>
      <c r="AE2551" s="1" t="s">
        <v>530</v>
      </c>
      <c r="AF2551" s="1" t="s">
        <v>107</v>
      </c>
      <c r="AG2551" s="1">
        <v>35</v>
      </c>
      <c r="AO2551" s="2">
        <v>46281</v>
      </c>
      <c r="AP2551" s="1" t="s">
        <v>301</v>
      </c>
      <c r="AS2551" s="1" t="s">
        <v>71</v>
      </c>
      <c r="AU2551" s="1" t="s">
        <v>72</v>
      </c>
      <c r="AV2551" s="1" t="s">
        <v>437</v>
      </c>
      <c r="AX2551" s="1">
        <v>0</v>
      </c>
      <c r="BA2551" s="1">
        <v>9</v>
      </c>
      <c r="BB2551" s="1">
        <v>0</v>
      </c>
      <c r="BC2551" s="1">
        <v>0</v>
      </c>
      <c r="BE2551" s="1">
        <v>27432006</v>
      </c>
    </row>
    <row r="2552" spans="1:57" x14ac:dyDescent="0.25">
      <c r="A2552" s="1" t="str">
        <f>T("1946913727245389856")</f>
        <v>1946913727245389856</v>
      </c>
      <c r="B2552" s="1" t="str">
        <f>T("249968801433")</f>
        <v>249968801433</v>
      </c>
      <c r="C2552" s="1" t="str">
        <f>T("1941094503653837304")</f>
        <v>1941094503653837304</v>
      </c>
      <c r="AC2552" s="1" t="s">
        <v>344</v>
      </c>
      <c r="AD2552" s="1" t="s">
        <v>430</v>
      </c>
      <c r="AE2552" s="1" t="s">
        <v>530</v>
      </c>
      <c r="AF2552" s="1" t="s">
        <v>144</v>
      </c>
      <c r="AG2552" s="1">
        <v>23</v>
      </c>
      <c r="AO2552" s="2">
        <v>46281</v>
      </c>
      <c r="AP2552" s="1" t="s">
        <v>301</v>
      </c>
      <c r="AS2552" s="1" t="s">
        <v>71</v>
      </c>
      <c r="AU2552" s="1" t="s">
        <v>72</v>
      </c>
      <c r="AV2552" s="1" t="s">
        <v>437</v>
      </c>
      <c r="AX2552" s="1">
        <v>0</v>
      </c>
      <c r="BA2552" s="1">
        <v>9</v>
      </c>
      <c r="BB2552" s="1">
        <v>0</v>
      </c>
      <c r="BC2552" s="1">
        <v>0</v>
      </c>
      <c r="BE2552" s="1">
        <v>27432006</v>
      </c>
    </row>
    <row r="2553" spans="1:57" x14ac:dyDescent="0.25">
      <c r="A2553" s="1" t="str">
        <f>T("1946913727270559504")</f>
        <v>1946913727270559504</v>
      </c>
      <c r="B2553" s="1" t="str">
        <f>T("249906443290")</f>
        <v>249906443290</v>
      </c>
      <c r="C2553" s="1" t="str">
        <f>T("1941094503658030712")</f>
        <v>1941094503658030712</v>
      </c>
      <c r="AC2553" s="1" t="s">
        <v>344</v>
      </c>
      <c r="AD2553" s="1" t="s">
        <v>372</v>
      </c>
      <c r="AE2553" s="1" t="s">
        <v>815</v>
      </c>
      <c r="AF2553" s="1" t="s">
        <v>144</v>
      </c>
      <c r="AG2553" s="1">
        <v>45</v>
      </c>
      <c r="AO2553" s="2">
        <v>46281</v>
      </c>
      <c r="AP2553" s="1" t="s">
        <v>301</v>
      </c>
      <c r="AS2553" s="1" t="s">
        <v>71</v>
      </c>
      <c r="AU2553" s="1" t="s">
        <v>72</v>
      </c>
      <c r="AV2553" s="1" t="s">
        <v>73</v>
      </c>
      <c r="AX2553" s="1">
        <v>0</v>
      </c>
      <c r="BA2553" s="1">
        <v>9</v>
      </c>
      <c r="BB2553" s="1">
        <v>0</v>
      </c>
      <c r="BC2553" s="1">
        <v>0</v>
      </c>
      <c r="BE2553" s="1">
        <v>27432006</v>
      </c>
    </row>
    <row r="2554" spans="1:57" x14ac:dyDescent="0.25">
      <c r="A2554" s="1" t="str">
        <f>T("1946913727278944920")</f>
        <v>1946913727278944920</v>
      </c>
      <c r="B2554" s="1" t="str">
        <f>T("249903193727")</f>
        <v>249903193727</v>
      </c>
      <c r="C2554" s="1" t="str">
        <f>T("1941094503662225720")</f>
        <v>1941094503662225720</v>
      </c>
      <c r="AC2554" s="1" t="s">
        <v>344</v>
      </c>
      <c r="AD2554" s="1" t="s">
        <v>372</v>
      </c>
      <c r="AE2554" s="1" t="s">
        <v>815</v>
      </c>
      <c r="AF2554" s="1" t="s">
        <v>107</v>
      </c>
      <c r="AG2554" s="1">
        <v>70</v>
      </c>
      <c r="AO2554" s="2">
        <v>46281</v>
      </c>
      <c r="AP2554" s="1" t="s">
        <v>301</v>
      </c>
      <c r="AS2554" s="1" t="s">
        <v>71</v>
      </c>
      <c r="AU2554" s="1" t="s">
        <v>72</v>
      </c>
      <c r="AV2554" s="1" t="s">
        <v>73</v>
      </c>
      <c r="AX2554" s="1">
        <v>0</v>
      </c>
      <c r="BA2554" s="1">
        <v>9</v>
      </c>
      <c r="BB2554" s="1">
        <v>0</v>
      </c>
      <c r="BC2554" s="1">
        <v>0</v>
      </c>
      <c r="BE2554" s="1">
        <v>27432006</v>
      </c>
    </row>
    <row r="2555" spans="1:57" x14ac:dyDescent="0.25">
      <c r="A2555" s="1" t="str">
        <f>T("1946913727346053448")</f>
        <v>1946913727346053448</v>
      </c>
      <c r="B2555" s="1" t="str">
        <f>T("249990176895")</f>
        <v>249990176895</v>
      </c>
      <c r="C2555" s="1" t="str">
        <f>T("1941094503683196960")</f>
        <v>1941094503683196960</v>
      </c>
      <c r="AC2555" s="1" t="s">
        <v>344</v>
      </c>
      <c r="AD2555" s="1" t="s">
        <v>372</v>
      </c>
      <c r="AE2555" s="1" t="s">
        <v>814</v>
      </c>
      <c r="AF2555" s="1" t="s">
        <v>144</v>
      </c>
      <c r="AG2555" s="1">
        <v>31</v>
      </c>
      <c r="AO2555" s="2">
        <v>46281</v>
      </c>
      <c r="AP2555" s="1" t="s">
        <v>301</v>
      </c>
      <c r="AS2555" s="1" t="s">
        <v>71</v>
      </c>
      <c r="AU2555" s="1" t="s">
        <v>72</v>
      </c>
      <c r="AV2555" s="1" t="s">
        <v>73</v>
      </c>
      <c r="AX2555" s="1">
        <v>0</v>
      </c>
      <c r="BA2555" s="1">
        <v>9</v>
      </c>
      <c r="BB2555" s="1">
        <v>0</v>
      </c>
      <c r="BC2555" s="1">
        <v>0</v>
      </c>
      <c r="BE2555" s="1">
        <v>27432006</v>
      </c>
    </row>
    <row r="2556" spans="1:57" x14ac:dyDescent="0.25">
      <c r="A2556" s="1" t="str">
        <f>T("1946913727346053848")</f>
        <v>1946913727346053848</v>
      </c>
      <c r="B2556" s="1" t="str">
        <f>T("249960581720")</f>
        <v>249960581720</v>
      </c>
      <c r="C2556" s="1" t="str">
        <f>T("1941094503679003452")</f>
        <v>1941094503679003452</v>
      </c>
      <c r="AC2556" s="1" t="s">
        <v>344</v>
      </c>
      <c r="AD2556" s="1" t="s">
        <v>372</v>
      </c>
      <c r="AE2556" s="1" t="s">
        <v>373</v>
      </c>
      <c r="AF2556" s="1" t="s">
        <v>107</v>
      </c>
      <c r="AG2556" s="1">
        <v>49</v>
      </c>
      <c r="AO2556" s="2">
        <v>46281</v>
      </c>
      <c r="AP2556" s="1" t="s">
        <v>301</v>
      </c>
      <c r="AS2556" s="1" t="s">
        <v>71</v>
      </c>
      <c r="AU2556" s="1" t="s">
        <v>72</v>
      </c>
      <c r="AV2556" s="1" t="s">
        <v>437</v>
      </c>
      <c r="AX2556" s="1">
        <v>0</v>
      </c>
      <c r="BA2556" s="1">
        <v>9</v>
      </c>
      <c r="BB2556" s="1">
        <v>0</v>
      </c>
      <c r="BC2556" s="1">
        <v>0</v>
      </c>
      <c r="BE2556" s="1">
        <v>27432006</v>
      </c>
    </row>
    <row r="2557" spans="1:57" x14ac:dyDescent="0.25">
      <c r="A2557" s="1" t="str">
        <f>T("1946913727367024988")</f>
        <v>1946913727367024988</v>
      </c>
      <c r="B2557" s="1" t="str">
        <f>T("249919397303")</f>
        <v>249919397303</v>
      </c>
      <c r="C2557" s="1" t="str">
        <f>T("1941094503687389668")</f>
        <v>1941094503687389668</v>
      </c>
      <c r="AC2557" s="1" t="s">
        <v>344</v>
      </c>
      <c r="AD2557" s="1" t="s">
        <v>372</v>
      </c>
      <c r="AE2557" s="1" t="s">
        <v>815</v>
      </c>
      <c r="AF2557" s="1" t="s">
        <v>107</v>
      </c>
      <c r="AG2557" s="1">
        <v>49</v>
      </c>
      <c r="AO2557" s="2">
        <v>46281</v>
      </c>
      <c r="AP2557" s="1" t="s">
        <v>301</v>
      </c>
      <c r="AS2557" s="1" t="s">
        <v>71</v>
      </c>
      <c r="AU2557" s="1" t="s">
        <v>72</v>
      </c>
      <c r="AV2557" s="1" t="s">
        <v>73</v>
      </c>
      <c r="AX2557" s="1">
        <v>0</v>
      </c>
      <c r="BA2557" s="1">
        <v>9</v>
      </c>
      <c r="BB2557" s="1">
        <v>0</v>
      </c>
      <c r="BC2557" s="1">
        <v>0</v>
      </c>
      <c r="BE2557" s="1">
        <v>27432006</v>
      </c>
    </row>
    <row r="2558" spans="1:57" x14ac:dyDescent="0.25">
      <c r="A2558" s="1" t="str">
        <f>T("1946913727442522232")</f>
        <v>1946913727442522232</v>
      </c>
      <c r="B2558" s="1" t="str">
        <f>T("249119599749")</f>
        <v>249119599749</v>
      </c>
      <c r="C2558" s="1" t="str">
        <f>T("1941094503687390368")</f>
        <v>1941094503687390368</v>
      </c>
      <c r="AC2558" s="1" t="s">
        <v>344</v>
      </c>
      <c r="AD2558" s="1" t="s">
        <v>372</v>
      </c>
      <c r="AE2558" s="1" t="s">
        <v>813</v>
      </c>
      <c r="AF2558" s="1" t="s">
        <v>107</v>
      </c>
      <c r="AG2558" s="1">
        <v>52</v>
      </c>
      <c r="AO2558" s="2">
        <v>46281</v>
      </c>
      <c r="AP2558" s="1" t="s">
        <v>301</v>
      </c>
      <c r="AS2558" s="1" t="s">
        <v>71</v>
      </c>
      <c r="AU2558" s="1" t="s">
        <v>72</v>
      </c>
      <c r="AV2558" s="1" t="s">
        <v>115</v>
      </c>
      <c r="AX2558" s="1">
        <v>0</v>
      </c>
      <c r="BA2558" s="1">
        <v>9</v>
      </c>
      <c r="BB2558" s="1">
        <v>0</v>
      </c>
      <c r="BC2558" s="1">
        <v>0</v>
      </c>
      <c r="BE2558" s="1">
        <v>27432006</v>
      </c>
    </row>
    <row r="2559" spans="1:57" x14ac:dyDescent="0.25">
      <c r="A2559" s="1" t="str">
        <f>T("1946913727442522532")</f>
        <v>1946913727442522532</v>
      </c>
      <c r="B2559" s="1" t="str">
        <f>T("249967665763")</f>
        <v>249967665763</v>
      </c>
      <c r="C2559" s="1" t="str">
        <f>T("1941094503687391168")</f>
        <v>1941094503687391168</v>
      </c>
      <c r="AC2559" s="1" t="s">
        <v>344</v>
      </c>
      <c r="AD2559" s="1" t="s">
        <v>372</v>
      </c>
      <c r="AE2559" s="1" t="s">
        <v>815</v>
      </c>
      <c r="AF2559" s="1" t="s">
        <v>107</v>
      </c>
      <c r="AG2559" s="1">
        <v>75</v>
      </c>
      <c r="AO2559" s="2">
        <v>46281</v>
      </c>
      <c r="AP2559" s="1" t="s">
        <v>301</v>
      </c>
      <c r="AS2559" s="1" t="s">
        <v>71</v>
      </c>
      <c r="AU2559" s="1" t="s">
        <v>72</v>
      </c>
      <c r="AV2559" s="1" t="s">
        <v>73</v>
      </c>
      <c r="AX2559" s="1">
        <v>0</v>
      </c>
      <c r="BA2559" s="1">
        <v>9</v>
      </c>
      <c r="BB2559" s="1">
        <v>0</v>
      </c>
      <c r="BC2559" s="1">
        <v>0</v>
      </c>
      <c r="BE2559" s="1">
        <v>27432006</v>
      </c>
    </row>
    <row r="2560" spans="1:57" x14ac:dyDescent="0.25">
      <c r="A2560" s="1" t="str">
        <f>T("1946913727471883988")</f>
        <v>1946913727471883988</v>
      </c>
      <c r="B2560" s="1" t="str">
        <f>T("249974255408")</f>
        <v>249974255408</v>
      </c>
      <c r="C2560" s="1" t="str">
        <f>T("1941094503687391768")</f>
        <v>1941094503687391768</v>
      </c>
      <c r="AC2560" s="1" t="s">
        <v>344</v>
      </c>
      <c r="AD2560" s="1" t="s">
        <v>357</v>
      </c>
      <c r="AE2560" s="1" t="s">
        <v>812</v>
      </c>
      <c r="AF2560" s="1" t="s">
        <v>107</v>
      </c>
      <c r="AG2560" s="1">
        <v>42</v>
      </c>
      <c r="AO2560" s="2">
        <v>46281</v>
      </c>
      <c r="AP2560" s="1" t="s">
        <v>301</v>
      </c>
      <c r="AS2560" s="1" t="s">
        <v>71</v>
      </c>
      <c r="AU2560" s="1" t="s">
        <v>72</v>
      </c>
      <c r="AV2560" s="1" t="s">
        <v>73</v>
      </c>
      <c r="AX2560" s="1">
        <v>0</v>
      </c>
      <c r="BA2560" s="1">
        <v>9</v>
      </c>
      <c r="BB2560" s="1">
        <v>0</v>
      </c>
      <c r="BC2560" s="1">
        <v>0</v>
      </c>
      <c r="BE2560" s="1">
        <v>27432006</v>
      </c>
    </row>
    <row r="2561" spans="1:57" x14ac:dyDescent="0.25">
      <c r="A2561" s="1" t="str">
        <f>T("1946913727538992416")</f>
        <v>1946913727538992416</v>
      </c>
      <c r="B2561" s="1" t="str">
        <f>T("249910463202")</f>
        <v>249910463202</v>
      </c>
      <c r="C2561" s="1" t="str">
        <f>T("1941094503687392268")</f>
        <v>1941094503687392268</v>
      </c>
      <c r="AC2561" s="1" t="s">
        <v>344</v>
      </c>
      <c r="AD2561" s="1" t="s">
        <v>372</v>
      </c>
      <c r="AE2561" s="1" t="s">
        <v>815</v>
      </c>
      <c r="AF2561" s="1" t="s">
        <v>144</v>
      </c>
      <c r="AG2561" s="1">
        <v>26</v>
      </c>
      <c r="AO2561" s="2">
        <v>46281</v>
      </c>
      <c r="AP2561" s="1" t="s">
        <v>301</v>
      </c>
      <c r="AS2561" s="1" t="s">
        <v>71</v>
      </c>
      <c r="AU2561" s="1" t="s">
        <v>72</v>
      </c>
      <c r="AV2561" s="1" t="s">
        <v>73</v>
      </c>
      <c r="AX2561" s="1">
        <v>0</v>
      </c>
      <c r="BA2561" s="1">
        <v>9</v>
      </c>
      <c r="BB2561" s="1">
        <v>0</v>
      </c>
      <c r="BC2561" s="1">
        <v>0</v>
      </c>
      <c r="BE2561" s="1">
        <v>27432006</v>
      </c>
    </row>
    <row r="2562" spans="1:57" x14ac:dyDescent="0.25">
      <c r="A2562" s="1" t="str">
        <f>T("1946913727589324412")</f>
        <v>1946913727589324412</v>
      </c>
      <c r="B2562" s="1" t="str">
        <f>T("249908867598")</f>
        <v>249908867598</v>
      </c>
      <c r="C2562" s="1" t="str">
        <f>T("1941094503687392868")</f>
        <v>1941094503687392868</v>
      </c>
      <c r="AC2562" s="1" t="s">
        <v>344</v>
      </c>
      <c r="AD2562" s="1" t="s">
        <v>441</v>
      </c>
      <c r="AE2562" s="1" t="s">
        <v>530</v>
      </c>
      <c r="AF2562" s="1" t="s">
        <v>107</v>
      </c>
      <c r="AG2562" s="1">
        <v>28</v>
      </c>
      <c r="AO2562" s="2">
        <v>46281</v>
      </c>
      <c r="AP2562" s="1" t="s">
        <v>301</v>
      </c>
      <c r="AS2562" s="1" t="s">
        <v>71</v>
      </c>
      <c r="AU2562" s="1" t="s">
        <v>72</v>
      </c>
      <c r="AV2562" s="1" t="s">
        <v>437</v>
      </c>
      <c r="AX2562" s="1">
        <v>0</v>
      </c>
      <c r="BA2562" s="1">
        <v>9</v>
      </c>
      <c r="BB2562" s="1">
        <v>0</v>
      </c>
      <c r="BC2562" s="1">
        <v>0</v>
      </c>
      <c r="BE2562" s="1">
        <v>27432006</v>
      </c>
    </row>
    <row r="2563" spans="1:57" x14ac:dyDescent="0.25">
      <c r="A2563" s="1" t="str">
        <f>T("1946913727589325712")</f>
        <v>1946913727589325712</v>
      </c>
      <c r="B2563" s="1" t="str">
        <f>T("249962393063")</f>
        <v>249962393063</v>
      </c>
      <c r="C2563" s="1" t="str">
        <f>T("1941094503699974992")</f>
        <v>1941094503699974992</v>
      </c>
      <c r="AC2563" s="1" t="s">
        <v>344</v>
      </c>
      <c r="AD2563" s="1" t="s">
        <v>430</v>
      </c>
      <c r="AE2563" s="1" t="s">
        <v>530</v>
      </c>
      <c r="AF2563" s="1" t="s">
        <v>107</v>
      </c>
      <c r="AG2563" s="1">
        <v>40</v>
      </c>
      <c r="AO2563" s="2">
        <v>46281</v>
      </c>
      <c r="AP2563" s="1" t="s">
        <v>301</v>
      </c>
      <c r="AS2563" s="1" t="s">
        <v>71</v>
      </c>
      <c r="AU2563" s="1" t="s">
        <v>72</v>
      </c>
      <c r="AV2563" s="1" t="s">
        <v>437</v>
      </c>
      <c r="AX2563" s="1">
        <v>0</v>
      </c>
      <c r="BA2563" s="1">
        <v>9</v>
      </c>
      <c r="BB2563" s="1">
        <v>0</v>
      </c>
      <c r="BC2563" s="1">
        <v>0</v>
      </c>
      <c r="BE2563" s="1">
        <v>27432006</v>
      </c>
    </row>
    <row r="2564" spans="1:57" x14ac:dyDescent="0.25">
      <c r="A2564" s="1" t="str">
        <f>T("1946913727643848816")</f>
        <v>1946913727643848816</v>
      </c>
      <c r="B2564" s="1" t="str">
        <f>T("249902662099")</f>
        <v>249902662099</v>
      </c>
      <c r="C2564" s="1" t="str">
        <f>T("1941094503699975792")</f>
        <v>1941094503699975792</v>
      </c>
      <c r="AC2564" s="1" t="s">
        <v>344</v>
      </c>
      <c r="AD2564" s="1" t="s">
        <v>441</v>
      </c>
      <c r="AE2564" s="1" t="s">
        <v>530</v>
      </c>
      <c r="AF2564" s="1" t="s">
        <v>107</v>
      </c>
      <c r="AG2564" s="1">
        <v>32</v>
      </c>
      <c r="AO2564" s="2">
        <v>46281</v>
      </c>
      <c r="AP2564" s="1" t="s">
        <v>301</v>
      </c>
      <c r="AS2564" s="1" t="s">
        <v>71</v>
      </c>
      <c r="AU2564" s="1" t="s">
        <v>72</v>
      </c>
      <c r="AV2564" s="1" t="s">
        <v>437</v>
      </c>
      <c r="AX2564" s="1">
        <v>0</v>
      </c>
      <c r="BA2564" s="1">
        <v>9</v>
      </c>
      <c r="BB2564" s="1">
        <v>0</v>
      </c>
      <c r="BC2564" s="1">
        <v>0</v>
      </c>
      <c r="BE2564" s="1">
        <v>27432006</v>
      </c>
    </row>
    <row r="2565" spans="1:57" x14ac:dyDescent="0.25">
      <c r="A2565" s="1" t="str">
        <f>T("1946913727669016064")</f>
        <v>1946913727669016064</v>
      </c>
      <c r="B2565" s="1" t="str">
        <f>T("249904780396")</f>
        <v>249904780396</v>
      </c>
      <c r="C2565" s="1" t="str">
        <f>T("1941094503704166800")</f>
        <v>1941094503704166800</v>
      </c>
      <c r="AC2565" s="1" t="s">
        <v>344</v>
      </c>
      <c r="AD2565" s="1" t="s">
        <v>441</v>
      </c>
      <c r="AE2565" s="1" t="s">
        <v>530</v>
      </c>
      <c r="AF2565" s="1" t="s">
        <v>144</v>
      </c>
      <c r="AG2565" s="1">
        <v>48</v>
      </c>
      <c r="AO2565" s="2">
        <v>46281</v>
      </c>
      <c r="AP2565" s="1" t="s">
        <v>301</v>
      </c>
      <c r="AS2565" s="1" t="s">
        <v>71</v>
      </c>
      <c r="AU2565" s="1" t="s">
        <v>72</v>
      </c>
      <c r="AV2565" s="1" t="s">
        <v>73</v>
      </c>
      <c r="AX2565" s="1">
        <v>0</v>
      </c>
      <c r="BA2565" s="1">
        <v>9</v>
      </c>
      <c r="BB2565" s="1">
        <v>0</v>
      </c>
      <c r="BC2565" s="1">
        <v>0</v>
      </c>
      <c r="BE2565" s="1">
        <v>27432006</v>
      </c>
    </row>
    <row r="2566" spans="1:57" x14ac:dyDescent="0.25">
      <c r="A2566" s="1" t="str">
        <f>T("1946913727669016664")</f>
        <v>1946913727669016664</v>
      </c>
      <c r="B2566" s="1" t="str">
        <f>T("249910427325")</f>
        <v>249910427325</v>
      </c>
      <c r="C2566" s="1" t="str">
        <f>T("1941094503704167300")</f>
        <v>1941094503704167300</v>
      </c>
      <c r="AC2566" s="1" t="s">
        <v>344</v>
      </c>
      <c r="AD2566" s="1" t="s">
        <v>372</v>
      </c>
      <c r="AE2566" s="1" t="s">
        <v>818</v>
      </c>
      <c r="AF2566" s="1" t="s">
        <v>107</v>
      </c>
      <c r="AG2566" s="1">
        <v>50</v>
      </c>
      <c r="AO2566" s="2">
        <v>46281</v>
      </c>
      <c r="AP2566" s="1" t="s">
        <v>301</v>
      </c>
      <c r="AS2566" s="1" t="s">
        <v>71</v>
      </c>
      <c r="AU2566" s="1" t="s">
        <v>72</v>
      </c>
      <c r="AV2566" s="1" t="s">
        <v>437</v>
      </c>
      <c r="AX2566" s="1">
        <v>0</v>
      </c>
      <c r="BA2566" s="1">
        <v>9</v>
      </c>
      <c r="BB2566" s="1">
        <v>0</v>
      </c>
      <c r="BC2566" s="1">
        <v>0</v>
      </c>
      <c r="BE2566" s="1">
        <v>27432006</v>
      </c>
    </row>
    <row r="2567" spans="1:57" x14ac:dyDescent="0.25">
      <c r="A2567" s="1" t="str">
        <f>T("1946913727740318900")</f>
        <v>1946913727740318900</v>
      </c>
      <c r="B2567" s="1" t="str">
        <f>T("249910581059")</f>
        <v>249910581059</v>
      </c>
      <c r="C2567" s="1" t="str">
        <f>T("1941094503704167800")</f>
        <v>1941094503704167800</v>
      </c>
      <c r="AC2567" s="1" t="s">
        <v>344</v>
      </c>
      <c r="AD2567" s="1" t="s">
        <v>372</v>
      </c>
      <c r="AE2567" s="1" t="s">
        <v>815</v>
      </c>
      <c r="AF2567" s="1" t="s">
        <v>107</v>
      </c>
      <c r="AG2567" s="1">
        <v>48</v>
      </c>
      <c r="AO2567" s="2">
        <v>46281</v>
      </c>
      <c r="AP2567" s="1" t="s">
        <v>301</v>
      </c>
      <c r="AS2567" s="1" t="s">
        <v>71</v>
      </c>
      <c r="AU2567" s="1" t="s">
        <v>72</v>
      </c>
      <c r="AV2567" s="1" t="s">
        <v>73</v>
      </c>
      <c r="AX2567" s="1">
        <v>0</v>
      </c>
      <c r="BA2567" s="1">
        <v>9</v>
      </c>
      <c r="BB2567" s="1">
        <v>0</v>
      </c>
      <c r="BC2567" s="1">
        <v>0</v>
      </c>
      <c r="BE2567" s="1">
        <v>27432006</v>
      </c>
    </row>
    <row r="2568" spans="1:57" x14ac:dyDescent="0.25">
      <c r="A2568" s="1" t="str">
        <f>T("1946913727765485648")</f>
        <v>1946913727765485648</v>
      </c>
      <c r="B2568" s="1" t="str">
        <f>T("249911394841")</f>
        <v>249911394841</v>
      </c>
      <c r="C2568" s="1" t="str">
        <f>T("1941094503704168400")</f>
        <v>1941094503704168400</v>
      </c>
      <c r="AC2568" s="1" t="s">
        <v>344</v>
      </c>
      <c r="AD2568" s="1" t="s">
        <v>430</v>
      </c>
      <c r="AE2568" s="1" t="s">
        <v>530</v>
      </c>
      <c r="AF2568" s="1" t="s">
        <v>107</v>
      </c>
      <c r="AG2568" s="1">
        <v>52</v>
      </c>
      <c r="AO2568" s="2">
        <v>46281</v>
      </c>
      <c r="AP2568" s="1" t="s">
        <v>301</v>
      </c>
      <c r="AS2568" s="1" t="s">
        <v>71</v>
      </c>
      <c r="AU2568" s="1" t="s">
        <v>72</v>
      </c>
      <c r="AV2568" s="1" t="s">
        <v>73</v>
      </c>
      <c r="AX2568" s="1">
        <v>0</v>
      </c>
      <c r="BA2568" s="1">
        <v>9</v>
      </c>
      <c r="BB2568" s="1">
        <v>0</v>
      </c>
      <c r="BC2568" s="1">
        <v>0</v>
      </c>
      <c r="BE2568" s="1">
        <v>27432006</v>
      </c>
    </row>
    <row r="2569" spans="1:57" x14ac:dyDescent="0.25">
      <c r="A2569" s="1" t="str">
        <f>T("1946913727790651096")</f>
        <v>1946913727790651096</v>
      </c>
      <c r="B2569" s="1" t="str">
        <f>T("249905485529")</f>
        <v>249905485529</v>
      </c>
      <c r="C2569" s="1" t="str">
        <f>T("1941094503704169700")</f>
        <v>1941094503704169700</v>
      </c>
      <c r="AC2569" s="1" t="s">
        <v>344</v>
      </c>
      <c r="AD2569" s="1" t="s">
        <v>430</v>
      </c>
      <c r="AE2569" s="1" t="s">
        <v>530</v>
      </c>
      <c r="AF2569" s="1" t="s">
        <v>107</v>
      </c>
      <c r="AG2569" s="1">
        <v>20</v>
      </c>
      <c r="AO2569" s="2">
        <v>46281</v>
      </c>
      <c r="AP2569" s="1" t="s">
        <v>301</v>
      </c>
      <c r="AS2569" s="1" t="s">
        <v>71</v>
      </c>
      <c r="AU2569" s="1" t="s">
        <v>72</v>
      </c>
      <c r="AV2569" s="1" t="s">
        <v>73</v>
      </c>
      <c r="AX2569" s="1">
        <v>0</v>
      </c>
      <c r="BA2569" s="1">
        <v>9</v>
      </c>
      <c r="BB2569" s="1">
        <v>0</v>
      </c>
      <c r="BC2569" s="1">
        <v>0</v>
      </c>
      <c r="BE2569" s="1">
        <v>27432006</v>
      </c>
    </row>
    <row r="2570" spans="1:57" x14ac:dyDescent="0.25">
      <c r="A2570" s="1" t="str">
        <f>T("1946913727853567516")</f>
        <v>1946913727853567516</v>
      </c>
      <c r="B2570" s="1" t="str">
        <f>T("249910133572")</f>
        <v>249910133572</v>
      </c>
      <c r="C2570" s="1" t="str">
        <f>T("1941094503708361008")</f>
        <v>1941094503708361008</v>
      </c>
      <c r="AC2570" s="1" t="s">
        <v>344</v>
      </c>
      <c r="AD2570" s="1" t="s">
        <v>357</v>
      </c>
      <c r="AE2570" s="1" t="s">
        <v>817</v>
      </c>
      <c r="AF2570" s="1" t="s">
        <v>107</v>
      </c>
      <c r="AG2570" s="1">
        <v>52</v>
      </c>
      <c r="AO2570" s="2">
        <v>46281</v>
      </c>
      <c r="AP2570" s="1" t="s">
        <v>301</v>
      </c>
      <c r="AS2570" s="1" t="s">
        <v>71</v>
      </c>
      <c r="AU2570" s="1" t="s">
        <v>72</v>
      </c>
      <c r="AV2570" s="1" t="s">
        <v>73</v>
      </c>
      <c r="AX2570" s="1">
        <v>0</v>
      </c>
      <c r="BA2570" s="1">
        <v>9</v>
      </c>
      <c r="BB2570" s="1">
        <v>0</v>
      </c>
      <c r="BC2570" s="1">
        <v>0</v>
      </c>
      <c r="BE2570" s="1">
        <v>27432006</v>
      </c>
    </row>
    <row r="2571" spans="1:57" x14ac:dyDescent="0.25">
      <c r="A2571" s="1" t="str">
        <f>T("1946913727857758924")</f>
        <v>1946913727857758924</v>
      </c>
      <c r="B2571" s="1" t="str">
        <f>T("249916786731")</f>
        <v>249916786731</v>
      </c>
      <c r="C2571" s="1" t="str">
        <f>T("1941094503704170300")</f>
        <v>1941094503704170300</v>
      </c>
      <c r="AC2571" s="1" t="s">
        <v>344</v>
      </c>
      <c r="AD2571" s="1" t="s">
        <v>372</v>
      </c>
      <c r="AE2571" s="1" t="s">
        <v>813</v>
      </c>
      <c r="AF2571" s="1" t="s">
        <v>107</v>
      </c>
      <c r="AG2571" s="1">
        <v>27</v>
      </c>
      <c r="AO2571" s="2">
        <v>46281</v>
      </c>
      <c r="AP2571" s="1" t="s">
        <v>301</v>
      </c>
      <c r="AS2571" s="1" t="s">
        <v>71</v>
      </c>
      <c r="AU2571" s="1" t="s">
        <v>72</v>
      </c>
      <c r="AV2571" s="1" t="s">
        <v>73</v>
      </c>
      <c r="AX2571" s="1">
        <v>0</v>
      </c>
      <c r="BA2571" s="1">
        <v>9</v>
      </c>
      <c r="BB2571" s="1">
        <v>0</v>
      </c>
      <c r="BC2571" s="1">
        <v>0</v>
      </c>
      <c r="BE2571" s="1">
        <v>27432006</v>
      </c>
    </row>
    <row r="2572" spans="1:57" x14ac:dyDescent="0.25">
      <c r="A2572" s="1" t="str">
        <f>T("1946913727895509896")</f>
        <v>1946913727895509896</v>
      </c>
      <c r="B2572" s="1" t="str">
        <f>T("249910272850")</f>
        <v>249910272850</v>
      </c>
      <c r="C2572" s="1" t="str">
        <f>T("1941094503708362008")</f>
        <v>1941094503708362008</v>
      </c>
      <c r="AC2572" s="1" t="s">
        <v>344</v>
      </c>
      <c r="AD2572" s="1" t="s">
        <v>441</v>
      </c>
      <c r="AE2572" s="1" t="s">
        <v>530</v>
      </c>
      <c r="AF2572" s="1" t="s">
        <v>107</v>
      </c>
      <c r="AG2572" s="1">
        <v>50</v>
      </c>
      <c r="AO2572" s="2">
        <v>46281</v>
      </c>
      <c r="AP2572" s="1" t="s">
        <v>301</v>
      </c>
      <c r="AS2572" s="1" t="s">
        <v>71</v>
      </c>
      <c r="AU2572" s="1" t="s">
        <v>72</v>
      </c>
      <c r="AV2572" s="1" t="s">
        <v>437</v>
      </c>
      <c r="AX2572" s="1">
        <v>0</v>
      </c>
      <c r="BA2572" s="1">
        <v>9</v>
      </c>
      <c r="BB2572" s="1">
        <v>0</v>
      </c>
      <c r="BC2572" s="1">
        <v>0</v>
      </c>
      <c r="BE2572" s="1">
        <v>27432006</v>
      </c>
    </row>
    <row r="2573" spans="1:57" x14ac:dyDescent="0.25">
      <c r="A2573" s="1" t="str">
        <f>T("1946913727945842192")</f>
        <v>1946913727945842192</v>
      </c>
      <c r="B2573" s="1" t="str">
        <f>T("249966813108")</f>
        <v>249966813108</v>
      </c>
      <c r="C2573" s="1" t="str">
        <f>T("1941094503708362808")</f>
        <v>1941094503708362808</v>
      </c>
      <c r="AC2573" s="1" t="s">
        <v>344</v>
      </c>
      <c r="AD2573" s="1" t="s">
        <v>441</v>
      </c>
      <c r="AE2573" s="1" t="s">
        <v>530</v>
      </c>
      <c r="AF2573" s="1" t="s">
        <v>107</v>
      </c>
      <c r="AG2573" s="1">
        <v>40</v>
      </c>
      <c r="AO2573" s="2">
        <v>46281</v>
      </c>
      <c r="AP2573" s="1" t="s">
        <v>301</v>
      </c>
      <c r="AS2573" s="1" t="s">
        <v>71</v>
      </c>
      <c r="AU2573" s="1" t="s">
        <v>72</v>
      </c>
      <c r="AV2573" s="1" t="s">
        <v>437</v>
      </c>
      <c r="AX2573" s="1">
        <v>0</v>
      </c>
      <c r="BA2573" s="1">
        <v>9</v>
      </c>
      <c r="BB2573" s="1">
        <v>0</v>
      </c>
      <c r="BC2573" s="1">
        <v>0</v>
      </c>
      <c r="BE2573" s="1">
        <v>27432006</v>
      </c>
    </row>
    <row r="2574" spans="1:57" x14ac:dyDescent="0.25">
      <c r="A2574" s="1" t="str">
        <f>T("1946913727954229908")</f>
        <v>1946913727954229908</v>
      </c>
      <c r="B2574" s="1" t="str">
        <f>T("249920945886")</f>
        <v>249920945886</v>
      </c>
      <c r="C2574" s="1" t="str">
        <f>T("1941094503708363508")</f>
        <v>1941094503708363508</v>
      </c>
      <c r="AC2574" s="1" t="s">
        <v>344</v>
      </c>
      <c r="AD2574" s="1" t="s">
        <v>372</v>
      </c>
      <c r="AE2574" s="1" t="s">
        <v>820</v>
      </c>
      <c r="AF2574" s="1" t="s">
        <v>107</v>
      </c>
      <c r="AG2574" s="1">
        <v>45</v>
      </c>
      <c r="AO2574" s="2">
        <v>46281</v>
      </c>
      <c r="AP2574" s="1" t="s">
        <v>301</v>
      </c>
      <c r="AQ2574" s="2">
        <v>46281</v>
      </c>
      <c r="AR2574" s="1" t="s">
        <v>703</v>
      </c>
      <c r="AS2574" s="1" t="s">
        <v>71</v>
      </c>
      <c r="AU2574" s="1" t="s">
        <v>79</v>
      </c>
      <c r="AV2574" s="1" t="s">
        <v>80</v>
      </c>
      <c r="AW2574" s="1">
        <v>35.82</v>
      </c>
      <c r="AX2574" s="1">
        <v>0</v>
      </c>
      <c r="AZ2574" s="1" t="s">
        <v>81</v>
      </c>
      <c r="BA2574" s="1">
        <v>1</v>
      </c>
      <c r="BB2574" s="1">
        <v>0</v>
      </c>
      <c r="BC2574" s="1">
        <v>0</v>
      </c>
      <c r="BE2574" s="1">
        <v>27432006</v>
      </c>
    </row>
    <row r="2575" spans="1:57" x14ac:dyDescent="0.25">
      <c r="A2575" s="1" t="str">
        <f>T("1946913728059086508")</f>
        <v>1946913728059086508</v>
      </c>
      <c r="B2575" s="1" t="str">
        <f>T("249960910628")</f>
        <v>249960910628</v>
      </c>
      <c r="C2575" s="1" t="str">
        <f>T("1941094503712557716")</f>
        <v>1941094503712557716</v>
      </c>
      <c r="AC2575" s="1" t="s">
        <v>344</v>
      </c>
      <c r="AD2575" s="1" t="s">
        <v>372</v>
      </c>
      <c r="AE2575" s="1" t="s">
        <v>827</v>
      </c>
      <c r="AF2575" s="1" t="s">
        <v>144</v>
      </c>
      <c r="AG2575" s="1">
        <v>70</v>
      </c>
      <c r="AO2575" s="2">
        <v>46281</v>
      </c>
      <c r="AP2575" s="1" t="s">
        <v>301</v>
      </c>
      <c r="AS2575" s="1" t="s">
        <v>71</v>
      </c>
      <c r="AU2575" s="1" t="s">
        <v>72</v>
      </c>
      <c r="AV2575" s="1" t="s">
        <v>73</v>
      </c>
      <c r="AX2575" s="1">
        <v>0</v>
      </c>
      <c r="BA2575" s="1">
        <v>9</v>
      </c>
      <c r="BB2575" s="1">
        <v>0</v>
      </c>
      <c r="BC2575" s="1">
        <v>0</v>
      </c>
      <c r="BE2575" s="1">
        <v>27432006</v>
      </c>
    </row>
    <row r="2576" spans="1:57" x14ac:dyDescent="0.25">
      <c r="A2576" s="1" t="str">
        <f>T("1946913728063281216")</f>
        <v>1946913728063281216</v>
      </c>
      <c r="B2576" s="1" t="str">
        <f>T("249911736419")</f>
        <v>249911736419</v>
      </c>
      <c r="C2576" s="1" t="str">
        <f>T("1941094503716750524")</f>
        <v>1941094503716750524</v>
      </c>
      <c r="AC2576" s="1" t="s">
        <v>344</v>
      </c>
      <c r="AD2576" s="1" t="s">
        <v>441</v>
      </c>
      <c r="AE2576" s="1" t="s">
        <v>530</v>
      </c>
      <c r="AF2576" s="1" t="s">
        <v>107</v>
      </c>
      <c r="AG2576" s="1">
        <v>45</v>
      </c>
      <c r="AO2576" s="2">
        <v>46281</v>
      </c>
      <c r="AP2576" s="1" t="s">
        <v>301</v>
      </c>
      <c r="AS2576" s="1" t="s">
        <v>71</v>
      </c>
      <c r="AU2576" s="1" t="s">
        <v>72</v>
      </c>
      <c r="AV2576" s="1" t="s">
        <v>437</v>
      </c>
      <c r="AX2576" s="1">
        <v>0</v>
      </c>
      <c r="BA2576" s="1">
        <v>9</v>
      </c>
      <c r="BB2576" s="1">
        <v>0</v>
      </c>
      <c r="BC2576" s="1">
        <v>0</v>
      </c>
      <c r="BE2576" s="1">
        <v>27432006</v>
      </c>
    </row>
    <row r="2577" spans="1:57" x14ac:dyDescent="0.25">
      <c r="A2577" s="1" t="str">
        <f>T("1946913728063281716")</f>
        <v>1946913728063281716</v>
      </c>
      <c r="B2577" s="1" t="str">
        <f>T("249919115961")</f>
        <v>249919115961</v>
      </c>
      <c r="C2577" s="1" t="str">
        <f>T("1941094503708364008")</f>
        <v>1941094503708364008</v>
      </c>
      <c r="AC2577" s="1" t="s">
        <v>344</v>
      </c>
      <c r="AD2577" s="1" t="s">
        <v>372</v>
      </c>
      <c r="AE2577" s="1" t="s">
        <v>818</v>
      </c>
      <c r="AF2577" s="1" t="s">
        <v>144</v>
      </c>
      <c r="AG2577" s="1">
        <v>59</v>
      </c>
      <c r="AO2577" s="2">
        <v>46281</v>
      </c>
      <c r="AP2577" s="1" t="s">
        <v>301</v>
      </c>
      <c r="AS2577" s="1" t="s">
        <v>71</v>
      </c>
      <c r="AU2577" s="1" t="s">
        <v>72</v>
      </c>
      <c r="AV2577" s="1" t="s">
        <v>73</v>
      </c>
      <c r="AX2577" s="1">
        <v>0</v>
      </c>
      <c r="BA2577" s="1">
        <v>9</v>
      </c>
      <c r="BB2577" s="1">
        <v>0</v>
      </c>
      <c r="BC2577" s="1">
        <v>0</v>
      </c>
      <c r="BE2577" s="1">
        <v>27432006</v>
      </c>
    </row>
    <row r="2578" spans="1:57" x14ac:dyDescent="0.25">
      <c r="A2578" s="1" t="str">
        <f>T("1946913728155557192")</f>
        <v>1946913728155557192</v>
      </c>
      <c r="B2578" s="1" t="str">
        <f>T("249903379436")</f>
        <v>249903379436</v>
      </c>
      <c r="C2578" s="1" t="str">
        <f>T("1941094503716751424")</f>
        <v>1941094503716751424</v>
      </c>
      <c r="AC2578" s="1" t="s">
        <v>344</v>
      </c>
      <c r="AD2578" s="1" t="s">
        <v>430</v>
      </c>
      <c r="AE2578" s="1" t="s">
        <v>530</v>
      </c>
      <c r="AF2578" s="1" t="s">
        <v>144</v>
      </c>
      <c r="AG2578" s="1">
        <v>24</v>
      </c>
      <c r="AO2578" s="2">
        <v>46281</v>
      </c>
      <c r="AP2578" s="1" t="s">
        <v>301</v>
      </c>
      <c r="AS2578" s="1" t="s">
        <v>71</v>
      </c>
      <c r="AU2578" s="1" t="s">
        <v>72</v>
      </c>
      <c r="AV2578" s="1" t="s">
        <v>73</v>
      </c>
      <c r="AX2578" s="1">
        <v>0</v>
      </c>
      <c r="BA2578" s="1">
        <v>9</v>
      </c>
      <c r="BB2578" s="1">
        <v>0</v>
      </c>
      <c r="BC2578" s="1">
        <v>0</v>
      </c>
      <c r="BE2578" s="1">
        <v>27432006</v>
      </c>
    </row>
    <row r="2579" spans="1:57" x14ac:dyDescent="0.25">
      <c r="A2579" s="1" t="str">
        <f>T("1946913728176529232")</f>
        <v>1946913728176529232</v>
      </c>
      <c r="B2579" s="1" t="str">
        <f>T("249962912604")</f>
        <v>249962912604</v>
      </c>
      <c r="C2579" s="1" t="str">
        <f>T("1941094503716751924")</f>
        <v>1941094503716751924</v>
      </c>
      <c r="AC2579" s="1" t="s">
        <v>344</v>
      </c>
      <c r="AD2579" s="1" t="s">
        <v>372</v>
      </c>
      <c r="AE2579" s="1" t="s">
        <v>815</v>
      </c>
      <c r="AF2579" s="1" t="s">
        <v>107</v>
      </c>
      <c r="AG2579" s="1">
        <v>60</v>
      </c>
      <c r="AO2579" s="2">
        <v>46281</v>
      </c>
      <c r="AP2579" s="1" t="s">
        <v>301</v>
      </c>
      <c r="AS2579" s="1" t="s">
        <v>71</v>
      </c>
      <c r="AU2579" s="1" t="s">
        <v>72</v>
      </c>
      <c r="AV2579" s="1" t="s">
        <v>437</v>
      </c>
      <c r="AX2579" s="1">
        <v>0</v>
      </c>
      <c r="BA2579" s="1">
        <v>9</v>
      </c>
      <c r="BB2579" s="1">
        <v>0</v>
      </c>
      <c r="BC2579" s="1">
        <v>0</v>
      </c>
      <c r="BE2579" s="1">
        <v>27432006</v>
      </c>
    </row>
    <row r="2580" spans="1:57" x14ac:dyDescent="0.25">
      <c r="A2580" s="1" t="str">
        <f>T("1946913728201692880")</f>
        <v>1946913728201692880</v>
      </c>
      <c r="B2580" s="1" t="str">
        <f>T("249917972025")</f>
        <v>249917972025</v>
      </c>
      <c r="C2580" s="1" t="str">
        <f>T("1941094503716752424")</f>
        <v>1941094503716752424</v>
      </c>
      <c r="AC2580" s="1" t="s">
        <v>344</v>
      </c>
      <c r="AD2580" s="1" t="s">
        <v>357</v>
      </c>
      <c r="AE2580" s="1" t="s">
        <v>817</v>
      </c>
      <c r="AF2580" s="1" t="s">
        <v>107</v>
      </c>
      <c r="AG2580" s="1">
        <v>63</v>
      </c>
      <c r="AO2580" s="2">
        <v>46281</v>
      </c>
      <c r="AP2580" s="1" t="s">
        <v>301</v>
      </c>
      <c r="AS2580" s="1" t="s">
        <v>71</v>
      </c>
      <c r="AU2580" s="1" t="s">
        <v>72</v>
      </c>
      <c r="AV2580" s="1" t="s">
        <v>437</v>
      </c>
      <c r="AX2580" s="1">
        <v>0</v>
      </c>
      <c r="BA2580" s="1">
        <v>9</v>
      </c>
      <c r="BB2580" s="1">
        <v>0</v>
      </c>
      <c r="BC2580" s="1">
        <v>0</v>
      </c>
      <c r="BE2580" s="1">
        <v>27432006</v>
      </c>
    </row>
    <row r="2581" spans="1:57" x14ac:dyDescent="0.25">
      <c r="A2581" s="1" t="str">
        <f>T("1946913728319133904")</f>
        <v>1946913728319133904</v>
      </c>
      <c r="B2581" s="1" t="str">
        <f>T("249916054119")</f>
        <v>249916054119</v>
      </c>
      <c r="C2581" s="1" t="str">
        <f>T("1941094503720944332")</f>
        <v>1941094503720944332</v>
      </c>
      <c r="AC2581" s="1" t="s">
        <v>344</v>
      </c>
      <c r="AD2581" s="1" t="s">
        <v>430</v>
      </c>
      <c r="AE2581" s="1" t="s">
        <v>530</v>
      </c>
      <c r="AF2581" s="1" t="s">
        <v>107</v>
      </c>
      <c r="AG2581" s="1">
        <v>35</v>
      </c>
      <c r="AO2581" s="2">
        <v>46281</v>
      </c>
      <c r="AP2581" s="1" t="s">
        <v>301</v>
      </c>
      <c r="AS2581" s="1" t="s">
        <v>71</v>
      </c>
      <c r="AU2581" s="1" t="s">
        <v>72</v>
      </c>
      <c r="AV2581" s="1" t="s">
        <v>437</v>
      </c>
      <c r="AX2581" s="1">
        <v>0</v>
      </c>
      <c r="BA2581" s="1">
        <v>9</v>
      </c>
      <c r="BB2581" s="1">
        <v>0</v>
      </c>
      <c r="BC2581" s="1">
        <v>0</v>
      </c>
      <c r="BE2581" s="1">
        <v>27432006</v>
      </c>
    </row>
    <row r="2582" spans="1:57" x14ac:dyDescent="0.25">
      <c r="A2582" s="1" t="str">
        <f>T("1946913728319134604")</f>
        <v>1946913728319134604</v>
      </c>
      <c r="B2582" s="1" t="str">
        <f>T("249905651516")</f>
        <v>249905651516</v>
      </c>
      <c r="C2582" s="1" t="str">
        <f>T("1941094503720943832")</f>
        <v>1941094503720943832</v>
      </c>
      <c r="AC2582" s="1" t="s">
        <v>344</v>
      </c>
      <c r="AD2582" s="1" t="s">
        <v>372</v>
      </c>
      <c r="AE2582" s="1" t="s">
        <v>813</v>
      </c>
      <c r="AF2582" s="1" t="s">
        <v>107</v>
      </c>
      <c r="AG2582" s="1">
        <v>65</v>
      </c>
      <c r="AO2582" s="2">
        <v>46281</v>
      </c>
      <c r="AP2582" s="1" t="s">
        <v>301</v>
      </c>
      <c r="AS2582" s="1" t="s">
        <v>71</v>
      </c>
      <c r="AU2582" s="1" t="s">
        <v>72</v>
      </c>
      <c r="AV2582" s="1" t="s">
        <v>437</v>
      </c>
      <c r="AX2582" s="1">
        <v>0</v>
      </c>
      <c r="BA2582" s="1">
        <v>9</v>
      </c>
      <c r="BB2582" s="1">
        <v>0</v>
      </c>
      <c r="BC2582" s="1">
        <v>0</v>
      </c>
      <c r="BE2582" s="1">
        <v>27432006</v>
      </c>
    </row>
    <row r="2583" spans="1:57" x14ac:dyDescent="0.25">
      <c r="A2583" s="1" t="str">
        <f>T("1946913728323327312")</f>
        <v>1946913728323327312</v>
      </c>
      <c r="B2583" s="1" t="str">
        <f>T("249910874630")</f>
        <v>249910874630</v>
      </c>
      <c r="C2583" s="1" t="str">
        <f>T("1941094503716753024")</f>
        <v>1941094503716753024</v>
      </c>
      <c r="AC2583" s="1" t="s">
        <v>344</v>
      </c>
      <c r="AD2583" s="1" t="s">
        <v>430</v>
      </c>
      <c r="AE2583" s="1" t="s">
        <v>530</v>
      </c>
      <c r="AF2583" s="1" t="s">
        <v>144</v>
      </c>
      <c r="AG2583" s="1">
        <v>22</v>
      </c>
      <c r="AO2583" s="2">
        <v>46281</v>
      </c>
      <c r="AP2583" s="1" t="s">
        <v>301</v>
      </c>
      <c r="AS2583" s="1" t="s">
        <v>71</v>
      </c>
      <c r="AU2583" s="1" t="s">
        <v>72</v>
      </c>
      <c r="AV2583" s="1" t="s">
        <v>437</v>
      </c>
      <c r="AX2583" s="1">
        <v>0</v>
      </c>
      <c r="BA2583" s="1">
        <v>9</v>
      </c>
      <c r="BB2583" s="1">
        <v>0</v>
      </c>
      <c r="BC2583" s="1">
        <v>0</v>
      </c>
      <c r="BE2583" s="1">
        <v>27432006</v>
      </c>
    </row>
    <row r="2584" spans="1:57" x14ac:dyDescent="0.25">
      <c r="A2584" s="1" t="str">
        <f>T("1946913728436573828")</f>
        <v>1946913728436573828</v>
      </c>
      <c r="B2584" s="1" t="str">
        <f>T("249917490337")</f>
        <v>249917490337</v>
      </c>
      <c r="C2584" s="1" t="str">
        <f>T("1941094503720946032")</f>
        <v>1941094503720946032</v>
      </c>
      <c r="AC2584" s="1" t="s">
        <v>344</v>
      </c>
      <c r="AD2584" s="1" t="s">
        <v>372</v>
      </c>
      <c r="AE2584" s="1" t="s">
        <v>813</v>
      </c>
      <c r="AF2584" s="1" t="s">
        <v>107</v>
      </c>
      <c r="AG2584" s="1">
        <v>26</v>
      </c>
      <c r="AO2584" s="2">
        <v>46281</v>
      </c>
      <c r="AP2584" s="1" t="s">
        <v>301</v>
      </c>
      <c r="AS2584" s="1" t="s">
        <v>71</v>
      </c>
      <c r="AU2584" s="1" t="s">
        <v>72</v>
      </c>
      <c r="AV2584" s="1" t="s">
        <v>73</v>
      </c>
      <c r="AX2584" s="1">
        <v>0</v>
      </c>
      <c r="BA2584" s="1">
        <v>9</v>
      </c>
      <c r="BB2584" s="1">
        <v>0</v>
      </c>
      <c r="BC2584" s="1">
        <v>0</v>
      </c>
      <c r="BE2584" s="1">
        <v>27432006</v>
      </c>
    </row>
    <row r="2585" spans="1:57" x14ac:dyDescent="0.25">
      <c r="A2585" s="1" t="str">
        <f>T("1946913728440767136")</f>
        <v>1946913728440767136</v>
      </c>
      <c r="B2585" s="1" t="str">
        <f>T("249122159558")</f>
        <v>249122159558</v>
      </c>
      <c r="C2585" s="1" t="str">
        <f>T("1941094503720944832")</f>
        <v>1941094503720944832</v>
      </c>
      <c r="AC2585" s="1" t="s">
        <v>344</v>
      </c>
      <c r="AD2585" s="1" t="s">
        <v>372</v>
      </c>
      <c r="AE2585" s="1" t="s">
        <v>820</v>
      </c>
      <c r="AF2585" s="1" t="s">
        <v>107</v>
      </c>
      <c r="AG2585" s="1">
        <v>40</v>
      </c>
      <c r="AO2585" s="2">
        <v>46281</v>
      </c>
      <c r="AP2585" s="1" t="s">
        <v>301</v>
      </c>
      <c r="AS2585" s="1" t="s">
        <v>71</v>
      </c>
      <c r="AU2585" s="1" t="s">
        <v>72</v>
      </c>
      <c r="AV2585" s="1" t="s">
        <v>73</v>
      </c>
      <c r="AX2585" s="1">
        <v>0</v>
      </c>
      <c r="BA2585" s="1">
        <v>9</v>
      </c>
      <c r="BB2585" s="1">
        <v>0</v>
      </c>
      <c r="BC2585" s="1">
        <v>0</v>
      </c>
      <c r="BE2585" s="1">
        <v>27432006</v>
      </c>
    </row>
    <row r="2586" spans="1:57" x14ac:dyDescent="0.25">
      <c r="A2586" s="1" t="str">
        <f>T("1946913728482711516")</f>
        <v>1946913728482711516</v>
      </c>
      <c r="B2586" s="1" t="str">
        <f>T("249911150607")</f>
        <v>249911150607</v>
      </c>
      <c r="C2586" s="1" t="str">
        <f>T("1941094503720946432")</f>
        <v>1941094503720946432</v>
      </c>
      <c r="AC2586" s="1" t="s">
        <v>344</v>
      </c>
      <c r="AD2586" s="1" t="s">
        <v>372</v>
      </c>
      <c r="AE2586" s="1" t="s">
        <v>818</v>
      </c>
      <c r="AF2586" s="1" t="s">
        <v>107</v>
      </c>
      <c r="AG2586" s="1">
        <v>61</v>
      </c>
      <c r="AO2586" s="2">
        <v>46281</v>
      </c>
      <c r="AP2586" s="1" t="s">
        <v>301</v>
      </c>
      <c r="AS2586" s="1" t="s">
        <v>71</v>
      </c>
      <c r="AU2586" s="1" t="s">
        <v>72</v>
      </c>
      <c r="AV2586" s="1" t="s">
        <v>437</v>
      </c>
      <c r="AX2586" s="1">
        <v>0</v>
      </c>
      <c r="BA2586" s="1">
        <v>9</v>
      </c>
      <c r="BB2586" s="1">
        <v>0</v>
      </c>
      <c r="BC2586" s="1">
        <v>0</v>
      </c>
      <c r="BE2586" s="1">
        <v>27432006</v>
      </c>
    </row>
    <row r="2587" spans="1:57" x14ac:dyDescent="0.25">
      <c r="A2587" s="1" t="str">
        <f>T("1946913728562403768")</f>
        <v>1946913728562403768</v>
      </c>
      <c r="B2587" s="1" t="str">
        <f>T("249964398057")</f>
        <v>249964398057</v>
      </c>
      <c r="C2587" s="1" t="str">
        <f>T("1941094503725140240")</f>
        <v>1941094503725140240</v>
      </c>
      <c r="AC2587" s="1" t="s">
        <v>344</v>
      </c>
      <c r="AD2587" s="1" t="s">
        <v>441</v>
      </c>
      <c r="AE2587" s="1" t="s">
        <v>530</v>
      </c>
      <c r="AF2587" s="1" t="s">
        <v>144</v>
      </c>
      <c r="AG2587" s="1">
        <v>40</v>
      </c>
      <c r="AO2587" s="2">
        <v>46281</v>
      </c>
      <c r="AP2587" s="1" t="s">
        <v>301</v>
      </c>
      <c r="AS2587" s="1" t="s">
        <v>71</v>
      </c>
      <c r="AU2587" s="1" t="s">
        <v>72</v>
      </c>
      <c r="AV2587" s="1" t="s">
        <v>73</v>
      </c>
      <c r="AX2587" s="1">
        <v>0</v>
      </c>
      <c r="BA2587" s="1">
        <v>9</v>
      </c>
      <c r="BB2587" s="1">
        <v>0</v>
      </c>
      <c r="BC2587" s="1">
        <v>0</v>
      </c>
      <c r="BE2587" s="1">
        <v>27432006</v>
      </c>
    </row>
    <row r="2588" spans="1:57" x14ac:dyDescent="0.25">
      <c r="A2588" s="1" t="str">
        <f>T("1947004324039825528")</f>
        <v>1947004324039825528</v>
      </c>
      <c r="B2588" s="1" t="str">
        <f>T("249909507775")</f>
        <v>249909507775</v>
      </c>
      <c r="C2588" s="1" t="str">
        <f>T("1941094503725140840")</f>
        <v>1941094503725140840</v>
      </c>
      <c r="AC2588" s="1" t="s">
        <v>344</v>
      </c>
      <c r="AD2588" s="1" t="s">
        <v>430</v>
      </c>
      <c r="AE2588" s="1" t="s">
        <v>530</v>
      </c>
      <c r="AF2588" s="1" t="s">
        <v>107</v>
      </c>
      <c r="AG2588" s="1">
        <v>33</v>
      </c>
      <c r="AO2588" s="2">
        <v>46281</v>
      </c>
      <c r="AP2588" s="1" t="s">
        <v>226</v>
      </c>
      <c r="AS2588" s="1" t="s">
        <v>71</v>
      </c>
      <c r="AU2588" s="1" t="s">
        <v>72</v>
      </c>
      <c r="AV2588" s="1" t="s">
        <v>437</v>
      </c>
      <c r="AX2588" s="1">
        <v>0</v>
      </c>
      <c r="BA2588" s="1">
        <v>9</v>
      </c>
      <c r="BB2588" s="1">
        <v>0</v>
      </c>
      <c r="BC2588" s="1">
        <v>0</v>
      </c>
      <c r="BE2588" s="1">
        <v>27432011</v>
      </c>
    </row>
    <row r="2589" spans="1:57" x14ac:dyDescent="0.25">
      <c r="A2589" s="1" t="str">
        <f>T("1947004324459257628")</f>
        <v>1947004324459257628</v>
      </c>
      <c r="B2589" s="1" t="str">
        <f>T("249961068187")</f>
        <v>249961068187</v>
      </c>
      <c r="C2589" s="1" t="str">
        <f>T("1941094503725141340")</f>
        <v>1941094503725141340</v>
      </c>
      <c r="AC2589" s="1" t="s">
        <v>344</v>
      </c>
      <c r="AD2589" s="1" t="s">
        <v>372</v>
      </c>
      <c r="AE2589" s="1" t="s">
        <v>815</v>
      </c>
      <c r="AF2589" s="1" t="s">
        <v>107</v>
      </c>
      <c r="AG2589" s="1">
        <v>40</v>
      </c>
      <c r="AO2589" s="2">
        <v>46281</v>
      </c>
      <c r="AP2589" s="1" t="s">
        <v>226</v>
      </c>
      <c r="AS2589" s="1" t="s">
        <v>71</v>
      </c>
      <c r="AU2589" s="1" t="s">
        <v>72</v>
      </c>
      <c r="AV2589" s="1" t="s">
        <v>126</v>
      </c>
      <c r="AX2589" s="1">
        <v>0</v>
      </c>
      <c r="BA2589" s="1">
        <v>9</v>
      </c>
      <c r="BB2589" s="1">
        <v>0</v>
      </c>
      <c r="BC2589" s="1">
        <v>0</v>
      </c>
      <c r="BE2589" s="1">
        <v>27432011</v>
      </c>
    </row>
    <row r="2590" spans="1:57" x14ac:dyDescent="0.25">
      <c r="A2590" s="1" t="str">
        <f>T("1947004324597665792")</f>
        <v>1947004324597665792</v>
      </c>
      <c r="B2590" s="1" t="str">
        <f>T("249962791485")</f>
        <v>249962791485</v>
      </c>
      <c r="C2590" s="1" t="str">
        <f>T("1941094503725141740")</f>
        <v>1941094503725141740</v>
      </c>
      <c r="AC2590" s="1" t="s">
        <v>344</v>
      </c>
      <c r="AD2590" s="1" t="s">
        <v>430</v>
      </c>
      <c r="AE2590" s="1" t="s">
        <v>530</v>
      </c>
      <c r="AF2590" s="1" t="s">
        <v>144</v>
      </c>
      <c r="AG2590" s="1">
        <v>27</v>
      </c>
      <c r="AO2590" s="2">
        <v>46281</v>
      </c>
      <c r="AP2590" s="1" t="s">
        <v>226</v>
      </c>
      <c r="AS2590" s="1" t="s">
        <v>71</v>
      </c>
      <c r="AU2590" s="1" t="s">
        <v>72</v>
      </c>
      <c r="AV2590" s="1" t="s">
        <v>73</v>
      </c>
      <c r="AX2590" s="1">
        <v>0</v>
      </c>
      <c r="BA2590" s="1">
        <v>9</v>
      </c>
      <c r="BB2590" s="1">
        <v>0</v>
      </c>
      <c r="BC2590" s="1">
        <v>0</v>
      </c>
      <c r="BE2590" s="1">
        <v>27432011</v>
      </c>
    </row>
    <row r="2591" spans="1:57" x14ac:dyDescent="0.25">
      <c r="A2591" s="1" t="str">
        <f>T("1947004324727691740")</f>
        <v>1947004324727691740</v>
      </c>
      <c r="B2591" s="1" t="str">
        <f>T("249914006407")</f>
        <v>249914006407</v>
      </c>
      <c r="C2591" s="1" t="str">
        <f>T("1941094503729332348")</f>
        <v>1941094503729332348</v>
      </c>
      <c r="AC2591" s="1" t="s">
        <v>344</v>
      </c>
      <c r="AD2591" s="1" t="s">
        <v>430</v>
      </c>
      <c r="AE2591" s="1" t="s">
        <v>530</v>
      </c>
      <c r="AF2591" s="1" t="s">
        <v>144</v>
      </c>
      <c r="AG2591" s="1">
        <v>50</v>
      </c>
      <c r="AO2591" s="2">
        <v>46281</v>
      </c>
      <c r="AP2591" s="1" t="s">
        <v>226</v>
      </c>
      <c r="AS2591" s="1" t="s">
        <v>71</v>
      </c>
      <c r="AU2591" s="1" t="s">
        <v>72</v>
      </c>
      <c r="AV2591" s="1" t="s">
        <v>73</v>
      </c>
      <c r="AX2591" s="1">
        <v>0</v>
      </c>
      <c r="BA2591" s="1">
        <v>9</v>
      </c>
      <c r="BB2591" s="1">
        <v>0</v>
      </c>
      <c r="BC2591" s="1">
        <v>0</v>
      </c>
      <c r="BE2591" s="1">
        <v>27432011</v>
      </c>
    </row>
    <row r="2592" spans="1:57" x14ac:dyDescent="0.25">
      <c r="A2592" s="1" t="str">
        <f>T("1947004325138732224")</f>
        <v>1947004325138732224</v>
      </c>
      <c r="B2592" s="1" t="str">
        <f>T("249914498855")</f>
        <v>249914498855</v>
      </c>
      <c r="C2592" s="1" t="str">
        <f>T("1941094503729332748")</f>
        <v>1941094503729332748</v>
      </c>
      <c r="AC2592" s="1" t="s">
        <v>344</v>
      </c>
      <c r="AD2592" s="1" t="s">
        <v>430</v>
      </c>
      <c r="AE2592" s="1" t="s">
        <v>530</v>
      </c>
      <c r="AF2592" s="1" t="s">
        <v>107</v>
      </c>
      <c r="AG2592" s="1">
        <v>28</v>
      </c>
      <c r="AO2592" s="2">
        <v>46281</v>
      </c>
      <c r="AP2592" s="1" t="s">
        <v>226</v>
      </c>
      <c r="AS2592" s="1" t="s">
        <v>71</v>
      </c>
      <c r="AU2592" s="1" t="s">
        <v>72</v>
      </c>
      <c r="AV2592" s="1" t="s">
        <v>73</v>
      </c>
      <c r="AX2592" s="1">
        <v>0</v>
      </c>
      <c r="BA2592" s="1">
        <v>9</v>
      </c>
      <c r="BB2592" s="1">
        <v>0</v>
      </c>
      <c r="BC2592" s="1">
        <v>0</v>
      </c>
      <c r="BE2592" s="1">
        <v>27432011</v>
      </c>
    </row>
    <row r="2593" spans="1:57" x14ac:dyDescent="0.25">
      <c r="A2593" s="1" t="str">
        <f>T("1947004325415556352")</f>
        <v>1947004325415556352</v>
      </c>
      <c r="B2593" s="1" t="str">
        <f>T("249910156939")</f>
        <v>249910156939</v>
      </c>
      <c r="C2593" s="1" t="str">
        <f>T("1941094503729333048")</f>
        <v>1941094503729333048</v>
      </c>
      <c r="AC2593" s="1" t="s">
        <v>344</v>
      </c>
      <c r="AD2593" s="1" t="s">
        <v>357</v>
      </c>
      <c r="AE2593" s="1" t="s">
        <v>817</v>
      </c>
      <c r="AF2593" s="1" t="s">
        <v>107</v>
      </c>
      <c r="AG2593" s="1">
        <v>48</v>
      </c>
      <c r="AO2593" s="2">
        <v>46281</v>
      </c>
      <c r="AP2593" s="1" t="s">
        <v>226</v>
      </c>
      <c r="AS2593" s="1" t="s">
        <v>71</v>
      </c>
      <c r="AU2593" s="1" t="s">
        <v>72</v>
      </c>
      <c r="AV2593" s="1" t="s">
        <v>437</v>
      </c>
      <c r="AX2593" s="1">
        <v>0</v>
      </c>
      <c r="BA2593" s="1">
        <v>9</v>
      </c>
      <c r="BB2593" s="1">
        <v>0</v>
      </c>
      <c r="BC2593" s="1">
        <v>0</v>
      </c>
      <c r="BE2593" s="1">
        <v>27432011</v>
      </c>
    </row>
    <row r="2594" spans="1:57" x14ac:dyDescent="0.25">
      <c r="A2594" s="1" t="str">
        <f>T("1947004325440724100")</f>
        <v>1947004325440724100</v>
      </c>
      <c r="B2594" s="1" t="str">
        <f>T("249904459780")</f>
        <v>249904459780</v>
      </c>
      <c r="C2594" s="1" t="str">
        <f>T("1941094503729333748")</f>
        <v>1941094503729333748</v>
      </c>
      <c r="AC2594" s="1" t="s">
        <v>344</v>
      </c>
      <c r="AD2594" s="1" t="s">
        <v>430</v>
      </c>
      <c r="AE2594" s="1" t="s">
        <v>530</v>
      </c>
      <c r="AF2594" s="1" t="s">
        <v>107</v>
      </c>
      <c r="AG2594" s="1">
        <v>22</v>
      </c>
      <c r="AO2594" s="2">
        <v>46281</v>
      </c>
      <c r="AP2594" s="1" t="s">
        <v>226</v>
      </c>
      <c r="AS2594" s="1" t="s">
        <v>71</v>
      </c>
      <c r="AU2594" s="1" t="s">
        <v>72</v>
      </c>
      <c r="AV2594" s="1" t="s">
        <v>73</v>
      </c>
      <c r="AX2594" s="1">
        <v>0</v>
      </c>
      <c r="BA2594" s="1">
        <v>9</v>
      </c>
      <c r="BB2594" s="1">
        <v>0</v>
      </c>
      <c r="BC2594" s="1">
        <v>0</v>
      </c>
      <c r="BE2594" s="1">
        <v>27432011</v>
      </c>
    </row>
    <row r="2595" spans="1:57" x14ac:dyDescent="0.25">
      <c r="A2595" s="1" t="str">
        <f>T("1947004325562356332")</f>
        <v>1947004325562356332</v>
      </c>
      <c r="B2595" s="1" t="str">
        <f>T("249918016217")</f>
        <v>249918016217</v>
      </c>
      <c r="C2595" s="1" t="str">
        <f>T("1941094503729335748")</f>
        <v>1941094503729335748</v>
      </c>
      <c r="AC2595" s="1" t="s">
        <v>344</v>
      </c>
      <c r="AD2595" s="1" t="s">
        <v>441</v>
      </c>
      <c r="AE2595" s="1" t="s">
        <v>530</v>
      </c>
      <c r="AF2595" s="1" t="s">
        <v>107</v>
      </c>
      <c r="AG2595" s="1">
        <v>45</v>
      </c>
      <c r="AO2595" s="2">
        <v>46281</v>
      </c>
      <c r="AP2595" s="1" t="s">
        <v>226</v>
      </c>
      <c r="AS2595" s="1" t="s">
        <v>71</v>
      </c>
      <c r="AU2595" s="1" t="s">
        <v>72</v>
      </c>
      <c r="AV2595" s="1" t="s">
        <v>126</v>
      </c>
      <c r="AX2595" s="1">
        <v>0</v>
      </c>
      <c r="BA2595" s="1">
        <v>9</v>
      </c>
      <c r="BB2595" s="1">
        <v>0</v>
      </c>
      <c r="BC2595" s="1">
        <v>0</v>
      </c>
      <c r="BE2595" s="1">
        <v>27432011</v>
      </c>
    </row>
    <row r="2596" spans="1:57" x14ac:dyDescent="0.25">
      <c r="A2596" s="1" t="str">
        <f>T("1947004325616883536")</f>
        <v>1947004325616883536</v>
      </c>
      <c r="B2596" s="1" t="str">
        <f>T("249901832564")</f>
        <v>249901832564</v>
      </c>
      <c r="C2596" s="1" t="str">
        <f>T("1941094503729336248")</f>
        <v>1941094503729336248</v>
      </c>
      <c r="AC2596" s="1" t="s">
        <v>344</v>
      </c>
      <c r="AD2596" s="1" t="s">
        <v>430</v>
      </c>
      <c r="AE2596" s="1" t="s">
        <v>530</v>
      </c>
      <c r="AF2596" s="1" t="s">
        <v>144</v>
      </c>
      <c r="AG2596" s="1">
        <v>22</v>
      </c>
      <c r="AO2596" s="2">
        <v>46281</v>
      </c>
      <c r="AP2596" s="1" t="s">
        <v>226</v>
      </c>
      <c r="AS2596" s="1" t="s">
        <v>71</v>
      </c>
      <c r="AU2596" s="1" t="s">
        <v>72</v>
      </c>
      <c r="AV2596" s="1" t="s">
        <v>126</v>
      </c>
      <c r="AX2596" s="1">
        <v>0</v>
      </c>
      <c r="BA2596" s="1">
        <v>9</v>
      </c>
      <c r="BB2596" s="1">
        <v>0</v>
      </c>
      <c r="BC2596" s="1">
        <v>0</v>
      </c>
      <c r="BE2596" s="1">
        <v>27432011</v>
      </c>
    </row>
    <row r="2597" spans="1:57" x14ac:dyDescent="0.25">
      <c r="A2597" s="1" t="str">
        <f>T("1947004325889512956")</f>
        <v>1947004325889512956</v>
      </c>
      <c r="B2597" s="1" t="str">
        <f>T("249919673285")</f>
        <v>249919673285</v>
      </c>
      <c r="C2597" s="1" t="str">
        <f>T("1941094503733529556")</f>
        <v>1941094503733529556</v>
      </c>
      <c r="AC2597" s="1" t="s">
        <v>344</v>
      </c>
      <c r="AD2597" s="1" t="s">
        <v>357</v>
      </c>
      <c r="AE2597" s="1" t="s">
        <v>812</v>
      </c>
      <c r="AF2597" s="1" t="s">
        <v>107</v>
      </c>
      <c r="AG2597" s="1">
        <v>48</v>
      </c>
      <c r="AO2597" s="2">
        <v>46281</v>
      </c>
      <c r="AP2597" s="1" t="s">
        <v>226</v>
      </c>
      <c r="AS2597" s="1" t="s">
        <v>71</v>
      </c>
      <c r="AU2597" s="1" t="s">
        <v>72</v>
      </c>
      <c r="AV2597" s="1" t="s">
        <v>437</v>
      </c>
      <c r="AX2597" s="1">
        <v>0</v>
      </c>
      <c r="BA2597" s="1">
        <v>9</v>
      </c>
      <c r="BB2597" s="1">
        <v>0</v>
      </c>
      <c r="BC2597" s="1">
        <v>0</v>
      </c>
      <c r="BE2597" s="1">
        <v>27432011</v>
      </c>
    </row>
    <row r="2598" spans="1:57" x14ac:dyDescent="0.25">
      <c r="A2598" s="1" t="str">
        <f>T("1947004325902094880")</f>
        <v>1947004325902094880</v>
      </c>
      <c r="B2598" s="1" t="str">
        <f>T("249967866198")</f>
        <v>249967866198</v>
      </c>
      <c r="C2598" s="1" t="str">
        <f>T("1941094503733530356")</f>
        <v>1941094503733530356</v>
      </c>
      <c r="AC2598" s="1" t="s">
        <v>344</v>
      </c>
      <c r="AD2598" s="1" t="s">
        <v>372</v>
      </c>
      <c r="AE2598" s="1" t="s">
        <v>815</v>
      </c>
      <c r="AF2598" s="1" t="s">
        <v>144</v>
      </c>
      <c r="AG2598" s="1">
        <v>60</v>
      </c>
      <c r="AO2598" s="2">
        <v>46281</v>
      </c>
      <c r="AP2598" s="1" t="s">
        <v>226</v>
      </c>
      <c r="AS2598" s="1" t="s">
        <v>71</v>
      </c>
      <c r="AU2598" s="1" t="s">
        <v>72</v>
      </c>
      <c r="AV2598" s="1" t="s">
        <v>126</v>
      </c>
      <c r="AX2598" s="1">
        <v>0</v>
      </c>
      <c r="BA2598" s="1">
        <v>9</v>
      </c>
      <c r="BB2598" s="1">
        <v>0</v>
      </c>
      <c r="BC2598" s="1">
        <v>0</v>
      </c>
      <c r="BE2598" s="1">
        <v>27432011</v>
      </c>
    </row>
    <row r="2599" spans="1:57" x14ac:dyDescent="0.25">
      <c r="A2599" s="1" t="str">
        <f>T("1947004325973399416")</f>
        <v>1947004325973399416</v>
      </c>
      <c r="B2599" s="1" t="str">
        <f>T("249909353576")</f>
        <v>249909353576</v>
      </c>
      <c r="C2599" s="1" t="str">
        <f>T("1941094503737721164")</f>
        <v>1941094503737721164</v>
      </c>
      <c r="AC2599" s="1" t="s">
        <v>344</v>
      </c>
      <c r="AD2599" s="1" t="s">
        <v>430</v>
      </c>
      <c r="AE2599" s="1" t="s">
        <v>530</v>
      </c>
      <c r="AF2599" s="1" t="s">
        <v>107</v>
      </c>
      <c r="AG2599" s="1">
        <v>20</v>
      </c>
      <c r="AO2599" s="2">
        <v>46281</v>
      </c>
      <c r="AP2599" s="1" t="s">
        <v>226</v>
      </c>
      <c r="AS2599" s="1" t="s">
        <v>71</v>
      </c>
      <c r="AU2599" s="1" t="s">
        <v>72</v>
      </c>
      <c r="AV2599" s="1" t="s">
        <v>73</v>
      </c>
      <c r="AX2599" s="1">
        <v>0</v>
      </c>
      <c r="BA2599" s="1">
        <v>9</v>
      </c>
      <c r="BB2599" s="1">
        <v>0</v>
      </c>
      <c r="BC2599" s="1">
        <v>0</v>
      </c>
      <c r="BE2599" s="1">
        <v>27432011</v>
      </c>
    </row>
    <row r="2600" spans="1:57" x14ac:dyDescent="0.25">
      <c r="A2600" s="1" t="str">
        <f>T("1947004326048896960")</f>
        <v>1947004326048896960</v>
      </c>
      <c r="B2600" s="1" t="str">
        <f>T("249902501025")</f>
        <v>249902501025</v>
      </c>
      <c r="C2600" s="1" t="str">
        <f>T("1941094503737721664")</f>
        <v>1941094503737721664</v>
      </c>
      <c r="AC2600" s="1" t="s">
        <v>344</v>
      </c>
      <c r="AD2600" s="1" t="s">
        <v>372</v>
      </c>
      <c r="AE2600" s="1" t="s">
        <v>813</v>
      </c>
      <c r="AF2600" s="1" t="s">
        <v>144</v>
      </c>
      <c r="AG2600" s="1">
        <v>46</v>
      </c>
      <c r="AO2600" s="2">
        <v>46281</v>
      </c>
      <c r="AP2600" s="1" t="s">
        <v>226</v>
      </c>
      <c r="AS2600" s="1" t="s">
        <v>71</v>
      </c>
      <c r="AU2600" s="1" t="s">
        <v>72</v>
      </c>
      <c r="AV2600" s="1" t="s">
        <v>437</v>
      </c>
      <c r="AX2600" s="1">
        <v>0</v>
      </c>
      <c r="BA2600" s="1">
        <v>9</v>
      </c>
      <c r="BB2600" s="1">
        <v>0</v>
      </c>
      <c r="BC2600" s="1">
        <v>0</v>
      </c>
      <c r="BE2600" s="1">
        <v>27432011</v>
      </c>
    </row>
    <row r="2601" spans="1:57" x14ac:dyDescent="0.25">
      <c r="A2601" s="1" t="str">
        <f>T("1947004326204085956")</f>
        <v>1947004326204085956</v>
      </c>
      <c r="B2601" s="1" t="str">
        <f>T("249966814261")</f>
        <v>249966814261</v>
      </c>
      <c r="C2601" s="1" t="str">
        <f>T("1941094503737722064")</f>
        <v>1941094503737722064</v>
      </c>
      <c r="AC2601" s="1" t="s">
        <v>344</v>
      </c>
      <c r="AD2601" s="1" t="s">
        <v>441</v>
      </c>
      <c r="AE2601" s="1" t="s">
        <v>530</v>
      </c>
      <c r="AF2601" s="1" t="s">
        <v>107</v>
      </c>
      <c r="AG2601" s="1">
        <v>79</v>
      </c>
      <c r="AO2601" s="2">
        <v>46281</v>
      </c>
      <c r="AP2601" s="1" t="s">
        <v>226</v>
      </c>
      <c r="AS2601" s="1" t="s">
        <v>71</v>
      </c>
      <c r="AU2601" s="1" t="s">
        <v>72</v>
      </c>
      <c r="AV2601" s="1" t="s">
        <v>126</v>
      </c>
      <c r="AX2601" s="1">
        <v>0</v>
      </c>
      <c r="BA2601" s="1">
        <v>9</v>
      </c>
      <c r="BB2601" s="1">
        <v>0</v>
      </c>
      <c r="BC2601" s="1">
        <v>0</v>
      </c>
      <c r="BE2601" s="1">
        <v>27432011</v>
      </c>
    </row>
    <row r="2602" spans="1:57" x14ac:dyDescent="0.25">
      <c r="A2602" s="1" t="str">
        <f>T("1947004326204086556")</f>
        <v>1947004326204086556</v>
      </c>
      <c r="B2602" s="1" t="str">
        <f>T("249913469583")</f>
        <v>249913469583</v>
      </c>
      <c r="C2602" s="1" t="str">
        <f>T("1941094503737722464")</f>
        <v>1941094503737722464</v>
      </c>
      <c r="AC2602" s="1" t="s">
        <v>344</v>
      </c>
      <c r="AD2602" s="1" t="s">
        <v>441</v>
      </c>
      <c r="AE2602" s="1" t="s">
        <v>530</v>
      </c>
      <c r="AF2602" s="1" t="s">
        <v>107</v>
      </c>
      <c r="AG2602" s="1">
        <v>45</v>
      </c>
      <c r="AO2602" s="2">
        <v>46281</v>
      </c>
      <c r="AP2602" s="1" t="s">
        <v>226</v>
      </c>
      <c r="AS2602" s="1" t="s">
        <v>71</v>
      </c>
      <c r="AU2602" s="1" t="s">
        <v>72</v>
      </c>
      <c r="AV2602" s="1" t="s">
        <v>73</v>
      </c>
      <c r="AX2602" s="1">
        <v>0</v>
      </c>
      <c r="BA2602" s="1">
        <v>9</v>
      </c>
      <c r="BB2602" s="1">
        <v>0</v>
      </c>
      <c r="BC2602" s="1">
        <v>0</v>
      </c>
      <c r="BE2602" s="1">
        <v>27432011</v>
      </c>
    </row>
    <row r="2603" spans="1:57" x14ac:dyDescent="0.25">
      <c r="A2603" s="1" t="str">
        <f>T("1947004326623517757")</f>
        <v>1947004326623517757</v>
      </c>
      <c r="B2603" s="1" t="str">
        <f>T("249966056080")</f>
        <v>249966056080</v>
      </c>
      <c r="C2603" s="1" t="str">
        <f>T("1941094503737723164")</f>
        <v>1941094503737723164</v>
      </c>
      <c r="AC2603" s="1" t="s">
        <v>344</v>
      </c>
      <c r="AD2603" s="1" t="s">
        <v>430</v>
      </c>
      <c r="AE2603" s="1" t="s">
        <v>530</v>
      </c>
      <c r="AF2603" s="1" t="s">
        <v>107</v>
      </c>
      <c r="AG2603" s="1">
        <v>34</v>
      </c>
      <c r="AO2603" s="2">
        <v>46281</v>
      </c>
      <c r="AP2603" s="1" t="s">
        <v>226</v>
      </c>
      <c r="AS2603" s="1" t="s">
        <v>71</v>
      </c>
      <c r="AU2603" s="1" t="s">
        <v>72</v>
      </c>
      <c r="AV2603" s="1" t="s">
        <v>73</v>
      </c>
      <c r="AX2603" s="1">
        <v>0</v>
      </c>
      <c r="BA2603" s="1">
        <v>9</v>
      </c>
      <c r="BB2603" s="1">
        <v>0</v>
      </c>
      <c r="BC2603" s="1">
        <v>0</v>
      </c>
      <c r="BE2603" s="1">
        <v>27432011</v>
      </c>
    </row>
    <row r="2604" spans="1:57" x14ac:dyDescent="0.25">
      <c r="A2604" s="1" t="str">
        <f>T("1947004326715790232")</f>
        <v>1947004326715790232</v>
      </c>
      <c r="B2604" s="1" t="str">
        <f>T("249906484780")</f>
        <v>249906484780</v>
      </c>
      <c r="C2604" s="1" t="str">
        <f>T("1941094503737723564")</f>
        <v>1941094503737723564</v>
      </c>
      <c r="AC2604" s="1" t="s">
        <v>344</v>
      </c>
      <c r="AD2604" s="1" t="s">
        <v>372</v>
      </c>
      <c r="AE2604" s="1" t="s">
        <v>814</v>
      </c>
      <c r="AF2604" s="1" t="s">
        <v>144</v>
      </c>
      <c r="AG2604" s="1">
        <v>39</v>
      </c>
      <c r="AO2604" s="2">
        <v>46281</v>
      </c>
      <c r="AP2604" s="1" t="s">
        <v>226</v>
      </c>
      <c r="AS2604" s="1" t="s">
        <v>71</v>
      </c>
      <c r="AU2604" s="1" t="s">
        <v>72</v>
      </c>
      <c r="AV2604" s="1" t="s">
        <v>437</v>
      </c>
      <c r="AX2604" s="1">
        <v>0</v>
      </c>
      <c r="BA2604" s="1">
        <v>9</v>
      </c>
      <c r="BB2604" s="1">
        <v>0</v>
      </c>
      <c r="BC2604" s="1">
        <v>0</v>
      </c>
      <c r="BE2604" s="1">
        <v>27432011</v>
      </c>
    </row>
    <row r="2605" spans="1:57" x14ac:dyDescent="0.25">
      <c r="A2605" s="1" t="str">
        <f>T("1947004326858397604")</f>
        <v>1947004326858397604</v>
      </c>
      <c r="B2605" s="1" t="str">
        <f>T("249903688873")</f>
        <v>249903688873</v>
      </c>
      <c r="C2605" s="1" t="str">
        <f>T("1941094503741915672")</f>
        <v>1941094503741915672</v>
      </c>
      <c r="AC2605" s="1" t="s">
        <v>344</v>
      </c>
      <c r="AD2605" s="1" t="s">
        <v>430</v>
      </c>
      <c r="AE2605" s="1" t="s">
        <v>530</v>
      </c>
      <c r="AF2605" s="1" t="s">
        <v>144</v>
      </c>
      <c r="AG2605" s="1">
        <v>45</v>
      </c>
      <c r="AO2605" s="2">
        <v>46281</v>
      </c>
      <c r="AP2605" s="1" t="s">
        <v>226</v>
      </c>
      <c r="AS2605" s="1" t="s">
        <v>71</v>
      </c>
      <c r="AU2605" s="1" t="s">
        <v>72</v>
      </c>
      <c r="AV2605" s="1" t="s">
        <v>437</v>
      </c>
      <c r="AX2605" s="1">
        <v>0</v>
      </c>
      <c r="BA2605" s="1">
        <v>9</v>
      </c>
      <c r="BB2605" s="1">
        <v>0</v>
      </c>
      <c r="BC2605" s="1">
        <v>0</v>
      </c>
      <c r="BE2605" s="1">
        <v>27432011</v>
      </c>
    </row>
    <row r="2606" spans="1:57" x14ac:dyDescent="0.25">
      <c r="A2606" s="1" t="str">
        <f>T("1947004326862594012")</f>
        <v>1947004326862594012</v>
      </c>
      <c r="B2606" s="1" t="str">
        <f>T("249969388722")</f>
        <v>249969388722</v>
      </c>
      <c r="C2606" s="1" t="str">
        <f>T("1941094503741916272")</f>
        <v>1941094503741916272</v>
      </c>
      <c r="AC2606" s="1" t="s">
        <v>344</v>
      </c>
      <c r="AD2606" s="1" t="s">
        <v>441</v>
      </c>
      <c r="AE2606" s="1" t="s">
        <v>530</v>
      </c>
      <c r="AF2606" s="1" t="s">
        <v>107</v>
      </c>
      <c r="AG2606" s="1">
        <v>22</v>
      </c>
      <c r="AO2606" s="2">
        <v>46281</v>
      </c>
      <c r="AP2606" s="1" t="s">
        <v>226</v>
      </c>
      <c r="AS2606" s="1" t="s">
        <v>71</v>
      </c>
      <c r="AU2606" s="1" t="s">
        <v>72</v>
      </c>
      <c r="AV2606" s="1" t="s">
        <v>437</v>
      </c>
      <c r="AX2606" s="1">
        <v>0</v>
      </c>
      <c r="BA2606" s="1">
        <v>9</v>
      </c>
      <c r="BB2606" s="1">
        <v>0</v>
      </c>
      <c r="BC2606" s="1">
        <v>0</v>
      </c>
      <c r="BE2606" s="1">
        <v>27432011</v>
      </c>
    </row>
    <row r="2607" spans="1:57" x14ac:dyDescent="0.25">
      <c r="A2607" s="1" t="str">
        <f>T("1947004327021973816")</f>
        <v>1947004327021973816</v>
      </c>
      <c r="B2607" s="1" t="str">
        <f>T("249904237133")</f>
        <v>249904237133</v>
      </c>
      <c r="C2607" s="1" t="str">
        <f>T("1941094503741917572")</f>
        <v>1941094503741917572</v>
      </c>
      <c r="AC2607" s="1" t="s">
        <v>344</v>
      </c>
      <c r="AD2607" s="1" t="s">
        <v>372</v>
      </c>
      <c r="AE2607" s="1" t="s">
        <v>813</v>
      </c>
      <c r="AF2607" s="1" t="s">
        <v>144</v>
      </c>
      <c r="AG2607" s="1">
        <v>26</v>
      </c>
      <c r="AO2607" s="2">
        <v>46281</v>
      </c>
      <c r="AP2607" s="1" t="s">
        <v>226</v>
      </c>
      <c r="AS2607" s="1" t="s">
        <v>71</v>
      </c>
      <c r="AU2607" s="1" t="s">
        <v>72</v>
      </c>
      <c r="AV2607" s="1" t="s">
        <v>73</v>
      </c>
      <c r="AX2607" s="1">
        <v>0</v>
      </c>
      <c r="BA2607" s="1">
        <v>9</v>
      </c>
      <c r="BB2607" s="1">
        <v>0</v>
      </c>
      <c r="BC2607" s="1">
        <v>0</v>
      </c>
      <c r="BE2607" s="1">
        <v>27432011</v>
      </c>
    </row>
    <row r="2608" spans="1:57" x14ac:dyDescent="0.25">
      <c r="A2608" s="1" t="str">
        <f>T("1947004327131027024")</f>
        <v>1947004327131027024</v>
      </c>
      <c r="B2608" s="1" t="str">
        <f>T("249915499124")</f>
        <v>249915499124</v>
      </c>
      <c r="C2608" s="1" t="str">
        <f>T("1941094503746112080")</f>
        <v>1941094503746112080</v>
      </c>
      <c r="AC2608" s="1" t="s">
        <v>344</v>
      </c>
      <c r="AD2608" s="1" t="s">
        <v>372</v>
      </c>
      <c r="AE2608" s="1" t="s">
        <v>820</v>
      </c>
      <c r="AF2608" s="1" t="s">
        <v>107</v>
      </c>
      <c r="AG2608" s="1">
        <v>57</v>
      </c>
      <c r="AO2608" s="2">
        <v>46281</v>
      </c>
      <c r="AP2608" s="1" t="s">
        <v>226</v>
      </c>
      <c r="AS2608" s="1" t="s">
        <v>71</v>
      </c>
      <c r="AU2608" s="1" t="s">
        <v>72</v>
      </c>
      <c r="AV2608" s="1" t="s">
        <v>126</v>
      </c>
      <c r="AX2608" s="1">
        <v>0</v>
      </c>
      <c r="BA2608" s="1">
        <v>9</v>
      </c>
      <c r="BB2608" s="1">
        <v>0</v>
      </c>
      <c r="BC2608" s="1">
        <v>0</v>
      </c>
      <c r="BE2608" s="1">
        <v>27432011</v>
      </c>
    </row>
    <row r="2609" spans="1:57" x14ac:dyDescent="0.25">
      <c r="A2609" s="1" t="str">
        <f>T("1947004327210720676")</f>
        <v>1947004327210720676</v>
      </c>
      <c r="B2609" s="1" t="str">
        <f>T("249918864132")</f>
        <v>249918864132</v>
      </c>
      <c r="C2609" s="1" t="str">
        <f>T("1941094503746112680")</f>
        <v>1941094503746112680</v>
      </c>
      <c r="AC2609" s="1" t="s">
        <v>344</v>
      </c>
      <c r="AD2609" s="1" t="s">
        <v>441</v>
      </c>
      <c r="AE2609" s="1" t="s">
        <v>530</v>
      </c>
      <c r="AF2609" s="1" t="s">
        <v>107</v>
      </c>
      <c r="AG2609" s="1">
        <v>34</v>
      </c>
      <c r="AO2609" s="2">
        <v>46281</v>
      </c>
      <c r="AP2609" s="1" t="s">
        <v>226</v>
      </c>
      <c r="AS2609" s="1" t="s">
        <v>71</v>
      </c>
      <c r="AU2609" s="1" t="s">
        <v>72</v>
      </c>
      <c r="AV2609" s="1" t="s">
        <v>73</v>
      </c>
      <c r="AX2609" s="1">
        <v>0</v>
      </c>
      <c r="BA2609" s="1">
        <v>9</v>
      </c>
      <c r="BB2609" s="1">
        <v>0</v>
      </c>
      <c r="BC2609" s="1">
        <v>0</v>
      </c>
      <c r="BE2609" s="1">
        <v>27432011</v>
      </c>
    </row>
    <row r="2610" spans="1:57" x14ac:dyDescent="0.25">
      <c r="A2610" s="1" t="str">
        <f>T("1947004327252661556")</f>
        <v>1947004327252661556</v>
      </c>
      <c r="B2610" s="1" t="str">
        <f>T("249969499463")</f>
        <v>249969499463</v>
      </c>
      <c r="C2610" s="1" t="str">
        <f>T("1941094503750305788")</f>
        <v>1941094503750305788</v>
      </c>
      <c r="AC2610" s="1" t="s">
        <v>344</v>
      </c>
      <c r="AD2610" s="1" t="s">
        <v>372</v>
      </c>
      <c r="AE2610" s="1" t="s">
        <v>818</v>
      </c>
      <c r="AF2610" s="1" t="s">
        <v>107</v>
      </c>
      <c r="AG2610" s="1">
        <v>51</v>
      </c>
      <c r="AO2610" s="2">
        <v>46281</v>
      </c>
      <c r="AP2610" s="1" t="s">
        <v>226</v>
      </c>
      <c r="AS2610" s="1" t="s">
        <v>71</v>
      </c>
      <c r="AU2610" s="1" t="s">
        <v>72</v>
      </c>
      <c r="AV2610" s="1" t="s">
        <v>437</v>
      </c>
      <c r="AX2610" s="1">
        <v>0</v>
      </c>
      <c r="BA2610" s="1">
        <v>9</v>
      </c>
      <c r="BB2610" s="1">
        <v>0</v>
      </c>
      <c r="BC2610" s="1">
        <v>0</v>
      </c>
      <c r="BE2610" s="1">
        <v>27432011</v>
      </c>
    </row>
    <row r="2611" spans="1:57" x14ac:dyDescent="0.25">
      <c r="A2611" s="1" t="str">
        <f>T("1947004327294605136")</f>
        <v>1947004327294605136</v>
      </c>
      <c r="B2611" s="1" t="str">
        <f>T("249963012689")</f>
        <v>249963012689</v>
      </c>
      <c r="C2611" s="1" t="str">
        <f>T("1941094503750306788")</f>
        <v>1941094503750306788</v>
      </c>
      <c r="AC2611" s="1" t="s">
        <v>344</v>
      </c>
      <c r="AD2611" s="1" t="s">
        <v>441</v>
      </c>
      <c r="AE2611" s="1" t="s">
        <v>530</v>
      </c>
      <c r="AF2611" s="1" t="s">
        <v>144</v>
      </c>
      <c r="AG2611" s="1">
        <v>55</v>
      </c>
      <c r="AO2611" s="2">
        <v>46281</v>
      </c>
      <c r="AP2611" s="1" t="s">
        <v>226</v>
      </c>
      <c r="AS2611" s="1" t="s">
        <v>71</v>
      </c>
      <c r="AU2611" s="1" t="s">
        <v>72</v>
      </c>
      <c r="AV2611" s="1" t="s">
        <v>126</v>
      </c>
      <c r="AX2611" s="1">
        <v>0</v>
      </c>
      <c r="BA2611" s="1">
        <v>9</v>
      </c>
      <c r="BB2611" s="1">
        <v>0</v>
      </c>
      <c r="BC2611" s="1">
        <v>0</v>
      </c>
      <c r="BE2611" s="1">
        <v>27432011</v>
      </c>
    </row>
    <row r="2612" spans="1:57" x14ac:dyDescent="0.25">
      <c r="A2612" s="1" t="str">
        <f>T("1947004327386879212")</f>
        <v>1947004327386879212</v>
      </c>
      <c r="B2612" s="1" t="str">
        <f>T("249928894583")</f>
        <v>249928894583</v>
      </c>
      <c r="C2612" s="1" t="str">
        <f>T("1941094503754500296")</f>
        <v>1941094503754500296</v>
      </c>
      <c r="AC2612" s="1" t="s">
        <v>344</v>
      </c>
      <c r="AD2612" s="1" t="s">
        <v>372</v>
      </c>
      <c r="AE2612" s="1" t="s">
        <v>814</v>
      </c>
      <c r="AF2612" s="1" t="s">
        <v>144</v>
      </c>
      <c r="AG2612" s="1">
        <v>33</v>
      </c>
      <c r="AO2612" s="2">
        <v>46281</v>
      </c>
      <c r="AP2612" s="1" t="s">
        <v>226</v>
      </c>
      <c r="AS2612" s="1" t="s">
        <v>71</v>
      </c>
      <c r="AU2612" s="1" t="s">
        <v>72</v>
      </c>
      <c r="AV2612" s="1" t="s">
        <v>73</v>
      </c>
      <c r="AX2612" s="1">
        <v>0</v>
      </c>
      <c r="BA2612" s="1">
        <v>9</v>
      </c>
      <c r="BB2612" s="1">
        <v>0</v>
      </c>
      <c r="BC2612" s="1">
        <v>0</v>
      </c>
      <c r="BE2612" s="1">
        <v>27432011</v>
      </c>
    </row>
    <row r="2613" spans="1:57" x14ac:dyDescent="0.25">
      <c r="A2613" s="1" t="str">
        <f>T("1947004327542067708")</f>
        <v>1947004327542067708</v>
      </c>
      <c r="B2613" s="1" t="str">
        <f>T("249962860889")</f>
        <v>249962860889</v>
      </c>
      <c r="C2613" s="1" t="str">
        <f>T("1941094503758693204")</f>
        <v>1941094503758693204</v>
      </c>
      <c r="AC2613" s="1" t="s">
        <v>344</v>
      </c>
      <c r="AD2613" s="1" t="s">
        <v>372</v>
      </c>
      <c r="AE2613" s="1" t="s">
        <v>815</v>
      </c>
      <c r="AF2613" s="1" t="s">
        <v>107</v>
      </c>
      <c r="AG2613" s="1">
        <v>60</v>
      </c>
      <c r="AO2613" s="2">
        <v>46281</v>
      </c>
      <c r="AP2613" s="1" t="s">
        <v>226</v>
      </c>
      <c r="AS2613" s="1" t="s">
        <v>71</v>
      </c>
      <c r="AU2613" s="1" t="s">
        <v>72</v>
      </c>
      <c r="AV2613" s="1" t="s">
        <v>73</v>
      </c>
      <c r="AX2613" s="1">
        <v>0</v>
      </c>
      <c r="BA2613" s="1">
        <v>9</v>
      </c>
      <c r="BB2613" s="1">
        <v>0</v>
      </c>
      <c r="BC2613" s="1">
        <v>0</v>
      </c>
      <c r="BE2613" s="1">
        <v>27432011</v>
      </c>
    </row>
    <row r="2614" spans="1:57" x14ac:dyDescent="0.25">
      <c r="A2614" s="1" t="str">
        <f>T("1947004327621759360")</f>
        <v>1947004327621759360</v>
      </c>
      <c r="B2614" s="1" t="str">
        <f>T("249967648005")</f>
        <v>249967648005</v>
      </c>
      <c r="C2614" s="1" t="str">
        <f>T("1941094503762886912")</f>
        <v>1941094503762886912</v>
      </c>
      <c r="AC2614" s="1" t="s">
        <v>344</v>
      </c>
      <c r="AD2614" s="1" t="s">
        <v>441</v>
      </c>
      <c r="AE2614" s="1" t="s">
        <v>530</v>
      </c>
      <c r="AF2614" s="1" t="s">
        <v>107</v>
      </c>
      <c r="AG2614" s="1">
        <v>40</v>
      </c>
      <c r="AO2614" s="2">
        <v>46281</v>
      </c>
      <c r="AP2614" s="1" t="s">
        <v>226</v>
      </c>
      <c r="AS2614" s="1" t="s">
        <v>71</v>
      </c>
      <c r="AU2614" s="1" t="s">
        <v>72</v>
      </c>
      <c r="AV2614" s="1" t="s">
        <v>73</v>
      </c>
      <c r="AX2614" s="1">
        <v>0</v>
      </c>
      <c r="BA2614" s="1">
        <v>9</v>
      </c>
      <c r="BB2614" s="1">
        <v>0</v>
      </c>
      <c r="BC2614" s="1">
        <v>0</v>
      </c>
      <c r="BE2614" s="1">
        <v>27432011</v>
      </c>
    </row>
    <row r="2615" spans="1:57" x14ac:dyDescent="0.25">
      <c r="A2615" s="1" t="str">
        <f>T("1947004327630149876")</f>
        <v>1947004327630149876</v>
      </c>
      <c r="B2615" s="1" t="str">
        <f>T("249919286356")</f>
        <v>249919286356</v>
      </c>
      <c r="C2615" s="1" t="str">
        <f>T("1941094503767081420")</f>
        <v>1941094503767081420</v>
      </c>
      <c r="AC2615" s="1" t="s">
        <v>344</v>
      </c>
      <c r="AD2615" s="1" t="s">
        <v>372</v>
      </c>
      <c r="AE2615" s="1" t="s">
        <v>820</v>
      </c>
      <c r="AF2615" s="1" t="s">
        <v>144</v>
      </c>
      <c r="AG2615" s="1">
        <v>20</v>
      </c>
      <c r="AO2615" s="2">
        <v>46281</v>
      </c>
      <c r="AP2615" s="1" t="s">
        <v>226</v>
      </c>
      <c r="AS2615" s="1" t="s">
        <v>71</v>
      </c>
      <c r="AU2615" s="1" t="s">
        <v>72</v>
      </c>
      <c r="AV2615" s="1" t="s">
        <v>73</v>
      </c>
      <c r="AX2615" s="1">
        <v>0</v>
      </c>
      <c r="BA2615" s="1">
        <v>9</v>
      </c>
      <c r="BB2615" s="1">
        <v>0</v>
      </c>
      <c r="BC2615" s="1">
        <v>0</v>
      </c>
      <c r="BE2615" s="1">
        <v>27432011</v>
      </c>
    </row>
    <row r="2616" spans="1:57" x14ac:dyDescent="0.25">
      <c r="A2616" s="1" t="str">
        <f>T("1947004327726618760")</f>
        <v>1947004327726618760</v>
      </c>
      <c r="B2616" s="1" t="str">
        <f>T("249965891402")</f>
        <v>249965891402</v>
      </c>
      <c r="C2616" s="1" t="str">
        <f>T("1941094503767082620")</f>
        <v>1941094503767082620</v>
      </c>
      <c r="AC2616" s="1" t="s">
        <v>344</v>
      </c>
      <c r="AD2616" s="1" t="s">
        <v>430</v>
      </c>
      <c r="AE2616" s="1" t="s">
        <v>530</v>
      </c>
      <c r="AF2616" s="1" t="s">
        <v>144</v>
      </c>
      <c r="AG2616" s="1">
        <v>43</v>
      </c>
      <c r="AO2616" s="2">
        <v>46281</v>
      </c>
      <c r="AP2616" s="1" t="s">
        <v>226</v>
      </c>
      <c r="AS2616" s="1" t="s">
        <v>71</v>
      </c>
      <c r="AU2616" s="1" t="s">
        <v>72</v>
      </c>
      <c r="AV2616" s="1" t="s">
        <v>73</v>
      </c>
      <c r="AX2616" s="1">
        <v>0</v>
      </c>
      <c r="BA2616" s="1">
        <v>9</v>
      </c>
      <c r="BB2616" s="1">
        <v>0</v>
      </c>
      <c r="BC2616" s="1">
        <v>0</v>
      </c>
      <c r="BE2616" s="1">
        <v>27432011</v>
      </c>
    </row>
    <row r="2617" spans="1:57" x14ac:dyDescent="0.25">
      <c r="A2617" s="1" t="str">
        <f>T("1947004327797919896")</f>
        <v>1947004327797919896</v>
      </c>
      <c r="B2617" s="1" t="str">
        <f>T("249966474505")</f>
        <v>249966474505</v>
      </c>
      <c r="C2617" s="1" t="str">
        <f>T("1941094503767084220")</f>
        <v>1941094503767084220</v>
      </c>
      <c r="AC2617" s="1" t="s">
        <v>344</v>
      </c>
      <c r="AD2617" s="1" t="s">
        <v>430</v>
      </c>
      <c r="AE2617" s="1" t="s">
        <v>530</v>
      </c>
      <c r="AF2617" s="1" t="s">
        <v>144</v>
      </c>
      <c r="AG2617" s="1">
        <v>32</v>
      </c>
      <c r="AO2617" s="2">
        <v>46281</v>
      </c>
      <c r="AP2617" s="1" t="s">
        <v>226</v>
      </c>
      <c r="AS2617" s="1" t="s">
        <v>71</v>
      </c>
      <c r="AU2617" s="1" t="s">
        <v>72</v>
      </c>
      <c r="AV2617" s="1" t="s">
        <v>437</v>
      </c>
      <c r="AX2617" s="1">
        <v>0</v>
      </c>
      <c r="BA2617" s="1">
        <v>9</v>
      </c>
      <c r="BB2617" s="1">
        <v>0</v>
      </c>
      <c r="BC2617" s="1">
        <v>0</v>
      </c>
      <c r="BE2617" s="1">
        <v>27432011</v>
      </c>
    </row>
    <row r="2618" spans="1:57" x14ac:dyDescent="0.25">
      <c r="A2618" s="1" t="str">
        <f>T("1947004327823088344")</f>
        <v>1947004327823088344</v>
      </c>
      <c r="B2618" s="1" t="str">
        <f>T("249901661718")</f>
        <v>249901661718</v>
      </c>
      <c r="C2618" s="1" t="str">
        <f>T("1941094503771277328")</f>
        <v>1941094503771277328</v>
      </c>
      <c r="AC2618" s="1" t="s">
        <v>344</v>
      </c>
      <c r="AD2618" s="1" t="s">
        <v>430</v>
      </c>
      <c r="AE2618" s="1" t="s">
        <v>530</v>
      </c>
      <c r="AF2618" s="1" t="s">
        <v>144</v>
      </c>
      <c r="AG2618" s="1">
        <v>27</v>
      </c>
      <c r="AO2618" s="2">
        <v>46281</v>
      </c>
      <c r="AP2618" s="1" t="s">
        <v>226</v>
      </c>
      <c r="AS2618" s="1" t="s">
        <v>71</v>
      </c>
      <c r="AU2618" s="1" t="s">
        <v>72</v>
      </c>
      <c r="AV2618" s="1" t="s">
        <v>437</v>
      </c>
      <c r="AX2618" s="1">
        <v>0</v>
      </c>
      <c r="BA2618" s="1">
        <v>9</v>
      </c>
      <c r="BB2618" s="1">
        <v>0</v>
      </c>
      <c r="BC2618" s="1">
        <v>0</v>
      </c>
      <c r="BE2618" s="1">
        <v>27432011</v>
      </c>
    </row>
    <row r="2619" spans="1:57" x14ac:dyDescent="0.25">
      <c r="A2619" s="1" t="str">
        <f>T("1947004327881808156")</f>
        <v>1947004327881808156</v>
      </c>
      <c r="B2619" s="1" t="str">
        <f>T("249911295280")</f>
        <v>249911295280</v>
      </c>
      <c r="C2619" s="1" t="str">
        <f>T("1941094503771278028")</f>
        <v>1941094503771278028</v>
      </c>
      <c r="AC2619" s="1" t="s">
        <v>344</v>
      </c>
      <c r="AD2619" s="1" t="s">
        <v>430</v>
      </c>
      <c r="AE2619" s="1" t="s">
        <v>530</v>
      </c>
      <c r="AF2619" s="1" t="s">
        <v>144</v>
      </c>
      <c r="AG2619" s="1">
        <v>50</v>
      </c>
      <c r="AO2619" s="2">
        <v>46281</v>
      </c>
      <c r="AP2619" s="1" t="s">
        <v>226</v>
      </c>
      <c r="AS2619" s="1" t="s">
        <v>71</v>
      </c>
      <c r="AU2619" s="1" t="s">
        <v>72</v>
      </c>
      <c r="AV2619" s="1" t="s">
        <v>73</v>
      </c>
      <c r="AX2619" s="1">
        <v>0</v>
      </c>
      <c r="BA2619" s="1">
        <v>9</v>
      </c>
      <c r="BB2619" s="1">
        <v>0</v>
      </c>
      <c r="BC2619" s="1">
        <v>0</v>
      </c>
      <c r="BE2619" s="1">
        <v>27432011</v>
      </c>
    </row>
    <row r="2620" spans="1:57" x14ac:dyDescent="0.25">
      <c r="A2620" s="1" t="str">
        <f>T("1947004327965692516")</f>
        <v>1947004327965692516</v>
      </c>
      <c r="B2620" s="1" t="str">
        <f>T("249918891036")</f>
        <v>249918891036</v>
      </c>
      <c r="C2620" s="1" t="str">
        <f>T("1941094503775469636")</f>
        <v>1941094503775469636</v>
      </c>
      <c r="AC2620" s="1" t="s">
        <v>344</v>
      </c>
      <c r="AD2620" s="1" t="s">
        <v>430</v>
      </c>
      <c r="AE2620" s="1" t="s">
        <v>530</v>
      </c>
      <c r="AF2620" s="1" t="s">
        <v>107</v>
      </c>
      <c r="AG2620" s="1">
        <v>28</v>
      </c>
      <c r="AO2620" s="2">
        <v>46281</v>
      </c>
      <c r="AP2620" s="1" t="s">
        <v>226</v>
      </c>
      <c r="AS2620" s="1" t="s">
        <v>71</v>
      </c>
      <c r="AU2620" s="1" t="s">
        <v>72</v>
      </c>
      <c r="AV2620" s="1" t="s">
        <v>126</v>
      </c>
      <c r="AX2620" s="1">
        <v>0</v>
      </c>
      <c r="BA2620" s="1">
        <v>9</v>
      </c>
      <c r="BB2620" s="1">
        <v>0</v>
      </c>
      <c r="BC2620" s="1">
        <v>0</v>
      </c>
      <c r="BE2620" s="1">
        <v>27432011</v>
      </c>
    </row>
    <row r="2621" spans="1:57" x14ac:dyDescent="0.25">
      <c r="A2621" s="1" t="str">
        <f>T("1947004327986665256")</f>
        <v>1947004327986665256</v>
      </c>
      <c r="B2621" s="1" t="str">
        <f>T("249999444045")</f>
        <v>249999444045</v>
      </c>
      <c r="C2621" s="1" t="str">
        <f>T("1941094503775473336")</f>
        <v>1941094503775473336</v>
      </c>
      <c r="AC2621" s="1" t="s">
        <v>344</v>
      </c>
      <c r="AD2621" s="1" t="s">
        <v>372</v>
      </c>
      <c r="AE2621" s="1" t="s">
        <v>813</v>
      </c>
      <c r="AF2621" s="1" t="s">
        <v>144</v>
      </c>
      <c r="AG2621" s="1">
        <v>47</v>
      </c>
      <c r="AO2621" s="2">
        <v>46281</v>
      </c>
      <c r="AP2621" s="1" t="s">
        <v>226</v>
      </c>
      <c r="AS2621" s="1" t="s">
        <v>71</v>
      </c>
      <c r="AU2621" s="1" t="s">
        <v>72</v>
      </c>
      <c r="AV2621" s="1" t="s">
        <v>334</v>
      </c>
      <c r="AX2621" s="1">
        <v>0</v>
      </c>
      <c r="BA2621" s="1">
        <v>9</v>
      </c>
      <c r="BB2621" s="1">
        <v>0</v>
      </c>
      <c r="BC2621" s="1">
        <v>0</v>
      </c>
      <c r="BE2621" s="1">
        <v>27432011</v>
      </c>
    </row>
    <row r="2622" spans="1:57" x14ac:dyDescent="0.25">
      <c r="A2622" s="1" t="str">
        <f>T("1947004328116690804")</f>
        <v>1947004328116690804</v>
      </c>
      <c r="B2622" s="1" t="str">
        <f>T("24991120060")</f>
        <v>24991120060</v>
      </c>
      <c r="C2622" s="1" t="str">
        <f>T("1941094503779664444")</f>
        <v>1941094503779664444</v>
      </c>
      <c r="AC2622" s="1" t="s">
        <v>344</v>
      </c>
      <c r="AD2622" s="1" t="s">
        <v>441</v>
      </c>
      <c r="AE2622" s="1" t="s">
        <v>530</v>
      </c>
      <c r="AF2622" s="1" t="s">
        <v>144</v>
      </c>
      <c r="AG2622" s="1">
        <v>45</v>
      </c>
      <c r="AO2622" s="2">
        <v>46281</v>
      </c>
      <c r="AP2622" s="1" t="s">
        <v>226</v>
      </c>
      <c r="AS2622" s="1" t="s">
        <v>71</v>
      </c>
      <c r="AU2622" s="1" t="s">
        <v>72</v>
      </c>
      <c r="AV2622" s="1" t="s">
        <v>73</v>
      </c>
      <c r="AX2622" s="1">
        <v>0</v>
      </c>
      <c r="BA2622" s="1">
        <v>9</v>
      </c>
      <c r="BB2622" s="1">
        <v>0</v>
      </c>
      <c r="BC2622" s="1">
        <v>0</v>
      </c>
      <c r="BE2622" s="1">
        <v>27432011</v>
      </c>
    </row>
    <row r="2623" spans="1:57" x14ac:dyDescent="0.25">
      <c r="A2623" s="1" t="str">
        <f>T("1947004328129270128")</f>
        <v>1947004328129270128</v>
      </c>
      <c r="B2623" s="1" t="str">
        <f>T("249913746487")</f>
        <v>249913746487</v>
      </c>
      <c r="C2623" s="1" t="str">
        <f>T("1941094503779664044")</f>
        <v>1941094503779664044</v>
      </c>
      <c r="AC2623" s="1" t="s">
        <v>344</v>
      </c>
      <c r="AD2623" s="1" t="s">
        <v>430</v>
      </c>
      <c r="AE2623" s="1" t="s">
        <v>530</v>
      </c>
      <c r="AF2623" s="1" t="s">
        <v>107</v>
      </c>
      <c r="AG2623" s="1">
        <v>35</v>
      </c>
      <c r="AO2623" s="2">
        <v>46281</v>
      </c>
      <c r="AP2623" s="1" t="s">
        <v>226</v>
      </c>
      <c r="AS2623" s="1" t="s">
        <v>71</v>
      </c>
      <c r="AU2623" s="1" t="s">
        <v>72</v>
      </c>
      <c r="AV2623" s="1" t="s">
        <v>126</v>
      </c>
      <c r="AX2623" s="1">
        <v>0</v>
      </c>
      <c r="BA2623" s="1">
        <v>9</v>
      </c>
      <c r="BB2623" s="1">
        <v>0</v>
      </c>
      <c r="BC2623" s="1">
        <v>0</v>
      </c>
      <c r="BE2623" s="1">
        <v>27432011</v>
      </c>
    </row>
    <row r="2624" spans="1:57" x14ac:dyDescent="0.25">
      <c r="A2624" s="1" t="str">
        <f>T("1947004328171216308")</f>
        <v>1947004328171216308</v>
      </c>
      <c r="B2624" s="1" t="str">
        <f>T("249903828577")</f>
        <v>249903828577</v>
      </c>
      <c r="C2624" s="1" t="str">
        <f>T("1941094503779665044")</f>
        <v>1941094503779665044</v>
      </c>
      <c r="AC2624" s="1" t="s">
        <v>344</v>
      </c>
      <c r="AD2624" s="1" t="s">
        <v>372</v>
      </c>
      <c r="AE2624" s="1" t="s">
        <v>815</v>
      </c>
      <c r="AF2624" s="1" t="s">
        <v>144</v>
      </c>
      <c r="AG2624" s="1">
        <v>23</v>
      </c>
      <c r="AO2624" s="2">
        <v>46281</v>
      </c>
      <c r="AP2624" s="1" t="s">
        <v>226</v>
      </c>
      <c r="AS2624" s="1" t="s">
        <v>71</v>
      </c>
      <c r="AU2624" s="1" t="s">
        <v>72</v>
      </c>
      <c r="AV2624" s="1" t="s">
        <v>73</v>
      </c>
      <c r="AX2624" s="1">
        <v>0</v>
      </c>
      <c r="BA2624" s="1">
        <v>9</v>
      </c>
      <c r="BB2624" s="1">
        <v>0</v>
      </c>
      <c r="BC2624" s="1">
        <v>0</v>
      </c>
      <c r="BE2624" s="1">
        <v>27432011</v>
      </c>
    </row>
    <row r="2625" spans="1:57" x14ac:dyDescent="0.25">
      <c r="A2625" s="1" t="str">
        <f>T("1947004328217352796")</f>
        <v>1947004328217352796</v>
      </c>
      <c r="B2625" s="1" t="str">
        <f>T("249961651123")</f>
        <v>249961651123</v>
      </c>
      <c r="C2625" s="1" t="str">
        <f>T("1941094503779665544")</f>
        <v>1941094503779665544</v>
      </c>
      <c r="AC2625" s="1" t="s">
        <v>344</v>
      </c>
      <c r="AD2625" s="1" t="s">
        <v>372</v>
      </c>
      <c r="AE2625" s="1" t="s">
        <v>814</v>
      </c>
      <c r="AF2625" s="1" t="s">
        <v>144</v>
      </c>
      <c r="AG2625" s="1">
        <v>46</v>
      </c>
      <c r="AO2625" s="2">
        <v>46281</v>
      </c>
      <c r="AP2625" s="1" t="s">
        <v>226</v>
      </c>
      <c r="AS2625" s="1" t="s">
        <v>71</v>
      </c>
      <c r="AU2625" s="1" t="s">
        <v>72</v>
      </c>
      <c r="AV2625" s="1" t="s">
        <v>437</v>
      </c>
      <c r="AX2625" s="1">
        <v>0</v>
      </c>
      <c r="BA2625" s="1">
        <v>9</v>
      </c>
      <c r="BB2625" s="1">
        <v>0</v>
      </c>
      <c r="BC2625" s="1">
        <v>0</v>
      </c>
      <c r="BE2625" s="1">
        <v>27432011</v>
      </c>
    </row>
    <row r="2626" spans="1:57" x14ac:dyDescent="0.25">
      <c r="A2626" s="1" t="str">
        <f>T("1947004328322208296")</f>
        <v>1947004328322208296</v>
      </c>
      <c r="B2626" s="1" t="str">
        <f>T("249909473022")</f>
        <v>249909473022</v>
      </c>
      <c r="C2626" s="1" t="str">
        <f>T("1941094503779666444")</f>
        <v>1941094503779666444</v>
      </c>
      <c r="AC2626" s="1" t="s">
        <v>344</v>
      </c>
      <c r="AD2626" s="1" t="s">
        <v>430</v>
      </c>
      <c r="AE2626" s="1" t="s">
        <v>530</v>
      </c>
      <c r="AF2626" s="1" t="s">
        <v>144</v>
      </c>
      <c r="AG2626" s="1">
        <v>44</v>
      </c>
      <c r="AO2626" s="2">
        <v>46281</v>
      </c>
      <c r="AP2626" s="1" t="s">
        <v>226</v>
      </c>
      <c r="AS2626" s="1" t="s">
        <v>71</v>
      </c>
      <c r="AU2626" s="1" t="s">
        <v>72</v>
      </c>
      <c r="AV2626" s="1" t="s">
        <v>437</v>
      </c>
      <c r="AX2626" s="1">
        <v>0</v>
      </c>
      <c r="BA2626" s="1">
        <v>9</v>
      </c>
      <c r="BB2626" s="1">
        <v>0</v>
      </c>
      <c r="BC2626" s="1">
        <v>0</v>
      </c>
      <c r="BE2626" s="1">
        <v>27432011</v>
      </c>
    </row>
    <row r="2627" spans="1:57" x14ac:dyDescent="0.25">
      <c r="A2627" s="1" t="str">
        <f>T("1947004328334790820")</f>
        <v>1947004328334790820</v>
      </c>
      <c r="B2627" s="1" t="str">
        <f>T("249903028058")</f>
        <v>249903028058</v>
      </c>
      <c r="C2627" s="1" t="str">
        <f>T("1941094503783859252")</f>
        <v>1941094503783859252</v>
      </c>
      <c r="AC2627" s="1" t="s">
        <v>344</v>
      </c>
      <c r="AD2627" s="1" t="s">
        <v>357</v>
      </c>
      <c r="AE2627" s="1" t="s">
        <v>812</v>
      </c>
      <c r="AF2627" s="1" t="s">
        <v>107</v>
      </c>
      <c r="AG2627" s="1">
        <v>46</v>
      </c>
      <c r="AO2627" s="2">
        <v>46281</v>
      </c>
      <c r="AP2627" s="1" t="s">
        <v>226</v>
      </c>
      <c r="AS2627" s="1" t="s">
        <v>71</v>
      </c>
      <c r="AU2627" s="1" t="s">
        <v>72</v>
      </c>
      <c r="AV2627" s="1" t="s">
        <v>126</v>
      </c>
      <c r="AX2627" s="1">
        <v>0</v>
      </c>
      <c r="BA2627" s="1">
        <v>9</v>
      </c>
      <c r="BB2627" s="1">
        <v>0</v>
      </c>
      <c r="BC2627" s="1">
        <v>0</v>
      </c>
      <c r="BE2627" s="1">
        <v>27432011</v>
      </c>
    </row>
    <row r="2628" spans="1:57" x14ac:dyDescent="0.25">
      <c r="A2628" s="1" t="str">
        <f>T("1947004328355762360")</f>
        <v>1947004328355762360</v>
      </c>
      <c r="B2628" s="1" t="str">
        <f>T("249913786253")</f>
        <v>249913786253</v>
      </c>
      <c r="C2628" s="1" t="str">
        <f>T("1941094503783860452")</f>
        <v>1941094503783860452</v>
      </c>
      <c r="AC2628" s="1" t="s">
        <v>344</v>
      </c>
      <c r="AD2628" s="1" t="s">
        <v>441</v>
      </c>
      <c r="AE2628" s="1" t="s">
        <v>530</v>
      </c>
      <c r="AF2628" s="1" t="s">
        <v>107</v>
      </c>
      <c r="AG2628" s="1">
        <v>55</v>
      </c>
      <c r="AO2628" s="2">
        <v>46281</v>
      </c>
      <c r="AP2628" s="1" t="s">
        <v>226</v>
      </c>
      <c r="AS2628" s="1" t="s">
        <v>71</v>
      </c>
      <c r="AU2628" s="1" t="s">
        <v>72</v>
      </c>
      <c r="AV2628" s="1" t="s">
        <v>126</v>
      </c>
      <c r="AX2628" s="1">
        <v>0</v>
      </c>
      <c r="BA2628" s="1">
        <v>9</v>
      </c>
      <c r="BB2628" s="1">
        <v>0</v>
      </c>
      <c r="BC2628" s="1">
        <v>0</v>
      </c>
      <c r="BE2628" s="1">
        <v>27432011</v>
      </c>
    </row>
    <row r="2629" spans="1:57" x14ac:dyDescent="0.25">
      <c r="A2629" s="1" t="str">
        <f>T("1947004328359958268")</f>
        <v>1947004328359958268</v>
      </c>
      <c r="B2629" s="1" t="str">
        <f>T("249960341913")</f>
        <v>249960341913</v>
      </c>
      <c r="C2629" s="1" t="str">
        <f>T("1941094503783859952")</f>
        <v>1941094503783859952</v>
      </c>
      <c r="AC2629" s="1" t="s">
        <v>344</v>
      </c>
      <c r="AD2629" s="1" t="s">
        <v>430</v>
      </c>
      <c r="AE2629" s="1" t="s">
        <v>530</v>
      </c>
      <c r="AF2629" s="1" t="s">
        <v>144</v>
      </c>
      <c r="AG2629" s="1">
        <v>43</v>
      </c>
      <c r="AO2629" s="2">
        <v>46281</v>
      </c>
      <c r="AP2629" s="1" t="s">
        <v>226</v>
      </c>
      <c r="AS2629" s="1" t="s">
        <v>71</v>
      </c>
      <c r="AU2629" s="1" t="s">
        <v>72</v>
      </c>
      <c r="AV2629" s="1" t="s">
        <v>437</v>
      </c>
      <c r="AX2629" s="1">
        <v>0</v>
      </c>
      <c r="BA2629" s="1">
        <v>9</v>
      </c>
      <c r="BB2629" s="1">
        <v>0</v>
      </c>
      <c r="BC2629" s="1">
        <v>0</v>
      </c>
      <c r="BE2629" s="1">
        <v>27432011</v>
      </c>
    </row>
    <row r="2630" spans="1:57" x14ac:dyDescent="0.25">
      <c r="A2630" s="1" t="str">
        <f>T("1947004328401901748")</f>
        <v>1947004328401901748</v>
      </c>
      <c r="B2630" s="1" t="str">
        <f>T("249907393929")</f>
        <v>249907393929</v>
      </c>
      <c r="C2630" s="1" t="str">
        <f>T("1941094503783860952")</f>
        <v>1941094503783860952</v>
      </c>
      <c r="AC2630" s="1" t="s">
        <v>344</v>
      </c>
      <c r="AD2630" s="1" t="s">
        <v>372</v>
      </c>
      <c r="AE2630" s="1" t="s">
        <v>818</v>
      </c>
      <c r="AF2630" s="1" t="s">
        <v>144</v>
      </c>
      <c r="AG2630" s="1">
        <v>58</v>
      </c>
      <c r="AO2630" s="2">
        <v>46281</v>
      </c>
      <c r="AP2630" s="1" t="s">
        <v>226</v>
      </c>
      <c r="AS2630" s="1" t="s">
        <v>71</v>
      </c>
      <c r="AU2630" s="1" t="s">
        <v>72</v>
      </c>
      <c r="AV2630" s="1" t="s">
        <v>437</v>
      </c>
      <c r="AX2630" s="1">
        <v>0</v>
      </c>
      <c r="BA2630" s="1">
        <v>9</v>
      </c>
      <c r="BB2630" s="1">
        <v>0</v>
      </c>
      <c r="BC2630" s="1">
        <v>0</v>
      </c>
      <c r="BE2630" s="1">
        <v>27432011</v>
      </c>
    </row>
    <row r="2631" spans="1:57" x14ac:dyDescent="0.25">
      <c r="A2631" s="1" t="str">
        <f>T("1947004328431261104")</f>
        <v>1947004328431261104</v>
      </c>
      <c r="B2631" s="1" t="str">
        <f>T("249901760387")</f>
        <v>249901760387</v>
      </c>
      <c r="C2631" s="1" t="str">
        <f>T("1941094503788053360")</f>
        <v>1941094503788053360</v>
      </c>
      <c r="AC2631" s="1" t="s">
        <v>344</v>
      </c>
      <c r="AD2631" s="1" t="s">
        <v>430</v>
      </c>
      <c r="AE2631" s="1" t="s">
        <v>530</v>
      </c>
      <c r="AF2631" s="1" t="s">
        <v>144</v>
      </c>
      <c r="AG2631" s="1">
        <v>24</v>
      </c>
      <c r="AO2631" s="2">
        <v>46281</v>
      </c>
      <c r="AP2631" s="1" t="s">
        <v>226</v>
      </c>
      <c r="AS2631" s="1" t="s">
        <v>71</v>
      </c>
      <c r="AU2631" s="1" t="s">
        <v>72</v>
      </c>
      <c r="AV2631" s="1" t="s">
        <v>73</v>
      </c>
      <c r="AX2631" s="1">
        <v>0</v>
      </c>
      <c r="BA2631" s="1">
        <v>9</v>
      </c>
      <c r="BB2631" s="1">
        <v>0</v>
      </c>
      <c r="BC2631" s="1">
        <v>0</v>
      </c>
      <c r="BE2631" s="1">
        <v>27432011</v>
      </c>
    </row>
    <row r="2632" spans="1:57" x14ac:dyDescent="0.25">
      <c r="A2632" s="1" t="str">
        <f>T("1947004328469012076")</f>
        <v>1947004328469012076</v>
      </c>
      <c r="B2632" s="1" t="str">
        <f>T("249900237486")</f>
        <v>249900237486</v>
      </c>
      <c r="C2632" s="1" t="str">
        <f>T("1941094503788053960")</f>
        <v>1941094503788053960</v>
      </c>
      <c r="AC2632" s="1" t="s">
        <v>344</v>
      </c>
      <c r="AD2632" s="1" t="s">
        <v>372</v>
      </c>
      <c r="AE2632" s="1" t="s">
        <v>815</v>
      </c>
      <c r="AF2632" s="1" t="s">
        <v>144</v>
      </c>
      <c r="AG2632" s="1">
        <v>34</v>
      </c>
      <c r="AO2632" s="2">
        <v>46281</v>
      </c>
      <c r="AP2632" s="1" t="s">
        <v>226</v>
      </c>
      <c r="AS2632" s="1" t="s">
        <v>71</v>
      </c>
      <c r="AU2632" s="1" t="s">
        <v>72</v>
      </c>
      <c r="AV2632" s="1" t="s">
        <v>73</v>
      </c>
      <c r="AX2632" s="1">
        <v>0</v>
      </c>
      <c r="BA2632" s="1">
        <v>9</v>
      </c>
      <c r="BB2632" s="1">
        <v>0</v>
      </c>
      <c r="BC2632" s="1">
        <v>0</v>
      </c>
      <c r="BE2632" s="1">
        <v>27432011</v>
      </c>
    </row>
    <row r="2633" spans="1:57" x14ac:dyDescent="0.25">
      <c r="A2633" s="1" t="str">
        <f>T("1947004328494174924")</f>
        <v>1947004328494174924</v>
      </c>
      <c r="B2633" s="1" t="str">
        <f>T("249907078288")</f>
        <v>249907078288</v>
      </c>
      <c r="C2633" s="1" t="str">
        <f>T("1941094503788054460")</f>
        <v>1941094503788054460</v>
      </c>
      <c r="AC2633" s="1" t="s">
        <v>344</v>
      </c>
      <c r="AD2633" s="1" t="s">
        <v>372</v>
      </c>
      <c r="AE2633" s="1" t="s">
        <v>813</v>
      </c>
      <c r="AF2633" s="1" t="s">
        <v>144</v>
      </c>
      <c r="AG2633" s="1">
        <v>40</v>
      </c>
      <c r="AO2633" s="2">
        <v>46281</v>
      </c>
      <c r="AP2633" s="1" t="s">
        <v>226</v>
      </c>
      <c r="AS2633" s="1" t="s">
        <v>71</v>
      </c>
      <c r="AU2633" s="1" t="s">
        <v>72</v>
      </c>
      <c r="AV2633" s="1" t="s">
        <v>437</v>
      </c>
      <c r="AX2633" s="1">
        <v>0</v>
      </c>
      <c r="BA2633" s="1">
        <v>9</v>
      </c>
      <c r="BB2633" s="1">
        <v>0</v>
      </c>
      <c r="BC2633" s="1">
        <v>0</v>
      </c>
      <c r="BE2633" s="1">
        <v>27432011</v>
      </c>
    </row>
    <row r="2634" spans="1:57" x14ac:dyDescent="0.25">
      <c r="A2634" s="1" t="str">
        <f>T("1947004328531925096")</f>
        <v>1947004328531925096</v>
      </c>
      <c r="B2634" s="1" t="str">
        <f>T("249922674663")</f>
        <v>249922674663</v>
      </c>
      <c r="C2634" s="1" t="str">
        <f>T("1941094503788054960")</f>
        <v>1941094503788054960</v>
      </c>
      <c r="AC2634" s="1" t="s">
        <v>344</v>
      </c>
      <c r="AD2634" s="1" t="s">
        <v>372</v>
      </c>
      <c r="AE2634" s="1" t="s">
        <v>814</v>
      </c>
      <c r="AF2634" s="1" t="s">
        <v>144</v>
      </c>
      <c r="AG2634" s="1">
        <v>70</v>
      </c>
      <c r="AO2634" s="2">
        <v>46281</v>
      </c>
      <c r="AP2634" s="1" t="s">
        <v>226</v>
      </c>
      <c r="AS2634" s="1" t="s">
        <v>71</v>
      </c>
      <c r="AU2634" s="1" t="s">
        <v>72</v>
      </c>
      <c r="AV2634" s="1" t="s">
        <v>73</v>
      </c>
      <c r="AX2634" s="1">
        <v>0</v>
      </c>
      <c r="BA2634" s="1">
        <v>9</v>
      </c>
      <c r="BB2634" s="1">
        <v>0</v>
      </c>
      <c r="BC2634" s="1">
        <v>0</v>
      </c>
      <c r="BE2634" s="1">
        <v>27432011</v>
      </c>
    </row>
    <row r="2635" spans="1:57" x14ac:dyDescent="0.25">
      <c r="A2635" s="1" t="str">
        <f>T("1947004328531926296")</f>
        <v>1947004328531926296</v>
      </c>
      <c r="B2635" s="1" t="str">
        <f>T("249963534506")</f>
        <v>249963534506</v>
      </c>
      <c r="C2635" s="1" t="str">
        <f>T("1941094503792247368")</f>
        <v>1941094503792247368</v>
      </c>
      <c r="AC2635" s="1" t="s">
        <v>344</v>
      </c>
      <c r="AD2635" s="1" t="s">
        <v>441</v>
      </c>
      <c r="AE2635" s="1" t="s">
        <v>530</v>
      </c>
      <c r="AF2635" s="1" t="s">
        <v>107</v>
      </c>
      <c r="AG2635" s="1">
        <v>45</v>
      </c>
      <c r="AO2635" s="2">
        <v>46281</v>
      </c>
      <c r="AP2635" s="1" t="s">
        <v>226</v>
      </c>
      <c r="AS2635" s="1" t="s">
        <v>71</v>
      </c>
      <c r="AU2635" s="1" t="s">
        <v>72</v>
      </c>
      <c r="AV2635" s="1" t="s">
        <v>73</v>
      </c>
      <c r="AX2635" s="1">
        <v>0</v>
      </c>
      <c r="BA2635" s="1">
        <v>9</v>
      </c>
      <c r="BB2635" s="1">
        <v>0</v>
      </c>
      <c r="BC2635" s="1">
        <v>0</v>
      </c>
      <c r="BE2635" s="1">
        <v>27432011</v>
      </c>
    </row>
    <row r="2636" spans="1:57" x14ac:dyDescent="0.25">
      <c r="A2636" s="1" t="str">
        <f>T("1947004328599032324")</f>
        <v>1947004328599032324</v>
      </c>
      <c r="B2636" s="1" t="str">
        <f>T("249900281257")</f>
        <v>249900281257</v>
      </c>
      <c r="C2636" s="1" t="str">
        <f>T("1941094503792248168")</f>
        <v>1941094503792248168</v>
      </c>
      <c r="AC2636" s="1" t="s">
        <v>344</v>
      </c>
      <c r="AD2636" s="1" t="s">
        <v>441</v>
      </c>
      <c r="AE2636" s="1" t="s">
        <v>530</v>
      </c>
      <c r="AF2636" s="1" t="s">
        <v>107</v>
      </c>
      <c r="AG2636" s="1">
        <v>40</v>
      </c>
      <c r="AO2636" s="2">
        <v>46281</v>
      </c>
      <c r="AP2636" s="1" t="s">
        <v>226</v>
      </c>
      <c r="AS2636" s="1" t="s">
        <v>71</v>
      </c>
      <c r="AU2636" s="1" t="s">
        <v>72</v>
      </c>
      <c r="AV2636" s="1" t="s">
        <v>73</v>
      </c>
      <c r="AX2636" s="1">
        <v>0</v>
      </c>
      <c r="BA2636" s="1">
        <v>9</v>
      </c>
      <c r="BB2636" s="1">
        <v>0</v>
      </c>
      <c r="BC2636" s="1">
        <v>0</v>
      </c>
      <c r="BE2636" s="1">
        <v>27432011</v>
      </c>
    </row>
    <row r="2637" spans="1:57" x14ac:dyDescent="0.25">
      <c r="A2637" s="1" t="str">
        <f>T("1947004328607423640")</f>
        <v>1947004328607423640</v>
      </c>
      <c r="B2637" s="1" t="str">
        <f>T("249903423609")</f>
        <v>249903423609</v>
      </c>
      <c r="C2637" s="1" t="str">
        <f>T("1941094503792248568")</f>
        <v>1941094503792248568</v>
      </c>
      <c r="AC2637" s="1" t="s">
        <v>344</v>
      </c>
      <c r="AD2637" s="1" t="s">
        <v>430</v>
      </c>
      <c r="AE2637" s="1" t="s">
        <v>530</v>
      </c>
      <c r="AF2637" s="1" t="s">
        <v>144</v>
      </c>
      <c r="AG2637" s="1">
        <v>62</v>
      </c>
      <c r="AO2637" s="2">
        <v>46281</v>
      </c>
      <c r="AP2637" s="1" t="s">
        <v>226</v>
      </c>
      <c r="AS2637" s="1" t="s">
        <v>71</v>
      </c>
      <c r="AU2637" s="1" t="s">
        <v>72</v>
      </c>
      <c r="AV2637" s="1" t="s">
        <v>73</v>
      </c>
      <c r="AX2637" s="1">
        <v>0</v>
      </c>
      <c r="BA2637" s="1">
        <v>9</v>
      </c>
      <c r="BB2637" s="1">
        <v>0</v>
      </c>
      <c r="BC2637" s="1">
        <v>0</v>
      </c>
      <c r="BE2637" s="1">
        <v>27432011</v>
      </c>
    </row>
    <row r="2638" spans="1:57" x14ac:dyDescent="0.25">
      <c r="A2638" s="1" t="str">
        <f>T("1947004328632589888")</f>
        <v>1947004328632589888</v>
      </c>
      <c r="B2638" s="1" t="str">
        <f>T("249907984422")</f>
        <v>249907984422</v>
      </c>
      <c r="C2638" s="1" t="str">
        <f>T("1941094503796441876")</f>
        <v>1941094503796441876</v>
      </c>
      <c r="AC2638" s="1" t="s">
        <v>344</v>
      </c>
      <c r="AD2638" s="1" t="s">
        <v>372</v>
      </c>
      <c r="AE2638" s="1" t="s">
        <v>815</v>
      </c>
      <c r="AF2638" s="1" t="s">
        <v>107</v>
      </c>
      <c r="AG2638" s="1">
        <v>55</v>
      </c>
      <c r="AO2638" s="2">
        <v>46281</v>
      </c>
      <c r="AP2638" s="1" t="s">
        <v>226</v>
      </c>
      <c r="AS2638" s="1" t="s">
        <v>71</v>
      </c>
      <c r="AU2638" s="1" t="s">
        <v>72</v>
      </c>
      <c r="AV2638" s="1" t="s">
        <v>73</v>
      </c>
      <c r="AX2638" s="1">
        <v>0</v>
      </c>
      <c r="BA2638" s="1">
        <v>9</v>
      </c>
      <c r="BB2638" s="1">
        <v>0</v>
      </c>
      <c r="BC2638" s="1">
        <v>0</v>
      </c>
      <c r="BE2638" s="1">
        <v>27432011</v>
      </c>
    </row>
    <row r="2639" spans="1:57" x14ac:dyDescent="0.25">
      <c r="A2639" s="1" t="str">
        <f>T("1947004328636780696")</f>
        <v>1947004328636780696</v>
      </c>
      <c r="B2639" s="1" t="str">
        <f>T("249919017582")</f>
        <v>249919017582</v>
      </c>
      <c r="C2639" s="1" t="str">
        <f>T("1941094503796442376")</f>
        <v>1941094503796442376</v>
      </c>
      <c r="AC2639" s="1" t="s">
        <v>344</v>
      </c>
      <c r="AD2639" s="1" t="s">
        <v>441</v>
      </c>
      <c r="AE2639" s="1" t="s">
        <v>530</v>
      </c>
      <c r="AF2639" s="1" t="s">
        <v>107</v>
      </c>
      <c r="AG2639" s="1">
        <v>65</v>
      </c>
      <c r="AO2639" s="2">
        <v>46281</v>
      </c>
      <c r="AP2639" s="1" t="s">
        <v>226</v>
      </c>
      <c r="AS2639" s="1" t="s">
        <v>71</v>
      </c>
      <c r="AU2639" s="1" t="s">
        <v>72</v>
      </c>
      <c r="AV2639" s="1" t="s">
        <v>437</v>
      </c>
      <c r="AX2639" s="1">
        <v>0</v>
      </c>
      <c r="BA2639" s="1">
        <v>9</v>
      </c>
      <c r="BB2639" s="1">
        <v>0</v>
      </c>
      <c r="BC2639" s="1">
        <v>0</v>
      </c>
      <c r="BE2639" s="1">
        <v>27432011</v>
      </c>
    </row>
    <row r="2640" spans="1:57" x14ac:dyDescent="0.25">
      <c r="A2640" s="1" t="str">
        <f>T("1947004328699695916")</f>
        <v>1947004328699695916</v>
      </c>
      <c r="B2640" s="1" t="str">
        <f>T("249967684126")</f>
        <v>249967684126</v>
      </c>
      <c r="C2640" s="1" t="str">
        <f>T("1941094503796442776")</f>
        <v>1941094503796442776</v>
      </c>
      <c r="AC2640" s="1" t="s">
        <v>344</v>
      </c>
      <c r="AD2640" s="1" t="s">
        <v>430</v>
      </c>
      <c r="AE2640" s="1" t="s">
        <v>530</v>
      </c>
      <c r="AF2640" s="1" t="s">
        <v>144</v>
      </c>
      <c r="AG2640" s="1">
        <v>60</v>
      </c>
      <c r="AO2640" s="2">
        <v>46281</v>
      </c>
      <c r="AP2640" s="1" t="s">
        <v>226</v>
      </c>
      <c r="AS2640" s="1" t="s">
        <v>71</v>
      </c>
      <c r="AU2640" s="1" t="s">
        <v>72</v>
      </c>
      <c r="AV2640" s="1" t="s">
        <v>73</v>
      </c>
      <c r="AX2640" s="1">
        <v>0</v>
      </c>
      <c r="BA2640" s="1">
        <v>9</v>
      </c>
      <c r="BB2640" s="1">
        <v>0</v>
      </c>
      <c r="BC2640" s="1">
        <v>0</v>
      </c>
      <c r="BE2640" s="1">
        <v>27432011</v>
      </c>
    </row>
    <row r="2641" spans="1:57" x14ac:dyDescent="0.25">
      <c r="A2641" s="1" t="str">
        <f>T("1947004328737443888")</f>
        <v>1947004328737443888</v>
      </c>
      <c r="B2641" s="1" t="str">
        <f>T("249910049770")</f>
        <v>249910049770</v>
      </c>
      <c r="C2641" s="1" t="str">
        <f>T("1941094503796443476")</f>
        <v>1941094503796443476</v>
      </c>
      <c r="AC2641" s="1" t="s">
        <v>344</v>
      </c>
      <c r="AD2641" s="1" t="s">
        <v>441</v>
      </c>
      <c r="AE2641" s="1" t="s">
        <v>530</v>
      </c>
      <c r="AF2641" s="1" t="s">
        <v>144</v>
      </c>
      <c r="AG2641" s="1">
        <v>66</v>
      </c>
      <c r="AO2641" s="2">
        <v>46281</v>
      </c>
      <c r="AP2641" s="1" t="s">
        <v>226</v>
      </c>
      <c r="AS2641" s="1" t="s">
        <v>71</v>
      </c>
      <c r="AU2641" s="1" t="s">
        <v>72</v>
      </c>
      <c r="AV2641" s="1" t="s">
        <v>126</v>
      </c>
      <c r="AX2641" s="1">
        <v>0</v>
      </c>
      <c r="BA2641" s="1">
        <v>9</v>
      </c>
      <c r="BB2641" s="1">
        <v>0</v>
      </c>
      <c r="BC2641" s="1">
        <v>0</v>
      </c>
      <c r="BE2641" s="1">
        <v>27432011</v>
      </c>
    </row>
    <row r="2642" spans="1:57" x14ac:dyDescent="0.25">
      <c r="A2642" s="1" t="str">
        <f>T("1947004328737444688")</f>
        <v>1947004328737444688</v>
      </c>
      <c r="B2642" s="1" t="str">
        <f>T("249996688299")</f>
        <v>249996688299</v>
      </c>
      <c r="C2642" s="1" t="str">
        <f>T("1941094503800635484")</f>
        <v>1941094503800635484</v>
      </c>
      <c r="AC2642" s="1" t="s">
        <v>344</v>
      </c>
      <c r="AD2642" s="1" t="s">
        <v>372</v>
      </c>
      <c r="AE2642" s="1" t="s">
        <v>814</v>
      </c>
      <c r="AF2642" s="1" t="s">
        <v>144</v>
      </c>
      <c r="AG2642" s="1">
        <v>37</v>
      </c>
      <c r="AO2642" s="2">
        <v>46281</v>
      </c>
      <c r="AP2642" s="1" t="s">
        <v>226</v>
      </c>
      <c r="AS2642" s="1" t="s">
        <v>71</v>
      </c>
      <c r="AU2642" s="1" t="s">
        <v>72</v>
      </c>
      <c r="AV2642" s="1" t="s">
        <v>73</v>
      </c>
      <c r="AX2642" s="1">
        <v>0</v>
      </c>
      <c r="BA2642" s="1">
        <v>9</v>
      </c>
      <c r="BB2642" s="1">
        <v>0</v>
      </c>
      <c r="BC2642" s="1">
        <v>0</v>
      </c>
      <c r="BE2642" s="1">
        <v>27432011</v>
      </c>
    </row>
    <row r="2643" spans="1:57" x14ac:dyDescent="0.25">
      <c r="A2643" s="1" t="str">
        <f>T("1947004328775193860")</f>
        <v>1947004328775193860</v>
      </c>
      <c r="B2643" s="1" t="str">
        <f>T("249916494835")</f>
        <v>249916494835</v>
      </c>
      <c r="C2643" s="1" t="str">
        <f>T("1941094503800637784")</f>
        <v>1941094503800637784</v>
      </c>
      <c r="AC2643" s="1" t="s">
        <v>344</v>
      </c>
      <c r="AD2643" s="1" t="s">
        <v>372</v>
      </c>
      <c r="AE2643" s="1" t="s">
        <v>814</v>
      </c>
      <c r="AF2643" s="1" t="s">
        <v>144</v>
      </c>
      <c r="AG2643" s="1">
        <v>25</v>
      </c>
      <c r="AO2643" s="2">
        <v>46281</v>
      </c>
      <c r="AP2643" s="1" t="s">
        <v>226</v>
      </c>
      <c r="AS2643" s="1" t="s">
        <v>71</v>
      </c>
      <c r="AU2643" s="1" t="s">
        <v>72</v>
      </c>
      <c r="AV2643" s="1" t="s">
        <v>437</v>
      </c>
      <c r="AX2643" s="1">
        <v>0</v>
      </c>
      <c r="BA2643" s="1">
        <v>9</v>
      </c>
      <c r="BB2643" s="1">
        <v>0</v>
      </c>
      <c r="BC2643" s="1">
        <v>0</v>
      </c>
      <c r="BE2643" s="1">
        <v>27432011</v>
      </c>
    </row>
    <row r="2644" spans="1:57" x14ac:dyDescent="0.25">
      <c r="A2644" s="1" t="str">
        <f>T("1947004328796164300")</f>
        <v>1947004328796164300</v>
      </c>
      <c r="B2644" s="1" t="str">
        <f>T("249902732090")</f>
        <v>249902732090</v>
      </c>
      <c r="C2644" s="1" t="str">
        <f>T("1941094503809025400")</f>
        <v>1941094503809025400</v>
      </c>
      <c r="AC2644" s="1" t="s">
        <v>344</v>
      </c>
      <c r="AD2644" s="1" t="s">
        <v>441</v>
      </c>
      <c r="AE2644" s="1" t="s">
        <v>530</v>
      </c>
      <c r="AF2644" s="1" t="s">
        <v>107</v>
      </c>
      <c r="AG2644" s="1">
        <v>47</v>
      </c>
      <c r="AO2644" s="2">
        <v>46281</v>
      </c>
      <c r="AP2644" s="1" t="s">
        <v>226</v>
      </c>
      <c r="AS2644" s="1" t="s">
        <v>71</v>
      </c>
      <c r="AU2644" s="1" t="s">
        <v>72</v>
      </c>
      <c r="AV2644" s="1" t="s">
        <v>73</v>
      </c>
      <c r="AX2644" s="1">
        <v>0</v>
      </c>
      <c r="BA2644" s="1">
        <v>9</v>
      </c>
      <c r="BB2644" s="1">
        <v>0</v>
      </c>
      <c r="BC2644" s="1">
        <v>0</v>
      </c>
      <c r="BE2644" s="1">
        <v>27432011</v>
      </c>
    </row>
    <row r="2645" spans="1:57" x14ac:dyDescent="0.25">
      <c r="A2645" s="1" t="str">
        <f>T("1947004328812941332")</f>
        <v>1947004328812941332</v>
      </c>
      <c r="B2645" s="1" t="str">
        <f>T("249919939012")</f>
        <v>249919939012</v>
      </c>
      <c r="C2645" s="1" t="str">
        <f>T("1941094503813219408")</f>
        <v>1941094503813219408</v>
      </c>
      <c r="AC2645" s="1" t="s">
        <v>344</v>
      </c>
      <c r="AD2645" s="1" t="s">
        <v>430</v>
      </c>
      <c r="AE2645" s="1" t="s">
        <v>530</v>
      </c>
      <c r="AF2645" s="1" t="s">
        <v>107</v>
      </c>
      <c r="AG2645" s="1">
        <v>53</v>
      </c>
      <c r="AO2645" s="2">
        <v>46281</v>
      </c>
      <c r="AP2645" s="1" t="s">
        <v>226</v>
      </c>
      <c r="AS2645" s="1" t="s">
        <v>71</v>
      </c>
      <c r="AU2645" s="1" t="s">
        <v>72</v>
      </c>
      <c r="AV2645" s="1" t="s">
        <v>437</v>
      </c>
      <c r="AX2645" s="1">
        <v>0</v>
      </c>
      <c r="BA2645" s="1">
        <v>9</v>
      </c>
      <c r="BB2645" s="1">
        <v>0</v>
      </c>
      <c r="BC2645" s="1">
        <v>0</v>
      </c>
      <c r="BE2645" s="1">
        <v>27432011</v>
      </c>
    </row>
    <row r="2646" spans="1:57" x14ac:dyDescent="0.25">
      <c r="A2646" s="1" t="str">
        <f>T("1947004328863273628")</f>
        <v>1947004328863273628</v>
      </c>
      <c r="B2646" s="1" t="str">
        <f>T("249907514545")</f>
        <v>249907514545</v>
      </c>
      <c r="C2646" s="1" t="str">
        <f>T("1941094503817413316")</f>
        <v>1941094503817413316</v>
      </c>
      <c r="AC2646" s="1" t="s">
        <v>344</v>
      </c>
      <c r="AD2646" s="1" t="s">
        <v>441</v>
      </c>
      <c r="AE2646" s="1" t="s">
        <v>530</v>
      </c>
      <c r="AF2646" s="1" t="s">
        <v>144</v>
      </c>
      <c r="AG2646" s="1">
        <v>55</v>
      </c>
      <c r="AO2646" s="2">
        <v>46281</v>
      </c>
      <c r="AP2646" s="1" t="s">
        <v>226</v>
      </c>
      <c r="AS2646" s="1" t="s">
        <v>71</v>
      </c>
      <c r="AU2646" s="1" t="s">
        <v>72</v>
      </c>
      <c r="AV2646" s="1" t="s">
        <v>437</v>
      </c>
      <c r="AX2646" s="1">
        <v>0</v>
      </c>
      <c r="BA2646" s="1">
        <v>9</v>
      </c>
      <c r="BB2646" s="1">
        <v>0</v>
      </c>
      <c r="BC2646" s="1">
        <v>0</v>
      </c>
      <c r="BE2646" s="1">
        <v>27432011</v>
      </c>
    </row>
    <row r="2647" spans="1:57" x14ac:dyDescent="0.25">
      <c r="A2647" s="1" t="str">
        <f>T("1947004328934576264")</f>
        <v>1947004328934576264</v>
      </c>
      <c r="B2647" s="1" t="str">
        <f>T("249903172355")</f>
        <v>249903172355</v>
      </c>
      <c r="C2647" s="1" t="str">
        <f>T("1941094503817414716")</f>
        <v>1941094503817414716</v>
      </c>
      <c r="AC2647" s="1" t="s">
        <v>344</v>
      </c>
      <c r="AD2647" s="1" t="s">
        <v>441</v>
      </c>
      <c r="AE2647" s="1" t="s">
        <v>530</v>
      </c>
      <c r="AF2647" s="1" t="s">
        <v>144</v>
      </c>
      <c r="AG2647" s="1">
        <v>40</v>
      </c>
      <c r="AO2647" s="2">
        <v>46281</v>
      </c>
      <c r="AP2647" s="1" t="s">
        <v>226</v>
      </c>
      <c r="AS2647" s="1" t="s">
        <v>71</v>
      </c>
      <c r="AU2647" s="1" t="s">
        <v>72</v>
      </c>
      <c r="AV2647" s="1" t="s">
        <v>73</v>
      </c>
      <c r="AX2647" s="1">
        <v>0</v>
      </c>
      <c r="BA2647" s="1">
        <v>9</v>
      </c>
      <c r="BB2647" s="1">
        <v>0</v>
      </c>
      <c r="BC2647" s="1">
        <v>0</v>
      </c>
      <c r="BE2647" s="1">
        <v>27432011</v>
      </c>
    </row>
    <row r="2648" spans="1:57" x14ac:dyDescent="0.25">
      <c r="A2648" s="1" t="str">
        <f>T("1947004328934578564")</f>
        <v>1947004328934578564</v>
      </c>
      <c r="B2648" s="1" t="str">
        <f>T("249960487912")</f>
        <v>249960487912</v>
      </c>
      <c r="C2648" s="1" t="str">
        <f>T("1941094503817414316")</f>
        <v>1941094503817414316</v>
      </c>
      <c r="AC2648" s="1" t="s">
        <v>344</v>
      </c>
      <c r="AD2648" s="1" t="s">
        <v>441</v>
      </c>
      <c r="AE2648" s="1" t="s">
        <v>530</v>
      </c>
      <c r="AF2648" s="1" t="s">
        <v>107</v>
      </c>
      <c r="AG2648" s="1">
        <v>35</v>
      </c>
      <c r="AO2648" s="2">
        <v>46281</v>
      </c>
      <c r="AP2648" s="1" t="s">
        <v>226</v>
      </c>
      <c r="AS2648" s="1" t="s">
        <v>71</v>
      </c>
      <c r="AU2648" s="1" t="s">
        <v>72</v>
      </c>
      <c r="AV2648" s="1" t="s">
        <v>437</v>
      </c>
      <c r="AX2648" s="1">
        <v>0</v>
      </c>
      <c r="BA2648" s="1">
        <v>9</v>
      </c>
      <c r="BB2648" s="1">
        <v>0</v>
      </c>
      <c r="BC2648" s="1">
        <v>0</v>
      </c>
      <c r="BE2648" s="1">
        <v>27432011</v>
      </c>
    </row>
    <row r="2649" spans="1:57" x14ac:dyDescent="0.25">
      <c r="A2649" s="1" t="str">
        <f>T("1947004328972325636")</f>
        <v>1947004328972325636</v>
      </c>
      <c r="B2649" s="1" t="str">
        <f>T("249918529500")</f>
        <v>249918529500</v>
      </c>
      <c r="C2649" s="1" t="str">
        <f>T("1941094503817415116")</f>
        <v>1941094503817415116</v>
      </c>
      <c r="AC2649" s="1" t="s">
        <v>344</v>
      </c>
      <c r="AD2649" s="1" t="s">
        <v>430</v>
      </c>
      <c r="AE2649" s="1" t="s">
        <v>530</v>
      </c>
      <c r="AF2649" s="1" t="s">
        <v>107</v>
      </c>
      <c r="AG2649" s="1">
        <v>40</v>
      </c>
      <c r="AO2649" s="2">
        <v>46281</v>
      </c>
      <c r="AP2649" s="1" t="s">
        <v>226</v>
      </c>
      <c r="AS2649" s="1" t="s">
        <v>71</v>
      </c>
      <c r="AU2649" s="1" t="s">
        <v>72</v>
      </c>
      <c r="AV2649" s="1" t="s">
        <v>73</v>
      </c>
      <c r="AX2649" s="1">
        <v>0</v>
      </c>
      <c r="BA2649" s="1">
        <v>9</v>
      </c>
      <c r="BB2649" s="1">
        <v>0</v>
      </c>
      <c r="BC2649" s="1">
        <v>0</v>
      </c>
      <c r="BE2649" s="1">
        <v>27432011</v>
      </c>
    </row>
    <row r="2650" spans="1:57" x14ac:dyDescent="0.25">
      <c r="A2650" s="1" t="str">
        <f>T("1947004329026853640")</f>
        <v>1947004329026853640</v>
      </c>
      <c r="B2650" s="1" t="str">
        <f>T("249969903950")</f>
        <v>249969903950</v>
      </c>
      <c r="C2650" s="1" t="str">
        <f>T("1941094503821606924")</f>
        <v>1941094503821606924</v>
      </c>
      <c r="AC2650" s="1" t="s">
        <v>344</v>
      </c>
      <c r="AD2650" s="1" t="s">
        <v>372</v>
      </c>
      <c r="AE2650" s="1" t="s">
        <v>815</v>
      </c>
      <c r="AF2650" s="1" t="s">
        <v>144</v>
      </c>
      <c r="AG2650" s="1">
        <v>42</v>
      </c>
      <c r="AO2650" s="2">
        <v>46281</v>
      </c>
      <c r="AP2650" s="1" t="s">
        <v>226</v>
      </c>
      <c r="AS2650" s="1" t="s">
        <v>71</v>
      </c>
      <c r="AU2650" s="1" t="s">
        <v>72</v>
      </c>
      <c r="AV2650" s="1" t="s">
        <v>126</v>
      </c>
      <c r="AX2650" s="1">
        <v>0</v>
      </c>
      <c r="BA2650" s="1">
        <v>9</v>
      </c>
      <c r="BB2650" s="1">
        <v>0</v>
      </c>
      <c r="BC2650" s="1">
        <v>0</v>
      </c>
      <c r="BE2650" s="1">
        <v>27432011</v>
      </c>
    </row>
    <row r="2651" spans="1:57" x14ac:dyDescent="0.25">
      <c r="A2651" s="1" t="str">
        <f>T("1947004329064602312")</f>
        <v>1947004329064602312</v>
      </c>
      <c r="B2651" s="1" t="str">
        <f>T("249919421878")</f>
        <v>249919421878</v>
      </c>
      <c r="C2651" s="1" t="str">
        <f>T("1941094503821607824")</f>
        <v>1941094503821607824</v>
      </c>
      <c r="AC2651" s="1" t="s">
        <v>344</v>
      </c>
      <c r="AD2651" s="1" t="s">
        <v>441</v>
      </c>
      <c r="AE2651" s="1" t="s">
        <v>530</v>
      </c>
      <c r="AF2651" s="1" t="s">
        <v>144</v>
      </c>
      <c r="AG2651" s="1">
        <v>48</v>
      </c>
      <c r="AO2651" s="2">
        <v>46281</v>
      </c>
      <c r="AP2651" s="1" t="s">
        <v>226</v>
      </c>
      <c r="AS2651" s="1" t="s">
        <v>71</v>
      </c>
      <c r="AU2651" s="1" t="s">
        <v>72</v>
      </c>
      <c r="AV2651" s="1" t="s">
        <v>437</v>
      </c>
      <c r="AX2651" s="1">
        <v>0</v>
      </c>
      <c r="BA2651" s="1">
        <v>9</v>
      </c>
      <c r="BB2651" s="1">
        <v>0</v>
      </c>
      <c r="BC2651" s="1">
        <v>0</v>
      </c>
      <c r="BE2651" s="1">
        <v>27432011</v>
      </c>
    </row>
    <row r="2652" spans="1:57" x14ac:dyDescent="0.25">
      <c r="A2652" s="1" t="str">
        <f>T("1947004329072989428")</f>
        <v>1947004329072989428</v>
      </c>
      <c r="B2652" s="1" t="str">
        <f>T("249121354148")</f>
        <v>249121354148</v>
      </c>
      <c r="C2652" s="1" t="str">
        <f>T("1941094503821608424")</f>
        <v>1941094503821608424</v>
      </c>
      <c r="AC2652" s="1" t="s">
        <v>344</v>
      </c>
      <c r="AD2652" s="1" t="s">
        <v>372</v>
      </c>
      <c r="AE2652" s="1" t="s">
        <v>820</v>
      </c>
      <c r="AF2652" s="1" t="s">
        <v>144</v>
      </c>
      <c r="AG2652" s="1">
        <v>40</v>
      </c>
      <c r="AO2652" s="2">
        <v>46281</v>
      </c>
      <c r="AP2652" s="1" t="s">
        <v>226</v>
      </c>
      <c r="AS2652" s="1" t="s">
        <v>71</v>
      </c>
      <c r="AU2652" s="1" t="s">
        <v>72</v>
      </c>
      <c r="AV2652" s="1" t="s">
        <v>115</v>
      </c>
      <c r="AX2652" s="1">
        <v>0</v>
      </c>
      <c r="BA2652" s="1">
        <v>9</v>
      </c>
      <c r="BB2652" s="1">
        <v>0</v>
      </c>
      <c r="BC2652" s="1">
        <v>0</v>
      </c>
      <c r="BE2652" s="1">
        <v>27432011</v>
      </c>
    </row>
    <row r="2653" spans="1:57" x14ac:dyDescent="0.25">
      <c r="A2653" s="1" t="str">
        <f>T("1947004329098156376")</f>
        <v>1947004329098156376</v>
      </c>
      <c r="B2653" s="1" t="str">
        <f>T("249916075304")</f>
        <v>249916075304</v>
      </c>
      <c r="C2653" s="1" t="str">
        <f>T("1941094503821609424")</f>
        <v>1941094503821609424</v>
      </c>
      <c r="AC2653" s="1" t="s">
        <v>344</v>
      </c>
      <c r="AD2653" s="1" t="s">
        <v>430</v>
      </c>
      <c r="AE2653" s="1" t="s">
        <v>530</v>
      </c>
      <c r="AF2653" s="1" t="s">
        <v>144</v>
      </c>
      <c r="AG2653" s="1">
        <v>47</v>
      </c>
      <c r="AO2653" s="2">
        <v>46281</v>
      </c>
      <c r="AP2653" s="1" t="s">
        <v>226</v>
      </c>
      <c r="AS2653" s="1" t="s">
        <v>71</v>
      </c>
      <c r="AU2653" s="1" t="s">
        <v>72</v>
      </c>
      <c r="AV2653" s="1" t="s">
        <v>126</v>
      </c>
      <c r="AX2653" s="1">
        <v>0</v>
      </c>
      <c r="BA2653" s="1">
        <v>9</v>
      </c>
      <c r="BB2653" s="1">
        <v>0</v>
      </c>
      <c r="BC2653" s="1">
        <v>0</v>
      </c>
      <c r="BE2653" s="1">
        <v>27432011</v>
      </c>
    </row>
    <row r="2654" spans="1:57" x14ac:dyDescent="0.25">
      <c r="A2654" s="1" t="str">
        <f>T("1947004329232372032")</f>
        <v>1947004329232372032</v>
      </c>
      <c r="B2654" s="1" t="str">
        <f>T("249905546147")</f>
        <v>249905546147</v>
      </c>
      <c r="C2654" s="1" t="str">
        <f>T("1941094503821609824")</f>
        <v>1941094503821609824</v>
      </c>
      <c r="AC2654" s="1" t="s">
        <v>344</v>
      </c>
      <c r="AD2654" s="1" t="s">
        <v>357</v>
      </c>
      <c r="AE2654" s="1" t="s">
        <v>812</v>
      </c>
      <c r="AF2654" s="1" t="s">
        <v>107</v>
      </c>
      <c r="AG2654" s="1">
        <v>45</v>
      </c>
      <c r="AO2654" s="2">
        <v>46281</v>
      </c>
      <c r="AP2654" s="1" t="s">
        <v>226</v>
      </c>
      <c r="AS2654" s="1" t="s">
        <v>71</v>
      </c>
      <c r="AU2654" s="1" t="s">
        <v>72</v>
      </c>
      <c r="AV2654" s="1" t="s">
        <v>437</v>
      </c>
      <c r="AX2654" s="1">
        <v>0</v>
      </c>
      <c r="BA2654" s="1">
        <v>9</v>
      </c>
      <c r="BB2654" s="1">
        <v>0</v>
      </c>
      <c r="BC2654" s="1">
        <v>0</v>
      </c>
      <c r="BE2654" s="1">
        <v>27432011</v>
      </c>
    </row>
    <row r="2655" spans="1:57" x14ac:dyDescent="0.25">
      <c r="A2655" s="1" t="str">
        <f>T("1947004329253343572")</f>
        <v>1947004329253343572</v>
      </c>
      <c r="B2655" s="1" t="str">
        <f>T("249966167967")</f>
        <v>249966167967</v>
      </c>
      <c r="C2655" s="1" t="str">
        <f>T("1941094503821610324")</f>
        <v>1941094503821610324</v>
      </c>
      <c r="AC2655" s="1" t="s">
        <v>344</v>
      </c>
      <c r="AD2655" s="1" t="s">
        <v>372</v>
      </c>
      <c r="AE2655" s="1" t="s">
        <v>815</v>
      </c>
      <c r="AF2655" s="1" t="s">
        <v>107</v>
      </c>
      <c r="AG2655" s="1">
        <v>70</v>
      </c>
      <c r="AO2655" s="2">
        <v>46281</v>
      </c>
      <c r="AP2655" s="1" t="s">
        <v>226</v>
      </c>
      <c r="AS2655" s="1" t="s">
        <v>71</v>
      </c>
      <c r="AU2655" s="1" t="s">
        <v>72</v>
      </c>
      <c r="AV2655" s="1" t="s">
        <v>73</v>
      </c>
      <c r="AX2655" s="1">
        <v>0</v>
      </c>
      <c r="BA2655" s="1">
        <v>9</v>
      </c>
      <c r="BB2655" s="1">
        <v>0</v>
      </c>
      <c r="BC2655" s="1">
        <v>0</v>
      </c>
      <c r="BE2655" s="1">
        <v>27432011</v>
      </c>
    </row>
    <row r="2656" spans="1:57" x14ac:dyDescent="0.25">
      <c r="A2656" s="1" t="str">
        <f>T("1947004329437893524")</f>
        <v>1947004329437893524</v>
      </c>
      <c r="B2656" s="1" t="str">
        <f>T("249918628198")</f>
        <v>249918628198</v>
      </c>
      <c r="C2656" s="1" t="str">
        <f>T("1941094503825801532")</f>
        <v>1941094503825801532</v>
      </c>
      <c r="AC2656" s="1" t="s">
        <v>344</v>
      </c>
      <c r="AD2656" s="1" t="s">
        <v>441</v>
      </c>
      <c r="AE2656" s="1" t="s">
        <v>530</v>
      </c>
      <c r="AF2656" s="1" t="s">
        <v>107</v>
      </c>
      <c r="AG2656" s="1">
        <v>35</v>
      </c>
      <c r="AO2656" s="2">
        <v>46281</v>
      </c>
      <c r="AP2656" s="1" t="s">
        <v>226</v>
      </c>
      <c r="AS2656" s="1" t="s">
        <v>71</v>
      </c>
      <c r="AU2656" s="1" t="s">
        <v>72</v>
      </c>
      <c r="AV2656" s="1" t="s">
        <v>437</v>
      </c>
      <c r="AX2656" s="1">
        <v>0</v>
      </c>
      <c r="BA2656" s="1">
        <v>9</v>
      </c>
      <c r="BB2656" s="1">
        <v>0</v>
      </c>
      <c r="BC2656" s="1">
        <v>0</v>
      </c>
      <c r="BE2656" s="1">
        <v>27432011</v>
      </c>
    </row>
    <row r="2657" spans="1:57" x14ac:dyDescent="0.25">
      <c r="A2657" s="1" t="str">
        <f>T("1947004329450477548")</f>
        <v>1947004329450477548</v>
      </c>
      <c r="B2657" s="1" t="str">
        <f>T("249916879944")</f>
        <v>249916879944</v>
      </c>
      <c r="C2657" s="1" t="str">
        <f>T("1941094503825801932")</f>
        <v>1941094503825801932</v>
      </c>
      <c r="AC2657" s="1" t="s">
        <v>344</v>
      </c>
      <c r="AD2657" s="1" t="s">
        <v>430</v>
      </c>
      <c r="AE2657" s="1" t="s">
        <v>530</v>
      </c>
      <c r="AF2657" s="1" t="s">
        <v>107</v>
      </c>
      <c r="AG2657" s="1">
        <v>35</v>
      </c>
      <c r="AO2657" s="2">
        <v>46281</v>
      </c>
      <c r="AP2657" s="1" t="s">
        <v>226</v>
      </c>
      <c r="AS2657" s="1" t="s">
        <v>71</v>
      </c>
      <c r="AU2657" s="1" t="s">
        <v>72</v>
      </c>
      <c r="AV2657" s="1" t="s">
        <v>437</v>
      </c>
      <c r="AX2657" s="1">
        <v>0</v>
      </c>
      <c r="BA2657" s="1">
        <v>9</v>
      </c>
      <c r="BB2657" s="1">
        <v>0</v>
      </c>
      <c r="BC2657" s="1">
        <v>0</v>
      </c>
      <c r="BE2657" s="1">
        <v>27432011</v>
      </c>
    </row>
    <row r="2658" spans="1:57" x14ac:dyDescent="0.25">
      <c r="A2658" s="1" t="str">
        <f>T("1947004329471448988")</f>
        <v>1947004329471448988</v>
      </c>
      <c r="B2658" s="1" t="str">
        <f>T("249964371417")</f>
        <v>249964371417</v>
      </c>
      <c r="C2658" s="1" t="str">
        <f>T("1941094503825802432")</f>
        <v>1941094503825802432</v>
      </c>
      <c r="AC2658" s="1" t="s">
        <v>344</v>
      </c>
      <c r="AD2658" s="1" t="s">
        <v>441</v>
      </c>
      <c r="AE2658" s="1" t="s">
        <v>530</v>
      </c>
      <c r="AF2658" s="1" t="s">
        <v>107</v>
      </c>
      <c r="AG2658" s="1">
        <v>32</v>
      </c>
      <c r="AO2658" s="2">
        <v>46281</v>
      </c>
      <c r="AP2658" s="1" t="s">
        <v>226</v>
      </c>
      <c r="AS2658" s="1" t="s">
        <v>71</v>
      </c>
      <c r="AU2658" s="1" t="s">
        <v>72</v>
      </c>
      <c r="AV2658" s="1" t="s">
        <v>73</v>
      </c>
      <c r="AX2658" s="1">
        <v>0</v>
      </c>
      <c r="BA2658" s="1">
        <v>9</v>
      </c>
      <c r="BB2658" s="1">
        <v>0</v>
      </c>
      <c r="BC2658" s="1">
        <v>0</v>
      </c>
      <c r="BE2658" s="1">
        <v>27432011</v>
      </c>
    </row>
    <row r="2659" spans="1:57" x14ac:dyDescent="0.25">
      <c r="A2659" s="1" t="str">
        <f>T("1947004329484032912")</f>
        <v>1947004329484032912</v>
      </c>
      <c r="B2659" s="1" t="str">
        <f>T("249915296292")</f>
        <v>249915296292</v>
      </c>
      <c r="C2659" s="1" t="str">
        <f>T("1941094503825803432")</f>
        <v>1941094503825803432</v>
      </c>
      <c r="AC2659" s="1" t="s">
        <v>344</v>
      </c>
      <c r="AD2659" s="1" t="s">
        <v>441</v>
      </c>
      <c r="AE2659" s="1" t="s">
        <v>530</v>
      </c>
      <c r="AF2659" s="1" t="s">
        <v>107</v>
      </c>
      <c r="AG2659" s="1">
        <v>50</v>
      </c>
      <c r="AO2659" s="2">
        <v>46281</v>
      </c>
      <c r="AP2659" s="1" t="s">
        <v>226</v>
      </c>
      <c r="AS2659" s="1" t="s">
        <v>71</v>
      </c>
      <c r="AU2659" s="1" t="s">
        <v>72</v>
      </c>
      <c r="AV2659" s="1" t="s">
        <v>437</v>
      </c>
      <c r="AX2659" s="1">
        <v>0</v>
      </c>
      <c r="BA2659" s="1">
        <v>9</v>
      </c>
      <c r="BB2659" s="1">
        <v>0</v>
      </c>
      <c r="BC2659" s="1">
        <v>0</v>
      </c>
      <c r="BE2659" s="1">
        <v>27432011</v>
      </c>
    </row>
    <row r="2660" spans="1:57" x14ac:dyDescent="0.25">
      <c r="A2660" s="1" t="str">
        <f>T("1947004329488227920")</f>
        <v>1947004329488227920</v>
      </c>
      <c r="B2660" s="1" t="str">
        <f>T("249962416358")</f>
        <v>249962416358</v>
      </c>
      <c r="C2660" s="1" t="str">
        <f>T("1941094503825804632")</f>
        <v>1941094503825804632</v>
      </c>
      <c r="AC2660" s="1" t="s">
        <v>344</v>
      </c>
      <c r="AD2660" s="1" t="s">
        <v>441</v>
      </c>
      <c r="AE2660" s="1" t="s">
        <v>530</v>
      </c>
      <c r="AF2660" s="1" t="s">
        <v>107</v>
      </c>
      <c r="AG2660" s="1">
        <v>35</v>
      </c>
      <c r="AO2660" s="2">
        <v>46281</v>
      </c>
      <c r="AP2660" s="1" t="s">
        <v>226</v>
      </c>
      <c r="AS2660" s="1" t="s">
        <v>71</v>
      </c>
      <c r="AU2660" s="1" t="s">
        <v>72</v>
      </c>
      <c r="AV2660" s="1" t="s">
        <v>437</v>
      </c>
      <c r="AX2660" s="1">
        <v>0</v>
      </c>
      <c r="BA2660" s="1">
        <v>9</v>
      </c>
      <c r="BB2660" s="1">
        <v>0</v>
      </c>
      <c r="BC2660" s="1">
        <v>0</v>
      </c>
      <c r="BE2660" s="1">
        <v>27432011</v>
      </c>
    </row>
    <row r="2661" spans="1:57" x14ac:dyDescent="0.25">
      <c r="A2661" s="1" t="str">
        <f>T("1947004329492420328")</f>
        <v>1947004329492420328</v>
      </c>
      <c r="B2661" s="1" t="str">
        <f>T("249905119945")</f>
        <v>249905119945</v>
      </c>
      <c r="C2661" s="1" t="str">
        <f>T("1941094503825802932")</f>
        <v>1941094503825802932</v>
      </c>
      <c r="AC2661" s="1" t="s">
        <v>344</v>
      </c>
      <c r="AD2661" s="1" t="s">
        <v>372</v>
      </c>
      <c r="AE2661" s="1" t="s">
        <v>814</v>
      </c>
      <c r="AF2661" s="1" t="s">
        <v>144</v>
      </c>
      <c r="AG2661" s="1">
        <v>37</v>
      </c>
      <c r="AO2661" s="2">
        <v>46281</v>
      </c>
      <c r="AP2661" s="1" t="s">
        <v>226</v>
      </c>
      <c r="AS2661" s="1" t="s">
        <v>71</v>
      </c>
      <c r="AU2661" s="1" t="s">
        <v>72</v>
      </c>
      <c r="AV2661" s="1" t="s">
        <v>437</v>
      </c>
      <c r="AX2661" s="1">
        <v>0</v>
      </c>
      <c r="BA2661" s="1">
        <v>9</v>
      </c>
      <c r="BB2661" s="1">
        <v>0</v>
      </c>
      <c r="BC2661" s="1">
        <v>0</v>
      </c>
      <c r="BE2661" s="1">
        <v>27432011</v>
      </c>
    </row>
    <row r="2662" spans="1:57" x14ac:dyDescent="0.25">
      <c r="A2662" s="1" t="str">
        <f>T("1947004329496616536")</f>
        <v>1947004329496616536</v>
      </c>
      <c r="B2662" s="1" t="str">
        <f>T("249912803979")</f>
        <v>249912803979</v>
      </c>
      <c r="C2662" s="1" t="str">
        <f>T("1941094503825805132")</f>
        <v>1941094503825805132</v>
      </c>
      <c r="AC2662" s="1" t="s">
        <v>344</v>
      </c>
      <c r="AD2662" s="1" t="s">
        <v>430</v>
      </c>
      <c r="AE2662" s="1" t="s">
        <v>530</v>
      </c>
      <c r="AF2662" s="1" t="s">
        <v>107</v>
      </c>
      <c r="AG2662" s="1">
        <v>21</v>
      </c>
      <c r="AO2662" s="2">
        <v>46281</v>
      </c>
      <c r="AP2662" s="1" t="s">
        <v>226</v>
      </c>
      <c r="AS2662" s="1" t="s">
        <v>71</v>
      </c>
      <c r="AU2662" s="1" t="s">
        <v>72</v>
      </c>
      <c r="AV2662" s="1" t="s">
        <v>73</v>
      </c>
      <c r="AX2662" s="1">
        <v>0</v>
      </c>
      <c r="BA2662" s="1">
        <v>9</v>
      </c>
      <c r="BB2662" s="1">
        <v>0</v>
      </c>
      <c r="BC2662" s="1">
        <v>0</v>
      </c>
      <c r="BE2662" s="1">
        <v>27432011</v>
      </c>
    </row>
    <row r="2663" spans="1:57" x14ac:dyDescent="0.25">
      <c r="A2663" s="1" t="str">
        <f>T("1947004329513391068")</f>
        <v>1947004329513391068</v>
      </c>
      <c r="B2663" s="1" t="str">
        <f>T("249918997687")</f>
        <v>249918997687</v>
      </c>
      <c r="C2663" s="1" t="str">
        <f>T("1941094503829996940")</f>
        <v>1941094503829996940</v>
      </c>
      <c r="AC2663" s="1" t="s">
        <v>344</v>
      </c>
      <c r="AD2663" s="1" t="s">
        <v>372</v>
      </c>
      <c r="AE2663" s="1" t="s">
        <v>818</v>
      </c>
      <c r="AF2663" s="1" t="s">
        <v>107</v>
      </c>
      <c r="AG2663" s="1">
        <v>49</v>
      </c>
      <c r="AO2663" s="2">
        <v>46281</v>
      </c>
      <c r="AP2663" s="1" t="s">
        <v>226</v>
      </c>
      <c r="AS2663" s="1" t="s">
        <v>71</v>
      </c>
      <c r="AU2663" s="1" t="s">
        <v>72</v>
      </c>
      <c r="AV2663" s="1" t="s">
        <v>126</v>
      </c>
      <c r="AX2663" s="1">
        <v>0</v>
      </c>
      <c r="BA2663" s="1">
        <v>9</v>
      </c>
      <c r="BB2663" s="1">
        <v>0</v>
      </c>
      <c r="BC2663" s="1">
        <v>0</v>
      </c>
      <c r="BE2663" s="1">
        <v>27432011</v>
      </c>
    </row>
    <row r="2664" spans="1:57" x14ac:dyDescent="0.25">
      <c r="A2664" s="1" t="str">
        <f>T("1947004329517586076")</f>
        <v>1947004329517586076</v>
      </c>
      <c r="B2664" s="1" t="str">
        <f>T("249962943840")</f>
        <v>249962943840</v>
      </c>
      <c r="C2664" s="1" t="str">
        <f>T("1941094503829995840")</f>
        <v>1941094503829995840</v>
      </c>
      <c r="AC2664" s="1" t="s">
        <v>344</v>
      </c>
      <c r="AD2664" s="1" t="s">
        <v>372</v>
      </c>
      <c r="AE2664" s="1" t="s">
        <v>373</v>
      </c>
      <c r="AF2664" s="1" t="s">
        <v>107</v>
      </c>
      <c r="AG2664" s="1">
        <v>60</v>
      </c>
      <c r="AO2664" s="2">
        <v>46281</v>
      </c>
      <c r="AP2664" s="1" t="s">
        <v>226</v>
      </c>
      <c r="AS2664" s="1" t="s">
        <v>71</v>
      </c>
      <c r="AU2664" s="1" t="s">
        <v>72</v>
      </c>
      <c r="AV2664" s="1" t="s">
        <v>126</v>
      </c>
      <c r="AX2664" s="1">
        <v>0</v>
      </c>
      <c r="BA2664" s="1">
        <v>9</v>
      </c>
      <c r="BB2664" s="1">
        <v>0</v>
      </c>
      <c r="BC2664" s="1">
        <v>0</v>
      </c>
      <c r="BE2664" s="1">
        <v>27432011</v>
      </c>
    </row>
    <row r="2665" spans="1:57" x14ac:dyDescent="0.25">
      <c r="A2665" s="1" t="str">
        <f>T("1947004329584697304")</f>
        <v>1947004329584697304</v>
      </c>
      <c r="B2665" s="1" t="str">
        <f>T("249900089734")</f>
        <v>249900089734</v>
      </c>
      <c r="C2665" s="1" t="str">
        <f>T("1941094503829997440")</f>
        <v>1941094503829997440</v>
      </c>
      <c r="AC2665" s="1" t="s">
        <v>344</v>
      </c>
      <c r="AD2665" s="1" t="s">
        <v>430</v>
      </c>
      <c r="AE2665" s="1" t="s">
        <v>530</v>
      </c>
      <c r="AF2665" s="1" t="s">
        <v>144</v>
      </c>
      <c r="AG2665" s="1">
        <v>22</v>
      </c>
      <c r="AO2665" s="2">
        <v>46281</v>
      </c>
      <c r="AP2665" s="1" t="s">
        <v>226</v>
      </c>
      <c r="AS2665" s="1" t="s">
        <v>71</v>
      </c>
      <c r="AU2665" s="1" t="s">
        <v>72</v>
      </c>
      <c r="AV2665" s="1" t="s">
        <v>126</v>
      </c>
      <c r="AX2665" s="1">
        <v>0</v>
      </c>
      <c r="BA2665" s="1">
        <v>9</v>
      </c>
      <c r="BB2665" s="1">
        <v>0</v>
      </c>
      <c r="BC2665" s="1">
        <v>0</v>
      </c>
      <c r="BE2665" s="1">
        <v>27432011</v>
      </c>
    </row>
    <row r="2666" spans="1:57" x14ac:dyDescent="0.25">
      <c r="A2666" s="1" t="str">
        <f>T("1947004329593081920")</f>
        <v>1947004329593081920</v>
      </c>
      <c r="B2666" s="1" t="str">
        <f>T("249915706518")</f>
        <v>249915706518</v>
      </c>
      <c r="C2666" s="1" t="str">
        <f>T("1941094503834192848")</f>
        <v>1941094503834192848</v>
      </c>
      <c r="AC2666" s="1" t="s">
        <v>344</v>
      </c>
      <c r="AD2666" s="1" t="s">
        <v>441</v>
      </c>
      <c r="AE2666" s="1" t="s">
        <v>530</v>
      </c>
      <c r="AF2666" s="1" t="s">
        <v>107</v>
      </c>
      <c r="AG2666" s="1">
        <v>41</v>
      </c>
      <c r="AO2666" s="2">
        <v>46281</v>
      </c>
      <c r="AP2666" s="1" t="s">
        <v>226</v>
      </c>
      <c r="AS2666" s="1" t="s">
        <v>71</v>
      </c>
      <c r="AU2666" s="1" t="s">
        <v>72</v>
      </c>
      <c r="AV2666" s="1" t="s">
        <v>437</v>
      </c>
      <c r="AX2666" s="1">
        <v>0</v>
      </c>
      <c r="BA2666" s="1">
        <v>9</v>
      </c>
      <c r="BB2666" s="1">
        <v>0</v>
      </c>
      <c r="BC2666" s="1">
        <v>0</v>
      </c>
      <c r="BE2666" s="1">
        <v>27432011</v>
      </c>
    </row>
    <row r="2667" spans="1:57" x14ac:dyDescent="0.25">
      <c r="A2667" s="1" t="str">
        <f>T("1947004329626636684")</f>
        <v>1947004329626636684</v>
      </c>
      <c r="B2667" s="1" t="str">
        <f>T("249916542874")</f>
        <v>249916542874</v>
      </c>
      <c r="C2667" s="1" t="str">
        <f>T("1941094503838385056")</f>
        <v>1941094503838385056</v>
      </c>
      <c r="AC2667" s="1" t="s">
        <v>344</v>
      </c>
      <c r="AD2667" s="1" t="s">
        <v>372</v>
      </c>
      <c r="AE2667" s="1" t="s">
        <v>815</v>
      </c>
      <c r="AF2667" s="1" t="s">
        <v>144</v>
      </c>
      <c r="AG2667" s="1">
        <v>37</v>
      </c>
      <c r="AO2667" s="2">
        <v>46281</v>
      </c>
      <c r="AP2667" s="1" t="s">
        <v>226</v>
      </c>
      <c r="AS2667" s="1" t="s">
        <v>71</v>
      </c>
      <c r="AU2667" s="1" t="s">
        <v>72</v>
      </c>
      <c r="AV2667" s="1" t="s">
        <v>73</v>
      </c>
      <c r="AX2667" s="1">
        <v>0</v>
      </c>
      <c r="BA2667" s="1">
        <v>9</v>
      </c>
      <c r="BB2667" s="1">
        <v>0</v>
      </c>
      <c r="BC2667" s="1">
        <v>0</v>
      </c>
      <c r="BE2667" s="1">
        <v>27432011</v>
      </c>
    </row>
    <row r="2668" spans="1:57" x14ac:dyDescent="0.25">
      <c r="A2668" s="1" t="str">
        <f>T("1947004329647609324")</f>
        <v>1947004329647609324</v>
      </c>
      <c r="B2668" s="1" t="str">
        <f>T("249918870471")</f>
        <v>249918870471</v>
      </c>
      <c r="C2668" s="1" t="str">
        <f>T("1941094503834193648")</f>
        <v>1941094503834193648</v>
      </c>
      <c r="AC2668" s="1" t="s">
        <v>344</v>
      </c>
      <c r="AD2668" s="1" t="s">
        <v>372</v>
      </c>
      <c r="AE2668" s="1" t="s">
        <v>814</v>
      </c>
      <c r="AF2668" s="1" t="s">
        <v>144</v>
      </c>
      <c r="AG2668" s="1">
        <v>70</v>
      </c>
      <c r="AO2668" s="2">
        <v>46281</v>
      </c>
      <c r="AP2668" s="1" t="s">
        <v>226</v>
      </c>
      <c r="AS2668" s="1" t="s">
        <v>71</v>
      </c>
      <c r="AU2668" s="1" t="s">
        <v>72</v>
      </c>
      <c r="AV2668" s="1" t="s">
        <v>73</v>
      </c>
      <c r="AX2668" s="1">
        <v>0</v>
      </c>
      <c r="BA2668" s="1">
        <v>9</v>
      </c>
      <c r="BB2668" s="1">
        <v>0</v>
      </c>
      <c r="BC2668" s="1">
        <v>0</v>
      </c>
      <c r="BE2668" s="1">
        <v>27432011</v>
      </c>
    </row>
    <row r="2669" spans="1:57" x14ac:dyDescent="0.25">
      <c r="A2669" s="1" t="str">
        <f>T("1947004329651802832")</f>
        <v>1947004329651802832</v>
      </c>
      <c r="B2669" s="1" t="str">
        <f>T("249905481136")</f>
        <v>249905481136</v>
      </c>
      <c r="C2669" s="1" t="str">
        <f>T("1941094503850970480")</f>
        <v>1941094503850970480</v>
      </c>
      <c r="AC2669" s="1" t="s">
        <v>344</v>
      </c>
      <c r="AD2669" s="1" t="s">
        <v>372</v>
      </c>
      <c r="AE2669" s="1" t="s">
        <v>373</v>
      </c>
      <c r="AF2669" s="1" t="s">
        <v>107</v>
      </c>
      <c r="AG2669" s="1">
        <v>35</v>
      </c>
      <c r="AO2669" s="2">
        <v>46281</v>
      </c>
      <c r="AP2669" s="1" t="s">
        <v>226</v>
      </c>
      <c r="AS2669" s="1" t="s">
        <v>71</v>
      </c>
      <c r="AU2669" s="1" t="s">
        <v>72</v>
      </c>
      <c r="AV2669" s="1" t="s">
        <v>126</v>
      </c>
      <c r="AX2669" s="1">
        <v>0</v>
      </c>
      <c r="BA2669" s="1">
        <v>9</v>
      </c>
      <c r="BB2669" s="1">
        <v>0</v>
      </c>
      <c r="BC2669" s="1">
        <v>0</v>
      </c>
      <c r="BE2669" s="1">
        <v>27432011</v>
      </c>
    </row>
    <row r="2670" spans="1:57" x14ac:dyDescent="0.25">
      <c r="A2670" s="1" t="str">
        <f>T("1947004329651803132")</f>
        <v>1947004329651803132</v>
      </c>
      <c r="B2670" s="1" t="str">
        <f>T("249914246720")</f>
        <v>249914246720</v>
      </c>
      <c r="C2670" s="1" t="str">
        <f>T("1941094503855161388")</f>
        <v>1941094503855161388</v>
      </c>
      <c r="AC2670" s="1" t="s">
        <v>344</v>
      </c>
      <c r="AD2670" s="1" t="s">
        <v>441</v>
      </c>
      <c r="AE2670" s="1" t="s">
        <v>530</v>
      </c>
      <c r="AF2670" s="1" t="s">
        <v>107</v>
      </c>
      <c r="AG2670" s="1">
        <v>55</v>
      </c>
      <c r="AO2670" s="2">
        <v>46281</v>
      </c>
      <c r="AP2670" s="1" t="s">
        <v>226</v>
      </c>
      <c r="AS2670" s="1" t="s">
        <v>71</v>
      </c>
      <c r="AU2670" s="1" t="s">
        <v>72</v>
      </c>
      <c r="AV2670" s="1" t="s">
        <v>126</v>
      </c>
      <c r="AX2670" s="1">
        <v>0</v>
      </c>
      <c r="BA2670" s="1">
        <v>9</v>
      </c>
      <c r="BB2670" s="1">
        <v>0</v>
      </c>
      <c r="BC2670" s="1">
        <v>0</v>
      </c>
      <c r="BE2670" s="1">
        <v>27432011</v>
      </c>
    </row>
    <row r="2671" spans="1:57" x14ac:dyDescent="0.25">
      <c r="A2671" s="1" t="str">
        <f>T("1947215717317940508")</f>
        <v>1947215717317940508</v>
      </c>
      <c r="B2671" s="1" t="str">
        <f>T("249904054588")</f>
        <v>249904054588</v>
      </c>
      <c r="C2671" s="1" t="str">
        <f>T("1941094503855161988")</f>
        <v>1941094503855161988</v>
      </c>
      <c r="AC2671" s="1" t="s">
        <v>344</v>
      </c>
      <c r="AD2671" s="1" t="s">
        <v>430</v>
      </c>
      <c r="AE2671" s="1" t="s">
        <v>530</v>
      </c>
      <c r="AF2671" s="1" t="s">
        <v>107</v>
      </c>
      <c r="AG2671" s="1">
        <v>72</v>
      </c>
      <c r="AO2671" s="2">
        <v>46282</v>
      </c>
      <c r="AP2671" s="1" t="s">
        <v>248</v>
      </c>
      <c r="AS2671" s="1" t="s">
        <v>71</v>
      </c>
      <c r="AU2671" s="1" t="s">
        <v>72</v>
      </c>
      <c r="AV2671" s="1" t="s">
        <v>437</v>
      </c>
      <c r="AX2671" s="1">
        <v>0</v>
      </c>
      <c r="BA2671" s="1">
        <v>9</v>
      </c>
      <c r="BB2671" s="1">
        <v>0</v>
      </c>
      <c r="BC2671" s="1">
        <v>0</v>
      </c>
      <c r="BE2671" s="1">
        <v>27432028</v>
      </c>
    </row>
    <row r="2672" spans="1:57" x14ac:dyDescent="0.25">
      <c r="A2672" s="1" t="str">
        <f>T("1947215717317941408")</f>
        <v>1947215717317941408</v>
      </c>
      <c r="B2672" s="1" t="str">
        <f>T("249913162655")</f>
        <v>249913162655</v>
      </c>
      <c r="C2672" s="1" t="str">
        <f>T("1941094503855162388")</f>
        <v>1941094503855162388</v>
      </c>
      <c r="AC2672" s="1" t="s">
        <v>344</v>
      </c>
      <c r="AD2672" s="1" t="s">
        <v>441</v>
      </c>
      <c r="AE2672" s="1" t="s">
        <v>530</v>
      </c>
      <c r="AF2672" s="1" t="s">
        <v>107</v>
      </c>
      <c r="AG2672" s="1">
        <v>52</v>
      </c>
      <c r="AO2672" s="2">
        <v>46282</v>
      </c>
      <c r="AP2672" s="1" t="s">
        <v>248</v>
      </c>
      <c r="AS2672" s="1" t="s">
        <v>71</v>
      </c>
      <c r="AU2672" s="1" t="s">
        <v>72</v>
      </c>
      <c r="AV2672" s="1" t="s">
        <v>126</v>
      </c>
      <c r="AX2672" s="1">
        <v>0</v>
      </c>
      <c r="BA2672" s="1">
        <v>9</v>
      </c>
      <c r="BB2672" s="1">
        <v>0</v>
      </c>
      <c r="BC2672" s="1">
        <v>0</v>
      </c>
      <c r="BE2672" s="1">
        <v>27432028</v>
      </c>
    </row>
    <row r="2673" spans="1:57" x14ac:dyDescent="0.25">
      <c r="A2673" s="1" t="str">
        <f>T("1947215717343105756")</f>
        <v>1947215717343105756</v>
      </c>
      <c r="B2673" s="1" t="str">
        <f>T("249915832874")</f>
        <v>249915832874</v>
      </c>
      <c r="C2673" s="1" t="str">
        <f>T("1941094503855163888")</f>
        <v>1941094503855163888</v>
      </c>
      <c r="AC2673" s="1" t="s">
        <v>344</v>
      </c>
      <c r="AD2673" s="1" t="s">
        <v>372</v>
      </c>
      <c r="AE2673" s="1" t="s">
        <v>813</v>
      </c>
      <c r="AF2673" s="1" t="s">
        <v>107</v>
      </c>
      <c r="AG2673" s="1">
        <v>75</v>
      </c>
      <c r="AO2673" s="2">
        <v>46282</v>
      </c>
      <c r="AP2673" s="1" t="s">
        <v>248</v>
      </c>
      <c r="AS2673" s="1" t="s">
        <v>71</v>
      </c>
      <c r="AU2673" s="1" t="s">
        <v>72</v>
      </c>
      <c r="AV2673" s="1" t="s">
        <v>73</v>
      </c>
      <c r="AX2673" s="1">
        <v>0</v>
      </c>
      <c r="BA2673" s="1">
        <v>9</v>
      </c>
      <c r="BB2673" s="1">
        <v>0</v>
      </c>
      <c r="BC2673" s="1">
        <v>0</v>
      </c>
      <c r="BE2673" s="1">
        <v>27432028</v>
      </c>
    </row>
    <row r="2674" spans="1:57" x14ac:dyDescent="0.25">
      <c r="A2674" s="1" t="str">
        <f>T("1947215717347300164")</f>
        <v>1947215717347300164</v>
      </c>
      <c r="B2674" s="1" t="str">
        <f>T("249125849120")</f>
        <v>249125849120</v>
      </c>
      <c r="C2674" s="1" t="str">
        <f>T("1941094503855163488")</f>
        <v>1941094503855163488</v>
      </c>
      <c r="AC2674" s="1" t="s">
        <v>344</v>
      </c>
      <c r="AD2674" s="1" t="s">
        <v>430</v>
      </c>
      <c r="AE2674" s="1" t="s">
        <v>530</v>
      </c>
      <c r="AF2674" s="1" t="s">
        <v>107</v>
      </c>
      <c r="AG2674" s="1">
        <v>23</v>
      </c>
      <c r="AO2674" s="2">
        <v>46282</v>
      </c>
      <c r="AP2674" s="1" t="s">
        <v>248</v>
      </c>
      <c r="AS2674" s="1" t="s">
        <v>71</v>
      </c>
      <c r="AU2674" s="1" t="s">
        <v>72</v>
      </c>
      <c r="AV2674" s="1" t="s">
        <v>126</v>
      </c>
      <c r="AX2674" s="1">
        <v>0</v>
      </c>
      <c r="BA2674" s="1">
        <v>9</v>
      </c>
      <c r="BB2674" s="1">
        <v>0</v>
      </c>
      <c r="BC2674" s="1">
        <v>0</v>
      </c>
      <c r="BE2674" s="1">
        <v>27432028</v>
      </c>
    </row>
    <row r="2675" spans="1:57" x14ac:dyDescent="0.25">
      <c r="A2675" s="1" t="str">
        <f>T("1947215717489906136")</f>
        <v>1947215717489906136</v>
      </c>
      <c r="B2675" s="1" t="str">
        <f>T("249112643460")</f>
        <v>249112643460</v>
      </c>
      <c r="C2675" s="1" t="str">
        <f>T("1941094503859356996")</f>
        <v>1941094503859356996</v>
      </c>
      <c r="AC2675" s="1" t="s">
        <v>344</v>
      </c>
      <c r="AD2675" s="1" t="s">
        <v>372</v>
      </c>
      <c r="AE2675" s="1" t="s">
        <v>818</v>
      </c>
      <c r="AF2675" s="1" t="s">
        <v>107</v>
      </c>
      <c r="AG2675" s="1">
        <v>55</v>
      </c>
      <c r="AO2675" s="2">
        <v>46282</v>
      </c>
      <c r="AP2675" s="1" t="s">
        <v>248</v>
      </c>
      <c r="AS2675" s="1" t="s">
        <v>71</v>
      </c>
      <c r="AU2675" s="1" t="s">
        <v>72</v>
      </c>
      <c r="AV2675" s="1" t="s">
        <v>73</v>
      </c>
      <c r="AX2675" s="1">
        <v>0</v>
      </c>
      <c r="BA2675" s="1">
        <v>9</v>
      </c>
      <c r="BB2675" s="1">
        <v>0</v>
      </c>
      <c r="BC2675" s="1">
        <v>0</v>
      </c>
      <c r="BE2675" s="1">
        <v>27432028</v>
      </c>
    </row>
    <row r="2676" spans="1:57" x14ac:dyDescent="0.25">
      <c r="A2676" s="1" t="str">
        <f>T("1947215717489906836")</f>
        <v>1947215717489906836</v>
      </c>
      <c r="B2676" s="1" t="str">
        <f>T("249918120337")</f>
        <v>249918120337</v>
      </c>
      <c r="C2676" s="1" t="str">
        <f>T("1941094503863551204")</f>
        <v>1941094503863551204</v>
      </c>
      <c r="AC2676" s="1" t="s">
        <v>344</v>
      </c>
      <c r="AD2676" s="1" t="s">
        <v>372</v>
      </c>
      <c r="AE2676" s="1" t="s">
        <v>820</v>
      </c>
      <c r="AF2676" s="1" t="s">
        <v>107</v>
      </c>
      <c r="AG2676" s="1">
        <v>40</v>
      </c>
      <c r="AO2676" s="2">
        <v>46282</v>
      </c>
      <c r="AP2676" s="1" t="s">
        <v>248</v>
      </c>
      <c r="AS2676" s="1" t="s">
        <v>71</v>
      </c>
      <c r="AU2676" s="1" t="s">
        <v>72</v>
      </c>
      <c r="AV2676" s="1" t="s">
        <v>437</v>
      </c>
      <c r="AX2676" s="1">
        <v>0</v>
      </c>
      <c r="BA2676" s="1">
        <v>9</v>
      </c>
      <c r="BB2676" s="1">
        <v>0</v>
      </c>
      <c r="BC2676" s="1">
        <v>0</v>
      </c>
      <c r="BE2676" s="1">
        <v>27432028</v>
      </c>
    </row>
    <row r="2677" spans="1:57" x14ac:dyDescent="0.25">
      <c r="A2677" s="1" t="str">
        <f>T("1947215717519269192")</f>
        <v>1947215717519269192</v>
      </c>
      <c r="B2677" s="1" t="str">
        <f>T("249960506033")</f>
        <v>249960506033</v>
      </c>
      <c r="C2677" s="1" t="str">
        <f>T("1941094503863552604")</f>
        <v>1941094503863552604</v>
      </c>
      <c r="AC2677" s="1" t="s">
        <v>344</v>
      </c>
      <c r="AD2677" s="1" t="s">
        <v>430</v>
      </c>
      <c r="AE2677" s="1" t="s">
        <v>530</v>
      </c>
      <c r="AF2677" s="1" t="s">
        <v>144</v>
      </c>
      <c r="AG2677" s="1">
        <v>40</v>
      </c>
      <c r="AO2677" s="2">
        <v>46282</v>
      </c>
      <c r="AP2677" s="1" t="s">
        <v>248</v>
      </c>
      <c r="AS2677" s="1" t="s">
        <v>71</v>
      </c>
      <c r="AU2677" s="1" t="s">
        <v>72</v>
      </c>
      <c r="AV2677" s="1" t="s">
        <v>126</v>
      </c>
      <c r="AX2677" s="1">
        <v>0</v>
      </c>
      <c r="BA2677" s="1">
        <v>9</v>
      </c>
      <c r="BB2677" s="1">
        <v>0</v>
      </c>
      <c r="BC2677" s="1">
        <v>0</v>
      </c>
      <c r="BE2677" s="1">
        <v>27432028</v>
      </c>
    </row>
    <row r="2678" spans="1:57" x14ac:dyDescent="0.25">
      <c r="A2678" s="1" t="str">
        <f>T("1947215717523463700")</f>
        <v>1947215717523463700</v>
      </c>
      <c r="B2678" s="1" t="str">
        <f>T("249906675180")</f>
        <v>249906675180</v>
      </c>
      <c r="C2678" s="1" t="str">
        <f>T("1941094503863552104")</f>
        <v>1941094503863552104</v>
      </c>
      <c r="AC2678" s="1" t="s">
        <v>344</v>
      </c>
      <c r="AD2678" s="1" t="s">
        <v>430</v>
      </c>
      <c r="AE2678" s="1" t="s">
        <v>530</v>
      </c>
      <c r="AF2678" s="1" t="s">
        <v>107</v>
      </c>
      <c r="AG2678" s="1">
        <v>35</v>
      </c>
      <c r="AO2678" s="2">
        <v>46282</v>
      </c>
      <c r="AP2678" s="1" t="s">
        <v>248</v>
      </c>
      <c r="AS2678" s="1" t="s">
        <v>71</v>
      </c>
      <c r="AU2678" s="1" t="s">
        <v>72</v>
      </c>
      <c r="AV2678" s="1" t="s">
        <v>73</v>
      </c>
      <c r="AX2678" s="1">
        <v>0</v>
      </c>
      <c r="BA2678" s="1">
        <v>9</v>
      </c>
      <c r="BB2678" s="1">
        <v>0</v>
      </c>
      <c r="BC2678" s="1">
        <v>0</v>
      </c>
      <c r="BE2678" s="1">
        <v>27432028</v>
      </c>
    </row>
    <row r="2679" spans="1:57" x14ac:dyDescent="0.25">
      <c r="A2679" s="1" t="str">
        <f>T("1947215717573792596")</f>
        <v>1947215717573792596</v>
      </c>
      <c r="B2679" s="1" t="str">
        <f>T("249902036787")</f>
        <v>249902036787</v>
      </c>
      <c r="C2679" s="1" t="str">
        <f>T("1941094503863553204")</f>
        <v>1941094503863553204</v>
      </c>
      <c r="AC2679" s="1" t="s">
        <v>344</v>
      </c>
      <c r="AD2679" s="1" t="s">
        <v>372</v>
      </c>
      <c r="AE2679" s="1" t="s">
        <v>814</v>
      </c>
      <c r="AF2679" s="1" t="s">
        <v>144</v>
      </c>
      <c r="AG2679" s="1">
        <v>60</v>
      </c>
      <c r="AO2679" s="2">
        <v>46282</v>
      </c>
      <c r="AP2679" s="1" t="s">
        <v>248</v>
      </c>
      <c r="AS2679" s="1" t="s">
        <v>71</v>
      </c>
      <c r="AU2679" s="1" t="s">
        <v>72</v>
      </c>
      <c r="AV2679" s="1" t="s">
        <v>73</v>
      </c>
      <c r="AX2679" s="1">
        <v>0</v>
      </c>
      <c r="BA2679" s="1">
        <v>9</v>
      </c>
      <c r="BB2679" s="1">
        <v>0</v>
      </c>
      <c r="BC2679" s="1">
        <v>0</v>
      </c>
      <c r="BE2679" s="1">
        <v>27432028</v>
      </c>
    </row>
    <row r="2680" spans="1:57" x14ac:dyDescent="0.25">
      <c r="A2680" s="1" t="str">
        <f>T("1947215717573795296")</f>
        <v>1947215717573795296</v>
      </c>
      <c r="B2680" s="1" t="str">
        <f>T("249916928389")</f>
        <v>249916928389</v>
      </c>
      <c r="C2680" s="1" t="str">
        <f>T("1941094503863553904")</f>
        <v>1941094503863553904</v>
      </c>
      <c r="AC2680" s="1" t="s">
        <v>344</v>
      </c>
      <c r="AD2680" s="1" t="s">
        <v>430</v>
      </c>
      <c r="AE2680" s="1" t="s">
        <v>530</v>
      </c>
      <c r="AF2680" s="1" t="s">
        <v>107</v>
      </c>
      <c r="AG2680" s="1">
        <v>58</v>
      </c>
      <c r="AO2680" s="2">
        <v>46282</v>
      </c>
      <c r="AP2680" s="1" t="s">
        <v>248</v>
      </c>
      <c r="AS2680" s="1" t="s">
        <v>71</v>
      </c>
      <c r="AU2680" s="1" t="s">
        <v>72</v>
      </c>
      <c r="AV2680" s="1" t="s">
        <v>437</v>
      </c>
      <c r="AX2680" s="1">
        <v>0</v>
      </c>
      <c r="BA2680" s="1">
        <v>9</v>
      </c>
      <c r="BB2680" s="1">
        <v>0</v>
      </c>
      <c r="BC2680" s="1">
        <v>0</v>
      </c>
      <c r="BE2680" s="1">
        <v>27432028</v>
      </c>
    </row>
    <row r="2681" spans="1:57" x14ac:dyDescent="0.25">
      <c r="A2681" s="1" t="str">
        <f>T("1947215717594764036")</f>
        <v>1947215717594764036</v>
      </c>
      <c r="B2681" s="1" t="str">
        <f>T("249908863096")</f>
        <v>249908863096</v>
      </c>
      <c r="C2681" s="1" t="str">
        <f>T("1941094503867746212")</f>
        <v>1941094503867746212</v>
      </c>
      <c r="AC2681" s="1" t="s">
        <v>344</v>
      </c>
      <c r="AD2681" s="1" t="s">
        <v>372</v>
      </c>
      <c r="AE2681" s="1" t="s">
        <v>813</v>
      </c>
      <c r="AF2681" s="1" t="s">
        <v>107</v>
      </c>
      <c r="AG2681" s="1">
        <v>50</v>
      </c>
      <c r="AO2681" s="2">
        <v>46282</v>
      </c>
      <c r="AP2681" s="1" t="s">
        <v>248</v>
      </c>
      <c r="AS2681" s="1" t="s">
        <v>71</v>
      </c>
      <c r="AU2681" s="1" t="s">
        <v>72</v>
      </c>
      <c r="AV2681" s="1" t="s">
        <v>437</v>
      </c>
      <c r="AX2681" s="1">
        <v>0</v>
      </c>
      <c r="BA2681" s="1">
        <v>9</v>
      </c>
      <c r="BB2681" s="1">
        <v>0</v>
      </c>
      <c r="BC2681" s="1">
        <v>0</v>
      </c>
      <c r="BE2681" s="1">
        <v>27432028</v>
      </c>
    </row>
    <row r="2682" spans="1:57" x14ac:dyDescent="0.25">
      <c r="A2682" s="1" t="str">
        <f>T("1947215717598958944")</f>
        <v>1947215717598958944</v>
      </c>
      <c r="B2682" s="1" t="str">
        <f>T("249917974630")</f>
        <v>249917974630</v>
      </c>
      <c r="C2682" s="1" t="str">
        <f>T("1941094503867746712")</f>
        <v>1941094503867746712</v>
      </c>
      <c r="AC2682" s="1" t="s">
        <v>344</v>
      </c>
      <c r="AD2682" s="1" t="s">
        <v>372</v>
      </c>
      <c r="AE2682" s="1" t="s">
        <v>815</v>
      </c>
      <c r="AF2682" s="1" t="s">
        <v>107</v>
      </c>
      <c r="AG2682" s="1">
        <v>65</v>
      </c>
      <c r="AO2682" s="2">
        <v>46282</v>
      </c>
      <c r="AP2682" s="1" t="s">
        <v>248</v>
      </c>
      <c r="AS2682" s="1" t="s">
        <v>71</v>
      </c>
      <c r="AU2682" s="1" t="s">
        <v>72</v>
      </c>
      <c r="AV2682" s="1" t="s">
        <v>73</v>
      </c>
      <c r="AX2682" s="1">
        <v>0</v>
      </c>
      <c r="BA2682" s="1">
        <v>9</v>
      </c>
      <c r="BB2682" s="1">
        <v>0</v>
      </c>
      <c r="BC2682" s="1">
        <v>0</v>
      </c>
      <c r="BE2682" s="1">
        <v>27432028</v>
      </c>
    </row>
    <row r="2683" spans="1:57" x14ac:dyDescent="0.25">
      <c r="A2683" s="1" t="str">
        <f>T("1947215717645097732")</f>
        <v>1947215717645097732</v>
      </c>
      <c r="B2683" s="1" t="str">
        <f>T("249965486093")</f>
        <v>249965486093</v>
      </c>
      <c r="C2683" s="1" t="str">
        <f>T("1941094503867747212")</f>
        <v>1941094503867747212</v>
      </c>
      <c r="AC2683" s="1" t="s">
        <v>344</v>
      </c>
      <c r="AD2683" s="1" t="s">
        <v>430</v>
      </c>
      <c r="AE2683" s="1" t="s">
        <v>530</v>
      </c>
      <c r="AF2683" s="1" t="s">
        <v>144</v>
      </c>
      <c r="AG2683" s="1">
        <v>48</v>
      </c>
      <c r="AO2683" s="2">
        <v>46282</v>
      </c>
      <c r="AP2683" s="1" t="s">
        <v>248</v>
      </c>
      <c r="AS2683" s="1" t="s">
        <v>71</v>
      </c>
      <c r="AU2683" s="1" t="s">
        <v>72</v>
      </c>
      <c r="AV2683" s="1" t="s">
        <v>126</v>
      </c>
      <c r="AX2683" s="1">
        <v>0</v>
      </c>
      <c r="BA2683" s="1">
        <v>9</v>
      </c>
      <c r="BB2683" s="1">
        <v>0</v>
      </c>
      <c r="BC2683" s="1">
        <v>0</v>
      </c>
      <c r="BE2683" s="1">
        <v>27432028</v>
      </c>
    </row>
    <row r="2684" spans="1:57" x14ac:dyDescent="0.25">
      <c r="A2684" s="1" t="str">
        <f>T("1947215717645097832")</f>
        <v>1947215717645097832</v>
      </c>
      <c r="B2684" s="1" t="str">
        <f>T("249916342783")</f>
        <v>249916342783</v>
      </c>
      <c r="C2684" s="1" t="str">
        <f>T("1941094503867747812")</f>
        <v>1941094503867747812</v>
      </c>
      <c r="AC2684" s="1" t="s">
        <v>344</v>
      </c>
      <c r="AD2684" s="1" t="s">
        <v>430</v>
      </c>
      <c r="AE2684" s="1" t="s">
        <v>530</v>
      </c>
      <c r="AF2684" s="1" t="s">
        <v>144</v>
      </c>
      <c r="AG2684" s="1">
        <v>49</v>
      </c>
      <c r="AO2684" s="2">
        <v>46282</v>
      </c>
      <c r="AP2684" s="1" t="s">
        <v>248</v>
      </c>
      <c r="AS2684" s="1" t="s">
        <v>71</v>
      </c>
      <c r="AU2684" s="1" t="s">
        <v>72</v>
      </c>
      <c r="AV2684" s="1" t="s">
        <v>73</v>
      </c>
      <c r="AX2684" s="1">
        <v>0</v>
      </c>
      <c r="BA2684" s="1">
        <v>9</v>
      </c>
      <c r="BB2684" s="1">
        <v>0</v>
      </c>
      <c r="BC2684" s="1">
        <v>0</v>
      </c>
      <c r="BE2684" s="1">
        <v>27432028</v>
      </c>
    </row>
    <row r="2685" spans="1:57" x14ac:dyDescent="0.25">
      <c r="A2685" s="1" t="str">
        <f>T("1947215717661875264")</f>
        <v>1947215717661875264</v>
      </c>
      <c r="B2685" s="1" t="str">
        <f>T("249907638867")</f>
        <v>249907638867</v>
      </c>
      <c r="C2685" s="1" t="str">
        <f>T("1941094503876133028")</f>
        <v>1941094503876133028</v>
      </c>
      <c r="AC2685" s="1" t="s">
        <v>344</v>
      </c>
      <c r="AD2685" s="1" t="s">
        <v>441</v>
      </c>
      <c r="AE2685" s="1" t="s">
        <v>530</v>
      </c>
      <c r="AF2685" s="1" t="s">
        <v>144</v>
      </c>
      <c r="AG2685" s="1">
        <v>54</v>
      </c>
      <c r="AO2685" s="2">
        <v>46282</v>
      </c>
      <c r="AP2685" s="1" t="s">
        <v>248</v>
      </c>
      <c r="AS2685" s="1" t="s">
        <v>71</v>
      </c>
      <c r="AU2685" s="1" t="s">
        <v>72</v>
      </c>
      <c r="AV2685" s="1" t="s">
        <v>437</v>
      </c>
      <c r="AX2685" s="1">
        <v>0</v>
      </c>
      <c r="BA2685" s="1">
        <v>9</v>
      </c>
      <c r="BB2685" s="1">
        <v>0</v>
      </c>
      <c r="BC2685" s="1">
        <v>0</v>
      </c>
      <c r="BE2685" s="1">
        <v>27432028</v>
      </c>
    </row>
    <row r="2686" spans="1:57" x14ac:dyDescent="0.25">
      <c r="A2686" s="1" t="str">
        <f>T("1947215717666066972")</f>
        <v>1947215717666066972</v>
      </c>
      <c r="B2686" s="1" t="str">
        <f>T("249901789046")</f>
        <v>249901789046</v>
      </c>
      <c r="C2686" s="1" t="str">
        <f>T("1941094503876133628")</f>
        <v>1941094503876133628</v>
      </c>
      <c r="AC2686" s="1" t="s">
        <v>344</v>
      </c>
      <c r="AD2686" s="1" t="s">
        <v>441</v>
      </c>
      <c r="AE2686" s="1" t="s">
        <v>530</v>
      </c>
      <c r="AF2686" s="1" t="s">
        <v>144</v>
      </c>
      <c r="AG2686" s="1">
        <v>80</v>
      </c>
      <c r="AO2686" s="2">
        <v>46282</v>
      </c>
      <c r="AP2686" s="1" t="s">
        <v>248</v>
      </c>
      <c r="AS2686" s="1" t="s">
        <v>71</v>
      </c>
      <c r="AU2686" s="1" t="s">
        <v>72</v>
      </c>
      <c r="AV2686" s="1" t="s">
        <v>126</v>
      </c>
      <c r="AX2686" s="1">
        <v>0</v>
      </c>
      <c r="BA2686" s="1">
        <v>9</v>
      </c>
      <c r="BB2686" s="1">
        <v>0</v>
      </c>
      <c r="BC2686" s="1">
        <v>0</v>
      </c>
      <c r="BE2686" s="1">
        <v>27432028</v>
      </c>
    </row>
    <row r="2687" spans="1:57" x14ac:dyDescent="0.25">
      <c r="A2687" s="1" t="str">
        <f>T("1947215717695429928")</f>
        <v>1947215717695429928</v>
      </c>
      <c r="B2687" s="1" t="str">
        <f>T("249903520409")</f>
        <v>249903520409</v>
      </c>
      <c r="C2687" s="1" t="str">
        <f>T("1941094503876134128")</f>
        <v>1941094503876134128</v>
      </c>
      <c r="AC2687" s="1" t="s">
        <v>344</v>
      </c>
      <c r="AD2687" s="1" t="s">
        <v>441</v>
      </c>
      <c r="AE2687" s="1" t="s">
        <v>530</v>
      </c>
      <c r="AF2687" s="1" t="s">
        <v>107</v>
      </c>
      <c r="AG2687" s="1">
        <v>30</v>
      </c>
      <c r="AO2687" s="2">
        <v>46282</v>
      </c>
      <c r="AP2687" s="1" t="s">
        <v>248</v>
      </c>
      <c r="AS2687" s="1" t="s">
        <v>71</v>
      </c>
      <c r="AU2687" s="1" t="s">
        <v>72</v>
      </c>
      <c r="AV2687" s="1" t="s">
        <v>73</v>
      </c>
      <c r="AX2687" s="1">
        <v>0</v>
      </c>
      <c r="BA2687" s="1">
        <v>9</v>
      </c>
      <c r="BB2687" s="1">
        <v>0</v>
      </c>
      <c r="BC2687" s="1">
        <v>0</v>
      </c>
      <c r="BE2687" s="1">
        <v>27432028</v>
      </c>
    </row>
    <row r="2688" spans="1:57" x14ac:dyDescent="0.25">
      <c r="A2688" s="1" t="str">
        <f>T("1947215717716399368")</f>
        <v>1947215717716399368</v>
      </c>
      <c r="B2688" s="1" t="str">
        <f>T("249966685291")</f>
        <v>249966685291</v>
      </c>
      <c r="C2688" s="1" t="str">
        <f>T("1941094503876135128")</f>
        <v>1941094503876135128</v>
      </c>
      <c r="AC2688" s="1" t="s">
        <v>344</v>
      </c>
      <c r="AD2688" s="1" t="s">
        <v>357</v>
      </c>
      <c r="AE2688" s="1" t="s">
        <v>812</v>
      </c>
      <c r="AF2688" s="1" t="s">
        <v>107</v>
      </c>
      <c r="AG2688" s="1">
        <v>28</v>
      </c>
      <c r="AO2688" s="2">
        <v>46282</v>
      </c>
      <c r="AP2688" s="1" t="s">
        <v>248</v>
      </c>
      <c r="AS2688" s="1" t="s">
        <v>71</v>
      </c>
      <c r="AU2688" s="1" t="s">
        <v>72</v>
      </c>
      <c r="AV2688" s="1" t="s">
        <v>73</v>
      </c>
      <c r="AX2688" s="1">
        <v>0</v>
      </c>
      <c r="BA2688" s="1">
        <v>9</v>
      </c>
      <c r="BB2688" s="1">
        <v>0</v>
      </c>
      <c r="BC2688" s="1">
        <v>0</v>
      </c>
      <c r="BE2688" s="1">
        <v>27432028</v>
      </c>
    </row>
    <row r="2689" spans="1:57" x14ac:dyDescent="0.25">
      <c r="A2689" s="1" t="str">
        <f>T("1947215717724787184")</f>
        <v>1947215717724787184</v>
      </c>
      <c r="B2689" s="1" t="str">
        <f>T("249925483630")</f>
        <v>249925483630</v>
      </c>
      <c r="C2689" s="1" t="str">
        <f>T("1941094503876135928")</f>
        <v>1941094503876135928</v>
      </c>
      <c r="AC2689" s="1" t="s">
        <v>344</v>
      </c>
      <c r="AD2689" s="1" t="s">
        <v>441</v>
      </c>
      <c r="AE2689" s="1" t="s">
        <v>530</v>
      </c>
      <c r="AF2689" s="1" t="s">
        <v>107</v>
      </c>
      <c r="AG2689" s="1">
        <v>64</v>
      </c>
      <c r="AO2689" s="2">
        <v>46282</v>
      </c>
      <c r="AP2689" s="1" t="s">
        <v>248</v>
      </c>
      <c r="AS2689" s="1" t="s">
        <v>71</v>
      </c>
      <c r="AU2689" s="1" t="s">
        <v>72</v>
      </c>
      <c r="AV2689" s="1" t="s">
        <v>73</v>
      </c>
      <c r="AX2689" s="1">
        <v>0</v>
      </c>
      <c r="BA2689" s="1">
        <v>9</v>
      </c>
      <c r="BB2689" s="1">
        <v>0</v>
      </c>
      <c r="BC2689" s="1">
        <v>0</v>
      </c>
      <c r="BE2689" s="1">
        <v>27432028</v>
      </c>
    </row>
    <row r="2690" spans="1:57" x14ac:dyDescent="0.25">
      <c r="A2690" s="1" t="str">
        <f>T("1947215717733177400")</f>
        <v>1947215717733177400</v>
      </c>
      <c r="B2690" s="1" t="str">
        <f>T("249912927331")</f>
        <v>249912927331</v>
      </c>
      <c r="C2690" s="1" t="str">
        <f>T("1941094503876136528")</f>
        <v>1941094503876136528</v>
      </c>
      <c r="AC2690" s="1" t="s">
        <v>344</v>
      </c>
      <c r="AD2690" s="1" t="s">
        <v>372</v>
      </c>
      <c r="AE2690" s="1" t="s">
        <v>818</v>
      </c>
      <c r="AF2690" s="1" t="s">
        <v>144</v>
      </c>
      <c r="AG2690" s="1">
        <v>48</v>
      </c>
      <c r="AO2690" s="2">
        <v>46282</v>
      </c>
      <c r="AP2690" s="1" t="s">
        <v>248</v>
      </c>
      <c r="AS2690" s="1" t="s">
        <v>71</v>
      </c>
      <c r="AU2690" s="1" t="s">
        <v>72</v>
      </c>
      <c r="AV2690" s="1" t="s">
        <v>437</v>
      </c>
      <c r="AX2690" s="1">
        <v>0</v>
      </c>
      <c r="BA2690" s="1">
        <v>9</v>
      </c>
      <c r="BB2690" s="1">
        <v>0</v>
      </c>
      <c r="BC2690" s="1">
        <v>0</v>
      </c>
      <c r="BE2690" s="1">
        <v>27432028</v>
      </c>
    </row>
    <row r="2691" spans="1:57" x14ac:dyDescent="0.25">
      <c r="A2691" s="1" t="str">
        <f>T("1947215717745760624")</f>
        <v>1947215717745760624</v>
      </c>
      <c r="B2691" s="1" t="str">
        <f>T("249909090979")</f>
        <v>249909090979</v>
      </c>
      <c r="C2691" s="1" t="str">
        <f>T("1941094503880327336")</f>
        <v>1941094503880327336</v>
      </c>
      <c r="AC2691" s="1" t="s">
        <v>344</v>
      </c>
      <c r="AD2691" s="1" t="s">
        <v>430</v>
      </c>
      <c r="AE2691" s="1" t="s">
        <v>530</v>
      </c>
      <c r="AF2691" s="1" t="s">
        <v>144</v>
      </c>
      <c r="AG2691" s="1">
        <v>37</v>
      </c>
      <c r="AO2691" s="2">
        <v>46282</v>
      </c>
      <c r="AP2691" s="1" t="s">
        <v>248</v>
      </c>
      <c r="AS2691" s="1" t="s">
        <v>71</v>
      </c>
      <c r="AU2691" s="1" t="s">
        <v>72</v>
      </c>
      <c r="AV2691" s="1" t="s">
        <v>73</v>
      </c>
      <c r="AX2691" s="1">
        <v>0</v>
      </c>
      <c r="BA2691" s="1">
        <v>9</v>
      </c>
      <c r="BB2691" s="1">
        <v>0</v>
      </c>
      <c r="BC2691" s="1">
        <v>0</v>
      </c>
      <c r="BE2691" s="1">
        <v>27432028</v>
      </c>
    </row>
    <row r="2692" spans="1:57" x14ac:dyDescent="0.25">
      <c r="A2692" s="1" t="str">
        <f>T("1947215717783509696")</f>
        <v>1947215717783509696</v>
      </c>
      <c r="B2692" s="1" t="str">
        <f>T("249917594643")</f>
        <v>249917594643</v>
      </c>
      <c r="C2692" s="1" t="str">
        <f>T("1941094503880328536")</f>
        <v>1941094503880328536</v>
      </c>
      <c r="AC2692" s="1" t="s">
        <v>344</v>
      </c>
      <c r="AD2692" s="1" t="s">
        <v>441</v>
      </c>
      <c r="AE2692" s="1" t="s">
        <v>530</v>
      </c>
      <c r="AF2692" s="1" t="s">
        <v>107</v>
      </c>
      <c r="AG2692" s="1">
        <v>70</v>
      </c>
      <c r="AO2692" s="2">
        <v>46282</v>
      </c>
      <c r="AP2692" s="1" t="s">
        <v>248</v>
      </c>
      <c r="AS2692" s="1" t="s">
        <v>71</v>
      </c>
      <c r="AU2692" s="1" t="s">
        <v>72</v>
      </c>
      <c r="AV2692" s="1" t="s">
        <v>437</v>
      </c>
      <c r="AX2692" s="1">
        <v>0</v>
      </c>
      <c r="BA2692" s="1">
        <v>9</v>
      </c>
      <c r="BB2692" s="1">
        <v>0</v>
      </c>
      <c r="BC2692" s="1">
        <v>0</v>
      </c>
      <c r="BE2692" s="1">
        <v>27432028</v>
      </c>
    </row>
    <row r="2693" spans="1:57" x14ac:dyDescent="0.25">
      <c r="A2693" s="1" t="str">
        <f>T("1947215717800285428")</f>
        <v>1947215717800285428</v>
      </c>
      <c r="B2693" s="1" t="str">
        <f>T("249910338419")</f>
        <v>249910338419</v>
      </c>
      <c r="C2693" s="1" t="str">
        <f>T("1941094503880329136")</f>
        <v>1941094503880329136</v>
      </c>
      <c r="AC2693" s="1" t="s">
        <v>344</v>
      </c>
      <c r="AD2693" s="1" t="s">
        <v>441</v>
      </c>
      <c r="AE2693" s="1" t="s">
        <v>530</v>
      </c>
      <c r="AF2693" s="1" t="s">
        <v>107</v>
      </c>
      <c r="AG2693" s="1">
        <v>60</v>
      </c>
      <c r="AO2693" s="2">
        <v>46282</v>
      </c>
      <c r="AP2693" s="1" t="s">
        <v>248</v>
      </c>
      <c r="AS2693" s="1" t="s">
        <v>71</v>
      </c>
      <c r="AU2693" s="1" t="s">
        <v>72</v>
      </c>
      <c r="AV2693" s="1" t="s">
        <v>437</v>
      </c>
      <c r="AX2693" s="1">
        <v>0</v>
      </c>
      <c r="BA2693" s="1">
        <v>9</v>
      </c>
      <c r="BB2693" s="1">
        <v>0</v>
      </c>
      <c r="BC2693" s="1">
        <v>0</v>
      </c>
      <c r="BE2693" s="1">
        <v>27432028</v>
      </c>
    </row>
    <row r="2694" spans="1:57" x14ac:dyDescent="0.25">
      <c r="A2694" s="1" t="str">
        <f>T("1947215717800285928")</f>
        <v>1947215717800285928</v>
      </c>
      <c r="B2694" s="1" t="str">
        <f>T("249917469033")</f>
        <v>249917469033</v>
      </c>
      <c r="C2694" s="1" t="str">
        <f>T("1941094503880330136")</f>
        <v>1941094503880330136</v>
      </c>
      <c r="AC2694" s="1" t="s">
        <v>344</v>
      </c>
      <c r="AD2694" s="1" t="s">
        <v>372</v>
      </c>
      <c r="AE2694" s="1" t="s">
        <v>373</v>
      </c>
      <c r="AF2694" s="1" t="s">
        <v>107</v>
      </c>
      <c r="AG2694" s="1">
        <v>42</v>
      </c>
      <c r="AO2694" s="2">
        <v>46282</v>
      </c>
      <c r="AP2694" s="1" t="s">
        <v>248</v>
      </c>
      <c r="AS2694" s="1" t="s">
        <v>71</v>
      </c>
      <c r="AU2694" s="1" t="s">
        <v>72</v>
      </c>
      <c r="AV2694" s="1" t="s">
        <v>73</v>
      </c>
      <c r="AX2694" s="1">
        <v>0</v>
      </c>
      <c r="BA2694" s="1">
        <v>9</v>
      </c>
      <c r="BB2694" s="1">
        <v>0</v>
      </c>
      <c r="BC2694" s="1">
        <v>0</v>
      </c>
      <c r="BE2694" s="1">
        <v>27432028</v>
      </c>
    </row>
    <row r="2695" spans="1:57" x14ac:dyDescent="0.25">
      <c r="A2695" s="1" t="str">
        <f>T("1947215717804481836")</f>
        <v>1947215717804481836</v>
      </c>
      <c r="B2695" s="1" t="str">
        <f>T("249918345978")</f>
        <v>249918345978</v>
      </c>
      <c r="C2695" s="1" t="str">
        <f>T("1941094503884524944")</f>
        <v>1941094503884524944</v>
      </c>
      <c r="AC2695" s="1" t="s">
        <v>344</v>
      </c>
      <c r="AD2695" s="1" t="s">
        <v>372</v>
      </c>
      <c r="AE2695" s="1" t="s">
        <v>814</v>
      </c>
      <c r="AF2695" s="1" t="s">
        <v>144</v>
      </c>
      <c r="AG2695" s="1">
        <v>25</v>
      </c>
      <c r="AO2695" s="2">
        <v>46282</v>
      </c>
      <c r="AP2695" s="1" t="s">
        <v>248</v>
      </c>
      <c r="AS2695" s="1" t="s">
        <v>71</v>
      </c>
      <c r="AU2695" s="1" t="s">
        <v>72</v>
      </c>
      <c r="AV2695" s="1" t="s">
        <v>73</v>
      </c>
      <c r="AX2695" s="1">
        <v>0</v>
      </c>
      <c r="BA2695" s="1">
        <v>9</v>
      </c>
      <c r="BB2695" s="1">
        <v>0</v>
      </c>
      <c r="BC2695" s="1">
        <v>0</v>
      </c>
      <c r="BE2695" s="1">
        <v>27432028</v>
      </c>
    </row>
    <row r="2696" spans="1:57" x14ac:dyDescent="0.25">
      <c r="A2696" s="1" t="str">
        <f>T("1947215717854812032")</f>
        <v>1947215717854812032</v>
      </c>
      <c r="B2696" s="1" t="str">
        <f>T("249904010589")</f>
        <v>249904010589</v>
      </c>
      <c r="C2696" s="1" t="str">
        <f>T("1941094503888716252")</f>
        <v>1941094503888716252</v>
      </c>
      <c r="AC2696" s="1" t="s">
        <v>344</v>
      </c>
      <c r="AD2696" s="1" t="s">
        <v>430</v>
      </c>
      <c r="AE2696" s="1" t="s">
        <v>530</v>
      </c>
      <c r="AF2696" s="1" t="s">
        <v>144</v>
      </c>
      <c r="AG2696" s="1">
        <v>38</v>
      </c>
      <c r="AO2696" s="2">
        <v>46282</v>
      </c>
      <c r="AP2696" s="1" t="s">
        <v>248</v>
      </c>
      <c r="AS2696" s="1" t="s">
        <v>71</v>
      </c>
      <c r="AU2696" s="1" t="s">
        <v>72</v>
      </c>
      <c r="AV2696" s="1" t="s">
        <v>437</v>
      </c>
      <c r="AX2696" s="1">
        <v>0</v>
      </c>
      <c r="BA2696" s="1">
        <v>9</v>
      </c>
      <c r="BB2696" s="1">
        <v>0</v>
      </c>
      <c r="BC2696" s="1">
        <v>0</v>
      </c>
      <c r="BE2696" s="1">
        <v>27432028</v>
      </c>
    </row>
    <row r="2697" spans="1:57" x14ac:dyDescent="0.25">
      <c r="A2697" s="1" t="str">
        <f>T("1947215717863200048")</f>
        <v>1947215717863200048</v>
      </c>
      <c r="B2697" s="1" t="str">
        <f>T("249909033446")</f>
        <v>249909033446</v>
      </c>
      <c r="C2697" s="1" t="str">
        <f>T("1941094503892910360")</f>
        <v>1941094503892910360</v>
      </c>
      <c r="AC2697" s="1" t="s">
        <v>344</v>
      </c>
      <c r="AD2697" s="1" t="s">
        <v>441</v>
      </c>
      <c r="AE2697" s="1" t="s">
        <v>530</v>
      </c>
      <c r="AF2697" s="1" t="s">
        <v>107</v>
      </c>
      <c r="AG2697" s="1">
        <v>57</v>
      </c>
      <c r="AO2697" s="2">
        <v>46282</v>
      </c>
      <c r="AP2697" s="1" t="s">
        <v>248</v>
      </c>
      <c r="AS2697" s="1" t="s">
        <v>71</v>
      </c>
      <c r="AU2697" s="1" t="s">
        <v>72</v>
      </c>
      <c r="AV2697" s="1" t="s">
        <v>437</v>
      </c>
      <c r="AX2697" s="1">
        <v>0</v>
      </c>
      <c r="BA2697" s="1">
        <v>9</v>
      </c>
      <c r="BB2697" s="1">
        <v>0</v>
      </c>
      <c r="BC2697" s="1">
        <v>0</v>
      </c>
      <c r="BE2697" s="1">
        <v>27432028</v>
      </c>
    </row>
    <row r="2698" spans="1:57" x14ac:dyDescent="0.25">
      <c r="A2698" s="1" t="str">
        <f>T("1947215717871588064")</f>
        <v>1947215717871588064</v>
      </c>
      <c r="B2698" s="1" t="str">
        <f>T("249964720579")</f>
        <v>249964720579</v>
      </c>
      <c r="C2698" s="1" t="str">
        <f>T("1941094503892910960")</f>
        <v>1941094503892910960</v>
      </c>
      <c r="AC2698" s="1" t="s">
        <v>344</v>
      </c>
      <c r="AD2698" s="1" t="s">
        <v>441</v>
      </c>
      <c r="AE2698" s="1" t="s">
        <v>530</v>
      </c>
      <c r="AF2698" s="1" t="s">
        <v>144</v>
      </c>
      <c r="AG2698" s="1">
        <v>50</v>
      </c>
      <c r="AO2698" s="2">
        <v>46282</v>
      </c>
      <c r="AP2698" s="1" t="s">
        <v>248</v>
      </c>
      <c r="AS2698" s="1" t="s">
        <v>71</v>
      </c>
      <c r="AU2698" s="1" t="s">
        <v>72</v>
      </c>
      <c r="AV2698" s="1" t="s">
        <v>437</v>
      </c>
      <c r="AX2698" s="1">
        <v>0</v>
      </c>
      <c r="BA2698" s="1">
        <v>9</v>
      </c>
      <c r="BB2698" s="1">
        <v>0</v>
      </c>
      <c r="BC2698" s="1">
        <v>0</v>
      </c>
      <c r="BE2698" s="1">
        <v>27432028</v>
      </c>
    </row>
    <row r="2699" spans="1:57" x14ac:dyDescent="0.25">
      <c r="A2699" s="1" t="str">
        <f>T("1947215717879977380")</f>
        <v>1947215717879977380</v>
      </c>
      <c r="B2699" s="1" t="str">
        <f>T("249962643002")</f>
        <v>249962643002</v>
      </c>
      <c r="C2699" s="1" t="str">
        <f>T("1941094503892911860")</f>
        <v>1941094503892911860</v>
      </c>
      <c r="AC2699" s="1" t="s">
        <v>344</v>
      </c>
      <c r="AD2699" s="1" t="s">
        <v>441</v>
      </c>
      <c r="AE2699" s="1" t="s">
        <v>530</v>
      </c>
      <c r="AF2699" s="1" t="s">
        <v>144</v>
      </c>
      <c r="AG2699" s="1">
        <v>55</v>
      </c>
      <c r="AO2699" s="2">
        <v>46282</v>
      </c>
      <c r="AP2699" s="1" t="s">
        <v>248</v>
      </c>
      <c r="AS2699" s="1" t="s">
        <v>71</v>
      </c>
      <c r="AU2699" s="1" t="s">
        <v>72</v>
      </c>
      <c r="AV2699" s="1" t="s">
        <v>437</v>
      </c>
      <c r="AX2699" s="1">
        <v>0</v>
      </c>
      <c r="BA2699" s="1">
        <v>9</v>
      </c>
      <c r="BB2699" s="1">
        <v>0</v>
      </c>
      <c r="BC2699" s="1">
        <v>0</v>
      </c>
      <c r="BE2699" s="1">
        <v>27432028</v>
      </c>
    </row>
    <row r="2700" spans="1:57" x14ac:dyDescent="0.25">
      <c r="A2700" s="1" t="str">
        <f>T("1947215717913532444")</f>
        <v>1947215717913532444</v>
      </c>
      <c r="B2700" s="1" t="str">
        <f>T("249910556819")</f>
        <v>249910556819</v>
      </c>
      <c r="C2700" s="1" t="str">
        <f>T("1941094503892913360")</f>
        <v>1941094503892913360</v>
      </c>
      <c r="AC2700" s="1" t="s">
        <v>344</v>
      </c>
      <c r="AD2700" s="1" t="s">
        <v>357</v>
      </c>
      <c r="AE2700" s="1" t="s">
        <v>817</v>
      </c>
      <c r="AF2700" s="1" t="s">
        <v>107</v>
      </c>
      <c r="AG2700" s="1">
        <v>61</v>
      </c>
      <c r="AO2700" s="2">
        <v>46282</v>
      </c>
      <c r="AP2700" s="1" t="s">
        <v>248</v>
      </c>
      <c r="AS2700" s="1" t="s">
        <v>71</v>
      </c>
      <c r="AU2700" s="1" t="s">
        <v>72</v>
      </c>
      <c r="AV2700" s="1" t="s">
        <v>73</v>
      </c>
      <c r="AX2700" s="1">
        <v>0</v>
      </c>
      <c r="BA2700" s="1">
        <v>9</v>
      </c>
      <c r="BB2700" s="1">
        <v>0</v>
      </c>
      <c r="BC2700" s="1">
        <v>0</v>
      </c>
      <c r="BE2700" s="1">
        <v>27432028</v>
      </c>
    </row>
    <row r="2701" spans="1:57" x14ac:dyDescent="0.25">
      <c r="A2701" s="1" t="str">
        <f>T("1947215717917725352")</f>
        <v>1947215717917725352</v>
      </c>
      <c r="B2701" s="1" t="str">
        <f>T("249902152502")</f>
        <v>249902152502</v>
      </c>
      <c r="C2701" s="1" t="str">
        <f>T("1941094503897104768")</f>
        <v>1941094503897104768</v>
      </c>
      <c r="AC2701" s="1" t="s">
        <v>344</v>
      </c>
      <c r="AD2701" s="1" t="s">
        <v>372</v>
      </c>
      <c r="AE2701" s="1" t="s">
        <v>814</v>
      </c>
      <c r="AF2701" s="1" t="s">
        <v>144</v>
      </c>
      <c r="AG2701" s="1">
        <v>42</v>
      </c>
      <c r="AO2701" s="2">
        <v>46282</v>
      </c>
      <c r="AP2701" s="1" t="s">
        <v>248</v>
      </c>
      <c r="AS2701" s="1" t="s">
        <v>71</v>
      </c>
      <c r="AU2701" s="1" t="s">
        <v>72</v>
      </c>
      <c r="AV2701" s="1" t="s">
        <v>126</v>
      </c>
      <c r="AX2701" s="1">
        <v>0</v>
      </c>
      <c r="BA2701" s="1">
        <v>9</v>
      </c>
      <c r="BB2701" s="1">
        <v>0</v>
      </c>
      <c r="BC2701" s="1">
        <v>0</v>
      </c>
      <c r="BE2701" s="1">
        <v>27432028</v>
      </c>
    </row>
    <row r="2702" spans="1:57" x14ac:dyDescent="0.25">
      <c r="A2702" s="1" t="str">
        <f>T("1947215717934502484")</f>
        <v>1947215717934502484</v>
      </c>
      <c r="B2702" s="1" t="str">
        <f>T("249917374733")</f>
        <v>249917374733</v>
      </c>
      <c r="C2702" s="1" t="str">
        <f>T("1941094503897105268")</f>
        <v>1941094503897105268</v>
      </c>
      <c r="AC2702" s="1" t="s">
        <v>344</v>
      </c>
      <c r="AD2702" s="1" t="s">
        <v>372</v>
      </c>
      <c r="AE2702" s="1" t="s">
        <v>820</v>
      </c>
      <c r="AF2702" s="1" t="s">
        <v>107</v>
      </c>
      <c r="AG2702" s="1">
        <v>57</v>
      </c>
      <c r="AO2702" s="2">
        <v>46282</v>
      </c>
      <c r="AP2702" s="1" t="s">
        <v>248</v>
      </c>
      <c r="AS2702" s="1" t="s">
        <v>71</v>
      </c>
      <c r="AU2702" s="1" t="s">
        <v>72</v>
      </c>
      <c r="AV2702" s="1" t="s">
        <v>73</v>
      </c>
      <c r="AX2702" s="1">
        <v>0</v>
      </c>
      <c r="BA2702" s="1">
        <v>9</v>
      </c>
      <c r="BB2702" s="1">
        <v>0</v>
      </c>
      <c r="BC2702" s="1">
        <v>0</v>
      </c>
      <c r="BE2702" s="1">
        <v>27432028</v>
      </c>
    </row>
    <row r="2703" spans="1:57" x14ac:dyDescent="0.25">
      <c r="A2703" s="1" t="str">
        <f>T("1947215717934505284")</f>
        <v>1947215717934505284</v>
      </c>
      <c r="B2703" s="1" t="str">
        <f>T("249914226763")</f>
        <v>249914226763</v>
      </c>
      <c r="C2703" s="1" t="str">
        <f>T("1941094503897107268")</f>
        <v>1941094503897107268</v>
      </c>
      <c r="AC2703" s="1" t="s">
        <v>344</v>
      </c>
      <c r="AD2703" s="1" t="s">
        <v>430</v>
      </c>
      <c r="AE2703" s="1" t="s">
        <v>530</v>
      </c>
      <c r="AF2703" s="1" t="s">
        <v>107</v>
      </c>
      <c r="AG2703" s="1">
        <v>38</v>
      </c>
      <c r="AO2703" s="2">
        <v>46282</v>
      </c>
      <c r="AP2703" s="1" t="s">
        <v>248</v>
      </c>
      <c r="AS2703" s="1" t="s">
        <v>71</v>
      </c>
      <c r="AU2703" s="1" t="s">
        <v>72</v>
      </c>
      <c r="AV2703" s="1" t="s">
        <v>73</v>
      </c>
      <c r="AX2703" s="1">
        <v>0</v>
      </c>
      <c r="BA2703" s="1">
        <v>9</v>
      </c>
      <c r="BB2703" s="1">
        <v>0</v>
      </c>
      <c r="BC2703" s="1">
        <v>0</v>
      </c>
      <c r="BE2703" s="1">
        <v>27432028</v>
      </c>
    </row>
    <row r="2704" spans="1:57" x14ac:dyDescent="0.25">
      <c r="A2704" s="1" t="str">
        <f>T("1947215717968058748")</f>
        <v>1947215717968058748</v>
      </c>
      <c r="B2704" s="1" t="str">
        <f>T("249903545538")</f>
        <v>249903545538</v>
      </c>
      <c r="C2704" s="1" t="str">
        <f>T("1941094503897107968")</f>
        <v>1941094503897107968</v>
      </c>
      <c r="AC2704" s="1" t="s">
        <v>344</v>
      </c>
      <c r="AD2704" s="1" t="s">
        <v>441</v>
      </c>
      <c r="AE2704" s="1" t="s">
        <v>530</v>
      </c>
      <c r="AF2704" s="1" t="s">
        <v>107</v>
      </c>
      <c r="AG2704" s="1">
        <v>55</v>
      </c>
      <c r="AO2704" s="2">
        <v>46282</v>
      </c>
      <c r="AP2704" s="1" t="s">
        <v>248</v>
      </c>
      <c r="AS2704" s="1" t="s">
        <v>71</v>
      </c>
      <c r="AU2704" s="1" t="s">
        <v>72</v>
      </c>
      <c r="AV2704" s="1" t="s">
        <v>73</v>
      </c>
      <c r="AX2704" s="1">
        <v>0</v>
      </c>
      <c r="BA2704" s="1">
        <v>9</v>
      </c>
      <c r="BB2704" s="1">
        <v>0</v>
      </c>
      <c r="BC2704" s="1">
        <v>0</v>
      </c>
      <c r="BE2704" s="1">
        <v>27432028</v>
      </c>
    </row>
    <row r="2705" spans="1:57" x14ac:dyDescent="0.25">
      <c r="A2705" s="1" t="str">
        <f>T("1947215717968059748")</f>
        <v>1947215717968059748</v>
      </c>
      <c r="B2705" s="1" t="str">
        <f>T("249960589486")</f>
        <v>249960589486</v>
      </c>
      <c r="C2705" s="1" t="str">
        <f>T("1941094503901298776")</f>
        <v>1941094503901298776</v>
      </c>
      <c r="AC2705" s="1" t="s">
        <v>344</v>
      </c>
      <c r="AD2705" s="1" t="s">
        <v>441</v>
      </c>
      <c r="AE2705" s="1" t="s">
        <v>530</v>
      </c>
      <c r="AF2705" s="1" t="s">
        <v>107</v>
      </c>
      <c r="AG2705" s="1">
        <v>35</v>
      </c>
      <c r="AO2705" s="2">
        <v>46282</v>
      </c>
      <c r="AP2705" s="1" t="s">
        <v>248</v>
      </c>
      <c r="AS2705" s="1" t="s">
        <v>71</v>
      </c>
      <c r="AU2705" s="1" t="s">
        <v>72</v>
      </c>
      <c r="AV2705" s="1" t="s">
        <v>437</v>
      </c>
      <c r="AX2705" s="1">
        <v>0</v>
      </c>
      <c r="BA2705" s="1">
        <v>9</v>
      </c>
      <c r="BB2705" s="1">
        <v>0</v>
      </c>
      <c r="BC2705" s="1">
        <v>0</v>
      </c>
      <c r="BE2705" s="1">
        <v>27432028</v>
      </c>
    </row>
    <row r="2706" spans="1:57" x14ac:dyDescent="0.25">
      <c r="A2706" s="1" t="str">
        <f>T("1947215717984836580")</f>
        <v>1947215717984836580</v>
      </c>
      <c r="B2706" s="1" t="str">
        <f>T("249912704498")</f>
        <v>249912704498</v>
      </c>
      <c r="C2706" s="1" t="str">
        <f>T("1941094503901299276")</f>
        <v>1941094503901299276</v>
      </c>
      <c r="AC2706" s="1" t="s">
        <v>344</v>
      </c>
      <c r="AD2706" s="1" t="s">
        <v>441</v>
      </c>
      <c r="AE2706" s="1" t="s">
        <v>530</v>
      </c>
      <c r="AF2706" s="1" t="s">
        <v>107</v>
      </c>
      <c r="AG2706" s="1">
        <v>60</v>
      </c>
      <c r="AO2706" s="2">
        <v>46282</v>
      </c>
      <c r="AP2706" s="1" t="s">
        <v>248</v>
      </c>
      <c r="AS2706" s="1" t="s">
        <v>71</v>
      </c>
      <c r="AU2706" s="1" t="s">
        <v>72</v>
      </c>
      <c r="AV2706" s="1" t="s">
        <v>437</v>
      </c>
      <c r="AX2706" s="1">
        <v>0</v>
      </c>
      <c r="BA2706" s="1">
        <v>9</v>
      </c>
      <c r="BB2706" s="1">
        <v>0</v>
      </c>
      <c r="BC2706" s="1">
        <v>0</v>
      </c>
      <c r="BE2706" s="1">
        <v>27432028</v>
      </c>
    </row>
    <row r="2707" spans="1:57" x14ac:dyDescent="0.25">
      <c r="A2707" s="1" t="str">
        <f>T("1947215717989031088")</f>
        <v>1947215717989031088</v>
      </c>
      <c r="B2707" s="1" t="str">
        <f>T("249914492980")</f>
        <v>249914492980</v>
      </c>
      <c r="C2707" s="1" t="str">
        <f>T("1941094503901299776")</f>
        <v>1941094503901299776</v>
      </c>
      <c r="AC2707" s="1" t="s">
        <v>344</v>
      </c>
      <c r="AD2707" s="1" t="s">
        <v>441</v>
      </c>
      <c r="AE2707" s="1" t="s">
        <v>530</v>
      </c>
      <c r="AF2707" s="1" t="s">
        <v>144</v>
      </c>
      <c r="AG2707" s="1">
        <v>60</v>
      </c>
      <c r="AO2707" s="2">
        <v>46282</v>
      </c>
      <c r="AP2707" s="1" t="s">
        <v>248</v>
      </c>
      <c r="AS2707" s="1" t="s">
        <v>71</v>
      </c>
      <c r="AU2707" s="1" t="s">
        <v>72</v>
      </c>
      <c r="AV2707" s="1" t="s">
        <v>126</v>
      </c>
      <c r="AX2707" s="1">
        <v>0</v>
      </c>
      <c r="BA2707" s="1">
        <v>9</v>
      </c>
      <c r="BB2707" s="1">
        <v>0</v>
      </c>
      <c r="BC2707" s="1">
        <v>0</v>
      </c>
      <c r="BE2707" s="1">
        <v>27432028</v>
      </c>
    </row>
    <row r="2708" spans="1:57" x14ac:dyDescent="0.25">
      <c r="A2708" s="1" t="str">
        <f>T("1947215718018390644")</f>
        <v>1947215718018390644</v>
      </c>
      <c r="B2708" s="1" t="str">
        <f>T("249967337630")</f>
        <v>249967337630</v>
      </c>
      <c r="C2708" s="1" t="str">
        <f>T("1941094503901302376")</f>
        <v>1941094503901302376</v>
      </c>
      <c r="AC2708" s="1" t="s">
        <v>344</v>
      </c>
      <c r="AD2708" s="1" t="s">
        <v>430</v>
      </c>
      <c r="AE2708" s="1" t="s">
        <v>530</v>
      </c>
      <c r="AF2708" s="1" t="s">
        <v>107</v>
      </c>
      <c r="AG2708" s="1">
        <v>23</v>
      </c>
      <c r="AO2708" s="2">
        <v>46282</v>
      </c>
      <c r="AP2708" s="1" t="s">
        <v>248</v>
      </c>
      <c r="AS2708" s="1" t="s">
        <v>71</v>
      </c>
      <c r="AU2708" s="1" t="s">
        <v>72</v>
      </c>
      <c r="AV2708" s="1" t="s">
        <v>437</v>
      </c>
      <c r="AX2708" s="1">
        <v>0</v>
      </c>
      <c r="BA2708" s="1">
        <v>9</v>
      </c>
      <c r="BB2708" s="1">
        <v>0</v>
      </c>
      <c r="BC2708" s="1">
        <v>0</v>
      </c>
      <c r="BE2708" s="1">
        <v>27432028</v>
      </c>
    </row>
    <row r="2709" spans="1:57" x14ac:dyDescent="0.25">
      <c r="A2709" s="1" t="str">
        <f>T("1947215718026778860")</f>
        <v>1947215718026778860</v>
      </c>
      <c r="B2709" s="1" t="str">
        <f>T("249913573463")</f>
        <v>249913573463</v>
      </c>
      <c r="C2709" s="1" t="str">
        <f>T("1941094503905495384")</f>
        <v>1941094503905495384</v>
      </c>
      <c r="AC2709" s="1" t="s">
        <v>344</v>
      </c>
      <c r="AD2709" s="1" t="s">
        <v>372</v>
      </c>
      <c r="AE2709" s="1" t="s">
        <v>373</v>
      </c>
      <c r="AF2709" s="1" t="s">
        <v>107</v>
      </c>
      <c r="AG2709" s="1">
        <v>36</v>
      </c>
      <c r="AO2709" s="2">
        <v>46282</v>
      </c>
      <c r="AP2709" s="1" t="s">
        <v>248</v>
      </c>
      <c r="AS2709" s="1" t="s">
        <v>71</v>
      </c>
      <c r="AU2709" s="1" t="s">
        <v>72</v>
      </c>
      <c r="AV2709" s="1" t="s">
        <v>73</v>
      </c>
      <c r="AX2709" s="1">
        <v>0</v>
      </c>
      <c r="BA2709" s="1">
        <v>9</v>
      </c>
      <c r="BB2709" s="1">
        <v>0</v>
      </c>
      <c r="BC2709" s="1">
        <v>0</v>
      </c>
      <c r="BE2709" s="1">
        <v>27432028</v>
      </c>
    </row>
    <row r="2710" spans="1:57" x14ac:dyDescent="0.25">
      <c r="A2710" s="1" t="str">
        <f>T("1947215718047750000")</f>
        <v>1947215718047750000</v>
      </c>
      <c r="B2710" s="1" t="str">
        <f>T("249969255938")</f>
        <v>249969255938</v>
      </c>
      <c r="C2710" s="1" t="str">
        <f>T("1941094503909689092")</f>
        <v>1941094503909689092</v>
      </c>
      <c r="AC2710" s="1" t="s">
        <v>344</v>
      </c>
      <c r="AD2710" s="1" t="s">
        <v>372</v>
      </c>
      <c r="AE2710" s="1" t="s">
        <v>813</v>
      </c>
      <c r="AF2710" s="1" t="s">
        <v>144</v>
      </c>
      <c r="AG2710" s="1">
        <v>42</v>
      </c>
      <c r="AO2710" s="2">
        <v>46282</v>
      </c>
      <c r="AP2710" s="1" t="s">
        <v>248</v>
      </c>
      <c r="AS2710" s="1" t="s">
        <v>71</v>
      </c>
      <c r="AU2710" s="1" t="s">
        <v>72</v>
      </c>
      <c r="AV2710" s="1" t="s">
        <v>437</v>
      </c>
      <c r="AX2710" s="1">
        <v>0</v>
      </c>
      <c r="BA2710" s="1">
        <v>9</v>
      </c>
      <c r="BB2710" s="1">
        <v>0</v>
      </c>
      <c r="BC2710" s="1">
        <v>0</v>
      </c>
      <c r="BE2710" s="1">
        <v>27432028</v>
      </c>
    </row>
    <row r="2711" spans="1:57" x14ac:dyDescent="0.25">
      <c r="A2711" s="1" t="str">
        <f>T("1947215718047750800")</f>
        <v>1947215718047750800</v>
      </c>
      <c r="B2711" s="1" t="str">
        <f>T("249968425656")</f>
        <v>249968425656</v>
      </c>
      <c r="C2711" s="1" t="str">
        <f>T("1941094503905496484")</f>
        <v>1941094503905496484</v>
      </c>
      <c r="AC2711" s="1" t="s">
        <v>344</v>
      </c>
      <c r="AD2711" s="1" t="s">
        <v>441</v>
      </c>
      <c r="AE2711" s="1" t="s">
        <v>530</v>
      </c>
      <c r="AF2711" s="1" t="s">
        <v>107</v>
      </c>
      <c r="AG2711" s="1">
        <v>28</v>
      </c>
      <c r="AO2711" s="2">
        <v>46282</v>
      </c>
      <c r="AP2711" s="1" t="s">
        <v>248</v>
      </c>
      <c r="AS2711" s="1" t="s">
        <v>71</v>
      </c>
      <c r="AU2711" s="1" t="s">
        <v>72</v>
      </c>
      <c r="AV2711" s="1" t="s">
        <v>437</v>
      </c>
      <c r="AX2711" s="1">
        <v>0</v>
      </c>
      <c r="BA2711" s="1">
        <v>9</v>
      </c>
      <c r="BB2711" s="1">
        <v>0</v>
      </c>
      <c r="BC2711" s="1">
        <v>0</v>
      </c>
      <c r="BE2711" s="1">
        <v>27432028</v>
      </c>
    </row>
    <row r="2712" spans="1:57" x14ac:dyDescent="0.25">
      <c r="A2712" s="1" t="str">
        <f>T("1947215718072915848")</f>
        <v>1947215718072915848</v>
      </c>
      <c r="B2712" s="1" t="str">
        <f>T("249917687703")</f>
        <v>249917687703</v>
      </c>
      <c r="C2712" s="1" t="str">
        <f>T("1941094503909690092")</f>
        <v>1941094503909690092</v>
      </c>
      <c r="AC2712" s="1" t="s">
        <v>344</v>
      </c>
      <c r="AD2712" s="1" t="s">
        <v>430</v>
      </c>
      <c r="AE2712" s="1" t="s">
        <v>530</v>
      </c>
      <c r="AF2712" s="1" t="s">
        <v>144</v>
      </c>
      <c r="AG2712" s="1">
        <v>52</v>
      </c>
      <c r="AO2712" s="2">
        <v>46282</v>
      </c>
      <c r="AP2712" s="1" t="s">
        <v>248</v>
      </c>
      <c r="AS2712" s="1" t="s">
        <v>71</v>
      </c>
      <c r="AU2712" s="1" t="s">
        <v>72</v>
      </c>
      <c r="AV2712" s="1" t="s">
        <v>73</v>
      </c>
      <c r="AX2712" s="1">
        <v>0</v>
      </c>
      <c r="BA2712" s="1">
        <v>9</v>
      </c>
      <c r="BB2712" s="1">
        <v>0</v>
      </c>
      <c r="BC2712" s="1">
        <v>0</v>
      </c>
      <c r="BE2712" s="1">
        <v>27432028</v>
      </c>
    </row>
    <row r="2713" spans="1:57" x14ac:dyDescent="0.25">
      <c r="A2713" s="1" t="str">
        <f>T("1947215718072916448")</f>
        <v>1947215718072916448</v>
      </c>
      <c r="B2713" s="1" t="str">
        <f>T("249905660799")</f>
        <v>249905660799</v>
      </c>
      <c r="C2713" s="1" t="str">
        <f>T("1941094503909689592")</f>
        <v>1941094503909689592</v>
      </c>
      <c r="AC2713" s="1" t="s">
        <v>344</v>
      </c>
      <c r="AD2713" s="1" t="s">
        <v>372</v>
      </c>
      <c r="AE2713" s="1" t="s">
        <v>815</v>
      </c>
      <c r="AF2713" s="1" t="s">
        <v>144</v>
      </c>
      <c r="AG2713" s="1">
        <v>18</v>
      </c>
      <c r="AO2713" s="2">
        <v>46282</v>
      </c>
      <c r="AP2713" s="1" t="s">
        <v>248</v>
      </c>
      <c r="AS2713" s="1" t="s">
        <v>71</v>
      </c>
      <c r="AU2713" s="1" t="s">
        <v>72</v>
      </c>
      <c r="AV2713" s="1" t="s">
        <v>437</v>
      </c>
      <c r="AX2713" s="1">
        <v>0</v>
      </c>
      <c r="BA2713" s="1">
        <v>9</v>
      </c>
      <c r="BB2713" s="1">
        <v>0</v>
      </c>
      <c r="BC2713" s="1">
        <v>0</v>
      </c>
      <c r="BE2713" s="1">
        <v>27432028</v>
      </c>
    </row>
    <row r="2714" spans="1:57" x14ac:dyDescent="0.25">
      <c r="A2714" s="1" t="str">
        <f>T("1947215718119053436")</f>
        <v>1947215718119053436</v>
      </c>
      <c r="B2714" s="1" t="str">
        <f>T("249911734195")</f>
        <v>249911734195</v>
      </c>
      <c r="C2714" s="1" t="str">
        <f>T("1941094503909690692")</f>
        <v>1941094503909690692</v>
      </c>
      <c r="AC2714" s="1" t="s">
        <v>344</v>
      </c>
      <c r="AD2714" s="1" t="s">
        <v>441</v>
      </c>
      <c r="AE2714" s="1" t="s">
        <v>530</v>
      </c>
      <c r="AF2714" s="1" t="s">
        <v>107</v>
      </c>
      <c r="AG2714" s="1">
        <v>30</v>
      </c>
      <c r="AO2714" s="2">
        <v>46282</v>
      </c>
      <c r="AP2714" s="1" t="s">
        <v>248</v>
      </c>
      <c r="AS2714" s="1" t="s">
        <v>71</v>
      </c>
      <c r="AU2714" s="1" t="s">
        <v>72</v>
      </c>
      <c r="AV2714" s="1" t="s">
        <v>73</v>
      </c>
      <c r="AX2714" s="1">
        <v>0</v>
      </c>
      <c r="BA2714" s="1">
        <v>9</v>
      </c>
      <c r="BB2714" s="1">
        <v>0</v>
      </c>
      <c r="BC2714" s="1">
        <v>0</v>
      </c>
      <c r="BE2714" s="1">
        <v>27432028</v>
      </c>
    </row>
    <row r="2715" spans="1:57" x14ac:dyDescent="0.25">
      <c r="A2715" s="1" t="str">
        <f>T("1947215718123247544")</f>
        <v>1947215718123247544</v>
      </c>
      <c r="B2715" s="1" t="str">
        <f>T("249915497083")</f>
        <v>249915497083</v>
      </c>
      <c r="C2715" s="1" t="str">
        <f>T("1941094503909691192")</f>
        <v>1941094503909691192</v>
      </c>
      <c r="AC2715" s="1" t="s">
        <v>344</v>
      </c>
      <c r="AD2715" s="1" t="s">
        <v>372</v>
      </c>
      <c r="AE2715" s="1" t="s">
        <v>815</v>
      </c>
      <c r="AF2715" s="1" t="s">
        <v>107</v>
      </c>
      <c r="AG2715" s="1">
        <v>45</v>
      </c>
      <c r="AO2715" s="2">
        <v>46282</v>
      </c>
      <c r="AP2715" s="1" t="s">
        <v>248</v>
      </c>
      <c r="AS2715" s="1" t="s">
        <v>71</v>
      </c>
      <c r="AU2715" s="1" t="s">
        <v>72</v>
      </c>
      <c r="AV2715" s="1" t="s">
        <v>73</v>
      </c>
      <c r="AX2715" s="1">
        <v>0</v>
      </c>
      <c r="BA2715" s="1">
        <v>9</v>
      </c>
      <c r="BB2715" s="1">
        <v>0</v>
      </c>
      <c r="BC2715" s="1">
        <v>0</v>
      </c>
      <c r="BE2715" s="1">
        <v>27432028</v>
      </c>
    </row>
    <row r="2716" spans="1:57" x14ac:dyDescent="0.25">
      <c r="A2716" s="1" t="str">
        <f>T("1947215718131638260")</f>
        <v>1947215718131638260</v>
      </c>
      <c r="B2716" s="1" t="str">
        <f>T("249999549935")</f>
        <v>249999549935</v>
      </c>
      <c r="C2716" s="1" t="str">
        <f>T("1941094503913881900")</f>
        <v>1941094503913881900</v>
      </c>
      <c r="AC2716" s="1" t="s">
        <v>344</v>
      </c>
      <c r="AD2716" s="1" t="s">
        <v>372</v>
      </c>
      <c r="AE2716" s="1" t="s">
        <v>814</v>
      </c>
      <c r="AF2716" s="1" t="s">
        <v>144</v>
      </c>
      <c r="AG2716" s="1">
        <v>48</v>
      </c>
      <c r="AO2716" s="2">
        <v>46282</v>
      </c>
      <c r="AP2716" s="1" t="s">
        <v>248</v>
      </c>
      <c r="AS2716" s="1" t="s">
        <v>71</v>
      </c>
      <c r="AU2716" s="1" t="s">
        <v>72</v>
      </c>
      <c r="AV2716" s="1" t="s">
        <v>73</v>
      </c>
      <c r="AX2716" s="1">
        <v>0</v>
      </c>
      <c r="BA2716" s="1">
        <v>9</v>
      </c>
      <c r="BB2716" s="1">
        <v>0</v>
      </c>
      <c r="BC2716" s="1">
        <v>0</v>
      </c>
      <c r="BE2716" s="1">
        <v>27432028</v>
      </c>
    </row>
    <row r="2717" spans="1:57" x14ac:dyDescent="0.25">
      <c r="A2717" s="1" t="str">
        <f>T("1947215718140025376")</f>
        <v>1947215718140025376</v>
      </c>
      <c r="B2717" s="1" t="str">
        <f>T("249966976711")</f>
        <v>249966976711</v>
      </c>
      <c r="C2717" s="1" t="str">
        <f>T("1941094503913882300")</f>
        <v>1941094503913882300</v>
      </c>
      <c r="AC2717" s="1" t="s">
        <v>344</v>
      </c>
      <c r="AD2717" s="1" t="s">
        <v>441</v>
      </c>
      <c r="AE2717" s="1" t="s">
        <v>530</v>
      </c>
      <c r="AF2717" s="1" t="s">
        <v>107</v>
      </c>
      <c r="AG2717" s="1">
        <v>50</v>
      </c>
      <c r="AO2717" s="2">
        <v>46282</v>
      </c>
      <c r="AP2717" s="1" t="s">
        <v>248</v>
      </c>
      <c r="AS2717" s="1" t="s">
        <v>71</v>
      </c>
      <c r="AU2717" s="1" t="s">
        <v>72</v>
      </c>
      <c r="AV2717" s="1" t="s">
        <v>126</v>
      </c>
      <c r="AX2717" s="1">
        <v>0</v>
      </c>
      <c r="BA2717" s="1">
        <v>9</v>
      </c>
      <c r="BB2717" s="1">
        <v>0</v>
      </c>
      <c r="BC2717" s="1">
        <v>0</v>
      </c>
      <c r="BE2717" s="1">
        <v>27432028</v>
      </c>
    </row>
    <row r="2718" spans="1:57" x14ac:dyDescent="0.25">
      <c r="A2718" s="1" t="str">
        <f>T("1947215718181967956")</f>
        <v>1947215718181967956</v>
      </c>
      <c r="B2718" s="1" t="str">
        <f>T("249967120300")</f>
        <v>249967120300</v>
      </c>
      <c r="C2718" s="1" t="str">
        <f>T("1941094503913882700")</f>
        <v>1941094503913882700</v>
      </c>
      <c r="AC2718" s="1" t="s">
        <v>344</v>
      </c>
      <c r="AD2718" s="1" t="s">
        <v>430</v>
      </c>
      <c r="AE2718" s="1" t="s">
        <v>530</v>
      </c>
      <c r="AF2718" s="1" t="s">
        <v>107</v>
      </c>
      <c r="AG2718" s="1">
        <v>25</v>
      </c>
      <c r="AO2718" s="2">
        <v>46282</v>
      </c>
      <c r="AP2718" s="1" t="s">
        <v>248</v>
      </c>
      <c r="AS2718" s="1" t="s">
        <v>71</v>
      </c>
      <c r="AU2718" s="1" t="s">
        <v>72</v>
      </c>
      <c r="AV2718" s="1" t="s">
        <v>73</v>
      </c>
      <c r="AX2718" s="1">
        <v>0</v>
      </c>
      <c r="BA2718" s="1">
        <v>9</v>
      </c>
      <c r="BB2718" s="1">
        <v>0</v>
      </c>
      <c r="BC2718" s="1">
        <v>0</v>
      </c>
      <c r="BE2718" s="1">
        <v>27432028</v>
      </c>
    </row>
    <row r="2719" spans="1:57" x14ac:dyDescent="0.25">
      <c r="A2719" s="1" t="str">
        <f>T("1947215718186164164")</f>
        <v>1947215718186164164</v>
      </c>
      <c r="B2719" s="1" t="str">
        <f>T("249917001891")</f>
        <v>249917001891</v>
      </c>
      <c r="C2719" s="1" t="str">
        <f>T("1941094503913883100")</f>
        <v>1941094503913883100</v>
      </c>
      <c r="AC2719" s="1" t="s">
        <v>344</v>
      </c>
      <c r="AD2719" s="1" t="s">
        <v>441</v>
      </c>
      <c r="AE2719" s="1" t="s">
        <v>530</v>
      </c>
      <c r="AF2719" s="1" t="s">
        <v>107</v>
      </c>
      <c r="AG2719" s="1">
        <v>80</v>
      </c>
      <c r="AO2719" s="2">
        <v>46282</v>
      </c>
      <c r="AP2719" s="1" t="s">
        <v>248</v>
      </c>
      <c r="AS2719" s="1" t="s">
        <v>71</v>
      </c>
      <c r="AU2719" s="1" t="s">
        <v>72</v>
      </c>
      <c r="AV2719" s="1" t="s">
        <v>126</v>
      </c>
      <c r="AX2719" s="1">
        <v>0</v>
      </c>
      <c r="BA2719" s="1">
        <v>9</v>
      </c>
      <c r="BB2719" s="1">
        <v>0</v>
      </c>
      <c r="BC2719" s="1">
        <v>0</v>
      </c>
      <c r="BE2719" s="1">
        <v>27432028</v>
      </c>
    </row>
    <row r="2720" spans="1:57" x14ac:dyDescent="0.25">
      <c r="A2720" s="1" t="str">
        <f>T("1947215718198744488")</f>
        <v>1947215718198744488</v>
      </c>
      <c r="B2720" s="1" t="str">
        <f>T("249961570138")</f>
        <v>249961570138</v>
      </c>
      <c r="C2720" s="1" t="str">
        <f>T("1941094503913883600")</f>
        <v>1941094503913883600</v>
      </c>
      <c r="AC2720" s="1" t="s">
        <v>344</v>
      </c>
      <c r="AD2720" s="1" t="s">
        <v>441</v>
      </c>
      <c r="AE2720" s="1" t="s">
        <v>530</v>
      </c>
      <c r="AF2720" s="1" t="s">
        <v>107</v>
      </c>
      <c r="AG2720" s="1">
        <v>60</v>
      </c>
      <c r="AO2720" s="2">
        <v>46282</v>
      </c>
      <c r="AP2720" s="1" t="s">
        <v>248</v>
      </c>
      <c r="AS2720" s="1" t="s">
        <v>71</v>
      </c>
      <c r="AU2720" s="1" t="s">
        <v>72</v>
      </c>
      <c r="AV2720" s="1" t="s">
        <v>437</v>
      </c>
      <c r="AX2720" s="1">
        <v>0</v>
      </c>
      <c r="BA2720" s="1">
        <v>9</v>
      </c>
      <c r="BB2720" s="1">
        <v>0</v>
      </c>
      <c r="BC2720" s="1">
        <v>0</v>
      </c>
      <c r="BE2720" s="1">
        <v>27432028</v>
      </c>
    </row>
    <row r="2721" spans="1:57" x14ac:dyDescent="0.25">
      <c r="A2721" s="1" t="str">
        <f>T("1947215718207133404")</f>
        <v>1947215718207133404</v>
      </c>
      <c r="B2721" s="1" t="str">
        <f>T("249112898404")</f>
        <v>249112898404</v>
      </c>
      <c r="C2721" s="1" t="str">
        <f>T("1941094503913884000")</f>
        <v>1941094503913884000</v>
      </c>
      <c r="AC2721" s="1" t="s">
        <v>344</v>
      </c>
      <c r="AD2721" s="1" t="s">
        <v>372</v>
      </c>
      <c r="AE2721" s="1" t="s">
        <v>813</v>
      </c>
      <c r="AF2721" s="1" t="s">
        <v>144</v>
      </c>
      <c r="AG2721" s="1">
        <v>27</v>
      </c>
      <c r="AO2721" s="2">
        <v>46282</v>
      </c>
      <c r="AP2721" s="1" t="s">
        <v>248</v>
      </c>
      <c r="AS2721" s="1" t="s">
        <v>71</v>
      </c>
      <c r="AU2721" s="1" t="s">
        <v>72</v>
      </c>
      <c r="AV2721" s="1" t="s">
        <v>73</v>
      </c>
      <c r="AX2721" s="1">
        <v>0</v>
      </c>
      <c r="BA2721" s="1">
        <v>9</v>
      </c>
      <c r="BB2721" s="1">
        <v>0</v>
      </c>
      <c r="BC2721" s="1">
        <v>0</v>
      </c>
      <c r="BE2721" s="1">
        <v>27432028</v>
      </c>
    </row>
    <row r="2722" spans="1:57" x14ac:dyDescent="0.25">
      <c r="A2722" s="1" t="str">
        <f>T("1947215718249076184")</f>
        <v>1947215718249076184</v>
      </c>
      <c r="B2722" s="1" t="str">
        <f>T("249967397682")</f>
        <v>249967397682</v>
      </c>
      <c r="C2722" s="1" t="str">
        <f>T("1941094503913885400")</f>
        <v>1941094503913885400</v>
      </c>
      <c r="AC2722" s="1" t="s">
        <v>344</v>
      </c>
      <c r="AD2722" s="1" t="s">
        <v>441</v>
      </c>
      <c r="AE2722" s="1" t="s">
        <v>530</v>
      </c>
      <c r="AF2722" s="1" t="s">
        <v>107</v>
      </c>
      <c r="AG2722" s="1">
        <v>47</v>
      </c>
      <c r="AO2722" s="2">
        <v>46282</v>
      </c>
      <c r="AP2722" s="1" t="s">
        <v>248</v>
      </c>
      <c r="AS2722" s="1" t="s">
        <v>71</v>
      </c>
      <c r="AU2722" s="1" t="s">
        <v>72</v>
      </c>
      <c r="AV2722" s="1" t="s">
        <v>126</v>
      </c>
      <c r="AX2722" s="1">
        <v>0</v>
      </c>
      <c r="BA2722" s="1">
        <v>9</v>
      </c>
      <c r="BB2722" s="1">
        <v>0</v>
      </c>
      <c r="BC2722" s="1">
        <v>0</v>
      </c>
      <c r="BE2722" s="1">
        <v>27432028</v>
      </c>
    </row>
    <row r="2723" spans="1:57" x14ac:dyDescent="0.25">
      <c r="A2723" s="1" t="str">
        <f>T("1947215718265853116")</f>
        <v>1947215718265853116</v>
      </c>
      <c r="B2723" s="1" t="str">
        <f>T("249964780340")</f>
        <v>249964780340</v>
      </c>
      <c r="C2723" s="1" t="str">
        <f>T("1941094503918076608")</f>
        <v>1941094503918076608</v>
      </c>
      <c r="AC2723" s="1" t="s">
        <v>344</v>
      </c>
      <c r="AD2723" s="1" t="s">
        <v>430</v>
      </c>
      <c r="AE2723" s="1" t="s">
        <v>530</v>
      </c>
      <c r="AF2723" s="1" t="s">
        <v>107</v>
      </c>
      <c r="AG2723" s="1">
        <v>27</v>
      </c>
      <c r="AO2723" s="2">
        <v>46282</v>
      </c>
      <c r="AP2723" s="1" t="s">
        <v>248</v>
      </c>
      <c r="AS2723" s="1" t="s">
        <v>71</v>
      </c>
      <c r="AU2723" s="1" t="s">
        <v>72</v>
      </c>
      <c r="AV2723" s="1" t="s">
        <v>126</v>
      </c>
      <c r="AX2723" s="1">
        <v>0</v>
      </c>
      <c r="BA2723" s="1">
        <v>9</v>
      </c>
      <c r="BB2723" s="1">
        <v>0</v>
      </c>
      <c r="BC2723" s="1">
        <v>0</v>
      </c>
      <c r="BE2723" s="1">
        <v>27432028</v>
      </c>
    </row>
    <row r="2724" spans="1:57" x14ac:dyDescent="0.25">
      <c r="A2724" s="1" t="str">
        <f>T("1947215718265853716")</f>
        <v>1947215718265853716</v>
      </c>
      <c r="B2724" s="1" t="str">
        <f>T("249919645714")</f>
        <v>249919645714</v>
      </c>
      <c r="C2724" s="1" t="str">
        <f>T("1941094503918076108")</f>
        <v>1941094503918076108</v>
      </c>
      <c r="AC2724" s="1" t="s">
        <v>344</v>
      </c>
      <c r="AD2724" s="1" t="s">
        <v>430</v>
      </c>
      <c r="AE2724" s="1" t="s">
        <v>530</v>
      </c>
      <c r="AF2724" s="1" t="s">
        <v>107</v>
      </c>
      <c r="AG2724" s="1">
        <v>25</v>
      </c>
      <c r="AO2724" s="2">
        <v>46282</v>
      </c>
      <c r="AP2724" s="1" t="s">
        <v>248</v>
      </c>
      <c r="AS2724" s="1" t="s">
        <v>71</v>
      </c>
      <c r="AU2724" s="1" t="s">
        <v>72</v>
      </c>
      <c r="AV2724" s="1" t="s">
        <v>126</v>
      </c>
      <c r="AX2724" s="1">
        <v>0</v>
      </c>
      <c r="BA2724" s="1">
        <v>9</v>
      </c>
      <c r="BB2724" s="1">
        <v>0</v>
      </c>
      <c r="BC2724" s="1">
        <v>0</v>
      </c>
      <c r="BE2724" s="1">
        <v>27432028</v>
      </c>
    </row>
    <row r="2725" spans="1:57" x14ac:dyDescent="0.25">
      <c r="A2725" s="1" t="str">
        <f>T("1947215718274243032")</f>
        <v>1947215718274243032</v>
      </c>
      <c r="B2725" s="1" t="str">
        <f>T("249962411143")</f>
        <v>249962411143</v>
      </c>
      <c r="C2725" s="1" t="str">
        <f>T("1941094503918077008")</f>
        <v>1941094503918077008</v>
      </c>
      <c r="AC2725" s="1" t="s">
        <v>344</v>
      </c>
      <c r="AD2725" s="1" t="s">
        <v>430</v>
      </c>
      <c r="AE2725" s="1" t="s">
        <v>530</v>
      </c>
      <c r="AF2725" s="1" t="s">
        <v>107</v>
      </c>
      <c r="AG2725" s="1">
        <v>40</v>
      </c>
      <c r="AO2725" s="2">
        <v>46282</v>
      </c>
      <c r="AP2725" s="1" t="s">
        <v>248</v>
      </c>
      <c r="AS2725" s="1" t="s">
        <v>71</v>
      </c>
      <c r="AU2725" s="1" t="s">
        <v>72</v>
      </c>
      <c r="AV2725" s="1" t="s">
        <v>126</v>
      </c>
      <c r="AX2725" s="1">
        <v>0</v>
      </c>
      <c r="BA2725" s="1">
        <v>9</v>
      </c>
      <c r="BB2725" s="1">
        <v>0</v>
      </c>
      <c r="BC2725" s="1">
        <v>0</v>
      </c>
      <c r="BE2725" s="1">
        <v>27432028</v>
      </c>
    </row>
    <row r="2726" spans="1:57" x14ac:dyDescent="0.25">
      <c r="A2726" s="1" t="str">
        <f>T("1947215718307798896")</f>
        <v>1947215718307798896</v>
      </c>
      <c r="B2726" s="1" t="str">
        <f>T("249916343588")</f>
        <v>249916343588</v>
      </c>
      <c r="C2726" s="1" t="str">
        <f>T("1941094503918077408")</f>
        <v>1941094503918077408</v>
      </c>
      <c r="AC2726" s="1" t="s">
        <v>344</v>
      </c>
      <c r="AD2726" s="1" t="s">
        <v>441</v>
      </c>
      <c r="AE2726" s="1" t="s">
        <v>530</v>
      </c>
      <c r="AF2726" s="1" t="s">
        <v>107</v>
      </c>
      <c r="AG2726" s="1">
        <v>31</v>
      </c>
      <c r="AO2726" s="2">
        <v>46282</v>
      </c>
      <c r="AP2726" s="1" t="s">
        <v>248</v>
      </c>
      <c r="AS2726" s="1" t="s">
        <v>71</v>
      </c>
      <c r="AU2726" s="1" t="s">
        <v>72</v>
      </c>
      <c r="AV2726" s="1" t="s">
        <v>73</v>
      </c>
      <c r="AX2726" s="1">
        <v>0</v>
      </c>
      <c r="BA2726" s="1">
        <v>9</v>
      </c>
      <c r="BB2726" s="1">
        <v>0</v>
      </c>
      <c r="BC2726" s="1">
        <v>0</v>
      </c>
      <c r="BE2726" s="1">
        <v>27432028</v>
      </c>
    </row>
    <row r="2727" spans="1:57" x14ac:dyDescent="0.25">
      <c r="A2727" s="1" t="str">
        <f>T("1947215718320378320")</f>
        <v>1947215718320378320</v>
      </c>
      <c r="B2727" s="1" t="str">
        <f>T("249916649854")</f>
        <v>249916649854</v>
      </c>
      <c r="C2727" s="1" t="str">
        <f>T("1941094503918078308")</f>
        <v>1941094503918078308</v>
      </c>
      <c r="AC2727" s="1" t="s">
        <v>344</v>
      </c>
      <c r="AD2727" s="1" t="s">
        <v>430</v>
      </c>
      <c r="AE2727" s="1" t="s">
        <v>530</v>
      </c>
      <c r="AF2727" s="1" t="s">
        <v>144</v>
      </c>
      <c r="AG2727" s="1">
        <v>50</v>
      </c>
      <c r="AO2727" s="2">
        <v>46282</v>
      </c>
      <c r="AP2727" s="1" t="s">
        <v>248</v>
      </c>
      <c r="AS2727" s="1" t="s">
        <v>71</v>
      </c>
      <c r="AU2727" s="1" t="s">
        <v>72</v>
      </c>
      <c r="AV2727" s="1" t="s">
        <v>126</v>
      </c>
      <c r="AX2727" s="1">
        <v>0</v>
      </c>
      <c r="BA2727" s="1">
        <v>9</v>
      </c>
      <c r="BB2727" s="1">
        <v>0</v>
      </c>
      <c r="BC2727" s="1">
        <v>0</v>
      </c>
      <c r="BE2727" s="1">
        <v>27432028</v>
      </c>
    </row>
    <row r="2728" spans="1:57" x14ac:dyDescent="0.25">
      <c r="A2728" s="1" t="str">
        <f>T("1947215718320380620")</f>
        <v>1947215718320380620</v>
      </c>
      <c r="B2728" s="1" t="str">
        <f>T("249901732982")</f>
        <v>249901732982</v>
      </c>
      <c r="C2728" s="1" t="str">
        <f>T("1941094503918079308")</f>
        <v>1941094503918079308</v>
      </c>
      <c r="AC2728" s="1" t="s">
        <v>344</v>
      </c>
      <c r="AD2728" s="1" t="s">
        <v>372</v>
      </c>
      <c r="AE2728" s="1" t="s">
        <v>814</v>
      </c>
      <c r="AF2728" s="1" t="s">
        <v>144</v>
      </c>
      <c r="AG2728" s="1">
        <v>50</v>
      </c>
      <c r="AO2728" s="2">
        <v>46282</v>
      </c>
      <c r="AP2728" s="1" t="s">
        <v>248</v>
      </c>
      <c r="AS2728" s="1" t="s">
        <v>71</v>
      </c>
      <c r="AU2728" s="1" t="s">
        <v>72</v>
      </c>
      <c r="AV2728" s="1" t="s">
        <v>437</v>
      </c>
      <c r="AX2728" s="1">
        <v>0</v>
      </c>
      <c r="BA2728" s="1">
        <v>9</v>
      </c>
      <c r="BB2728" s="1">
        <v>0</v>
      </c>
      <c r="BC2728" s="1">
        <v>0</v>
      </c>
      <c r="BE2728" s="1">
        <v>27432028</v>
      </c>
    </row>
    <row r="2729" spans="1:57" x14ac:dyDescent="0.25">
      <c r="A2729" s="1" t="str">
        <f>T("1947215718332962844")</f>
        <v>1947215718332962844</v>
      </c>
      <c r="B2729" s="1" t="str">
        <f>T("249966120518")</f>
        <v>249966120518</v>
      </c>
      <c r="C2729" s="1" t="str">
        <f>T("1941094503918079708")</f>
        <v>1941094503918079708</v>
      </c>
      <c r="AC2729" s="1" t="s">
        <v>344</v>
      </c>
      <c r="AD2729" s="1" t="s">
        <v>430</v>
      </c>
      <c r="AE2729" s="1" t="s">
        <v>530</v>
      </c>
      <c r="AF2729" s="1" t="s">
        <v>107</v>
      </c>
      <c r="AG2729" s="1">
        <v>30</v>
      </c>
      <c r="AO2729" s="2">
        <v>46282</v>
      </c>
      <c r="AP2729" s="1" t="s">
        <v>248</v>
      </c>
      <c r="AS2729" s="1" t="s">
        <v>71</v>
      </c>
      <c r="AU2729" s="1" t="s">
        <v>72</v>
      </c>
      <c r="AV2729" s="1" t="s">
        <v>126</v>
      </c>
      <c r="AX2729" s="1">
        <v>0</v>
      </c>
      <c r="BA2729" s="1">
        <v>9</v>
      </c>
      <c r="BB2729" s="1">
        <v>0</v>
      </c>
      <c r="BC2729" s="1">
        <v>0</v>
      </c>
      <c r="BE2729" s="1">
        <v>27432028</v>
      </c>
    </row>
    <row r="2730" spans="1:57" x14ac:dyDescent="0.25">
      <c r="A2730" s="1" t="str">
        <f>T("1947215718370712216")</f>
        <v>1947215718370712216</v>
      </c>
      <c r="B2730" s="1" t="str">
        <f>T("249906882554")</f>
        <v>249906882554</v>
      </c>
      <c r="C2730" s="1" t="str">
        <f>T("1941094503922270716")</f>
        <v>1941094503922270716</v>
      </c>
      <c r="AC2730" s="1" t="s">
        <v>344</v>
      </c>
      <c r="AD2730" s="1" t="s">
        <v>430</v>
      </c>
      <c r="AE2730" s="1" t="s">
        <v>530</v>
      </c>
      <c r="AF2730" s="1" t="s">
        <v>144</v>
      </c>
      <c r="AG2730" s="1">
        <v>40</v>
      </c>
      <c r="AO2730" s="2">
        <v>46282</v>
      </c>
      <c r="AP2730" s="1" t="s">
        <v>248</v>
      </c>
      <c r="AS2730" s="1" t="s">
        <v>71</v>
      </c>
      <c r="AU2730" s="1" t="s">
        <v>72</v>
      </c>
      <c r="AV2730" s="1" t="s">
        <v>126</v>
      </c>
      <c r="AX2730" s="1">
        <v>0</v>
      </c>
      <c r="BA2730" s="1">
        <v>9</v>
      </c>
      <c r="BB2730" s="1">
        <v>0</v>
      </c>
      <c r="BC2730" s="1">
        <v>0</v>
      </c>
      <c r="BE2730" s="1">
        <v>27432028</v>
      </c>
    </row>
    <row r="2731" spans="1:57" x14ac:dyDescent="0.25">
      <c r="A2731" s="1" t="str">
        <f>T("1947215718374906624")</f>
        <v>1947215718374906624</v>
      </c>
      <c r="B2731" s="1" t="str">
        <f>T("249906006446")</f>
        <v>249906006446</v>
      </c>
      <c r="C2731" s="1" t="str">
        <f>T("1941094503926464824")</f>
        <v>1941094503926464824</v>
      </c>
      <c r="AC2731" s="1" t="s">
        <v>344</v>
      </c>
      <c r="AD2731" s="1" t="s">
        <v>441</v>
      </c>
      <c r="AE2731" s="1" t="s">
        <v>530</v>
      </c>
      <c r="AF2731" s="1" t="s">
        <v>107</v>
      </c>
      <c r="AG2731" s="1">
        <v>30</v>
      </c>
      <c r="AO2731" s="2">
        <v>46282</v>
      </c>
      <c r="AP2731" s="1" t="s">
        <v>248</v>
      </c>
      <c r="AS2731" s="1" t="s">
        <v>71</v>
      </c>
      <c r="AU2731" s="1" t="s">
        <v>72</v>
      </c>
      <c r="AV2731" s="1" t="s">
        <v>437</v>
      </c>
      <c r="AX2731" s="1">
        <v>0</v>
      </c>
      <c r="BA2731" s="1">
        <v>9</v>
      </c>
      <c r="BB2731" s="1">
        <v>0</v>
      </c>
      <c r="BC2731" s="1">
        <v>0</v>
      </c>
      <c r="BE2731" s="1">
        <v>27432028</v>
      </c>
    </row>
    <row r="2732" spans="1:57" x14ac:dyDescent="0.25">
      <c r="A2732" s="1" t="str">
        <f>T("1947215718379099632")</f>
        <v>1947215718379099632</v>
      </c>
      <c r="B2732" s="1" t="str">
        <f>T("249906549709")</f>
        <v>249906549709</v>
      </c>
      <c r="C2732" s="1" t="str">
        <f>T("1941094503926468524")</f>
        <v>1941094503926468524</v>
      </c>
      <c r="AC2732" s="1" t="s">
        <v>344</v>
      </c>
      <c r="AD2732" s="1" t="s">
        <v>357</v>
      </c>
      <c r="AE2732" s="1" t="s">
        <v>817</v>
      </c>
      <c r="AF2732" s="1" t="s">
        <v>107</v>
      </c>
      <c r="AG2732" s="1">
        <v>55</v>
      </c>
      <c r="AO2732" s="2">
        <v>46282</v>
      </c>
      <c r="AP2732" s="1" t="s">
        <v>248</v>
      </c>
      <c r="AS2732" s="1" t="s">
        <v>71</v>
      </c>
      <c r="AU2732" s="1" t="s">
        <v>72</v>
      </c>
      <c r="AV2732" s="1" t="s">
        <v>126</v>
      </c>
      <c r="AX2732" s="1">
        <v>0</v>
      </c>
      <c r="BA2732" s="1">
        <v>9</v>
      </c>
      <c r="BB2732" s="1">
        <v>0</v>
      </c>
      <c r="BC2732" s="1">
        <v>0</v>
      </c>
      <c r="BE2732" s="1">
        <v>27432028</v>
      </c>
    </row>
    <row r="2733" spans="1:57" x14ac:dyDescent="0.25">
      <c r="A2733" s="1" t="str">
        <f>T("1947215718395876964")</f>
        <v>1947215718395876964</v>
      </c>
      <c r="B2733" s="1" t="str">
        <f>T("249914294064")</f>
        <v>249914294064</v>
      </c>
      <c r="C2733" s="1" t="str">
        <f>T("1941094503930659132")</f>
        <v>1941094503930659132</v>
      </c>
      <c r="AC2733" s="1" t="s">
        <v>344</v>
      </c>
      <c r="AD2733" s="1" t="s">
        <v>441</v>
      </c>
      <c r="AE2733" s="1" t="s">
        <v>530</v>
      </c>
      <c r="AF2733" s="1" t="s">
        <v>107</v>
      </c>
      <c r="AG2733" s="1">
        <v>29</v>
      </c>
      <c r="AO2733" s="2">
        <v>46282</v>
      </c>
      <c r="AP2733" s="1" t="s">
        <v>248</v>
      </c>
      <c r="AS2733" s="1" t="s">
        <v>71</v>
      </c>
      <c r="AU2733" s="1" t="s">
        <v>72</v>
      </c>
      <c r="AV2733" s="1" t="s">
        <v>126</v>
      </c>
      <c r="AX2733" s="1">
        <v>0</v>
      </c>
      <c r="BA2733" s="1">
        <v>9</v>
      </c>
      <c r="BB2733" s="1">
        <v>0</v>
      </c>
      <c r="BC2733" s="1">
        <v>0</v>
      </c>
      <c r="BE2733" s="1">
        <v>27432028</v>
      </c>
    </row>
    <row r="2734" spans="1:57" x14ac:dyDescent="0.25">
      <c r="A2734" s="1" t="str">
        <f>T("1947215718433626736")</f>
        <v>1947215718433626736</v>
      </c>
      <c r="B2734" s="1" t="str">
        <f>T("249919280495")</f>
        <v>249919280495</v>
      </c>
      <c r="C2734" s="1" t="str">
        <f>T("1941094503930659632")</f>
        <v>1941094503930659632</v>
      </c>
      <c r="AC2734" s="1" t="s">
        <v>344</v>
      </c>
      <c r="AD2734" s="1" t="s">
        <v>441</v>
      </c>
      <c r="AE2734" s="1" t="s">
        <v>530</v>
      </c>
      <c r="AF2734" s="1" t="s">
        <v>107</v>
      </c>
      <c r="AG2734" s="1">
        <v>50</v>
      </c>
      <c r="AO2734" s="2">
        <v>46282</v>
      </c>
      <c r="AP2734" s="1" t="s">
        <v>248</v>
      </c>
      <c r="AS2734" s="1" t="s">
        <v>71</v>
      </c>
      <c r="AU2734" s="1" t="s">
        <v>72</v>
      </c>
      <c r="AV2734" s="1" t="s">
        <v>437</v>
      </c>
      <c r="AX2734" s="1">
        <v>0</v>
      </c>
      <c r="BA2734" s="1">
        <v>9</v>
      </c>
      <c r="BB2734" s="1">
        <v>0</v>
      </c>
      <c r="BC2734" s="1">
        <v>0</v>
      </c>
      <c r="BE2734" s="1">
        <v>27432028</v>
      </c>
    </row>
    <row r="2735" spans="1:57" x14ac:dyDescent="0.25">
      <c r="A2735" s="1" t="str">
        <f>T("1947215718442012952")</f>
        <v>1947215718442012952</v>
      </c>
      <c r="B2735" s="1" t="str">
        <f>T("249967385549")</f>
        <v>249967385549</v>
      </c>
      <c r="C2735" s="1" t="str">
        <f>T("1941094503934853340")</f>
        <v>1941094503934853340</v>
      </c>
      <c r="AC2735" s="1" t="s">
        <v>344</v>
      </c>
      <c r="AD2735" s="1" t="s">
        <v>430</v>
      </c>
      <c r="AE2735" s="1" t="s">
        <v>530</v>
      </c>
      <c r="AF2735" s="1" t="s">
        <v>144</v>
      </c>
      <c r="AG2735" s="1">
        <v>32</v>
      </c>
      <c r="AO2735" s="2">
        <v>46282</v>
      </c>
      <c r="AP2735" s="1" t="s">
        <v>248</v>
      </c>
      <c r="AS2735" s="1" t="s">
        <v>71</v>
      </c>
      <c r="AU2735" s="1" t="s">
        <v>72</v>
      </c>
      <c r="AV2735" s="1" t="s">
        <v>126</v>
      </c>
      <c r="AX2735" s="1">
        <v>0</v>
      </c>
      <c r="BA2735" s="1">
        <v>9</v>
      </c>
      <c r="BB2735" s="1">
        <v>0</v>
      </c>
      <c r="BC2735" s="1">
        <v>0</v>
      </c>
      <c r="BE2735" s="1">
        <v>27432028</v>
      </c>
    </row>
    <row r="2736" spans="1:57" x14ac:dyDescent="0.25">
      <c r="A2736" s="1" t="str">
        <f>T("1947215718442014352")</f>
        <v>1947215718442014352</v>
      </c>
      <c r="B2736" s="1" t="str">
        <f>T("249900237908")</f>
        <v>249900237908</v>
      </c>
      <c r="C2736" s="1" t="str">
        <f>T("1941094503930660232")</f>
        <v>1941094503930660232</v>
      </c>
      <c r="AC2736" s="1" t="s">
        <v>344</v>
      </c>
      <c r="AD2736" s="1" t="s">
        <v>441</v>
      </c>
      <c r="AE2736" s="1" t="s">
        <v>530</v>
      </c>
      <c r="AF2736" s="1" t="s">
        <v>144</v>
      </c>
      <c r="AG2736" s="1">
        <v>50</v>
      </c>
      <c r="AO2736" s="2">
        <v>46282</v>
      </c>
      <c r="AP2736" s="1" t="s">
        <v>248</v>
      </c>
      <c r="AS2736" s="1" t="s">
        <v>71</v>
      </c>
      <c r="AU2736" s="1" t="s">
        <v>72</v>
      </c>
      <c r="AV2736" s="1" t="s">
        <v>126</v>
      </c>
      <c r="AX2736" s="1">
        <v>0</v>
      </c>
      <c r="BA2736" s="1">
        <v>9</v>
      </c>
      <c r="BB2736" s="1">
        <v>0</v>
      </c>
      <c r="BC2736" s="1">
        <v>0</v>
      </c>
      <c r="BE2736" s="1">
        <v>27432028</v>
      </c>
    </row>
    <row r="2737" spans="1:57" x14ac:dyDescent="0.25">
      <c r="A2737" s="1" t="str">
        <f>T("1947215718458792584")</f>
        <v>1947215718458792584</v>
      </c>
      <c r="B2737" s="1" t="str">
        <f>T("249968089688")</f>
        <v>249968089688</v>
      </c>
      <c r="C2737" s="1" t="str">
        <f>T("1941094503934854140")</f>
        <v>1941094503934854140</v>
      </c>
      <c r="AC2737" s="1" t="s">
        <v>344</v>
      </c>
      <c r="AD2737" s="1" t="s">
        <v>372</v>
      </c>
      <c r="AE2737" s="1" t="s">
        <v>813</v>
      </c>
      <c r="AF2737" s="1" t="s">
        <v>144</v>
      </c>
      <c r="AG2737" s="1">
        <v>65</v>
      </c>
      <c r="AO2737" s="2">
        <v>46282</v>
      </c>
      <c r="AP2737" s="1" t="s">
        <v>248</v>
      </c>
      <c r="AS2737" s="1" t="s">
        <v>71</v>
      </c>
      <c r="AU2737" s="1" t="s">
        <v>72</v>
      </c>
      <c r="AV2737" s="1" t="s">
        <v>126</v>
      </c>
      <c r="AX2737" s="1">
        <v>0</v>
      </c>
      <c r="BA2737" s="1">
        <v>9</v>
      </c>
      <c r="BB2737" s="1">
        <v>0</v>
      </c>
      <c r="BC2737" s="1">
        <v>0</v>
      </c>
      <c r="BE2737" s="1">
        <v>27432028</v>
      </c>
    </row>
    <row r="2738" spans="1:57" x14ac:dyDescent="0.25">
      <c r="A2738" s="1" t="str">
        <f>T("1947215718496538956")</f>
        <v>1947215718496538956</v>
      </c>
      <c r="B2738" s="1" t="str">
        <f>T("249909092889")</f>
        <v>249909092889</v>
      </c>
      <c r="C2738" s="1" t="str">
        <f>T("1941094503934854640")</f>
        <v>1941094503934854640</v>
      </c>
      <c r="AC2738" s="1" t="s">
        <v>344</v>
      </c>
      <c r="AD2738" s="1" t="s">
        <v>441</v>
      </c>
      <c r="AE2738" s="1" t="s">
        <v>530</v>
      </c>
      <c r="AF2738" s="1" t="s">
        <v>107</v>
      </c>
      <c r="AG2738" s="1">
        <v>45</v>
      </c>
      <c r="AO2738" s="2">
        <v>46282</v>
      </c>
      <c r="AP2738" s="1" t="s">
        <v>248</v>
      </c>
      <c r="AS2738" s="1" t="s">
        <v>71</v>
      </c>
      <c r="AU2738" s="1" t="s">
        <v>72</v>
      </c>
      <c r="AV2738" s="1" t="s">
        <v>126</v>
      </c>
      <c r="AX2738" s="1">
        <v>0</v>
      </c>
      <c r="BA2738" s="1">
        <v>9</v>
      </c>
      <c r="BB2738" s="1">
        <v>0</v>
      </c>
      <c r="BC2738" s="1">
        <v>0</v>
      </c>
      <c r="BE2738" s="1">
        <v>27432028</v>
      </c>
    </row>
    <row r="2739" spans="1:57" x14ac:dyDescent="0.25">
      <c r="A2739" s="1" t="str">
        <f>T("1947215718496540056")</f>
        <v>1947215718496540056</v>
      </c>
      <c r="B2739" s="1" t="str">
        <f>T("249902977220")</f>
        <v>249902977220</v>
      </c>
      <c r="C2739" s="1" t="str">
        <f>T("1941094503934855140")</f>
        <v>1941094503934855140</v>
      </c>
      <c r="AC2739" s="1" t="s">
        <v>344</v>
      </c>
      <c r="AD2739" s="1" t="s">
        <v>430</v>
      </c>
      <c r="AE2739" s="1" t="s">
        <v>530</v>
      </c>
      <c r="AF2739" s="1" t="s">
        <v>107</v>
      </c>
      <c r="AG2739" s="1">
        <v>32</v>
      </c>
      <c r="AO2739" s="2">
        <v>46282</v>
      </c>
      <c r="AP2739" s="1" t="s">
        <v>248</v>
      </c>
      <c r="AS2739" s="1" t="s">
        <v>71</v>
      </c>
      <c r="AU2739" s="1" t="s">
        <v>72</v>
      </c>
      <c r="AV2739" s="1" t="s">
        <v>126</v>
      </c>
      <c r="AX2739" s="1">
        <v>0</v>
      </c>
      <c r="BA2739" s="1">
        <v>9</v>
      </c>
      <c r="BB2739" s="1">
        <v>0</v>
      </c>
      <c r="BC2739" s="1">
        <v>0</v>
      </c>
      <c r="BE2739" s="1">
        <v>27432028</v>
      </c>
    </row>
    <row r="2740" spans="1:57" x14ac:dyDescent="0.25">
      <c r="A2740" s="1" t="str">
        <f>T("1947215718525901012")</f>
        <v>1947215718525901012</v>
      </c>
      <c r="B2740" s="1" t="str">
        <f>T("249967538440")</f>
        <v>249967538440</v>
      </c>
      <c r="C2740" s="1" t="str">
        <f>T("1941094503951631672")</f>
        <v>1941094503951631672</v>
      </c>
      <c r="AC2740" s="1" t="s">
        <v>344</v>
      </c>
      <c r="AD2740" s="1" t="s">
        <v>441</v>
      </c>
      <c r="AE2740" s="1" t="s">
        <v>530</v>
      </c>
      <c r="AF2740" s="1" t="s">
        <v>107</v>
      </c>
      <c r="AG2740" s="1">
        <v>34</v>
      </c>
      <c r="AO2740" s="2">
        <v>46282</v>
      </c>
      <c r="AP2740" s="1" t="s">
        <v>248</v>
      </c>
      <c r="AS2740" s="1" t="s">
        <v>71</v>
      </c>
      <c r="AU2740" s="1" t="s">
        <v>72</v>
      </c>
      <c r="AV2740" s="1" t="s">
        <v>73</v>
      </c>
      <c r="AX2740" s="1">
        <v>0</v>
      </c>
      <c r="BA2740" s="1">
        <v>9</v>
      </c>
      <c r="BB2740" s="1">
        <v>0</v>
      </c>
      <c r="BC2740" s="1">
        <v>0</v>
      </c>
      <c r="BE2740" s="1">
        <v>27432028</v>
      </c>
    </row>
    <row r="2741" spans="1:57" x14ac:dyDescent="0.25">
      <c r="A2741" s="1" t="str">
        <f>T("1947215718534288228")</f>
        <v>1947215718534288228</v>
      </c>
      <c r="B2741" s="1" t="str">
        <f>T("249920362309")</f>
        <v>249920362309</v>
      </c>
      <c r="C2741" s="1" t="str">
        <f>T("1941094503951630772")</f>
        <v>1941094503951630772</v>
      </c>
      <c r="AC2741" s="1" t="s">
        <v>344</v>
      </c>
      <c r="AD2741" s="1" t="s">
        <v>372</v>
      </c>
      <c r="AE2741" s="1" t="s">
        <v>820</v>
      </c>
      <c r="AF2741" s="1" t="s">
        <v>107</v>
      </c>
      <c r="AG2741" s="1">
        <v>30</v>
      </c>
      <c r="AO2741" s="2">
        <v>46282</v>
      </c>
      <c r="AP2741" s="1" t="s">
        <v>248</v>
      </c>
      <c r="AS2741" s="1" t="s">
        <v>71</v>
      </c>
      <c r="AU2741" s="1" t="s">
        <v>72</v>
      </c>
      <c r="AV2741" s="1" t="s">
        <v>73</v>
      </c>
      <c r="AX2741" s="1">
        <v>0</v>
      </c>
      <c r="BA2741" s="1">
        <v>9</v>
      </c>
      <c r="BB2741" s="1">
        <v>0</v>
      </c>
      <c r="BC2741" s="1">
        <v>0</v>
      </c>
      <c r="BE2741" s="1">
        <v>27432028</v>
      </c>
    </row>
    <row r="2742" spans="1:57" x14ac:dyDescent="0.25">
      <c r="A2742" s="1" t="str">
        <f>T("1947215718555260468")</f>
        <v>1947215718555260468</v>
      </c>
      <c r="B2742" s="1" t="str">
        <f>T("249960196594")</f>
        <v>249960196594</v>
      </c>
      <c r="C2742" s="1" t="str">
        <f>T("1941094503951633072")</f>
        <v>1941094503951633072</v>
      </c>
      <c r="AC2742" s="1" t="s">
        <v>344</v>
      </c>
      <c r="AD2742" s="1" t="s">
        <v>372</v>
      </c>
      <c r="AE2742" s="1" t="s">
        <v>814</v>
      </c>
      <c r="AF2742" s="1" t="s">
        <v>144</v>
      </c>
      <c r="AG2742" s="1">
        <v>46</v>
      </c>
      <c r="AO2742" s="2">
        <v>46282</v>
      </c>
      <c r="AP2742" s="1" t="s">
        <v>248</v>
      </c>
      <c r="AS2742" s="1" t="s">
        <v>71</v>
      </c>
      <c r="AU2742" s="1" t="s">
        <v>72</v>
      </c>
      <c r="AV2742" s="1" t="s">
        <v>126</v>
      </c>
      <c r="AX2742" s="1">
        <v>0</v>
      </c>
      <c r="BA2742" s="1">
        <v>9</v>
      </c>
      <c r="BB2742" s="1">
        <v>0</v>
      </c>
      <c r="BC2742" s="1">
        <v>0</v>
      </c>
      <c r="BE2742" s="1">
        <v>27432028</v>
      </c>
    </row>
    <row r="2743" spans="1:57" x14ac:dyDescent="0.25">
      <c r="A2743" s="1" t="str">
        <f>T("1947215718559453976")</f>
        <v>1947215718559453976</v>
      </c>
      <c r="B2743" s="1" t="str">
        <f>T("249960117504")</f>
        <v>249960117504</v>
      </c>
      <c r="C2743" s="1" t="str">
        <f>T("1941094503955827980")</f>
        <v>1941094503955827980</v>
      </c>
      <c r="AC2743" s="1" t="s">
        <v>344</v>
      </c>
      <c r="AD2743" s="1" t="s">
        <v>430</v>
      </c>
      <c r="AE2743" s="1" t="s">
        <v>530</v>
      </c>
      <c r="AF2743" s="1" t="s">
        <v>107</v>
      </c>
      <c r="AG2743" s="1">
        <v>32</v>
      </c>
      <c r="AO2743" s="2">
        <v>46282</v>
      </c>
      <c r="AP2743" s="1" t="s">
        <v>248</v>
      </c>
      <c r="AS2743" s="1" t="s">
        <v>71</v>
      </c>
      <c r="AU2743" s="1" t="s">
        <v>72</v>
      </c>
      <c r="AV2743" s="1" t="s">
        <v>126</v>
      </c>
      <c r="AX2743" s="1">
        <v>0</v>
      </c>
      <c r="BA2743" s="1">
        <v>9</v>
      </c>
      <c r="BB2743" s="1">
        <v>0</v>
      </c>
      <c r="BC2743" s="1">
        <v>0</v>
      </c>
      <c r="BE2743" s="1">
        <v>27432028</v>
      </c>
    </row>
    <row r="2744" spans="1:57" x14ac:dyDescent="0.25">
      <c r="A2744" s="1" t="str">
        <f>T("1947215718588814532")</f>
        <v>1947215718588814532</v>
      </c>
      <c r="B2744" s="1" t="str">
        <f>T("249966854626")</f>
        <v>249966854626</v>
      </c>
      <c r="C2744" s="1" t="str">
        <f>T("1941094503960019188")</f>
        <v>1941094503960019188</v>
      </c>
      <c r="AC2744" s="1" t="s">
        <v>344</v>
      </c>
      <c r="AD2744" s="1" t="s">
        <v>372</v>
      </c>
      <c r="AE2744" s="1" t="s">
        <v>813</v>
      </c>
      <c r="AF2744" s="1" t="s">
        <v>144</v>
      </c>
      <c r="AG2744" s="1">
        <v>40</v>
      </c>
      <c r="AO2744" s="2">
        <v>46282</v>
      </c>
      <c r="AP2744" s="1" t="s">
        <v>248</v>
      </c>
      <c r="AS2744" s="1" t="s">
        <v>71</v>
      </c>
      <c r="AU2744" s="1" t="s">
        <v>72</v>
      </c>
      <c r="AV2744" s="1" t="s">
        <v>126</v>
      </c>
      <c r="AX2744" s="1">
        <v>0</v>
      </c>
      <c r="BA2744" s="1">
        <v>9</v>
      </c>
      <c r="BB2744" s="1">
        <v>0</v>
      </c>
      <c r="BC2744" s="1">
        <v>0</v>
      </c>
      <c r="BE2744" s="1">
        <v>27432028</v>
      </c>
    </row>
    <row r="2745" spans="1:57" x14ac:dyDescent="0.25">
      <c r="A2745" s="1" t="str">
        <f>T("1947215718605594464")</f>
        <v>1947215718605594464</v>
      </c>
      <c r="B2745" s="1" t="str">
        <f>T("249919001699")</f>
        <v>249919001699</v>
      </c>
      <c r="C2745" s="1" t="str">
        <f>T("1941094503960020088")</f>
        <v>1941094503960020088</v>
      </c>
      <c r="AC2745" s="1" t="s">
        <v>344</v>
      </c>
      <c r="AD2745" s="1" t="s">
        <v>372</v>
      </c>
      <c r="AE2745" s="1" t="s">
        <v>820</v>
      </c>
      <c r="AF2745" s="1" t="s">
        <v>107</v>
      </c>
      <c r="AG2745" s="1">
        <v>26</v>
      </c>
      <c r="AO2745" s="2">
        <v>46282</v>
      </c>
      <c r="AP2745" s="1" t="s">
        <v>248</v>
      </c>
      <c r="AS2745" s="1" t="s">
        <v>71</v>
      </c>
      <c r="AU2745" s="1" t="s">
        <v>72</v>
      </c>
      <c r="AV2745" s="1" t="s">
        <v>73</v>
      </c>
      <c r="AX2745" s="1">
        <v>0</v>
      </c>
      <c r="BA2745" s="1">
        <v>9</v>
      </c>
      <c r="BB2745" s="1">
        <v>0</v>
      </c>
      <c r="BC2745" s="1">
        <v>0</v>
      </c>
      <c r="BE2745" s="1">
        <v>27432028</v>
      </c>
    </row>
    <row r="2746" spans="1:57" x14ac:dyDescent="0.25">
      <c r="A2746" s="1" t="str">
        <f>T("1947215718609784872")</f>
        <v>1947215718609784872</v>
      </c>
      <c r="B2746" s="1" t="str">
        <f>T("249915280259")</f>
        <v>249915280259</v>
      </c>
      <c r="C2746" s="1" t="str">
        <f>T("1941094503960021088")</f>
        <v>1941094503960021088</v>
      </c>
      <c r="AC2746" s="1" t="s">
        <v>344</v>
      </c>
      <c r="AD2746" s="1" t="s">
        <v>441</v>
      </c>
      <c r="AE2746" s="1" t="s">
        <v>530</v>
      </c>
      <c r="AF2746" s="1" t="s">
        <v>107</v>
      </c>
      <c r="AG2746" s="1">
        <v>45</v>
      </c>
      <c r="AO2746" s="2">
        <v>46282</v>
      </c>
      <c r="AP2746" s="1" t="s">
        <v>248</v>
      </c>
      <c r="AS2746" s="1" t="s">
        <v>71</v>
      </c>
      <c r="AU2746" s="1" t="s">
        <v>72</v>
      </c>
      <c r="AV2746" s="1" t="s">
        <v>437</v>
      </c>
      <c r="AX2746" s="1">
        <v>0</v>
      </c>
      <c r="BA2746" s="1">
        <v>9</v>
      </c>
      <c r="BB2746" s="1">
        <v>0</v>
      </c>
      <c r="BC2746" s="1">
        <v>0</v>
      </c>
      <c r="BE2746" s="1">
        <v>27432028</v>
      </c>
    </row>
    <row r="2747" spans="1:57" x14ac:dyDescent="0.25">
      <c r="A2747" s="1" t="str">
        <f>T("1947215718630758012")</f>
        <v>1947215718630758012</v>
      </c>
      <c r="B2747" s="1" t="str">
        <f>T("249904365749")</f>
        <v>249904365749</v>
      </c>
      <c r="C2747" s="1" t="str">
        <f>T("1941094503960021688")</f>
        <v>1941094503960021688</v>
      </c>
      <c r="AC2747" s="1" t="s">
        <v>344</v>
      </c>
      <c r="AD2747" s="1" t="s">
        <v>430</v>
      </c>
      <c r="AE2747" s="1" t="s">
        <v>530</v>
      </c>
      <c r="AF2747" s="1" t="s">
        <v>144</v>
      </c>
      <c r="AG2747" s="1">
        <v>23</v>
      </c>
      <c r="AO2747" s="2">
        <v>46282</v>
      </c>
      <c r="AP2747" s="1" t="s">
        <v>248</v>
      </c>
      <c r="AS2747" s="1" t="s">
        <v>71</v>
      </c>
      <c r="AU2747" s="1" t="s">
        <v>72</v>
      </c>
      <c r="AV2747" s="1" t="s">
        <v>126</v>
      </c>
      <c r="AX2747" s="1">
        <v>0</v>
      </c>
      <c r="BA2747" s="1">
        <v>9</v>
      </c>
      <c r="BB2747" s="1">
        <v>0</v>
      </c>
      <c r="BC2747" s="1">
        <v>0</v>
      </c>
      <c r="BE2747" s="1">
        <v>27432028</v>
      </c>
    </row>
    <row r="2748" spans="1:57" x14ac:dyDescent="0.25">
      <c r="A2748" s="1" t="str">
        <f>T("1947306314737327972")</f>
        <v>1947306314737327972</v>
      </c>
      <c r="B2748" s="1" t="str">
        <f>T("249915876695")</f>
        <v>249915876695</v>
      </c>
      <c r="C2748" s="1" t="str">
        <f>T("1941094503968411204")</f>
        <v>1941094503968411204</v>
      </c>
      <c r="AC2748" s="1" t="s">
        <v>344</v>
      </c>
      <c r="AD2748" s="1" t="s">
        <v>357</v>
      </c>
      <c r="AE2748" s="1" t="s">
        <v>812</v>
      </c>
      <c r="AF2748" s="1" t="s">
        <v>107</v>
      </c>
      <c r="AG2748" s="1">
        <v>35</v>
      </c>
      <c r="AO2748" s="2">
        <v>46282</v>
      </c>
      <c r="AP2748" s="1" t="s">
        <v>845</v>
      </c>
      <c r="AS2748" s="1" t="s">
        <v>71</v>
      </c>
      <c r="AU2748" s="1" t="s">
        <v>72</v>
      </c>
      <c r="AV2748" s="1" t="s">
        <v>437</v>
      </c>
      <c r="AX2748" s="1">
        <v>0</v>
      </c>
      <c r="BA2748" s="1">
        <v>9</v>
      </c>
      <c r="BB2748" s="1">
        <v>0</v>
      </c>
      <c r="BC2748" s="1">
        <v>0</v>
      </c>
      <c r="BE2748" s="1">
        <v>27432060</v>
      </c>
    </row>
    <row r="2749" spans="1:57" x14ac:dyDescent="0.25">
      <c r="A2749" s="1" t="str">
        <f>T("1947306314984791344")</f>
        <v>1947306314984791344</v>
      </c>
      <c r="B2749" s="1" t="str">
        <f>T("249904093486")</f>
        <v>249904093486</v>
      </c>
      <c r="C2749" s="1" t="str">
        <f>T("1941094503972602312")</f>
        <v>1941094503972602312</v>
      </c>
      <c r="AC2749" s="1" t="s">
        <v>344</v>
      </c>
      <c r="AD2749" s="1" t="s">
        <v>441</v>
      </c>
      <c r="AE2749" s="1" t="s">
        <v>530</v>
      </c>
      <c r="AF2749" s="1" t="s">
        <v>107</v>
      </c>
      <c r="AG2749" s="1">
        <v>56</v>
      </c>
      <c r="AO2749" s="2">
        <v>46282</v>
      </c>
      <c r="AP2749" s="1" t="s">
        <v>845</v>
      </c>
      <c r="AS2749" s="1" t="s">
        <v>71</v>
      </c>
      <c r="AU2749" s="1" t="s">
        <v>72</v>
      </c>
      <c r="AV2749" s="1" t="s">
        <v>73</v>
      </c>
      <c r="AX2749" s="1">
        <v>0</v>
      </c>
      <c r="BA2749" s="1">
        <v>9</v>
      </c>
      <c r="BB2749" s="1">
        <v>0</v>
      </c>
      <c r="BC2749" s="1">
        <v>0</v>
      </c>
      <c r="BE2749" s="1">
        <v>27432060</v>
      </c>
    </row>
    <row r="2750" spans="1:57" x14ac:dyDescent="0.25">
      <c r="A2750" s="1" t="str">
        <f>T("1947306315077065820")</f>
        <v>1947306315077065820</v>
      </c>
      <c r="B2750" s="1" t="str">
        <f>T("249967603109")</f>
        <v>249967603109</v>
      </c>
      <c r="C2750" s="1" t="str">
        <f>T("1941094532468705364")</f>
        <v>1941094532468705364</v>
      </c>
      <c r="AC2750" s="1" t="s">
        <v>344</v>
      </c>
      <c r="AD2750" s="1" t="s">
        <v>372</v>
      </c>
      <c r="AE2750" s="1" t="s">
        <v>815</v>
      </c>
      <c r="AF2750" s="1" t="s">
        <v>144</v>
      </c>
      <c r="AG2750" s="1">
        <v>49</v>
      </c>
      <c r="AO2750" s="2">
        <v>46282</v>
      </c>
      <c r="AP2750" s="1" t="s">
        <v>845</v>
      </c>
      <c r="AS2750" s="1" t="s">
        <v>71</v>
      </c>
      <c r="AU2750" s="1" t="s">
        <v>72</v>
      </c>
      <c r="AV2750" s="1" t="s">
        <v>73</v>
      </c>
      <c r="AX2750" s="1">
        <v>0</v>
      </c>
      <c r="BA2750" s="1">
        <v>9</v>
      </c>
      <c r="BB2750" s="1">
        <v>0</v>
      </c>
      <c r="BC2750" s="1">
        <v>0</v>
      </c>
      <c r="BE2750" s="1">
        <v>27432060</v>
      </c>
    </row>
    <row r="2751" spans="1:57" x14ac:dyDescent="0.25">
      <c r="A2751" s="1" t="str">
        <f>T("1947306315152563564")</f>
        <v>1947306315152563564</v>
      </c>
      <c r="B2751" s="1" t="str">
        <f>T("249112475473")</f>
        <v>249112475473</v>
      </c>
      <c r="C2751" s="1" t="str">
        <f>T("1941094532481289588")</f>
        <v>1941094532481289588</v>
      </c>
      <c r="AA2751" s="1">
        <v>1</v>
      </c>
      <c r="AC2751" s="1" t="s">
        <v>344</v>
      </c>
      <c r="AD2751" s="1" t="s">
        <v>372</v>
      </c>
      <c r="AE2751" s="1" t="s">
        <v>815</v>
      </c>
      <c r="AF2751" s="1" t="s">
        <v>107</v>
      </c>
      <c r="AG2751" s="1">
        <v>67</v>
      </c>
      <c r="AO2751" s="2">
        <v>46282</v>
      </c>
      <c r="AP2751" s="1" t="s">
        <v>845</v>
      </c>
      <c r="AQ2751" s="2">
        <v>46282</v>
      </c>
      <c r="AR2751" s="1" t="s">
        <v>846</v>
      </c>
      <c r="AS2751" s="1" t="s">
        <v>71</v>
      </c>
      <c r="AU2751" s="1" t="s">
        <v>79</v>
      </c>
      <c r="AV2751" s="1" t="s">
        <v>80</v>
      </c>
      <c r="AW2751" s="1">
        <v>62.3</v>
      </c>
      <c r="AX2751" s="1">
        <v>0</v>
      </c>
      <c r="AZ2751" s="1" t="s">
        <v>81</v>
      </c>
      <c r="BA2751" s="1">
        <v>4</v>
      </c>
      <c r="BB2751" s="1">
        <v>0</v>
      </c>
      <c r="BC2751" s="1">
        <v>0</v>
      </c>
      <c r="BE2751" s="1">
        <v>27432060</v>
      </c>
    </row>
    <row r="2752" spans="1:57" x14ac:dyDescent="0.25">
      <c r="A2752" s="1" t="str">
        <f>T("1947306315211282776")</f>
        <v>1947306315211282776</v>
      </c>
      <c r="B2752" s="1" t="str">
        <f>T("249909342656")</f>
        <v>249909342656</v>
      </c>
      <c r="C2752" s="1" t="str">
        <f>T("1941094532485480596")</f>
        <v>1941094532485480596</v>
      </c>
      <c r="AC2752" s="1" t="s">
        <v>344</v>
      </c>
      <c r="AD2752" s="1" t="s">
        <v>372</v>
      </c>
      <c r="AE2752" s="1" t="s">
        <v>814</v>
      </c>
      <c r="AF2752" s="1" t="s">
        <v>144</v>
      </c>
      <c r="AG2752" s="1">
        <v>40</v>
      </c>
      <c r="AO2752" s="2">
        <v>46282</v>
      </c>
      <c r="AP2752" s="1" t="s">
        <v>845</v>
      </c>
      <c r="AS2752" s="1" t="s">
        <v>71</v>
      </c>
      <c r="AU2752" s="1" t="s">
        <v>72</v>
      </c>
      <c r="AV2752" s="1" t="s">
        <v>437</v>
      </c>
      <c r="AX2752" s="1">
        <v>0</v>
      </c>
      <c r="BA2752" s="1">
        <v>9</v>
      </c>
      <c r="BB2752" s="1">
        <v>0</v>
      </c>
      <c r="BC2752" s="1">
        <v>0</v>
      </c>
      <c r="BE2752" s="1">
        <v>27432060</v>
      </c>
    </row>
    <row r="2753" spans="1:57" x14ac:dyDescent="0.25">
      <c r="A2753" s="1" t="str">
        <f>T("1947306315270003488")</f>
        <v>1947306315270003488</v>
      </c>
      <c r="B2753" s="1" t="str">
        <f>T("249923240449")</f>
        <v>249923240449</v>
      </c>
      <c r="C2753" s="1" t="str">
        <f>T("1941094532485480996")</f>
        <v>1941094532485480996</v>
      </c>
      <c r="AC2753" s="1" t="s">
        <v>344</v>
      </c>
      <c r="AD2753" s="1" t="s">
        <v>372</v>
      </c>
      <c r="AE2753" s="1" t="s">
        <v>814</v>
      </c>
      <c r="AF2753" s="1" t="s">
        <v>144</v>
      </c>
      <c r="AG2753" s="1">
        <v>65</v>
      </c>
      <c r="AO2753" s="2">
        <v>46282</v>
      </c>
      <c r="AP2753" s="1" t="s">
        <v>845</v>
      </c>
      <c r="AS2753" s="1" t="s">
        <v>71</v>
      </c>
      <c r="AU2753" s="1" t="s">
        <v>72</v>
      </c>
      <c r="AV2753" s="1" t="s">
        <v>73</v>
      </c>
      <c r="AX2753" s="1">
        <v>0</v>
      </c>
      <c r="BA2753" s="1">
        <v>9</v>
      </c>
      <c r="BB2753" s="1">
        <v>0</v>
      </c>
      <c r="BC2753" s="1">
        <v>0</v>
      </c>
      <c r="BE2753" s="1">
        <v>27432060</v>
      </c>
    </row>
    <row r="2754" spans="1:57" x14ac:dyDescent="0.25">
      <c r="A2754" s="1" t="str">
        <f>T("1947306315358081456")</f>
        <v>1947306315358081456</v>
      </c>
      <c r="B2754" s="1" t="str">
        <f>T("249903271876")</f>
        <v>249903271876</v>
      </c>
      <c r="C2754" s="1" t="str">
        <f>T("1941094532485481596")</f>
        <v>1941094532485481596</v>
      </c>
      <c r="AC2754" s="1" t="s">
        <v>344</v>
      </c>
      <c r="AD2754" s="1" t="s">
        <v>430</v>
      </c>
      <c r="AE2754" s="1" t="s">
        <v>530</v>
      </c>
      <c r="AF2754" s="1" t="s">
        <v>144</v>
      </c>
      <c r="AG2754" s="1">
        <v>55</v>
      </c>
      <c r="AO2754" s="2">
        <v>46282</v>
      </c>
      <c r="AP2754" s="1" t="s">
        <v>845</v>
      </c>
      <c r="AS2754" s="1" t="s">
        <v>71</v>
      </c>
      <c r="AU2754" s="1" t="s">
        <v>72</v>
      </c>
      <c r="AV2754" s="1" t="s">
        <v>73</v>
      </c>
      <c r="AX2754" s="1">
        <v>0</v>
      </c>
      <c r="BA2754" s="1">
        <v>9</v>
      </c>
      <c r="BB2754" s="1">
        <v>0</v>
      </c>
      <c r="BC2754" s="1">
        <v>0</v>
      </c>
      <c r="BE2754" s="1">
        <v>27432060</v>
      </c>
    </row>
    <row r="2755" spans="1:57" x14ac:dyDescent="0.25">
      <c r="A2755" s="1" t="str">
        <f>T("1947306315416802968")</f>
        <v>1947306315416802968</v>
      </c>
      <c r="B2755" s="1" t="str">
        <f>T("249914436940")</f>
        <v>249914436940</v>
      </c>
      <c r="C2755" s="1" t="str">
        <f>T("1941094532485482096")</f>
        <v>1941094532485482096</v>
      </c>
      <c r="AC2755" s="1" t="s">
        <v>344</v>
      </c>
      <c r="AD2755" s="1" t="s">
        <v>372</v>
      </c>
      <c r="AE2755" s="1" t="s">
        <v>813</v>
      </c>
      <c r="AF2755" s="1" t="s">
        <v>144</v>
      </c>
      <c r="AG2755" s="1">
        <v>26</v>
      </c>
      <c r="AO2755" s="2">
        <v>46282</v>
      </c>
      <c r="AP2755" s="1" t="s">
        <v>845</v>
      </c>
      <c r="AS2755" s="1" t="s">
        <v>71</v>
      </c>
      <c r="AU2755" s="1" t="s">
        <v>72</v>
      </c>
      <c r="AV2755" s="1" t="s">
        <v>437</v>
      </c>
      <c r="AX2755" s="1">
        <v>0</v>
      </c>
      <c r="BA2755" s="1">
        <v>9</v>
      </c>
      <c r="BB2755" s="1">
        <v>0</v>
      </c>
      <c r="BC2755" s="1">
        <v>0</v>
      </c>
      <c r="BE2755" s="1">
        <v>27432060</v>
      </c>
    </row>
    <row r="2756" spans="1:57" x14ac:dyDescent="0.25">
      <c r="A2756" s="1" t="str">
        <f>T("1947306315471329772")</f>
        <v>1947306315471329772</v>
      </c>
      <c r="B2756" s="1" t="str">
        <f>T("249917597377")</f>
        <v>249917597377</v>
      </c>
      <c r="C2756" s="1" t="str">
        <f>T("1941094532485482596")</f>
        <v>1941094532485482596</v>
      </c>
      <c r="AC2756" s="1" t="s">
        <v>344</v>
      </c>
      <c r="AD2756" s="1" t="s">
        <v>372</v>
      </c>
      <c r="AE2756" s="1" t="s">
        <v>815</v>
      </c>
      <c r="AF2756" s="1" t="s">
        <v>107</v>
      </c>
      <c r="AG2756" s="1">
        <v>50</v>
      </c>
      <c r="AO2756" s="2">
        <v>46282</v>
      </c>
      <c r="AP2756" s="1" t="s">
        <v>845</v>
      </c>
      <c r="AS2756" s="1" t="s">
        <v>71</v>
      </c>
      <c r="AU2756" s="1" t="s">
        <v>72</v>
      </c>
      <c r="AV2756" s="1" t="s">
        <v>437</v>
      </c>
      <c r="AX2756" s="1">
        <v>0</v>
      </c>
      <c r="BA2756" s="1">
        <v>9</v>
      </c>
      <c r="BB2756" s="1">
        <v>0</v>
      </c>
      <c r="BC2756" s="1">
        <v>0</v>
      </c>
      <c r="BE2756" s="1">
        <v>27432060</v>
      </c>
    </row>
    <row r="2757" spans="1:57" x14ac:dyDescent="0.25">
      <c r="A2757" s="1" t="str">
        <f>T("1947306315555214432")</f>
        <v>1947306315555214432</v>
      </c>
      <c r="B2757" s="1" t="str">
        <f>T("249918386540")</f>
        <v>249918386540</v>
      </c>
      <c r="C2757" s="1" t="str">
        <f>T("1941094532485483096")</f>
        <v>1941094532485483096</v>
      </c>
      <c r="AC2757" s="1" t="s">
        <v>344</v>
      </c>
      <c r="AD2757" s="1" t="s">
        <v>430</v>
      </c>
      <c r="AE2757" s="1" t="s">
        <v>530</v>
      </c>
      <c r="AF2757" s="1" t="s">
        <v>107</v>
      </c>
      <c r="AG2757" s="1">
        <v>35</v>
      </c>
      <c r="AO2757" s="2">
        <v>46282</v>
      </c>
      <c r="AP2757" s="1" t="s">
        <v>845</v>
      </c>
      <c r="AS2757" s="1" t="s">
        <v>71</v>
      </c>
      <c r="AU2757" s="1" t="s">
        <v>72</v>
      </c>
      <c r="AV2757" s="1" t="s">
        <v>437</v>
      </c>
      <c r="AX2757" s="1">
        <v>0</v>
      </c>
      <c r="BA2757" s="1">
        <v>9</v>
      </c>
      <c r="BB2757" s="1">
        <v>0</v>
      </c>
      <c r="BC2757" s="1">
        <v>0</v>
      </c>
      <c r="BE2757" s="1">
        <v>27432060</v>
      </c>
    </row>
    <row r="2758" spans="1:57" x14ac:dyDescent="0.25">
      <c r="A2758" s="1" t="str">
        <f>T("1947306315609743136")</f>
        <v>1947306315609743136</v>
      </c>
      <c r="B2758" s="1" t="str">
        <f>T("249905886627")</f>
        <v>249905886627</v>
      </c>
      <c r="C2758" s="1" t="str">
        <f>T("1941094532485483696")</f>
        <v>1941094532485483696</v>
      </c>
      <c r="AC2758" s="1" t="s">
        <v>344</v>
      </c>
      <c r="AD2758" s="1" t="s">
        <v>372</v>
      </c>
      <c r="AE2758" s="1" t="s">
        <v>820</v>
      </c>
      <c r="AF2758" s="1" t="s">
        <v>144</v>
      </c>
      <c r="AG2758" s="1">
        <v>25</v>
      </c>
      <c r="AO2758" s="2">
        <v>46282</v>
      </c>
      <c r="AP2758" s="1" t="s">
        <v>845</v>
      </c>
      <c r="AS2758" s="1" t="s">
        <v>71</v>
      </c>
      <c r="AU2758" s="1" t="s">
        <v>72</v>
      </c>
      <c r="AV2758" s="1" t="s">
        <v>437</v>
      </c>
      <c r="AX2758" s="1">
        <v>0</v>
      </c>
      <c r="BA2758" s="1">
        <v>9</v>
      </c>
      <c r="BB2758" s="1">
        <v>0</v>
      </c>
      <c r="BC2758" s="1">
        <v>0</v>
      </c>
      <c r="BE2758" s="1">
        <v>27432060</v>
      </c>
    </row>
    <row r="2759" spans="1:57" x14ac:dyDescent="0.25">
      <c r="A2759" s="1" t="str">
        <f>T("1947306315697822204")</f>
        <v>1947306315697822204</v>
      </c>
      <c r="B2759" s="1" t="str">
        <f>T("249917170845")</f>
        <v>249917170845</v>
      </c>
      <c r="C2759" s="1" t="str">
        <f>T("1941094532485484296")</f>
        <v>1941094532485484296</v>
      </c>
      <c r="AC2759" s="1" t="s">
        <v>344</v>
      </c>
      <c r="AD2759" s="1" t="s">
        <v>372</v>
      </c>
      <c r="AE2759" s="1" t="s">
        <v>373</v>
      </c>
      <c r="AF2759" s="1" t="s">
        <v>107</v>
      </c>
      <c r="AG2759" s="1">
        <v>74</v>
      </c>
      <c r="AO2759" s="2">
        <v>46282</v>
      </c>
      <c r="AP2759" s="1" t="s">
        <v>845</v>
      </c>
      <c r="AS2759" s="1" t="s">
        <v>71</v>
      </c>
      <c r="AU2759" s="1" t="s">
        <v>72</v>
      </c>
      <c r="AV2759" s="1" t="s">
        <v>73</v>
      </c>
      <c r="AX2759" s="1">
        <v>0</v>
      </c>
      <c r="BA2759" s="1">
        <v>9</v>
      </c>
      <c r="BB2759" s="1">
        <v>0</v>
      </c>
      <c r="BC2759" s="1">
        <v>0</v>
      </c>
      <c r="BE2759" s="1">
        <v>27432060</v>
      </c>
    </row>
    <row r="2760" spans="1:57" x14ac:dyDescent="0.25">
      <c r="A2760" s="1" t="str">
        <f>T("1947306315764929532")</f>
        <v>1947306315764929532</v>
      </c>
      <c r="B2760" s="1" t="str">
        <f>T("249913833797")</f>
        <v>249913833797</v>
      </c>
      <c r="C2760" s="1" t="str">
        <f>T("1941094532489675004")</f>
        <v>1941094532489675004</v>
      </c>
      <c r="AC2760" s="1" t="s">
        <v>344</v>
      </c>
      <c r="AD2760" s="1" t="s">
        <v>430</v>
      </c>
      <c r="AE2760" s="1" t="s">
        <v>530</v>
      </c>
      <c r="AF2760" s="1" t="s">
        <v>107</v>
      </c>
      <c r="AG2760" s="1">
        <v>34</v>
      </c>
      <c r="AO2760" s="2">
        <v>46282</v>
      </c>
      <c r="AP2760" s="1" t="s">
        <v>845</v>
      </c>
      <c r="AS2760" s="1" t="s">
        <v>71</v>
      </c>
      <c r="AU2760" s="1" t="s">
        <v>72</v>
      </c>
      <c r="AV2760" s="1" t="s">
        <v>73</v>
      </c>
      <c r="AX2760" s="1">
        <v>0</v>
      </c>
      <c r="BA2760" s="1">
        <v>9</v>
      </c>
      <c r="BB2760" s="1">
        <v>0</v>
      </c>
      <c r="BC2760" s="1">
        <v>0</v>
      </c>
      <c r="BE2760" s="1">
        <v>27432060</v>
      </c>
    </row>
    <row r="2761" spans="1:57" x14ac:dyDescent="0.25">
      <c r="A2761" s="1" t="str">
        <f>T("1947306315827843852")</f>
        <v>1947306315827843852</v>
      </c>
      <c r="B2761" s="1" t="str">
        <f>T("249962940430")</f>
        <v>249962940430</v>
      </c>
      <c r="C2761" s="1" t="str">
        <f>T("1941094532489675504")</f>
        <v>1941094532489675504</v>
      </c>
      <c r="AC2761" s="1" t="s">
        <v>344</v>
      </c>
      <c r="AD2761" s="1" t="s">
        <v>372</v>
      </c>
      <c r="AE2761" s="1" t="s">
        <v>813</v>
      </c>
      <c r="AF2761" s="1" t="s">
        <v>107</v>
      </c>
      <c r="AG2761" s="1">
        <v>26</v>
      </c>
      <c r="AO2761" s="2">
        <v>46282</v>
      </c>
      <c r="AP2761" s="1" t="s">
        <v>845</v>
      </c>
      <c r="AS2761" s="1" t="s">
        <v>71</v>
      </c>
      <c r="AU2761" s="1" t="s">
        <v>72</v>
      </c>
      <c r="AV2761" s="1" t="s">
        <v>437</v>
      </c>
      <c r="AX2761" s="1">
        <v>0</v>
      </c>
      <c r="BA2761" s="1">
        <v>9</v>
      </c>
      <c r="BB2761" s="1">
        <v>0</v>
      </c>
      <c r="BC2761" s="1">
        <v>0</v>
      </c>
      <c r="BE2761" s="1">
        <v>27432060</v>
      </c>
    </row>
    <row r="2762" spans="1:57" x14ac:dyDescent="0.25">
      <c r="A2762" s="1" t="str">
        <f>T("1947306315903343296")</f>
        <v>1947306315903343296</v>
      </c>
      <c r="B2762" s="1" t="str">
        <f>T("249961006465")</f>
        <v>249961006465</v>
      </c>
      <c r="C2762" s="1" t="str">
        <f>T("1941094532489675904")</f>
        <v>1941094532489675904</v>
      </c>
      <c r="AC2762" s="1" t="s">
        <v>344</v>
      </c>
      <c r="AD2762" s="1" t="s">
        <v>430</v>
      </c>
      <c r="AE2762" s="1" t="s">
        <v>530</v>
      </c>
      <c r="AF2762" s="1" t="s">
        <v>107</v>
      </c>
      <c r="AG2762" s="1">
        <v>26</v>
      </c>
      <c r="AO2762" s="2">
        <v>46282</v>
      </c>
      <c r="AP2762" s="1" t="s">
        <v>845</v>
      </c>
      <c r="AS2762" s="1" t="s">
        <v>71</v>
      </c>
      <c r="AU2762" s="1" t="s">
        <v>72</v>
      </c>
      <c r="AV2762" s="1" t="s">
        <v>73</v>
      </c>
      <c r="AX2762" s="1">
        <v>0</v>
      </c>
      <c r="BA2762" s="1">
        <v>9</v>
      </c>
      <c r="BB2762" s="1">
        <v>0</v>
      </c>
      <c r="BC2762" s="1">
        <v>0</v>
      </c>
      <c r="BE2762" s="1">
        <v>27432060</v>
      </c>
    </row>
    <row r="2763" spans="1:57" x14ac:dyDescent="0.25">
      <c r="A2763" s="1" t="str">
        <f>T("1947306315957869600")</f>
        <v>1947306315957869600</v>
      </c>
      <c r="B2763" s="1" t="str">
        <f>T("249906167551")</f>
        <v>249906167551</v>
      </c>
      <c r="C2763" s="1" t="str">
        <f>T("1941094532489676404")</f>
        <v>1941094532489676404</v>
      </c>
      <c r="AC2763" s="1" t="s">
        <v>344</v>
      </c>
      <c r="AD2763" s="1" t="s">
        <v>441</v>
      </c>
      <c r="AE2763" s="1" t="s">
        <v>530</v>
      </c>
      <c r="AF2763" s="1" t="s">
        <v>107</v>
      </c>
      <c r="AG2763" s="1">
        <v>45</v>
      </c>
      <c r="AO2763" s="2">
        <v>46282</v>
      </c>
      <c r="AP2763" s="1" t="s">
        <v>845</v>
      </c>
      <c r="AS2763" s="1" t="s">
        <v>71</v>
      </c>
      <c r="AU2763" s="1" t="s">
        <v>72</v>
      </c>
      <c r="AV2763" s="1" t="s">
        <v>73</v>
      </c>
      <c r="AX2763" s="1">
        <v>0</v>
      </c>
      <c r="BA2763" s="1">
        <v>9</v>
      </c>
      <c r="BB2763" s="1">
        <v>0</v>
      </c>
      <c r="BC2763" s="1">
        <v>0</v>
      </c>
      <c r="BE2763" s="1">
        <v>27432060</v>
      </c>
    </row>
    <row r="2764" spans="1:57" x14ac:dyDescent="0.25">
      <c r="A2764" s="1" t="str">
        <f>T("1947306316004006488")</f>
        <v>1947306316004006488</v>
      </c>
      <c r="B2764" s="1" t="str">
        <f>T("249961095933")</f>
        <v>249961095933</v>
      </c>
      <c r="C2764" s="1" t="str">
        <f>T("1941094532489676904")</f>
        <v>1941094532489676904</v>
      </c>
      <c r="AC2764" s="1" t="s">
        <v>344</v>
      </c>
      <c r="AD2764" s="1" t="s">
        <v>441</v>
      </c>
      <c r="AE2764" s="1" t="s">
        <v>530</v>
      </c>
      <c r="AF2764" s="1" t="s">
        <v>144</v>
      </c>
      <c r="AG2764" s="1">
        <v>35</v>
      </c>
      <c r="AO2764" s="2">
        <v>46282</v>
      </c>
      <c r="AP2764" s="1" t="s">
        <v>845</v>
      </c>
      <c r="AS2764" s="1" t="s">
        <v>71</v>
      </c>
      <c r="AU2764" s="1" t="s">
        <v>72</v>
      </c>
      <c r="AV2764" s="1" t="s">
        <v>437</v>
      </c>
      <c r="AX2764" s="1">
        <v>0</v>
      </c>
      <c r="BA2764" s="1">
        <v>9</v>
      </c>
      <c r="BB2764" s="1">
        <v>0</v>
      </c>
      <c r="BC2764" s="1">
        <v>0</v>
      </c>
      <c r="BE2764" s="1">
        <v>27432060</v>
      </c>
    </row>
    <row r="2765" spans="1:57" x14ac:dyDescent="0.25">
      <c r="A2765" s="1" t="str">
        <f>T("1947306316062728000")</f>
        <v>1947306316062728000</v>
      </c>
      <c r="B2765" s="1" t="str">
        <f>T("249905823597")</f>
        <v>249905823597</v>
      </c>
      <c r="C2765" s="1" t="str">
        <f>T("1941094532489677604")</f>
        <v>1941094532489677604</v>
      </c>
      <c r="AC2765" s="1" t="s">
        <v>344</v>
      </c>
      <c r="AD2765" s="1" t="s">
        <v>357</v>
      </c>
      <c r="AE2765" s="1" t="s">
        <v>812</v>
      </c>
      <c r="AF2765" s="1" t="s">
        <v>107</v>
      </c>
      <c r="AG2765" s="1">
        <v>47</v>
      </c>
      <c r="AO2765" s="2">
        <v>46282</v>
      </c>
      <c r="AP2765" s="1" t="s">
        <v>845</v>
      </c>
      <c r="AS2765" s="1" t="s">
        <v>71</v>
      </c>
      <c r="AU2765" s="1" t="s">
        <v>72</v>
      </c>
      <c r="AV2765" s="1" t="s">
        <v>73</v>
      </c>
      <c r="AX2765" s="1">
        <v>0</v>
      </c>
      <c r="BA2765" s="1">
        <v>9</v>
      </c>
      <c r="BB2765" s="1">
        <v>0</v>
      </c>
      <c r="BC2765" s="1">
        <v>0</v>
      </c>
      <c r="BE2765" s="1">
        <v>27432060</v>
      </c>
    </row>
    <row r="2766" spans="1:57" x14ac:dyDescent="0.25">
      <c r="A2766" s="1" t="str">
        <f>T("1947306316117252304")</f>
        <v>1947306316117252304</v>
      </c>
      <c r="B2766" s="1" t="str">
        <f>T("249908782977")</f>
        <v>249908782977</v>
      </c>
      <c r="C2766" s="1" t="str">
        <f>T("1941094532489678304")</f>
        <v>1941094532489678304</v>
      </c>
      <c r="AC2766" s="1" t="s">
        <v>344</v>
      </c>
      <c r="AD2766" s="1" t="s">
        <v>372</v>
      </c>
      <c r="AE2766" s="1" t="s">
        <v>820</v>
      </c>
      <c r="AF2766" s="1" t="s">
        <v>144</v>
      </c>
      <c r="AG2766" s="1">
        <v>61</v>
      </c>
      <c r="AO2766" s="2">
        <v>46282</v>
      </c>
      <c r="AP2766" s="1" t="s">
        <v>845</v>
      </c>
      <c r="AS2766" s="1" t="s">
        <v>71</v>
      </c>
      <c r="AU2766" s="1" t="s">
        <v>72</v>
      </c>
      <c r="AV2766" s="1" t="s">
        <v>437</v>
      </c>
      <c r="AX2766" s="1">
        <v>0</v>
      </c>
      <c r="BA2766" s="1">
        <v>9</v>
      </c>
      <c r="BB2766" s="1">
        <v>0</v>
      </c>
      <c r="BC2766" s="1">
        <v>0</v>
      </c>
      <c r="BE2766" s="1">
        <v>27432060</v>
      </c>
    </row>
    <row r="2767" spans="1:57" x14ac:dyDescent="0.25">
      <c r="A2767" s="1" t="str">
        <f>T("1947306316163390692")</f>
        <v>1947306316163390692</v>
      </c>
      <c r="B2767" s="1" t="str">
        <f>T("249916882935")</f>
        <v>249916882935</v>
      </c>
      <c r="C2767" s="1" t="str">
        <f>T("1941094532493869112")</f>
        <v>1941094532493869112</v>
      </c>
      <c r="AC2767" s="1" t="s">
        <v>344</v>
      </c>
      <c r="AD2767" s="1" t="s">
        <v>430</v>
      </c>
      <c r="AE2767" s="1" t="s">
        <v>530</v>
      </c>
      <c r="AF2767" s="1" t="s">
        <v>144</v>
      </c>
      <c r="AG2767" s="1">
        <v>21</v>
      </c>
      <c r="AO2767" s="2">
        <v>46282</v>
      </c>
      <c r="AP2767" s="1" t="s">
        <v>845</v>
      </c>
      <c r="AS2767" s="1" t="s">
        <v>71</v>
      </c>
      <c r="AU2767" s="1" t="s">
        <v>72</v>
      </c>
      <c r="AV2767" s="1" t="s">
        <v>437</v>
      </c>
      <c r="AX2767" s="1">
        <v>0</v>
      </c>
      <c r="BA2767" s="1">
        <v>9</v>
      </c>
      <c r="BB2767" s="1">
        <v>0</v>
      </c>
      <c r="BC2767" s="1">
        <v>0</v>
      </c>
      <c r="BE2767" s="1">
        <v>27432060</v>
      </c>
    </row>
    <row r="2768" spans="1:57" x14ac:dyDescent="0.25">
      <c r="A2768" s="1" t="str">
        <f>T("1947306316222109204")</f>
        <v>1947306316222109204</v>
      </c>
      <c r="B2768" s="1" t="str">
        <f>T("249913746247")</f>
        <v>249913746247</v>
      </c>
      <c r="C2768" s="1" t="str">
        <f>T("1941094532493869512")</f>
        <v>1941094532493869512</v>
      </c>
      <c r="AC2768" s="1" t="s">
        <v>344</v>
      </c>
      <c r="AD2768" s="1" t="s">
        <v>430</v>
      </c>
      <c r="AE2768" s="1" t="s">
        <v>530</v>
      </c>
      <c r="AF2768" s="1" t="s">
        <v>107</v>
      </c>
      <c r="AG2768" s="1">
        <v>90</v>
      </c>
      <c r="AO2768" s="2">
        <v>46282</v>
      </c>
      <c r="AP2768" s="1" t="s">
        <v>845</v>
      </c>
      <c r="AS2768" s="1" t="s">
        <v>71</v>
      </c>
      <c r="AU2768" s="1" t="s">
        <v>72</v>
      </c>
      <c r="AV2768" s="1" t="s">
        <v>437</v>
      </c>
      <c r="AX2768" s="1">
        <v>0</v>
      </c>
      <c r="BA2768" s="1">
        <v>9</v>
      </c>
      <c r="BB2768" s="1">
        <v>0</v>
      </c>
      <c r="BC2768" s="1">
        <v>0</v>
      </c>
      <c r="BE2768" s="1">
        <v>27432060</v>
      </c>
    </row>
    <row r="2769" spans="1:57" x14ac:dyDescent="0.25">
      <c r="A2769" s="1" t="str">
        <f>T("1947306316280828916")</f>
        <v>1947306316280828916</v>
      </c>
      <c r="B2769" s="1" t="str">
        <f>T("249917228357")</f>
        <v>249917228357</v>
      </c>
      <c r="C2769" s="1" t="str">
        <f>T("1941094532493870012")</f>
        <v>1941094532493870012</v>
      </c>
      <c r="AC2769" s="1" t="s">
        <v>344</v>
      </c>
      <c r="AD2769" s="1" t="s">
        <v>372</v>
      </c>
      <c r="AE2769" s="1" t="s">
        <v>373</v>
      </c>
      <c r="AF2769" s="1" t="s">
        <v>107</v>
      </c>
      <c r="AG2769" s="1">
        <v>30</v>
      </c>
      <c r="AO2769" s="2">
        <v>46282</v>
      </c>
      <c r="AP2769" s="1" t="s">
        <v>845</v>
      </c>
      <c r="AS2769" s="1" t="s">
        <v>71</v>
      </c>
      <c r="AU2769" s="1" t="s">
        <v>72</v>
      </c>
      <c r="AV2769" s="1" t="s">
        <v>73</v>
      </c>
      <c r="AX2769" s="1">
        <v>0</v>
      </c>
      <c r="BA2769" s="1">
        <v>9</v>
      </c>
      <c r="BB2769" s="1">
        <v>0</v>
      </c>
      <c r="BC2769" s="1">
        <v>0</v>
      </c>
      <c r="BE2769" s="1">
        <v>27432060</v>
      </c>
    </row>
    <row r="2770" spans="1:57" x14ac:dyDescent="0.25">
      <c r="A2770" s="1" t="str">
        <f>T("1947306316326968504")</f>
        <v>1947306316326968504</v>
      </c>
      <c r="B2770" s="1" t="str">
        <f>T("249924142957")</f>
        <v>249924142957</v>
      </c>
      <c r="C2770" s="1" t="str">
        <f>T("1941094532493870412")</f>
        <v>1941094532493870412</v>
      </c>
      <c r="AC2770" s="1" t="s">
        <v>344</v>
      </c>
      <c r="AD2770" s="1" t="s">
        <v>372</v>
      </c>
      <c r="AE2770" s="1" t="s">
        <v>820</v>
      </c>
      <c r="AF2770" s="1" t="s">
        <v>107</v>
      </c>
      <c r="AG2770" s="1">
        <v>65</v>
      </c>
      <c r="AO2770" s="2">
        <v>46282</v>
      </c>
      <c r="AP2770" s="1" t="s">
        <v>845</v>
      </c>
      <c r="AS2770" s="1" t="s">
        <v>71</v>
      </c>
      <c r="AU2770" s="1" t="s">
        <v>72</v>
      </c>
      <c r="AV2770" s="1" t="s">
        <v>73</v>
      </c>
      <c r="AX2770" s="1">
        <v>0</v>
      </c>
      <c r="BA2770" s="1">
        <v>9</v>
      </c>
      <c r="BB2770" s="1">
        <v>0</v>
      </c>
      <c r="BC2770" s="1">
        <v>0</v>
      </c>
      <c r="BE2770" s="1">
        <v>27432060</v>
      </c>
    </row>
    <row r="2771" spans="1:57" x14ac:dyDescent="0.25">
      <c r="A2771" s="1" t="str">
        <f>T("1947306316394075332")</f>
        <v>1947306316394075332</v>
      </c>
      <c r="B2771" s="1" t="str">
        <f>T("249906281065")</f>
        <v>249906281065</v>
      </c>
      <c r="C2771" s="1" t="str">
        <f>T("1941094532493870812")</f>
        <v>1941094532493870812</v>
      </c>
      <c r="AC2771" s="1" t="s">
        <v>344</v>
      </c>
      <c r="AD2771" s="1" t="s">
        <v>372</v>
      </c>
      <c r="AE2771" s="1" t="s">
        <v>813</v>
      </c>
      <c r="AF2771" s="1" t="s">
        <v>107</v>
      </c>
      <c r="AG2771" s="1">
        <v>42</v>
      </c>
      <c r="AO2771" s="2">
        <v>46282</v>
      </c>
      <c r="AP2771" s="1" t="s">
        <v>845</v>
      </c>
      <c r="AS2771" s="1" t="s">
        <v>71</v>
      </c>
      <c r="AU2771" s="1" t="s">
        <v>72</v>
      </c>
      <c r="AV2771" s="1" t="s">
        <v>73</v>
      </c>
      <c r="AX2771" s="1">
        <v>0</v>
      </c>
      <c r="BA2771" s="1">
        <v>9</v>
      </c>
      <c r="BB2771" s="1">
        <v>0</v>
      </c>
      <c r="BC2771" s="1">
        <v>0</v>
      </c>
      <c r="BE2771" s="1">
        <v>27432060</v>
      </c>
    </row>
    <row r="2772" spans="1:57" x14ac:dyDescent="0.25">
      <c r="A2772" s="1" t="str">
        <f>T("1947306316482154900")</f>
        <v>1947306316482154900</v>
      </c>
      <c r="B2772" s="1" t="str">
        <f>T("249917420610")</f>
        <v>249917420610</v>
      </c>
      <c r="C2772" s="1" t="str">
        <f>T("1941094532502261028")</f>
        <v>1941094532502261028</v>
      </c>
      <c r="AC2772" s="1" t="s">
        <v>344</v>
      </c>
      <c r="AD2772" s="1" t="s">
        <v>441</v>
      </c>
      <c r="AE2772" s="1" t="s">
        <v>530</v>
      </c>
      <c r="AF2772" s="1" t="s">
        <v>107</v>
      </c>
      <c r="AG2772" s="1">
        <v>47</v>
      </c>
      <c r="AO2772" s="2">
        <v>46282</v>
      </c>
      <c r="AP2772" s="1" t="s">
        <v>845</v>
      </c>
      <c r="AS2772" s="1" t="s">
        <v>71</v>
      </c>
      <c r="AU2772" s="1" t="s">
        <v>72</v>
      </c>
      <c r="AV2772" s="1" t="s">
        <v>73</v>
      </c>
      <c r="AX2772" s="1">
        <v>0</v>
      </c>
      <c r="BA2772" s="1">
        <v>9</v>
      </c>
      <c r="BB2772" s="1">
        <v>0</v>
      </c>
      <c r="BC2772" s="1">
        <v>0</v>
      </c>
      <c r="BE2772" s="1">
        <v>27432060</v>
      </c>
    </row>
    <row r="2773" spans="1:57" x14ac:dyDescent="0.25">
      <c r="A2773" s="1" t="str">
        <f>T("1947306316557652144")</f>
        <v>1947306316557652144</v>
      </c>
      <c r="B2773" s="1" t="str">
        <f>T("249910762291")</f>
        <v>249910762291</v>
      </c>
      <c r="C2773" s="1" t="str">
        <f>T("1941094532502261728")</f>
        <v>1941094532502261728</v>
      </c>
      <c r="AC2773" s="1" t="s">
        <v>344</v>
      </c>
      <c r="AD2773" s="1" t="s">
        <v>441</v>
      </c>
      <c r="AE2773" s="1" t="s">
        <v>530</v>
      </c>
      <c r="AF2773" s="1" t="s">
        <v>107</v>
      </c>
      <c r="AG2773" s="1">
        <v>55</v>
      </c>
      <c r="AO2773" s="2">
        <v>46282</v>
      </c>
      <c r="AP2773" s="1" t="s">
        <v>845</v>
      </c>
      <c r="AS2773" s="1" t="s">
        <v>71</v>
      </c>
      <c r="AU2773" s="1" t="s">
        <v>72</v>
      </c>
      <c r="AV2773" s="1" t="s">
        <v>437</v>
      </c>
      <c r="AX2773" s="1">
        <v>0</v>
      </c>
      <c r="BA2773" s="1">
        <v>9</v>
      </c>
      <c r="BB2773" s="1">
        <v>0</v>
      </c>
      <c r="BC2773" s="1">
        <v>0</v>
      </c>
      <c r="BE2773" s="1">
        <v>27432060</v>
      </c>
    </row>
    <row r="2774" spans="1:57" x14ac:dyDescent="0.25">
      <c r="A2774" s="1" t="str">
        <f>T("1947306316607985340")</f>
        <v>1947306316607985340</v>
      </c>
      <c r="B2774" s="1" t="str">
        <f>T("249960557938")</f>
        <v>249960557938</v>
      </c>
      <c r="C2774" s="1" t="str">
        <f>T("1941094532506452336")</f>
        <v>1941094532506452336</v>
      </c>
      <c r="AC2774" s="1" t="s">
        <v>344</v>
      </c>
      <c r="AD2774" s="1" t="s">
        <v>372</v>
      </c>
      <c r="AE2774" s="1" t="s">
        <v>813</v>
      </c>
      <c r="AF2774" s="1" t="s">
        <v>107</v>
      </c>
      <c r="AG2774" s="1">
        <v>57</v>
      </c>
      <c r="AO2774" s="2">
        <v>46282</v>
      </c>
      <c r="AP2774" s="1" t="s">
        <v>845</v>
      </c>
      <c r="AS2774" s="1" t="s">
        <v>71</v>
      </c>
      <c r="AU2774" s="1" t="s">
        <v>72</v>
      </c>
      <c r="AV2774" s="1" t="s">
        <v>437</v>
      </c>
      <c r="AX2774" s="1">
        <v>0</v>
      </c>
      <c r="BA2774" s="1">
        <v>9</v>
      </c>
      <c r="BB2774" s="1">
        <v>0</v>
      </c>
      <c r="BC2774" s="1">
        <v>0</v>
      </c>
      <c r="BE2774" s="1">
        <v>27432060</v>
      </c>
    </row>
    <row r="2775" spans="1:57" x14ac:dyDescent="0.25">
      <c r="A2775" s="1" t="str">
        <f>T("1947306316700259816")</f>
        <v>1947306316700259816</v>
      </c>
      <c r="B2775" s="1" t="str">
        <f>T("249110349441")</f>
        <v>249110349441</v>
      </c>
      <c r="C2775" s="1" t="str">
        <f>T("1941094532506453036")</f>
        <v>1941094532506453036</v>
      </c>
      <c r="AC2775" s="1" t="s">
        <v>344</v>
      </c>
      <c r="AD2775" s="1" t="s">
        <v>372</v>
      </c>
      <c r="AE2775" s="1" t="s">
        <v>814</v>
      </c>
      <c r="AF2775" s="1" t="s">
        <v>107</v>
      </c>
      <c r="AG2775" s="1">
        <v>75</v>
      </c>
      <c r="AO2775" s="2">
        <v>46282</v>
      </c>
      <c r="AP2775" s="1" t="s">
        <v>845</v>
      </c>
      <c r="AS2775" s="1" t="s">
        <v>71</v>
      </c>
      <c r="AU2775" s="1" t="s">
        <v>72</v>
      </c>
      <c r="AV2775" s="1" t="s">
        <v>73</v>
      </c>
      <c r="AX2775" s="1">
        <v>0</v>
      </c>
      <c r="BA2775" s="1">
        <v>9</v>
      </c>
      <c r="BB2775" s="1">
        <v>0</v>
      </c>
      <c r="BC2775" s="1">
        <v>0</v>
      </c>
      <c r="BE2775" s="1">
        <v>27432060</v>
      </c>
    </row>
    <row r="2776" spans="1:57" x14ac:dyDescent="0.25">
      <c r="A2776" s="1" t="str">
        <f>T("1947306316767369044")</f>
        <v>1947306316767369044</v>
      </c>
      <c r="B2776" s="1" t="str">
        <f>T("249966853812")</f>
        <v>249966853812</v>
      </c>
      <c r="C2776" s="1" t="str">
        <f>T("1941094532506453636")</f>
        <v>1941094532506453636</v>
      </c>
      <c r="AC2776" s="1" t="s">
        <v>344</v>
      </c>
      <c r="AD2776" s="1" t="s">
        <v>372</v>
      </c>
      <c r="AE2776" s="1" t="s">
        <v>373</v>
      </c>
      <c r="AF2776" s="1" t="s">
        <v>107</v>
      </c>
      <c r="AG2776" s="1">
        <v>42</v>
      </c>
      <c r="AO2776" s="2">
        <v>46282</v>
      </c>
      <c r="AP2776" s="1" t="s">
        <v>845</v>
      </c>
      <c r="AS2776" s="1" t="s">
        <v>71</v>
      </c>
      <c r="AU2776" s="1" t="s">
        <v>72</v>
      </c>
      <c r="AV2776" s="1" t="s">
        <v>73</v>
      </c>
      <c r="AX2776" s="1">
        <v>0</v>
      </c>
      <c r="BA2776" s="1">
        <v>9</v>
      </c>
      <c r="BB2776" s="1">
        <v>0</v>
      </c>
      <c r="BC2776" s="1">
        <v>0</v>
      </c>
      <c r="BE2776" s="1">
        <v>27432060</v>
      </c>
    </row>
    <row r="2777" spans="1:57" x14ac:dyDescent="0.25">
      <c r="A2777" s="1" t="str">
        <f>T("1947306316889003676")</f>
        <v>1947306316889003676</v>
      </c>
      <c r="B2777" s="1" t="str">
        <f>T("249916378893")</f>
        <v>249916378893</v>
      </c>
      <c r="C2777" s="1" t="str">
        <f>T("1941094532506454336")</f>
        <v>1941094532506454336</v>
      </c>
      <c r="AC2777" s="1" t="s">
        <v>344</v>
      </c>
      <c r="AD2777" s="1" t="s">
        <v>372</v>
      </c>
      <c r="AE2777" s="1" t="s">
        <v>818</v>
      </c>
      <c r="AF2777" s="1" t="s">
        <v>144</v>
      </c>
      <c r="AG2777" s="1">
        <v>70</v>
      </c>
      <c r="AO2777" s="2">
        <v>46282</v>
      </c>
      <c r="AP2777" s="1" t="s">
        <v>845</v>
      </c>
      <c r="AS2777" s="1" t="s">
        <v>71</v>
      </c>
      <c r="AU2777" s="1" t="s">
        <v>72</v>
      </c>
      <c r="AV2777" s="1" t="s">
        <v>437</v>
      </c>
      <c r="AX2777" s="1">
        <v>0</v>
      </c>
      <c r="BA2777" s="1">
        <v>9</v>
      </c>
      <c r="BB2777" s="1">
        <v>0</v>
      </c>
      <c r="BC2777" s="1">
        <v>0</v>
      </c>
      <c r="BE2777" s="1">
        <v>27432060</v>
      </c>
    </row>
    <row r="2778" spans="1:57" x14ac:dyDescent="0.25">
      <c r="A2778" s="1" t="str">
        <f>T("1947306316956114104")</f>
        <v>1947306316956114104</v>
      </c>
      <c r="B2778" s="1" t="str">
        <f>T("249916372976")</f>
        <v>249916372976</v>
      </c>
      <c r="C2778" s="1" t="str">
        <f>T("1941094532506454836")</f>
        <v>1941094532506454836</v>
      </c>
      <c r="AC2778" s="1" t="s">
        <v>344</v>
      </c>
      <c r="AD2778" s="1" t="s">
        <v>441</v>
      </c>
      <c r="AE2778" s="1" t="s">
        <v>530</v>
      </c>
      <c r="AF2778" s="1" t="s">
        <v>107</v>
      </c>
      <c r="AG2778" s="1">
        <v>40</v>
      </c>
      <c r="AO2778" s="2">
        <v>46282</v>
      </c>
      <c r="AP2778" s="1" t="s">
        <v>845</v>
      </c>
      <c r="AS2778" s="1" t="s">
        <v>71</v>
      </c>
      <c r="AU2778" s="1" t="s">
        <v>72</v>
      </c>
      <c r="AV2778" s="1" t="s">
        <v>437</v>
      </c>
      <c r="AX2778" s="1">
        <v>0</v>
      </c>
      <c r="BA2778" s="1">
        <v>9</v>
      </c>
      <c r="BB2778" s="1">
        <v>0</v>
      </c>
      <c r="BC2778" s="1">
        <v>0</v>
      </c>
      <c r="BE2778" s="1">
        <v>27432060</v>
      </c>
    </row>
    <row r="2779" spans="1:57" x14ac:dyDescent="0.25">
      <c r="A2779" s="1" t="str">
        <f>T("1947306317044191972")</f>
        <v>1947306317044191972</v>
      </c>
      <c r="B2779" s="1" t="str">
        <f>T("249909882597")</f>
        <v>249909882597</v>
      </c>
      <c r="C2779" s="1" t="str">
        <f>T("1941094532506455436")</f>
        <v>1941094532506455436</v>
      </c>
      <c r="AC2779" s="1" t="s">
        <v>344</v>
      </c>
      <c r="AD2779" s="1" t="s">
        <v>430</v>
      </c>
      <c r="AE2779" s="1" t="s">
        <v>530</v>
      </c>
      <c r="AF2779" s="1" t="s">
        <v>144</v>
      </c>
      <c r="AG2779" s="1">
        <v>55</v>
      </c>
      <c r="AO2779" s="2">
        <v>46282</v>
      </c>
      <c r="AP2779" s="1" t="s">
        <v>845</v>
      </c>
      <c r="AS2779" s="1" t="s">
        <v>71</v>
      </c>
      <c r="AU2779" s="1" t="s">
        <v>72</v>
      </c>
      <c r="AV2779" s="1" t="s">
        <v>73</v>
      </c>
      <c r="AX2779" s="1">
        <v>0</v>
      </c>
      <c r="BA2779" s="1">
        <v>9</v>
      </c>
      <c r="BB2779" s="1">
        <v>0</v>
      </c>
      <c r="BC2779" s="1">
        <v>0</v>
      </c>
      <c r="BE2779" s="1">
        <v>27432060</v>
      </c>
    </row>
    <row r="2780" spans="1:57" x14ac:dyDescent="0.25">
      <c r="A2780" s="1" t="str">
        <f>T("1947306317128080932")</f>
        <v>1947306317128080932</v>
      </c>
      <c r="B2780" s="1" t="str">
        <f>T("249916940082")</f>
        <v>249916940082</v>
      </c>
      <c r="C2780" s="1" t="str">
        <f>T("1941094532506455836")</f>
        <v>1941094532506455836</v>
      </c>
      <c r="AC2780" s="1" t="s">
        <v>344</v>
      </c>
      <c r="AD2780" s="1" t="s">
        <v>372</v>
      </c>
      <c r="AE2780" s="1" t="s">
        <v>814</v>
      </c>
      <c r="AF2780" s="1" t="s">
        <v>144</v>
      </c>
      <c r="AG2780" s="1">
        <v>35</v>
      </c>
      <c r="AO2780" s="2">
        <v>46282</v>
      </c>
      <c r="AP2780" s="1" t="s">
        <v>845</v>
      </c>
      <c r="AS2780" s="1" t="s">
        <v>71</v>
      </c>
      <c r="AU2780" s="1" t="s">
        <v>72</v>
      </c>
      <c r="AV2780" s="1" t="s">
        <v>126</v>
      </c>
      <c r="AX2780" s="1">
        <v>0</v>
      </c>
      <c r="BA2780" s="1">
        <v>9</v>
      </c>
      <c r="BB2780" s="1">
        <v>0</v>
      </c>
      <c r="BC2780" s="1">
        <v>0</v>
      </c>
      <c r="BE2780" s="1">
        <v>27432060</v>
      </c>
    </row>
    <row r="2781" spans="1:57" x14ac:dyDescent="0.25">
      <c r="A2781" s="1" t="str">
        <f>T("1947306317199380768")</f>
        <v>1947306317199380768</v>
      </c>
      <c r="B2781" s="1" t="str">
        <f>T("249965208203")</f>
        <v>249965208203</v>
      </c>
      <c r="C2781" s="1" t="str">
        <f>T("1941094532510646644")</f>
        <v>1941094532510646644</v>
      </c>
      <c r="AC2781" s="1" t="s">
        <v>344</v>
      </c>
      <c r="AD2781" s="1" t="s">
        <v>441</v>
      </c>
      <c r="AE2781" s="1" t="s">
        <v>530</v>
      </c>
      <c r="AF2781" s="1" t="s">
        <v>107</v>
      </c>
      <c r="AG2781" s="1">
        <v>35</v>
      </c>
      <c r="AO2781" s="2">
        <v>46282</v>
      </c>
      <c r="AP2781" s="1" t="s">
        <v>845</v>
      </c>
      <c r="AS2781" s="1" t="s">
        <v>71</v>
      </c>
      <c r="AU2781" s="1" t="s">
        <v>72</v>
      </c>
      <c r="AV2781" s="1" t="s">
        <v>126</v>
      </c>
      <c r="AX2781" s="1">
        <v>0</v>
      </c>
      <c r="BA2781" s="1">
        <v>9</v>
      </c>
      <c r="BB2781" s="1">
        <v>0</v>
      </c>
      <c r="BC2781" s="1">
        <v>0</v>
      </c>
      <c r="BE2781" s="1">
        <v>27432060</v>
      </c>
    </row>
    <row r="2782" spans="1:57" x14ac:dyDescent="0.25">
      <c r="A2782" s="1" t="str">
        <f>T("1947306317270684904")</f>
        <v>1947306317270684904</v>
      </c>
      <c r="B2782" s="1" t="str">
        <f>T("249960177169")</f>
        <v>249960177169</v>
      </c>
      <c r="C2782" s="1" t="str">
        <f>T("1941094532510647044")</f>
        <v>1941094532510647044</v>
      </c>
      <c r="AC2782" s="1" t="s">
        <v>344</v>
      </c>
      <c r="AD2782" s="1" t="s">
        <v>441</v>
      </c>
      <c r="AE2782" s="1" t="s">
        <v>530</v>
      </c>
      <c r="AF2782" s="1" t="s">
        <v>107</v>
      </c>
      <c r="AG2782" s="1">
        <v>34</v>
      </c>
      <c r="AO2782" s="2">
        <v>46282</v>
      </c>
      <c r="AP2782" s="1" t="s">
        <v>845</v>
      </c>
      <c r="AS2782" s="1" t="s">
        <v>71</v>
      </c>
      <c r="AU2782" s="1" t="s">
        <v>72</v>
      </c>
      <c r="AV2782" s="1" t="s">
        <v>437</v>
      </c>
      <c r="AX2782" s="1">
        <v>0</v>
      </c>
      <c r="BA2782" s="1">
        <v>9</v>
      </c>
      <c r="BB2782" s="1">
        <v>0</v>
      </c>
      <c r="BC2782" s="1">
        <v>0</v>
      </c>
      <c r="BE2782" s="1">
        <v>27432060</v>
      </c>
    </row>
    <row r="2783" spans="1:57" x14ac:dyDescent="0.25">
      <c r="A2783" s="1" t="str">
        <f>T("1947306317362961980")</f>
        <v>1947306317362961980</v>
      </c>
      <c r="B2783" s="1" t="str">
        <f>T("249966126894")</f>
        <v>249966126894</v>
      </c>
      <c r="C2783" s="1" t="str">
        <f>T("1941094532510648444")</f>
        <v>1941094532510648444</v>
      </c>
      <c r="AC2783" s="1" t="s">
        <v>344</v>
      </c>
      <c r="AD2783" s="1" t="s">
        <v>372</v>
      </c>
      <c r="AE2783" s="1" t="s">
        <v>373</v>
      </c>
      <c r="AF2783" s="1" t="s">
        <v>107</v>
      </c>
      <c r="AG2783" s="1">
        <v>49</v>
      </c>
      <c r="AO2783" s="2">
        <v>46282</v>
      </c>
      <c r="AP2783" s="1" t="s">
        <v>845</v>
      </c>
      <c r="AS2783" s="1" t="s">
        <v>71</v>
      </c>
      <c r="AU2783" s="1" t="s">
        <v>72</v>
      </c>
      <c r="AV2783" s="1" t="s">
        <v>126</v>
      </c>
      <c r="AX2783" s="1">
        <v>0</v>
      </c>
      <c r="BA2783" s="1">
        <v>9</v>
      </c>
      <c r="BB2783" s="1">
        <v>0</v>
      </c>
      <c r="BC2783" s="1">
        <v>0</v>
      </c>
      <c r="BE2783" s="1">
        <v>27432060</v>
      </c>
    </row>
    <row r="2784" spans="1:57" x14ac:dyDescent="0.25">
      <c r="A2784" s="1" t="str">
        <f>T("1947306317417486384")</f>
        <v>1947306317417486384</v>
      </c>
      <c r="B2784" s="1" t="str">
        <f>T("249901677100")</f>
        <v>249901677100</v>
      </c>
      <c r="C2784" s="1" t="str">
        <f>T("1941094532510648944")</f>
        <v>1941094532510648944</v>
      </c>
      <c r="AC2784" s="1" t="s">
        <v>344</v>
      </c>
      <c r="AD2784" s="1" t="s">
        <v>372</v>
      </c>
      <c r="AE2784" s="1" t="s">
        <v>813</v>
      </c>
      <c r="AF2784" s="1" t="s">
        <v>107</v>
      </c>
      <c r="AG2784" s="1">
        <v>40</v>
      </c>
      <c r="AO2784" s="2">
        <v>46282</v>
      </c>
      <c r="AP2784" s="1" t="s">
        <v>845</v>
      </c>
      <c r="AS2784" s="1" t="s">
        <v>71</v>
      </c>
      <c r="AU2784" s="1" t="s">
        <v>72</v>
      </c>
      <c r="AV2784" s="1" t="s">
        <v>126</v>
      </c>
      <c r="AX2784" s="1">
        <v>0</v>
      </c>
      <c r="BA2784" s="1">
        <v>9</v>
      </c>
      <c r="BB2784" s="1">
        <v>0</v>
      </c>
      <c r="BC2784" s="1">
        <v>0</v>
      </c>
      <c r="BE2784" s="1">
        <v>27432060</v>
      </c>
    </row>
    <row r="2785" spans="1:57" x14ac:dyDescent="0.25">
      <c r="A2785" s="1" t="str">
        <f>T("1947306317488789820")</f>
        <v>1947306317488789820</v>
      </c>
      <c r="B2785" s="1" t="str">
        <f>T("249908234937")</f>
        <v>249908234937</v>
      </c>
      <c r="C2785" s="1" t="str">
        <f>T("1941094532510649544")</f>
        <v>1941094532510649544</v>
      </c>
      <c r="AC2785" s="1" t="s">
        <v>344</v>
      </c>
      <c r="AD2785" s="1" t="s">
        <v>441</v>
      </c>
      <c r="AE2785" s="1" t="s">
        <v>530</v>
      </c>
      <c r="AF2785" s="1" t="s">
        <v>107</v>
      </c>
      <c r="AG2785" s="1">
        <v>29</v>
      </c>
      <c r="AO2785" s="2">
        <v>46282</v>
      </c>
      <c r="AP2785" s="1" t="s">
        <v>845</v>
      </c>
      <c r="AS2785" s="1" t="s">
        <v>71</v>
      </c>
      <c r="AU2785" s="1" t="s">
        <v>72</v>
      </c>
      <c r="AV2785" s="1" t="s">
        <v>437</v>
      </c>
      <c r="AX2785" s="1">
        <v>0</v>
      </c>
      <c r="BA2785" s="1">
        <v>9</v>
      </c>
      <c r="BB2785" s="1">
        <v>0</v>
      </c>
      <c r="BC2785" s="1">
        <v>0</v>
      </c>
      <c r="BE2785" s="1">
        <v>27432060</v>
      </c>
    </row>
    <row r="2786" spans="1:57" x14ac:dyDescent="0.25">
      <c r="A2786" s="1" t="str">
        <f>T("1947306317551705140")</f>
        <v>1947306317551705140</v>
      </c>
      <c r="B2786" s="1" t="str">
        <f>T("249962269412")</f>
        <v>249962269412</v>
      </c>
      <c r="C2786" s="1" t="str">
        <f>T("1941094532510650044")</f>
        <v>1941094532510650044</v>
      </c>
      <c r="AC2786" s="1" t="s">
        <v>344</v>
      </c>
      <c r="AD2786" s="1" t="s">
        <v>430</v>
      </c>
      <c r="AE2786" s="1" t="s">
        <v>530</v>
      </c>
      <c r="AF2786" s="1" t="s">
        <v>144</v>
      </c>
      <c r="AG2786" s="1">
        <v>67</v>
      </c>
      <c r="AO2786" s="2">
        <v>46282</v>
      </c>
      <c r="AP2786" s="1" t="s">
        <v>845</v>
      </c>
      <c r="AS2786" s="1" t="s">
        <v>71</v>
      </c>
      <c r="AU2786" s="1" t="s">
        <v>72</v>
      </c>
      <c r="AV2786" s="1" t="s">
        <v>126</v>
      </c>
      <c r="AX2786" s="1">
        <v>0</v>
      </c>
      <c r="BA2786" s="1">
        <v>9</v>
      </c>
      <c r="BB2786" s="1">
        <v>0</v>
      </c>
      <c r="BC2786" s="1">
        <v>0</v>
      </c>
      <c r="BE2786" s="1">
        <v>27432060</v>
      </c>
    </row>
    <row r="2787" spans="1:57" x14ac:dyDescent="0.25">
      <c r="A2787" s="1" t="str">
        <f>T("1947306317623006876")</f>
        <v>1947306317623006876</v>
      </c>
      <c r="B2787" s="1" t="str">
        <f>T("249960117054")</f>
        <v>249960117054</v>
      </c>
      <c r="C2787" s="1" t="str">
        <f>T("1941094532514841552")</f>
        <v>1941094532514841552</v>
      </c>
      <c r="AC2787" s="1" t="s">
        <v>344</v>
      </c>
      <c r="AD2787" s="1" t="s">
        <v>430</v>
      </c>
      <c r="AE2787" s="1" t="s">
        <v>530</v>
      </c>
      <c r="AF2787" s="1" t="s">
        <v>107</v>
      </c>
      <c r="AG2787" s="1">
        <v>31</v>
      </c>
      <c r="AO2787" s="2">
        <v>46282</v>
      </c>
      <c r="AP2787" s="1" t="s">
        <v>845</v>
      </c>
      <c r="AS2787" s="1" t="s">
        <v>71</v>
      </c>
      <c r="AU2787" s="1" t="s">
        <v>72</v>
      </c>
      <c r="AV2787" s="1" t="s">
        <v>126</v>
      </c>
      <c r="AX2787" s="1">
        <v>0</v>
      </c>
      <c r="BA2787" s="1">
        <v>9</v>
      </c>
      <c r="BB2787" s="1">
        <v>0</v>
      </c>
      <c r="BC2787" s="1">
        <v>0</v>
      </c>
      <c r="BE2787" s="1">
        <v>27432060</v>
      </c>
    </row>
    <row r="2788" spans="1:57" x14ac:dyDescent="0.25">
      <c r="A2788" s="1" t="str">
        <f>T("1947306317732060584")</f>
        <v>1947306317732060584</v>
      </c>
      <c r="B2788" s="1" t="str">
        <f>T("249906289225")</f>
        <v>249906289225</v>
      </c>
      <c r="C2788" s="1" t="str">
        <f>T("1941094532514842052")</f>
        <v>1941094532514842052</v>
      </c>
      <c r="AC2788" s="1" t="s">
        <v>344</v>
      </c>
      <c r="AD2788" s="1" t="s">
        <v>430</v>
      </c>
      <c r="AE2788" s="1" t="s">
        <v>530</v>
      </c>
      <c r="AF2788" s="1" t="s">
        <v>144</v>
      </c>
      <c r="AG2788" s="1">
        <v>32</v>
      </c>
      <c r="AO2788" s="2">
        <v>46282</v>
      </c>
      <c r="AP2788" s="1" t="s">
        <v>845</v>
      </c>
      <c r="AS2788" s="1" t="s">
        <v>71</v>
      </c>
      <c r="AU2788" s="1" t="s">
        <v>72</v>
      </c>
      <c r="AV2788" s="1" t="s">
        <v>126</v>
      </c>
      <c r="AX2788" s="1">
        <v>0</v>
      </c>
      <c r="BA2788" s="1">
        <v>9</v>
      </c>
      <c r="BB2788" s="1">
        <v>0</v>
      </c>
      <c r="BC2788" s="1">
        <v>0</v>
      </c>
      <c r="BE2788" s="1">
        <v>27432060</v>
      </c>
    </row>
    <row r="2789" spans="1:57" x14ac:dyDescent="0.25">
      <c r="A2789" s="1" t="str">
        <f>T("1947306317794975204")</f>
        <v>1947306317794975204</v>
      </c>
      <c r="B2789" s="1" t="str">
        <f>T("249968647273")</f>
        <v>249968647273</v>
      </c>
      <c r="C2789" s="1" t="str">
        <f>T("1941094532514842552")</f>
        <v>1941094532514842552</v>
      </c>
      <c r="AC2789" s="1" t="s">
        <v>344</v>
      </c>
      <c r="AD2789" s="1" t="s">
        <v>430</v>
      </c>
      <c r="AE2789" s="1" t="s">
        <v>530</v>
      </c>
      <c r="AF2789" s="1" t="s">
        <v>144</v>
      </c>
      <c r="AG2789" s="1">
        <v>45</v>
      </c>
      <c r="AO2789" s="2">
        <v>46282</v>
      </c>
      <c r="AP2789" s="1" t="s">
        <v>845</v>
      </c>
      <c r="AS2789" s="1" t="s">
        <v>71</v>
      </c>
      <c r="AU2789" s="1" t="s">
        <v>72</v>
      </c>
      <c r="AV2789" s="1" t="s">
        <v>437</v>
      </c>
      <c r="AX2789" s="1">
        <v>0</v>
      </c>
      <c r="BA2789" s="1">
        <v>9</v>
      </c>
      <c r="BB2789" s="1">
        <v>0</v>
      </c>
      <c r="BC2789" s="1">
        <v>0</v>
      </c>
      <c r="BE2789" s="1">
        <v>27432060</v>
      </c>
    </row>
    <row r="2790" spans="1:57" x14ac:dyDescent="0.25">
      <c r="A2790" s="1" t="str">
        <f>T("1947306317899830204")</f>
        <v>1947306317899830204</v>
      </c>
      <c r="B2790" s="1" t="str">
        <f>T("249966477077")</f>
        <v>249966477077</v>
      </c>
      <c r="C2790" s="1" t="str">
        <f>T("1941094532514843152")</f>
        <v>1941094532514843152</v>
      </c>
      <c r="AC2790" s="1" t="s">
        <v>344</v>
      </c>
      <c r="AD2790" s="1" t="s">
        <v>441</v>
      </c>
      <c r="AE2790" s="1" t="s">
        <v>530</v>
      </c>
      <c r="AF2790" s="1" t="s">
        <v>107</v>
      </c>
      <c r="AG2790" s="1">
        <v>27</v>
      </c>
      <c r="AO2790" s="2">
        <v>46282</v>
      </c>
      <c r="AP2790" s="1" t="s">
        <v>845</v>
      </c>
      <c r="AS2790" s="1" t="s">
        <v>71</v>
      </c>
      <c r="AU2790" s="1" t="s">
        <v>72</v>
      </c>
      <c r="AV2790" s="1" t="s">
        <v>73</v>
      </c>
      <c r="AX2790" s="1">
        <v>0</v>
      </c>
      <c r="BA2790" s="1">
        <v>9</v>
      </c>
      <c r="BB2790" s="1">
        <v>0</v>
      </c>
      <c r="BC2790" s="1">
        <v>0</v>
      </c>
      <c r="BE2790" s="1">
        <v>27432060</v>
      </c>
    </row>
    <row r="2791" spans="1:57" x14ac:dyDescent="0.25">
      <c r="A2791" s="1" t="str">
        <f>T("1947306317962747824")</f>
        <v>1947306317962747824</v>
      </c>
      <c r="B2791" s="1" t="str">
        <f>T("249928471772")</f>
        <v>249928471772</v>
      </c>
      <c r="C2791" s="1" t="str">
        <f>T("1941094532514844152")</f>
        <v>1941094532514844152</v>
      </c>
      <c r="M2791" s="1" t="s">
        <v>133</v>
      </c>
      <c r="N2791" s="1" t="s">
        <v>60</v>
      </c>
      <c r="O2791" s="1" t="s">
        <v>65</v>
      </c>
      <c r="P2791" s="1" t="s">
        <v>83</v>
      </c>
      <c r="Q2791" s="1" t="s">
        <v>112</v>
      </c>
      <c r="R2791" s="1" t="s">
        <v>93</v>
      </c>
      <c r="T2791" s="1" t="s">
        <v>95</v>
      </c>
      <c r="U2791" s="1" t="s">
        <v>65</v>
      </c>
      <c r="V2791" s="1" t="s">
        <v>102</v>
      </c>
      <c r="W2791" s="1" t="s">
        <v>67</v>
      </c>
      <c r="X2791" s="1" t="s">
        <v>66</v>
      </c>
      <c r="Y2791" s="1" t="s">
        <v>85</v>
      </c>
      <c r="AA2791" s="1">
        <v>1</v>
      </c>
      <c r="AB2791" s="1">
        <v>1</v>
      </c>
      <c r="AC2791" s="1" t="s">
        <v>344</v>
      </c>
      <c r="AD2791" s="1" t="s">
        <v>372</v>
      </c>
      <c r="AE2791" s="1" t="s">
        <v>818</v>
      </c>
      <c r="AF2791" s="1" t="s">
        <v>144</v>
      </c>
      <c r="AG2791" s="1">
        <v>67</v>
      </c>
      <c r="AO2791" s="2">
        <v>46282</v>
      </c>
      <c r="AP2791" s="1" t="s">
        <v>845</v>
      </c>
      <c r="AQ2791" s="2">
        <v>46282</v>
      </c>
      <c r="AR2791" s="1" t="s">
        <v>847</v>
      </c>
      <c r="AS2791" s="1" t="s">
        <v>71</v>
      </c>
      <c r="AU2791" s="1" t="s">
        <v>78</v>
      </c>
      <c r="AV2791" s="1" t="s">
        <v>80</v>
      </c>
      <c r="AW2791" s="1">
        <v>226.46</v>
      </c>
      <c r="AX2791" s="1">
        <v>0</v>
      </c>
      <c r="AZ2791" s="1" t="s">
        <v>81</v>
      </c>
      <c r="BA2791" s="1">
        <v>2</v>
      </c>
      <c r="BB2791" s="1">
        <v>0</v>
      </c>
      <c r="BC2791" s="1">
        <v>0</v>
      </c>
      <c r="BE2791" s="1">
        <v>27432060</v>
      </c>
    </row>
    <row r="2792" spans="1:57" x14ac:dyDescent="0.25">
      <c r="A2792" s="1" t="str">
        <f>T("1947306318092768572")</f>
        <v>1947306318092768572</v>
      </c>
      <c r="B2792" s="1" t="str">
        <f>T("249958448363")</f>
        <v>249958448363</v>
      </c>
      <c r="C2792" s="1" t="str">
        <f>T("1941094532519035060")</f>
        <v>1941094532519035060</v>
      </c>
      <c r="AC2792" s="1" t="s">
        <v>344</v>
      </c>
      <c r="AD2792" s="1" t="s">
        <v>372</v>
      </c>
      <c r="AE2792" s="1" t="s">
        <v>818</v>
      </c>
      <c r="AF2792" s="1" t="s">
        <v>144</v>
      </c>
      <c r="AG2792" s="1">
        <v>50</v>
      </c>
      <c r="AO2792" s="2">
        <v>46282</v>
      </c>
      <c r="AP2792" s="1" t="s">
        <v>845</v>
      </c>
      <c r="AS2792" s="1" t="s">
        <v>71</v>
      </c>
      <c r="AU2792" s="1" t="s">
        <v>72</v>
      </c>
      <c r="AV2792" s="1" t="s">
        <v>73</v>
      </c>
      <c r="AX2792" s="1">
        <v>0</v>
      </c>
      <c r="BA2792" s="1">
        <v>9</v>
      </c>
      <c r="BB2792" s="1">
        <v>0</v>
      </c>
      <c r="BC2792" s="1">
        <v>0</v>
      </c>
      <c r="BE2792" s="1">
        <v>27432060</v>
      </c>
    </row>
    <row r="2793" spans="1:57" x14ac:dyDescent="0.25">
      <c r="A2793" s="1" t="str">
        <f>T("1947306318159876400")</f>
        <v>1947306318159876400</v>
      </c>
      <c r="B2793" s="1" t="str">
        <f>T("249968095363")</f>
        <v>249968095363</v>
      </c>
      <c r="C2793" s="1" t="str">
        <f>T("1941094532514843552")</f>
        <v>1941094532514843552</v>
      </c>
      <c r="AC2793" s="1" t="s">
        <v>344</v>
      </c>
      <c r="AD2793" s="1" t="s">
        <v>372</v>
      </c>
      <c r="AE2793" s="1" t="s">
        <v>818</v>
      </c>
      <c r="AF2793" s="1" t="s">
        <v>144</v>
      </c>
      <c r="AG2793" s="1">
        <v>67</v>
      </c>
      <c r="AO2793" s="2">
        <v>46282</v>
      </c>
      <c r="AP2793" s="1" t="s">
        <v>845</v>
      </c>
      <c r="AS2793" s="1" t="s">
        <v>71</v>
      </c>
      <c r="AU2793" s="1" t="s">
        <v>72</v>
      </c>
      <c r="AV2793" s="1" t="s">
        <v>126</v>
      </c>
      <c r="AX2793" s="1">
        <v>0</v>
      </c>
      <c r="BA2793" s="1">
        <v>9</v>
      </c>
      <c r="BB2793" s="1">
        <v>0</v>
      </c>
      <c r="BC2793" s="1">
        <v>0</v>
      </c>
      <c r="BE2793" s="1">
        <v>27432060</v>
      </c>
    </row>
    <row r="2794" spans="1:57" x14ac:dyDescent="0.25">
      <c r="A2794" s="1" t="str">
        <f>T("1947306318268930308")</f>
        <v>1947306318268930308</v>
      </c>
      <c r="B2794" s="1" t="str">
        <f>T("249117544078")</f>
        <v>249117544078</v>
      </c>
      <c r="C2794" s="1" t="str">
        <f>T("1941094532519035560")</f>
        <v>1941094532519035560</v>
      </c>
      <c r="AC2794" s="1" t="s">
        <v>344</v>
      </c>
      <c r="AD2794" s="1" t="s">
        <v>372</v>
      </c>
      <c r="AE2794" s="1" t="s">
        <v>815</v>
      </c>
      <c r="AF2794" s="1" t="s">
        <v>144</v>
      </c>
      <c r="AG2794" s="1">
        <v>55</v>
      </c>
      <c r="AO2794" s="2">
        <v>46282</v>
      </c>
      <c r="AP2794" s="1" t="s">
        <v>845</v>
      </c>
      <c r="AQ2794" s="2">
        <v>46282</v>
      </c>
      <c r="AR2794" s="1" t="s">
        <v>848</v>
      </c>
      <c r="AS2794" s="1" t="s">
        <v>71</v>
      </c>
      <c r="AU2794" s="1" t="s">
        <v>79</v>
      </c>
      <c r="AV2794" s="1" t="s">
        <v>80</v>
      </c>
      <c r="AW2794" s="1">
        <v>12.920999999999999</v>
      </c>
      <c r="AX2794" s="1">
        <v>0</v>
      </c>
      <c r="AZ2794" s="1" t="s">
        <v>81</v>
      </c>
      <c r="BA2794" s="1">
        <v>1</v>
      </c>
      <c r="BB2794" s="1">
        <v>0</v>
      </c>
      <c r="BC2794" s="1">
        <v>0</v>
      </c>
      <c r="BE2794" s="1">
        <v>27432060</v>
      </c>
    </row>
    <row r="2795" spans="1:57" x14ac:dyDescent="0.25">
      <c r="A2795" s="1" t="str">
        <f>T("1947306318340232744")</f>
        <v>1947306318340232744</v>
      </c>
      <c r="B2795" s="1" t="str">
        <f>T("249925953965")</f>
        <v>249925953965</v>
      </c>
      <c r="C2795" s="1" t="str">
        <f>T("1941094532519036060")</f>
        <v>1941094532519036060</v>
      </c>
      <c r="M2795" s="1" t="s">
        <v>59</v>
      </c>
      <c r="O2795" s="1" t="s">
        <v>65</v>
      </c>
      <c r="P2795" s="1" t="s">
        <v>111</v>
      </c>
      <c r="Q2795" s="1" t="s">
        <v>101</v>
      </c>
      <c r="R2795" s="1" t="s">
        <v>84</v>
      </c>
      <c r="S2795" s="1" t="s">
        <v>64</v>
      </c>
      <c r="U2795" s="1" t="s">
        <v>65</v>
      </c>
      <c r="V2795" s="1" t="s">
        <v>66</v>
      </c>
      <c r="W2795" s="1" t="s">
        <v>67</v>
      </c>
      <c r="X2795" s="1" t="s">
        <v>66</v>
      </c>
      <c r="Y2795" s="1" t="s">
        <v>69</v>
      </c>
      <c r="AA2795" s="1">
        <v>1</v>
      </c>
      <c r="AB2795" s="1">
        <v>1</v>
      </c>
      <c r="AC2795" s="1" t="s">
        <v>344</v>
      </c>
      <c r="AD2795" s="1" t="s">
        <v>372</v>
      </c>
      <c r="AE2795" s="1" t="s">
        <v>818</v>
      </c>
      <c r="AF2795" s="1" t="s">
        <v>107</v>
      </c>
      <c r="AG2795" s="1">
        <v>75</v>
      </c>
      <c r="AO2795" s="2">
        <v>46282</v>
      </c>
      <c r="AP2795" s="1" t="s">
        <v>845</v>
      </c>
      <c r="AQ2795" s="2">
        <v>46282</v>
      </c>
      <c r="AR2795" s="1" t="s">
        <v>849</v>
      </c>
      <c r="AS2795" s="1" t="s">
        <v>71</v>
      </c>
      <c r="AU2795" s="1" t="s">
        <v>78</v>
      </c>
      <c r="AV2795" s="1" t="s">
        <v>80</v>
      </c>
      <c r="AW2795" s="1">
        <v>234.26</v>
      </c>
      <c r="AX2795" s="1">
        <v>0</v>
      </c>
      <c r="AZ2795" s="1" t="s">
        <v>81</v>
      </c>
      <c r="BA2795" s="1">
        <v>1</v>
      </c>
      <c r="BB2795" s="1">
        <v>0</v>
      </c>
      <c r="BC2795" s="1">
        <v>0</v>
      </c>
      <c r="BE2795" s="1">
        <v>27432060</v>
      </c>
    </row>
    <row r="2796" spans="1:57" x14ac:dyDescent="0.25">
      <c r="A2796" s="1" t="str">
        <f>T("1947306318352817268")</f>
        <v>1947306318352817268</v>
      </c>
      <c r="B2796" s="1" t="str">
        <f>T("249915051453")</f>
        <v>249915051453</v>
      </c>
      <c r="C2796" s="1" t="str">
        <f>T("1941094532519036460")</f>
        <v>1941094532519036460</v>
      </c>
      <c r="AC2796" s="1" t="s">
        <v>344</v>
      </c>
      <c r="AD2796" s="1" t="s">
        <v>372</v>
      </c>
      <c r="AE2796" s="1" t="s">
        <v>818</v>
      </c>
      <c r="AF2796" s="1" t="s">
        <v>144</v>
      </c>
      <c r="AG2796" s="1">
        <v>35</v>
      </c>
      <c r="AO2796" s="2">
        <v>46282</v>
      </c>
      <c r="AP2796" s="1" t="s">
        <v>845</v>
      </c>
      <c r="AS2796" s="1" t="s">
        <v>71</v>
      </c>
      <c r="AU2796" s="1" t="s">
        <v>72</v>
      </c>
      <c r="AV2796" s="1" t="s">
        <v>73</v>
      </c>
      <c r="AX2796" s="1">
        <v>0</v>
      </c>
      <c r="BA2796" s="1">
        <v>9</v>
      </c>
      <c r="BB2796" s="1">
        <v>0</v>
      </c>
      <c r="BC2796" s="1">
        <v>0</v>
      </c>
      <c r="BE2796" s="1">
        <v>27432060</v>
      </c>
    </row>
    <row r="2797" spans="1:57" x14ac:dyDescent="0.25">
      <c r="A2797" s="1" t="str">
        <f>T("1947306318394760448")</f>
        <v>1947306318394760448</v>
      </c>
      <c r="B2797" s="1" t="str">
        <f>T("249916597349")</f>
        <v>249916597349</v>
      </c>
      <c r="C2797" s="1" t="str">
        <f>T("1941094532519036960")</f>
        <v>1941094532519036960</v>
      </c>
      <c r="AC2797" s="1" t="s">
        <v>344</v>
      </c>
      <c r="AD2797" s="1" t="s">
        <v>430</v>
      </c>
      <c r="AE2797" s="1" t="s">
        <v>530</v>
      </c>
      <c r="AF2797" s="1" t="s">
        <v>144</v>
      </c>
      <c r="AG2797" s="1">
        <v>50</v>
      </c>
      <c r="AO2797" s="2">
        <v>46282</v>
      </c>
      <c r="AP2797" s="1" t="s">
        <v>845</v>
      </c>
      <c r="AS2797" s="1" t="s">
        <v>71</v>
      </c>
      <c r="AU2797" s="1" t="s">
        <v>72</v>
      </c>
      <c r="AV2797" s="1" t="s">
        <v>437</v>
      </c>
      <c r="AX2797" s="1">
        <v>0</v>
      </c>
      <c r="BA2797" s="1">
        <v>9</v>
      </c>
      <c r="BB2797" s="1">
        <v>0</v>
      </c>
      <c r="BC2797" s="1">
        <v>0</v>
      </c>
      <c r="BE2797" s="1">
        <v>27432060</v>
      </c>
    </row>
    <row r="2798" spans="1:57" x14ac:dyDescent="0.25">
      <c r="A2798" s="1" t="str">
        <f>T("1947306318419926096")</f>
        <v>1947306318419926096</v>
      </c>
      <c r="B2798" s="1" t="str">
        <f>T("249918245276")</f>
        <v>249918245276</v>
      </c>
      <c r="C2798" s="1" t="str">
        <f>T("1941094532519037460")</f>
        <v>1941094532519037460</v>
      </c>
      <c r="AC2798" s="1" t="s">
        <v>344</v>
      </c>
      <c r="AD2798" s="1" t="s">
        <v>441</v>
      </c>
      <c r="AE2798" s="1" t="s">
        <v>530</v>
      </c>
      <c r="AF2798" s="1" t="s">
        <v>107</v>
      </c>
      <c r="AG2798" s="1">
        <v>33</v>
      </c>
      <c r="AO2798" s="2">
        <v>46282</v>
      </c>
      <c r="AP2798" s="1" t="s">
        <v>845</v>
      </c>
      <c r="AS2798" s="1" t="s">
        <v>71</v>
      </c>
      <c r="AU2798" s="1" t="s">
        <v>72</v>
      </c>
      <c r="AV2798" s="1" t="s">
        <v>126</v>
      </c>
      <c r="AX2798" s="1">
        <v>0</v>
      </c>
      <c r="BA2798" s="1">
        <v>9</v>
      </c>
      <c r="BB2798" s="1">
        <v>0</v>
      </c>
      <c r="BC2798" s="1">
        <v>0</v>
      </c>
      <c r="BE2798" s="1">
        <v>27432060</v>
      </c>
    </row>
    <row r="2799" spans="1:57" x14ac:dyDescent="0.25">
      <c r="A2799" s="1" t="str">
        <f>T("1947306318457673468")</f>
        <v>1947306318457673468</v>
      </c>
      <c r="B2799" s="1" t="str">
        <f>T("24996976332")</f>
        <v>24996976332</v>
      </c>
      <c r="C2799" s="1" t="str">
        <f>T("1941094532519037860")</f>
        <v>1941094532519037860</v>
      </c>
      <c r="AC2799" s="1" t="s">
        <v>344</v>
      </c>
      <c r="AD2799" s="1" t="s">
        <v>441</v>
      </c>
      <c r="AE2799" s="1" t="s">
        <v>530</v>
      </c>
      <c r="AF2799" s="1" t="s">
        <v>144</v>
      </c>
      <c r="AG2799" s="1">
        <v>35</v>
      </c>
      <c r="AO2799" s="2">
        <v>46282</v>
      </c>
      <c r="AP2799" s="1" t="s">
        <v>845</v>
      </c>
      <c r="AS2799" s="1" t="s">
        <v>71</v>
      </c>
      <c r="AU2799" s="1" t="s">
        <v>72</v>
      </c>
      <c r="AV2799" s="1" t="s">
        <v>73</v>
      </c>
      <c r="AX2799" s="1">
        <v>0</v>
      </c>
      <c r="BA2799" s="1">
        <v>9</v>
      </c>
      <c r="BB2799" s="1">
        <v>0</v>
      </c>
      <c r="BC2799" s="1">
        <v>0</v>
      </c>
      <c r="BE2799" s="1">
        <v>27432060</v>
      </c>
    </row>
    <row r="2800" spans="1:57" x14ac:dyDescent="0.25">
      <c r="A2800" s="1" t="str">
        <f>T("1947306318508005964")</f>
        <v>1947306318508005964</v>
      </c>
      <c r="B2800" s="1" t="str">
        <f>T("249962866331")</f>
        <v>249962866331</v>
      </c>
      <c r="C2800" s="1" t="str">
        <f>T("1941094532519038960")</f>
        <v>1941094532519038960</v>
      </c>
      <c r="AC2800" s="1" t="s">
        <v>344</v>
      </c>
      <c r="AD2800" s="1" t="s">
        <v>430</v>
      </c>
      <c r="AE2800" s="1" t="s">
        <v>530</v>
      </c>
      <c r="AF2800" s="1" t="s">
        <v>107</v>
      </c>
      <c r="AG2800" s="1">
        <v>28</v>
      </c>
      <c r="AO2800" s="2">
        <v>46282</v>
      </c>
      <c r="AP2800" s="1" t="s">
        <v>845</v>
      </c>
      <c r="AS2800" s="1" t="s">
        <v>71</v>
      </c>
      <c r="AU2800" s="1" t="s">
        <v>72</v>
      </c>
      <c r="AV2800" s="1" t="s">
        <v>73</v>
      </c>
      <c r="AX2800" s="1">
        <v>0</v>
      </c>
      <c r="BA2800" s="1">
        <v>9</v>
      </c>
      <c r="BB2800" s="1">
        <v>0</v>
      </c>
      <c r="BC2800" s="1">
        <v>0</v>
      </c>
      <c r="BE2800" s="1">
        <v>27432060</v>
      </c>
    </row>
    <row r="2801" spans="1:57" x14ac:dyDescent="0.25">
      <c r="A2801" s="1" t="str">
        <f>T("1947306318512200072")</f>
        <v>1947306318512200072</v>
      </c>
      <c r="B2801" s="1" t="str">
        <f>T("249961747572")</f>
        <v>249961747572</v>
      </c>
      <c r="C2801" s="1" t="str">
        <f>T("1941094532519038460")</f>
        <v>1941094532519038460</v>
      </c>
      <c r="AC2801" s="1" t="s">
        <v>344</v>
      </c>
      <c r="AD2801" s="1" t="s">
        <v>441</v>
      </c>
      <c r="AE2801" s="1" t="s">
        <v>530</v>
      </c>
      <c r="AF2801" s="1" t="s">
        <v>144</v>
      </c>
      <c r="AG2801" s="1">
        <v>50</v>
      </c>
      <c r="AO2801" s="2">
        <v>46282</v>
      </c>
      <c r="AP2801" s="1" t="s">
        <v>845</v>
      </c>
      <c r="AS2801" s="1" t="s">
        <v>71</v>
      </c>
      <c r="AU2801" s="1" t="s">
        <v>72</v>
      </c>
      <c r="AV2801" s="1" t="s">
        <v>437</v>
      </c>
      <c r="AX2801" s="1">
        <v>0</v>
      </c>
      <c r="BA2801" s="1">
        <v>9</v>
      </c>
      <c r="BB2801" s="1">
        <v>0</v>
      </c>
      <c r="BC2801" s="1">
        <v>0</v>
      </c>
      <c r="BE2801" s="1">
        <v>27432060</v>
      </c>
    </row>
    <row r="2802" spans="1:57" x14ac:dyDescent="0.25">
      <c r="A2802" s="1" t="str">
        <f>T("1947306318566723876")</f>
        <v>1947306318566723876</v>
      </c>
      <c r="B2802" s="1" t="str">
        <f>T("249969460267")</f>
        <v>249969460267</v>
      </c>
      <c r="C2802" s="1" t="str">
        <f>T("1941094532523229568")</f>
        <v>1941094532523229568</v>
      </c>
      <c r="AC2802" s="1" t="s">
        <v>344</v>
      </c>
      <c r="AD2802" s="1" t="s">
        <v>372</v>
      </c>
      <c r="AE2802" s="1" t="s">
        <v>813</v>
      </c>
      <c r="AF2802" s="1" t="s">
        <v>144</v>
      </c>
      <c r="AG2802" s="1">
        <v>24</v>
      </c>
      <c r="AO2802" s="2">
        <v>46282</v>
      </c>
      <c r="AP2802" s="1" t="s">
        <v>845</v>
      </c>
      <c r="AS2802" s="1" t="s">
        <v>71</v>
      </c>
      <c r="AU2802" s="1" t="s">
        <v>72</v>
      </c>
      <c r="AV2802" s="1" t="s">
        <v>126</v>
      </c>
      <c r="AX2802" s="1">
        <v>0</v>
      </c>
      <c r="BA2802" s="1">
        <v>9</v>
      </c>
      <c r="BB2802" s="1">
        <v>0</v>
      </c>
      <c r="BC2802" s="1">
        <v>0</v>
      </c>
      <c r="BE2802" s="1">
        <v>27432060</v>
      </c>
    </row>
    <row r="2803" spans="1:57" x14ac:dyDescent="0.25">
      <c r="A2803" s="1" t="str">
        <f>T("1947306318587696316")</f>
        <v>1947306318587696316</v>
      </c>
      <c r="B2803" s="1" t="str">
        <f>T("249918913868")</f>
        <v>249918913868</v>
      </c>
      <c r="C2803" s="1" t="str">
        <f>T("1941094532523230068")</f>
        <v>1941094532523230068</v>
      </c>
      <c r="AC2803" s="1" t="s">
        <v>344</v>
      </c>
      <c r="AD2803" s="1" t="s">
        <v>430</v>
      </c>
      <c r="AE2803" s="1" t="s">
        <v>530</v>
      </c>
      <c r="AF2803" s="1" t="s">
        <v>107</v>
      </c>
      <c r="AG2803" s="1">
        <v>33</v>
      </c>
      <c r="AO2803" s="2">
        <v>46282</v>
      </c>
      <c r="AP2803" s="1" t="s">
        <v>845</v>
      </c>
      <c r="AS2803" s="1" t="s">
        <v>71</v>
      </c>
      <c r="AU2803" s="1" t="s">
        <v>72</v>
      </c>
      <c r="AV2803" s="1" t="s">
        <v>126</v>
      </c>
      <c r="AX2803" s="1">
        <v>0</v>
      </c>
      <c r="BA2803" s="1">
        <v>9</v>
      </c>
      <c r="BB2803" s="1">
        <v>0</v>
      </c>
      <c r="BC2803" s="1">
        <v>0</v>
      </c>
      <c r="BE2803" s="1">
        <v>27432060</v>
      </c>
    </row>
    <row r="2804" spans="1:57" x14ac:dyDescent="0.25">
      <c r="A2804" s="1" t="str">
        <f>T("1947306318642221820")</f>
        <v>1947306318642221820</v>
      </c>
      <c r="B2804" s="1" t="str">
        <f>T("249914097052")</f>
        <v>249914097052</v>
      </c>
      <c r="C2804" s="1" t="str">
        <f>T("1941094532523230468")</f>
        <v>1941094532523230468</v>
      </c>
      <c r="AC2804" s="1" t="s">
        <v>344</v>
      </c>
      <c r="AD2804" s="1" t="s">
        <v>441</v>
      </c>
      <c r="AE2804" s="1" t="s">
        <v>530</v>
      </c>
      <c r="AF2804" s="1" t="s">
        <v>107</v>
      </c>
      <c r="AG2804" s="1">
        <v>55</v>
      </c>
      <c r="AO2804" s="2">
        <v>46282</v>
      </c>
      <c r="AP2804" s="1" t="s">
        <v>845</v>
      </c>
      <c r="AS2804" s="1" t="s">
        <v>71</v>
      </c>
      <c r="AU2804" s="1" t="s">
        <v>72</v>
      </c>
      <c r="AV2804" s="1" t="s">
        <v>126</v>
      </c>
      <c r="AX2804" s="1">
        <v>0</v>
      </c>
      <c r="BA2804" s="1">
        <v>9</v>
      </c>
      <c r="BB2804" s="1">
        <v>0</v>
      </c>
      <c r="BC2804" s="1">
        <v>0</v>
      </c>
      <c r="BE2804" s="1">
        <v>27432060</v>
      </c>
    </row>
    <row r="2805" spans="1:57" x14ac:dyDescent="0.25">
      <c r="A2805" s="1" t="str">
        <f>T("1947306318650611936")</f>
        <v>1947306318650611936</v>
      </c>
      <c r="B2805" s="1" t="str">
        <f>T("249913879117")</f>
        <v>249913879117</v>
      </c>
      <c r="C2805" s="1" t="str">
        <f>T("1941094532523230868")</f>
        <v>1941094532523230868</v>
      </c>
      <c r="AC2805" s="1" t="s">
        <v>344</v>
      </c>
      <c r="AD2805" s="1" t="s">
        <v>357</v>
      </c>
      <c r="AE2805" s="1" t="s">
        <v>817</v>
      </c>
      <c r="AF2805" s="1" t="s">
        <v>107</v>
      </c>
      <c r="AG2805" s="1">
        <v>41</v>
      </c>
      <c r="AO2805" s="2">
        <v>46282</v>
      </c>
      <c r="AP2805" s="1" t="s">
        <v>845</v>
      </c>
      <c r="AS2805" s="1" t="s">
        <v>71</v>
      </c>
      <c r="AU2805" s="1" t="s">
        <v>72</v>
      </c>
      <c r="AV2805" s="1" t="s">
        <v>126</v>
      </c>
      <c r="AX2805" s="1">
        <v>0</v>
      </c>
      <c r="BA2805" s="1">
        <v>9</v>
      </c>
      <c r="BB2805" s="1">
        <v>0</v>
      </c>
      <c r="BC2805" s="1">
        <v>0</v>
      </c>
      <c r="BE2805" s="1">
        <v>27432060</v>
      </c>
    </row>
    <row r="2806" spans="1:57" x14ac:dyDescent="0.25">
      <c r="A2806" s="1" t="str">
        <f>T("1947306318721916872")</f>
        <v>1947306318721916872</v>
      </c>
      <c r="B2806" s="1" t="str">
        <f>T("249999324765")</f>
        <v>249999324765</v>
      </c>
      <c r="C2806" s="1" t="str">
        <f>T("1941094532523231268")</f>
        <v>1941094532523231268</v>
      </c>
      <c r="AC2806" s="1" t="s">
        <v>344</v>
      </c>
      <c r="AD2806" s="1" t="s">
        <v>372</v>
      </c>
      <c r="AE2806" s="1" t="s">
        <v>820</v>
      </c>
      <c r="AF2806" s="1" t="s">
        <v>144</v>
      </c>
      <c r="AG2806" s="1">
        <v>29</v>
      </c>
      <c r="AO2806" s="2">
        <v>46282</v>
      </c>
      <c r="AP2806" s="1" t="s">
        <v>845</v>
      </c>
      <c r="AS2806" s="1" t="s">
        <v>71</v>
      </c>
      <c r="AU2806" s="1" t="s">
        <v>72</v>
      </c>
      <c r="AV2806" s="1" t="s">
        <v>73</v>
      </c>
      <c r="AX2806" s="1">
        <v>0</v>
      </c>
      <c r="BA2806" s="1">
        <v>9</v>
      </c>
      <c r="BB2806" s="1">
        <v>0</v>
      </c>
      <c r="BC2806" s="1">
        <v>0</v>
      </c>
      <c r="BE2806" s="1">
        <v>27432060</v>
      </c>
    </row>
    <row r="2807" spans="1:57" x14ac:dyDescent="0.25">
      <c r="A2807" s="1" t="str">
        <f>T("1947306318742888212")</f>
        <v>1947306318742888212</v>
      </c>
      <c r="B2807" s="1" t="str">
        <f>T("249909330669")</f>
        <v>249909330669</v>
      </c>
      <c r="C2807" s="1" t="str">
        <f>T("1941094532527426776")</f>
        <v>1941094532527426776</v>
      </c>
      <c r="AC2807" s="1" t="s">
        <v>344</v>
      </c>
      <c r="AD2807" s="1" t="s">
        <v>441</v>
      </c>
      <c r="AE2807" s="1" t="s">
        <v>530</v>
      </c>
      <c r="AF2807" s="1" t="s">
        <v>107</v>
      </c>
      <c r="AG2807" s="1">
        <v>59</v>
      </c>
      <c r="AO2807" s="2">
        <v>46282</v>
      </c>
      <c r="AP2807" s="1" t="s">
        <v>845</v>
      </c>
      <c r="AS2807" s="1" t="s">
        <v>71</v>
      </c>
      <c r="AU2807" s="1" t="s">
        <v>72</v>
      </c>
      <c r="AV2807" s="1" t="s">
        <v>73</v>
      </c>
      <c r="AX2807" s="1">
        <v>0</v>
      </c>
      <c r="BA2807" s="1">
        <v>9</v>
      </c>
      <c r="BB2807" s="1">
        <v>0</v>
      </c>
      <c r="BC2807" s="1">
        <v>0</v>
      </c>
      <c r="BE2807" s="1">
        <v>27432060</v>
      </c>
    </row>
    <row r="2808" spans="1:57" x14ac:dyDescent="0.25">
      <c r="A2808" s="1" t="str">
        <f>T("1947306318793218508")</f>
        <v>1947306318793218508</v>
      </c>
      <c r="B2808" s="1" t="str">
        <f>T("249960868070")</f>
        <v>249960868070</v>
      </c>
      <c r="C2808" s="1" t="str">
        <f>T("1941094532531617884")</f>
        <v>1941094532531617884</v>
      </c>
      <c r="AC2808" s="1" t="s">
        <v>344</v>
      </c>
      <c r="AD2808" s="1" t="s">
        <v>430</v>
      </c>
      <c r="AE2808" s="1" t="s">
        <v>530</v>
      </c>
      <c r="AF2808" s="1" t="s">
        <v>107</v>
      </c>
      <c r="AG2808" s="1">
        <v>28</v>
      </c>
      <c r="AO2808" s="2">
        <v>46282</v>
      </c>
      <c r="AP2808" s="1" t="s">
        <v>845</v>
      </c>
      <c r="AS2808" s="1" t="s">
        <v>71</v>
      </c>
      <c r="AU2808" s="1" t="s">
        <v>72</v>
      </c>
      <c r="AV2808" s="1" t="s">
        <v>73</v>
      </c>
      <c r="AX2808" s="1">
        <v>0</v>
      </c>
      <c r="BA2808" s="1">
        <v>9</v>
      </c>
      <c r="BB2808" s="1">
        <v>0</v>
      </c>
      <c r="BC2808" s="1">
        <v>0</v>
      </c>
      <c r="BE2808" s="1">
        <v>27432060</v>
      </c>
    </row>
    <row r="2809" spans="1:57" x14ac:dyDescent="0.25">
      <c r="A2809" s="1" t="str">
        <f>T("1947306318839354096")</f>
        <v>1947306318839354096</v>
      </c>
      <c r="B2809" s="1" t="str">
        <f>T("249121721826")</f>
        <v>249121721826</v>
      </c>
      <c r="C2809" s="1" t="str">
        <f>T("1941094532531619084")</f>
        <v>1941094532531619084</v>
      </c>
      <c r="AA2809" s="1">
        <v>1</v>
      </c>
      <c r="AC2809" s="1" t="s">
        <v>344</v>
      </c>
      <c r="AD2809" s="1" t="s">
        <v>372</v>
      </c>
      <c r="AE2809" s="1" t="s">
        <v>818</v>
      </c>
      <c r="AF2809" s="1" t="s">
        <v>144</v>
      </c>
      <c r="AG2809" s="1">
        <v>52</v>
      </c>
      <c r="AO2809" s="2">
        <v>46282</v>
      </c>
      <c r="AP2809" s="1" t="s">
        <v>845</v>
      </c>
      <c r="AQ2809" s="2">
        <v>46282</v>
      </c>
      <c r="AR2809" s="1" t="s">
        <v>849</v>
      </c>
      <c r="AS2809" s="1" t="s">
        <v>71</v>
      </c>
      <c r="AU2809" s="1" t="s">
        <v>78</v>
      </c>
      <c r="AV2809" s="1" t="s">
        <v>80</v>
      </c>
      <c r="AW2809" s="1">
        <v>134.56</v>
      </c>
      <c r="AX2809" s="1">
        <v>0</v>
      </c>
      <c r="AZ2809" s="1" t="s">
        <v>81</v>
      </c>
      <c r="BA2809" s="1">
        <v>1</v>
      </c>
      <c r="BB2809" s="1">
        <v>0</v>
      </c>
      <c r="BC2809" s="1">
        <v>0</v>
      </c>
      <c r="BE2809" s="1">
        <v>27432060</v>
      </c>
    </row>
    <row r="2810" spans="1:57" x14ac:dyDescent="0.25">
      <c r="A2810" s="1" t="str">
        <f>T("1947306318839354596")</f>
        <v>1947306318839354596</v>
      </c>
      <c r="B2810" s="1" t="str">
        <f>T("249901971768")</f>
        <v>249901971768</v>
      </c>
      <c r="C2810" s="1" t="str">
        <f>T("1941094532531618384")</f>
        <v>1941094532531618384</v>
      </c>
      <c r="AC2810" s="1" t="s">
        <v>344</v>
      </c>
      <c r="AD2810" s="1" t="s">
        <v>430</v>
      </c>
      <c r="AE2810" s="1" t="s">
        <v>530</v>
      </c>
      <c r="AF2810" s="1" t="s">
        <v>107</v>
      </c>
      <c r="AG2810" s="1">
        <v>40</v>
      </c>
      <c r="AO2810" s="2">
        <v>46282</v>
      </c>
      <c r="AP2810" s="1" t="s">
        <v>845</v>
      </c>
      <c r="AS2810" s="1" t="s">
        <v>71</v>
      </c>
      <c r="AU2810" s="1" t="s">
        <v>72</v>
      </c>
      <c r="AV2810" s="1" t="s">
        <v>437</v>
      </c>
      <c r="AX2810" s="1">
        <v>0</v>
      </c>
      <c r="BA2810" s="1">
        <v>9</v>
      </c>
      <c r="BB2810" s="1">
        <v>0</v>
      </c>
      <c r="BC2810" s="1">
        <v>0</v>
      </c>
      <c r="BE2810" s="1">
        <v>27432060</v>
      </c>
    </row>
    <row r="2811" spans="1:57" x14ac:dyDescent="0.25">
      <c r="A2811" s="1" t="str">
        <f>T("1947306318885493884")</f>
        <v>1947306318885493884</v>
      </c>
      <c r="B2811" s="1" t="str">
        <f>T("249915997611")</f>
        <v>249915997611</v>
      </c>
      <c r="C2811" s="1" t="str">
        <f>T("1941094532531619484")</f>
        <v>1941094532531619484</v>
      </c>
      <c r="AC2811" s="1" t="s">
        <v>344</v>
      </c>
      <c r="AD2811" s="1" t="s">
        <v>357</v>
      </c>
      <c r="AE2811" s="1" t="s">
        <v>812</v>
      </c>
      <c r="AF2811" s="1" t="s">
        <v>107</v>
      </c>
      <c r="AG2811" s="1">
        <v>31</v>
      </c>
      <c r="AO2811" s="2">
        <v>46282</v>
      </c>
      <c r="AP2811" s="1" t="s">
        <v>845</v>
      </c>
      <c r="AS2811" s="1" t="s">
        <v>71</v>
      </c>
      <c r="AU2811" s="1" t="s">
        <v>72</v>
      </c>
      <c r="AV2811" s="1" t="s">
        <v>73</v>
      </c>
      <c r="AX2811" s="1">
        <v>0</v>
      </c>
      <c r="BA2811" s="1">
        <v>9</v>
      </c>
      <c r="BB2811" s="1">
        <v>0</v>
      </c>
      <c r="BC2811" s="1">
        <v>0</v>
      </c>
      <c r="BE2811" s="1">
        <v>27432060</v>
      </c>
    </row>
    <row r="2812" spans="1:57" x14ac:dyDescent="0.25">
      <c r="A2812" s="1" t="str">
        <f>T("1947306318923242256")</f>
        <v>1947306318923242256</v>
      </c>
      <c r="B2812" s="1" t="str">
        <f>T("249911653598")</f>
        <v>249911653598</v>
      </c>
      <c r="C2812" s="1" t="str">
        <f>T("1941094532531620784")</f>
        <v>1941094532531620784</v>
      </c>
      <c r="AC2812" s="1" t="s">
        <v>344</v>
      </c>
      <c r="AD2812" s="1" t="s">
        <v>372</v>
      </c>
      <c r="AE2812" s="1" t="s">
        <v>813</v>
      </c>
      <c r="AF2812" s="1" t="s">
        <v>144</v>
      </c>
      <c r="AG2812" s="1">
        <v>40</v>
      </c>
      <c r="AO2812" s="2">
        <v>46282</v>
      </c>
      <c r="AP2812" s="1" t="s">
        <v>845</v>
      </c>
      <c r="AS2812" s="1" t="s">
        <v>71</v>
      </c>
      <c r="AU2812" s="1" t="s">
        <v>72</v>
      </c>
      <c r="AV2812" s="1" t="s">
        <v>437</v>
      </c>
      <c r="AX2812" s="1">
        <v>0</v>
      </c>
      <c r="BA2812" s="1">
        <v>9</v>
      </c>
      <c r="BB2812" s="1">
        <v>0</v>
      </c>
      <c r="BC2812" s="1">
        <v>0</v>
      </c>
      <c r="BE2812" s="1">
        <v>27432060</v>
      </c>
    </row>
    <row r="2813" spans="1:57" x14ac:dyDescent="0.25">
      <c r="A2813" s="1" t="str">
        <f>T("1947306318981960568")</f>
        <v>1947306318981960568</v>
      </c>
      <c r="B2813" s="1" t="str">
        <f>T("249117372853")</f>
        <v>249117372853</v>
      </c>
      <c r="C2813" s="1" t="str">
        <f>T("1941094532531621584")</f>
        <v>1941094532531621584</v>
      </c>
      <c r="AA2813" s="1">
        <v>1</v>
      </c>
      <c r="AC2813" s="1" t="s">
        <v>344</v>
      </c>
      <c r="AD2813" s="1" t="s">
        <v>372</v>
      </c>
      <c r="AE2813" s="1" t="s">
        <v>814</v>
      </c>
      <c r="AF2813" s="1" t="s">
        <v>144</v>
      </c>
      <c r="AG2813" s="1">
        <v>33</v>
      </c>
      <c r="AO2813" s="2">
        <v>46282</v>
      </c>
      <c r="AP2813" s="1" t="s">
        <v>845</v>
      </c>
      <c r="AQ2813" s="2">
        <v>46282</v>
      </c>
      <c r="AR2813" s="1" t="s">
        <v>850</v>
      </c>
      <c r="AS2813" s="1" t="s">
        <v>71</v>
      </c>
      <c r="AU2813" s="1" t="s">
        <v>79</v>
      </c>
      <c r="AV2813" s="1" t="s">
        <v>80</v>
      </c>
      <c r="AW2813" s="1">
        <v>77.72</v>
      </c>
      <c r="AX2813" s="1">
        <v>0</v>
      </c>
      <c r="AZ2813" s="1" t="s">
        <v>81</v>
      </c>
      <c r="BA2813" s="1">
        <v>4</v>
      </c>
      <c r="BB2813" s="1">
        <v>0</v>
      </c>
      <c r="BC2813" s="1">
        <v>0</v>
      </c>
      <c r="BE2813" s="1">
        <v>27432060</v>
      </c>
    </row>
    <row r="2814" spans="1:57" x14ac:dyDescent="0.25">
      <c r="A2814" s="1" t="str">
        <f>T("1947306318990351184")</f>
        <v>1947306318990351184</v>
      </c>
      <c r="B2814" s="1" t="str">
        <f>T("249964621143")</f>
        <v>249964621143</v>
      </c>
      <c r="C2814" s="1" t="str">
        <f>T("1941094532535812292")</f>
        <v>1941094532535812292</v>
      </c>
      <c r="AC2814" s="1" t="s">
        <v>344</v>
      </c>
      <c r="AD2814" s="1" t="s">
        <v>430</v>
      </c>
      <c r="AE2814" s="1" t="s">
        <v>530</v>
      </c>
      <c r="AF2814" s="1" t="s">
        <v>144</v>
      </c>
      <c r="AG2814" s="1">
        <v>35</v>
      </c>
      <c r="AO2814" s="2">
        <v>46282</v>
      </c>
      <c r="AP2814" s="1" t="s">
        <v>845</v>
      </c>
      <c r="AS2814" s="1" t="s">
        <v>71</v>
      </c>
      <c r="AU2814" s="1" t="s">
        <v>72</v>
      </c>
      <c r="AV2814" s="1" t="s">
        <v>126</v>
      </c>
      <c r="AX2814" s="1">
        <v>0</v>
      </c>
      <c r="BA2814" s="1">
        <v>9</v>
      </c>
      <c r="BB2814" s="1">
        <v>0</v>
      </c>
      <c r="BC2814" s="1">
        <v>0</v>
      </c>
      <c r="BE2814" s="1">
        <v>27432060</v>
      </c>
    </row>
    <row r="2815" spans="1:57" x14ac:dyDescent="0.25">
      <c r="A2815" s="1" t="str">
        <f>T("1947306319036487772")</f>
        <v>1947306319036487772</v>
      </c>
      <c r="B2815" s="1" t="str">
        <f>T("249908639339")</f>
        <v>249908639339</v>
      </c>
      <c r="C2815" s="1" t="str">
        <f>T("1941094532535813092")</f>
        <v>1941094532535813092</v>
      </c>
      <c r="AC2815" s="1" t="s">
        <v>344</v>
      </c>
      <c r="AD2815" s="1" t="s">
        <v>441</v>
      </c>
      <c r="AE2815" s="1" t="s">
        <v>530</v>
      </c>
      <c r="AF2815" s="1" t="s">
        <v>144</v>
      </c>
      <c r="AG2815" s="1">
        <v>45</v>
      </c>
      <c r="AO2815" s="2">
        <v>46282</v>
      </c>
      <c r="AP2815" s="1" t="s">
        <v>845</v>
      </c>
      <c r="AS2815" s="1" t="s">
        <v>71</v>
      </c>
      <c r="AU2815" s="1" t="s">
        <v>72</v>
      </c>
      <c r="AV2815" s="1" t="s">
        <v>73</v>
      </c>
      <c r="AX2815" s="1">
        <v>0</v>
      </c>
      <c r="BA2815" s="1">
        <v>9</v>
      </c>
      <c r="BB2815" s="1">
        <v>0</v>
      </c>
      <c r="BC2815" s="1">
        <v>0</v>
      </c>
      <c r="BE2815" s="1">
        <v>27432060</v>
      </c>
    </row>
    <row r="2816" spans="1:57" x14ac:dyDescent="0.25">
      <c r="A2816" s="1" t="str">
        <f>T("1947306319040681280")</f>
        <v>1947306319040681280</v>
      </c>
      <c r="B2816" s="1" t="str">
        <f>T("249961821150")</f>
        <v>249961821150</v>
      </c>
      <c r="C2816" s="1" t="str">
        <f>T("1941094532535812692")</f>
        <v>1941094532535812692</v>
      </c>
      <c r="AC2816" s="1" t="s">
        <v>344</v>
      </c>
      <c r="AD2816" s="1" t="s">
        <v>372</v>
      </c>
      <c r="AE2816" s="1" t="s">
        <v>813</v>
      </c>
      <c r="AF2816" s="1" t="s">
        <v>107</v>
      </c>
      <c r="AG2816" s="1">
        <v>56</v>
      </c>
      <c r="AO2816" s="2">
        <v>46282</v>
      </c>
      <c r="AP2816" s="1" t="s">
        <v>845</v>
      </c>
      <c r="AS2816" s="1" t="s">
        <v>71</v>
      </c>
      <c r="AU2816" s="1" t="s">
        <v>72</v>
      </c>
      <c r="AV2816" s="1" t="s">
        <v>126</v>
      </c>
      <c r="AX2816" s="1">
        <v>0</v>
      </c>
      <c r="BA2816" s="1">
        <v>9</v>
      </c>
      <c r="BB2816" s="1">
        <v>0</v>
      </c>
      <c r="BC2816" s="1">
        <v>0</v>
      </c>
      <c r="BE2816" s="1">
        <v>27432060</v>
      </c>
    </row>
    <row r="2817" spans="1:57" x14ac:dyDescent="0.25">
      <c r="A2817" s="1" t="str">
        <f>T("1947306319086820168")</f>
        <v>1947306319086820168</v>
      </c>
      <c r="B2817" s="1" t="str">
        <f>T("249901139685")</f>
        <v>249901139685</v>
      </c>
      <c r="C2817" s="1" t="str">
        <f>T("1941094532535813492")</f>
        <v>1941094532535813492</v>
      </c>
      <c r="AC2817" s="1" t="s">
        <v>344</v>
      </c>
      <c r="AD2817" s="1" t="s">
        <v>441</v>
      </c>
      <c r="AE2817" s="1" t="s">
        <v>530</v>
      </c>
      <c r="AF2817" s="1" t="s">
        <v>107</v>
      </c>
      <c r="AG2817" s="1">
        <v>60</v>
      </c>
      <c r="AO2817" s="2">
        <v>46282</v>
      </c>
      <c r="AP2817" s="1" t="s">
        <v>845</v>
      </c>
      <c r="AS2817" s="1" t="s">
        <v>71</v>
      </c>
      <c r="AU2817" s="1" t="s">
        <v>72</v>
      </c>
      <c r="AV2817" s="1" t="s">
        <v>126</v>
      </c>
      <c r="AX2817" s="1">
        <v>0</v>
      </c>
      <c r="BA2817" s="1">
        <v>9</v>
      </c>
      <c r="BB2817" s="1">
        <v>0</v>
      </c>
      <c r="BC2817" s="1">
        <v>0</v>
      </c>
      <c r="BE2817" s="1">
        <v>27432060</v>
      </c>
    </row>
    <row r="2818" spans="1:57" x14ac:dyDescent="0.25">
      <c r="A2818" s="1" t="str">
        <f>T("1947306319099403092")</f>
        <v>1947306319099403092</v>
      </c>
      <c r="B2818" s="1" t="str">
        <f>T("249917724451")</f>
        <v>249917724451</v>
      </c>
      <c r="C2818" s="1" t="str">
        <f>T("1941094532535813892")</f>
        <v>1941094532535813892</v>
      </c>
      <c r="AC2818" s="1" t="s">
        <v>344</v>
      </c>
      <c r="AD2818" s="1" t="s">
        <v>430</v>
      </c>
      <c r="AE2818" s="1" t="s">
        <v>530</v>
      </c>
      <c r="AF2818" s="1" t="s">
        <v>107</v>
      </c>
      <c r="AG2818" s="1">
        <v>33</v>
      </c>
      <c r="AO2818" s="2">
        <v>46282</v>
      </c>
      <c r="AP2818" s="1" t="s">
        <v>845</v>
      </c>
      <c r="AS2818" s="1" t="s">
        <v>71</v>
      </c>
      <c r="AU2818" s="1" t="s">
        <v>72</v>
      </c>
      <c r="AV2818" s="1" t="s">
        <v>437</v>
      </c>
      <c r="AX2818" s="1">
        <v>0</v>
      </c>
      <c r="BA2818" s="1">
        <v>9</v>
      </c>
      <c r="BB2818" s="1">
        <v>0</v>
      </c>
      <c r="BC2818" s="1">
        <v>0</v>
      </c>
      <c r="BE2818" s="1">
        <v>27432060</v>
      </c>
    </row>
    <row r="2819" spans="1:57" x14ac:dyDescent="0.25">
      <c r="A2819" s="1" t="str">
        <f>T("1947306319132958256")</f>
        <v>1947306319132958256</v>
      </c>
      <c r="B2819" s="1" t="str">
        <f>T("249908636730")</f>
        <v>249908636730</v>
      </c>
      <c r="C2819" s="1" t="str">
        <f>T("1941094532535814292")</f>
        <v>1941094532535814292</v>
      </c>
      <c r="AC2819" s="1" t="s">
        <v>344</v>
      </c>
      <c r="AD2819" s="1" t="s">
        <v>441</v>
      </c>
      <c r="AE2819" s="1" t="s">
        <v>530</v>
      </c>
      <c r="AF2819" s="1" t="s">
        <v>107</v>
      </c>
      <c r="AG2819" s="1">
        <v>54</v>
      </c>
      <c r="AO2819" s="2">
        <v>46282</v>
      </c>
      <c r="AP2819" s="1" t="s">
        <v>845</v>
      </c>
      <c r="AS2819" s="1" t="s">
        <v>71</v>
      </c>
      <c r="AU2819" s="1" t="s">
        <v>72</v>
      </c>
      <c r="AV2819" s="1" t="s">
        <v>126</v>
      </c>
      <c r="AX2819" s="1">
        <v>0</v>
      </c>
      <c r="BA2819" s="1">
        <v>9</v>
      </c>
      <c r="BB2819" s="1">
        <v>0</v>
      </c>
      <c r="BC2819" s="1">
        <v>0</v>
      </c>
      <c r="BE2819" s="1">
        <v>27432060</v>
      </c>
    </row>
    <row r="2820" spans="1:57" x14ac:dyDescent="0.25">
      <c r="A2820" s="1" t="str">
        <f>T("1947306319166510920")</f>
        <v>1947306319166510920</v>
      </c>
      <c r="B2820" s="1" t="str">
        <f>T("249968086745")</f>
        <v>249968086745</v>
      </c>
      <c r="C2820" s="1" t="str">
        <f>T("1941094532535814692")</f>
        <v>1941094532535814692</v>
      </c>
      <c r="AC2820" s="1" t="s">
        <v>344</v>
      </c>
      <c r="AD2820" s="1" t="s">
        <v>441</v>
      </c>
      <c r="AE2820" s="1" t="s">
        <v>530</v>
      </c>
      <c r="AF2820" s="1" t="s">
        <v>107</v>
      </c>
      <c r="AG2820" s="1">
        <v>50</v>
      </c>
      <c r="AO2820" s="2">
        <v>46282</v>
      </c>
      <c r="AP2820" s="1" t="s">
        <v>845</v>
      </c>
      <c r="AS2820" s="1" t="s">
        <v>71</v>
      </c>
      <c r="AU2820" s="1" t="s">
        <v>72</v>
      </c>
      <c r="AV2820" s="1" t="s">
        <v>437</v>
      </c>
      <c r="AX2820" s="1">
        <v>0</v>
      </c>
      <c r="BA2820" s="1">
        <v>9</v>
      </c>
      <c r="BB2820" s="1">
        <v>0</v>
      </c>
      <c r="BC2820" s="1">
        <v>0</v>
      </c>
      <c r="BE2820" s="1">
        <v>27432060</v>
      </c>
    </row>
    <row r="2821" spans="1:57" x14ac:dyDescent="0.25">
      <c r="A2821" s="1" t="str">
        <f>T("1947306319200065284")</f>
        <v>1947306319200065284</v>
      </c>
      <c r="B2821" s="1" t="str">
        <f>T("249903077334")</f>
        <v>249903077334</v>
      </c>
      <c r="C2821" s="1" t="str">
        <f>T("1941094532535815092")</f>
        <v>1941094532535815092</v>
      </c>
      <c r="AC2821" s="1" t="s">
        <v>344</v>
      </c>
      <c r="AD2821" s="1" t="s">
        <v>372</v>
      </c>
      <c r="AE2821" s="1" t="s">
        <v>813</v>
      </c>
      <c r="AF2821" s="1" t="s">
        <v>144</v>
      </c>
      <c r="AG2821" s="1">
        <v>25</v>
      </c>
      <c r="AO2821" s="2">
        <v>46282</v>
      </c>
      <c r="AP2821" s="1" t="s">
        <v>845</v>
      </c>
      <c r="AS2821" s="1" t="s">
        <v>71</v>
      </c>
      <c r="AU2821" s="1" t="s">
        <v>72</v>
      </c>
      <c r="AV2821" s="1" t="s">
        <v>437</v>
      </c>
      <c r="AX2821" s="1">
        <v>0</v>
      </c>
      <c r="BA2821" s="1">
        <v>9</v>
      </c>
      <c r="BB2821" s="1">
        <v>0</v>
      </c>
      <c r="BC2821" s="1">
        <v>0</v>
      </c>
      <c r="BE2821" s="1">
        <v>27432060</v>
      </c>
    </row>
    <row r="2822" spans="1:57" x14ac:dyDescent="0.25">
      <c r="A2822" s="1" t="str">
        <f>T("1947306319237816156")</f>
        <v>1947306319237816156</v>
      </c>
      <c r="B2822" s="1" t="str">
        <f>T("249900788643")</f>
        <v>249900788643</v>
      </c>
      <c r="C2822" s="1" t="str">
        <f>T("1941094532535815992")</f>
        <v>1941094532535815992</v>
      </c>
      <c r="AC2822" s="1" t="s">
        <v>344</v>
      </c>
      <c r="AD2822" s="1" t="s">
        <v>441</v>
      </c>
      <c r="AE2822" s="1" t="s">
        <v>530</v>
      </c>
      <c r="AF2822" s="1" t="s">
        <v>107</v>
      </c>
      <c r="AG2822" s="1">
        <v>45</v>
      </c>
      <c r="AO2822" s="2">
        <v>46282</v>
      </c>
      <c r="AP2822" s="1" t="s">
        <v>845</v>
      </c>
      <c r="AS2822" s="1" t="s">
        <v>71</v>
      </c>
      <c r="AU2822" s="1" t="s">
        <v>72</v>
      </c>
      <c r="AV2822" s="1" t="s">
        <v>73</v>
      </c>
      <c r="AX2822" s="1">
        <v>0</v>
      </c>
      <c r="BA2822" s="1">
        <v>9</v>
      </c>
      <c r="BB2822" s="1">
        <v>0</v>
      </c>
      <c r="BC2822" s="1">
        <v>0</v>
      </c>
      <c r="BE2822" s="1">
        <v>27432060</v>
      </c>
    </row>
    <row r="2823" spans="1:57" x14ac:dyDescent="0.25">
      <c r="A2823" s="1" t="str">
        <f>T("1947306319346867864")</f>
        <v>1947306319346867864</v>
      </c>
      <c r="B2823" s="1" t="str">
        <f>T("249993134800")</f>
        <v>249993134800</v>
      </c>
      <c r="C2823" s="1" t="str">
        <f>T("1941094532540006700")</f>
        <v>1941094532540006700</v>
      </c>
      <c r="AA2823" s="1">
        <v>1</v>
      </c>
      <c r="AC2823" s="1" t="s">
        <v>344</v>
      </c>
      <c r="AD2823" s="1" t="s">
        <v>372</v>
      </c>
      <c r="AE2823" s="1" t="s">
        <v>820</v>
      </c>
      <c r="AF2823" s="1" t="s">
        <v>144</v>
      </c>
      <c r="AG2823" s="1">
        <v>22</v>
      </c>
      <c r="AO2823" s="2">
        <v>46282</v>
      </c>
      <c r="AP2823" s="1" t="s">
        <v>845</v>
      </c>
      <c r="AQ2823" s="2">
        <v>46282</v>
      </c>
      <c r="AR2823" s="1" t="s">
        <v>851</v>
      </c>
      <c r="AS2823" s="1" t="s">
        <v>71</v>
      </c>
      <c r="AU2823" s="1" t="s">
        <v>79</v>
      </c>
      <c r="AV2823" s="1" t="s">
        <v>80</v>
      </c>
      <c r="AW2823" s="1">
        <v>72.72</v>
      </c>
      <c r="AX2823" s="1">
        <v>0</v>
      </c>
      <c r="AZ2823" s="1" t="s">
        <v>81</v>
      </c>
      <c r="BA2823" s="1">
        <v>1</v>
      </c>
      <c r="BB2823" s="1">
        <v>0</v>
      </c>
      <c r="BC2823" s="1">
        <v>0</v>
      </c>
      <c r="BE2823" s="1">
        <v>27432060</v>
      </c>
    </row>
    <row r="2824" spans="1:57" x14ac:dyDescent="0.25">
      <c r="A2824" s="1" t="str">
        <f>T("1947306319397199460")</f>
        <v>1947306319397199460</v>
      </c>
      <c r="B2824" s="1" t="str">
        <f>T("249906744047")</f>
        <v>249906744047</v>
      </c>
      <c r="C2824" s="1" t="str">
        <f>T("1941094532540007100")</f>
        <v>1941094532540007100</v>
      </c>
      <c r="AC2824" s="1" t="s">
        <v>344</v>
      </c>
      <c r="AD2824" s="1" t="s">
        <v>430</v>
      </c>
      <c r="AE2824" s="1" t="s">
        <v>530</v>
      </c>
      <c r="AF2824" s="1" t="s">
        <v>107</v>
      </c>
      <c r="AG2824" s="1">
        <v>27</v>
      </c>
      <c r="AO2824" s="2">
        <v>46282</v>
      </c>
      <c r="AP2824" s="1" t="s">
        <v>845</v>
      </c>
      <c r="AS2824" s="1" t="s">
        <v>71</v>
      </c>
      <c r="AU2824" s="1" t="s">
        <v>72</v>
      </c>
      <c r="AV2824" s="1" t="s">
        <v>73</v>
      </c>
      <c r="AX2824" s="1">
        <v>0</v>
      </c>
      <c r="BA2824" s="1">
        <v>9</v>
      </c>
      <c r="BB2824" s="1">
        <v>0</v>
      </c>
      <c r="BC2824" s="1">
        <v>0</v>
      </c>
      <c r="BE2824" s="1">
        <v>27432060</v>
      </c>
    </row>
    <row r="2825" spans="1:57" x14ac:dyDescent="0.25">
      <c r="A2825" s="1" t="str">
        <f>T("1947306319422363108")</f>
        <v>1947306319422363108</v>
      </c>
      <c r="B2825" s="1" t="str">
        <f>T("249919007847")</f>
        <v>249919007847</v>
      </c>
      <c r="C2825" s="1" t="str">
        <f>T("1941094532540007800")</f>
        <v>1941094532540007800</v>
      </c>
      <c r="AC2825" s="1" t="s">
        <v>344</v>
      </c>
      <c r="AD2825" s="1" t="s">
        <v>430</v>
      </c>
      <c r="AE2825" s="1" t="s">
        <v>530</v>
      </c>
      <c r="AF2825" s="1" t="s">
        <v>107</v>
      </c>
      <c r="AG2825" s="1">
        <v>23</v>
      </c>
      <c r="AO2825" s="2">
        <v>46282</v>
      </c>
      <c r="AP2825" s="1" t="s">
        <v>845</v>
      </c>
      <c r="AS2825" s="1" t="s">
        <v>71</v>
      </c>
      <c r="AU2825" s="1" t="s">
        <v>72</v>
      </c>
      <c r="AV2825" s="1" t="s">
        <v>126</v>
      </c>
      <c r="AX2825" s="1">
        <v>0</v>
      </c>
      <c r="BA2825" s="1">
        <v>9</v>
      </c>
      <c r="BB2825" s="1">
        <v>0</v>
      </c>
      <c r="BC2825" s="1">
        <v>0</v>
      </c>
      <c r="BE2825" s="1">
        <v>27432060</v>
      </c>
    </row>
    <row r="2826" spans="1:57" x14ac:dyDescent="0.25">
      <c r="A2826" s="1" t="str">
        <f>T("1947306319510442076")</f>
        <v>1947306319510442076</v>
      </c>
      <c r="B2826" s="1" t="str">
        <f>T("249961775720")</f>
        <v>249961775720</v>
      </c>
      <c r="C2826" s="1" t="str">
        <f>T("1941094532548395216")</f>
        <v>1941094532548395216</v>
      </c>
      <c r="AC2826" s="1" t="s">
        <v>344</v>
      </c>
      <c r="AD2826" s="1" t="s">
        <v>441</v>
      </c>
      <c r="AE2826" s="1" t="s">
        <v>530</v>
      </c>
      <c r="AF2826" s="1" t="s">
        <v>144</v>
      </c>
      <c r="AG2826" s="1">
        <v>35</v>
      </c>
      <c r="AO2826" s="2">
        <v>46282</v>
      </c>
      <c r="AP2826" s="1" t="s">
        <v>845</v>
      </c>
      <c r="AS2826" s="1" t="s">
        <v>71</v>
      </c>
      <c r="AU2826" s="1" t="s">
        <v>72</v>
      </c>
      <c r="AV2826" s="1" t="s">
        <v>73</v>
      </c>
      <c r="AX2826" s="1">
        <v>0</v>
      </c>
      <c r="BA2826" s="1">
        <v>9</v>
      </c>
      <c r="BB2826" s="1">
        <v>0</v>
      </c>
      <c r="BC2826" s="1">
        <v>0</v>
      </c>
      <c r="BE2826" s="1">
        <v>27432060</v>
      </c>
    </row>
    <row r="2827" spans="1:57" x14ac:dyDescent="0.25">
      <c r="A2827" s="1" t="str">
        <f>T("1947306319510443176")</f>
        <v>1947306319510443176</v>
      </c>
      <c r="B2827" s="1" t="str">
        <f>T("249923374291")</f>
        <v>249923374291</v>
      </c>
      <c r="C2827" s="1" t="str">
        <f>T("1941094532548395616")</f>
        <v>1941094532548395616</v>
      </c>
      <c r="AC2827" s="1" t="s">
        <v>344</v>
      </c>
      <c r="AD2827" s="1" t="s">
        <v>372</v>
      </c>
      <c r="AE2827" s="1" t="s">
        <v>815</v>
      </c>
      <c r="AF2827" s="1" t="s">
        <v>107</v>
      </c>
      <c r="AG2827" s="1">
        <v>47</v>
      </c>
      <c r="AO2827" s="2">
        <v>46282</v>
      </c>
      <c r="AP2827" s="1" t="s">
        <v>845</v>
      </c>
      <c r="AQ2827" s="2">
        <v>46282</v>
      </c>
      <c r="AR2827" s="1" t="s">
        <v>851</v>
      </c>
      <c r="AS2827" s="1" t="s">
        <v>71</v>
      </c>
      <c r="AU2827" s="1" t="s">
        <v>79</v>
      </c>
      <c r="AV2827" s="1" t="s">
        <v>80</v>
      </c>
      <c r="AW2827" s="1">
        <v>15.16</v>
      </c>
      <c r="AX2827" s="1">
        <v>0</v>
      </c>
      <c r="AZ2827" s="1" t="s">
        <v>81</v>
      </c>
      <c r="BA2827" s="1">
        <v>1</v>
      </c>
      <c r="BB2827" s="1">
        <v>0</v>
      </c>
      <c r="BC2827" s="1">
        <v>0</v>
      </c>
      <c r="BE2827" s="1">
        <v>27432060</v>
      </c>
    </row>
    <row r="2828" spans="1:57" x14ac:dyDescent="0.25">
      <c r="A2828" s="1" t="str">
        <f>T("1947306319518833792")</f>
        <v>1947306319518833792</v>
      </c>
      <c r="B2828" s="1" t="str">
        <f>T("249916784815")</f>
        <v>249916784815</v>
      </c>
      <c r="C2828" s="1" t="str">
        <f>T("1941094532548396216")</f>
        <v>1941094532548396216</v>
      </c>
      <c r="AC2828" s="1" t="s">
        <v>344</v>
      </c>
      <c r="AD2828" s="1" t="s">
        <v>372</v>
      </c>
      <c r="AE2828" s="1" t="s">
        <v>813</v>
      </c>
      <c r="AF2828" s="1" t="s">
        <v>107</v>
      </c>
      <c r="AG2828" s="1">
        <v>35</v>
      </c>
      <c r="AO2828" s="2">
        <v>46282</v>
      </c>
      <c r="AP2828" s="1" t="s">
        <v>845</v>
      </c>
      <c r="AS2828" s="1" t="s">
        <v>71</v>
      </c>
      <c r="AU2828" s="1" t="s">
        <v>72</v>
      </c>
      <c r="AV2828" s="1" t="s">
        <v>73</v>
      </c>
      <c r="AX2828" s="1">
        <v>0</v>
      </c>
      <c r="BA2828" s="1">
        <v>9</v>
      </c>
      <c r="BB2828" s="1">
        <v>0</v>
      </c>
      <c r="BC2828" s="1">
        <v>0</v>
      </c>
      <c r="BE2828" s="1">
        <v>27432060</v>
      </c>
    </row>
    <row r="2829" spans="1:57" x14ac:dyDescent="0.25">
      <c r="A2829" s="1" t="str">
        <f>T("1947306319556580264")</f>
        <v>1947306319556580264</v>
      </c>
      <c r="B2829" s="1" t="str">
        <f>T("249125757990")</f>
        <v>249125757990</v>
      </c>
      <c r="C2829" s="1" t="str">
        <f>T("1941094532548396916")</f>
        <v>1941094532548396916</v>
      </c>
      <c r="AA2829" s="1">
        <v>1</v>
      </c>
      <c r="AC2829" s="1" t="s">
        <v>344</v>
      </c>
      <c r="AD2829" s="1" t="s">
        <v>372</v>
      </c>
      <c r="AE2829" s="1" t="s">
        <v>818</v>
      </c>
      <c r="AF2829" s="1" t="s">
        <v>144</v>
      </c>
      <c r="AG2829" s="1">
        <v>35</v>
      </c>
      <c r="AO2829" s="2">
        <v>46282</v>
      </c>
      <c r="AP2829" s="1" t="s">
        <v>845</v>
      </c>
      <c r="AQ2829" s="2">
        <v>46282</v>
      </c>
      <c r="AR2829" s="1" t="s">
        <v>852</v>
      </c>
      <c r="AS2829" s="1" t="s">
        <v>71</v>
      </c>
      <c r="AU2829" s="1" t="s">
        <v>78</v>
      </c>
      <c r="AV2829" s="1" t="s">
        <v>80</v>
      </c>
      <c r="AW2829" s="1">
        <v>134.52000000000001</v>
      </c>
      <c r="AX2829" s="1">
        <v>0</v>
      </c>
      <c r="AZ2829" s="1" t="s">
        <v>81</v>
      </c>
      <c r="BA2829" s="1">
        <v>2</v>
      </c>
      <c r="BB2829" s="1">
        <v>0</v>
      </c>
      <c r="BC2829" s="1">
        <v>0</v>
      </c>
      <c r="BE2829" s="1">
        <v>27432060</v>
      </c>
    </row>
    <row r="2830" spans="1:57" x14ac:dyDescent="0.25">
      <c r="A2830" s="1" t="str">
        <f>T("1947306319564968480")</f>
        <v>1947306319564968480</v>
      </c>
      <c r="B2830" s="1" t="str">
        <f>T("249962868531")</f>
        <v>249962868531</v>
      </c>
      <c r="C2830" s="1" t="str">
        <f>T("1941094532548397316")</f>
        <v>1941094532548397316</v>
      </c>
      <c r="AC2830" s="1" t="s">
        <v>344</v>
      </c>
      <c r="AD2830" s="1" t="s">
        <v>372</v>
      </c>
      <c r="AE2830" s="1" t="s">
        <v>818</v>
      </c>
      <c r="AF2830" s="1" t="s">
        <v>107</v>
      </c>
      <c r="AG2830" s="1">
        <v>55</v>
      </c>
      <c r="AO2830" s="2">
        <v>46282</v>
      </c>
      <c r="AP2830" s="1" t="s">
        <v>845</v>
      </c>
      <c r="AS2830" s="1" t="s">
        <v>71</v>
      </c>
      <c r="AU2830" s="1" t="s">
        <v>72</v>
      </c>
      <c r="AV2830" s="1" t="s">
        <v>73</v>
      </c>
      <c r="AX2830" s="1">
        <v>0</v>
      </c>
      <c r="BA2830" s="1">
        <v>9</v>
      </c>
      <c r="BB2830" s="1">
        <v>0</v>
      </c>
      <c r="BC2830" s="1">
        <v>0</v>
      </c>
      <c r="BE2830" s="1">
        <v>27432060</v>
      </c>
    </row>
    <row r="2831" spans="1:57" x14ac:dyDescent="0.25">
      <c r="A2831" s="1" t="str">
        <f>T("1947306319611107668")</f>
        <v>1947306319611107668</v>
      </c>
      <c r="B2831" s="1" t="str">
        <f>T("249966027839")</f>
        <v>249966027839</v>
      </c>
      <c r="C2831" s="1" t="str">
        <f>T("1941094532548397816")</f>
        <v>1941094532548397816</v>
      </c>
      <c r="AC2831" s="1" t="s">
        <v>344</v>
      </c>
      <c r="AD2831" s="1" t="s">
        <v>372</v>
      </c>
      <c r="AE2831" s="1" t="s">
        <v>815</v>
      </c>
      <c r="AF2831" s="1" t="s">
        <v>107</v>
      </c>
      <c r="AG2831" s="1">
        <v>30</v>
      </c>
      <c r="AO2831" s="2">
        <v>46282</v>
      </c>
      <c r="AP2831" s="1" t="s">
        <v>845</v>
      </c>
      <c r="AS2831" s="1" t="s">
        <v>71</v>
      </c>
      <c r="AU2831" s="1" t="s">
        <v>72</v>
      </c>
      <c r="AV2831" s="1" t="s">
        <v>437</v>
      </c>
      <c r="AX2831" s="1">
        <v>0</v>
      </c>
      <c r="BA2831" s="1">
        <v>9</v>
      </c>
      <c r="BB2831" s="1">
        <v>0</v>
      </c>
      <c r="BC2831" s="1">
        <v>0</v>
      </c>
      <c r="BE2831" s="1">
        <v>27432060</v>
      </c>
    </row>
    <row r="2832" spans="1:57" x14ac:dyDescent="0.25">
      <c r="A2832" s="1" t="str">
        <f>T("1947306319644661132")</f>
        <v>1947306319644661132</v>
      </c>
      <c r="B2832" s="1" t="str">
        <f>T("249909010112")</f>
        <v>249909010112</v>
      </c>
      <c r="C2832" s="1" t="str">
        <f>T("1941094532544204008")</f>
        <v>1941094532544204008</v>
      </c>
      <c r="AC2832" s="1" t="s">
        <v>344</v>
      </c>
      <c r="AD2832" s="1" t="s">
        <v>430</v>
      </c>
      <c r="AE2832" s="1" t="s">
        <v>530</v>
      </c>
      <c r="AF2832" s="1" t="s">
        <v>107</v>
      </c>
      <c r="AG2832" s="1">
        <v>35</v>
      </c>
      <c r="AO2832" s="2">
        <v>46282</v>
      </c>
      <c r="AP2832" s="1" t="s">
        <v>845</v>
      </c>
      <c r="AS2832" s="1" t="s">
        <v>71</v>
      </c>
      <c r="AU2832" s="1" t="s">
        <v>72</v>
      </c>
      <c r="AV2832" s="1" t="s">
        <v>437</v>
      </c>
      <c r="AX2832" s="1">
        <v>0</v>
      </c>
      <c r="BA2832" s="1">
        <v>9</v>
      </c>
      <c r="BB2832" s="1">
        <v>0</v>
      </c>
      <c r="BC2832" s="1">
        <v>0</v>
      </c>
      <c r="BE2832" s="1">
        <v>27432060</v>
      </c>
    </row>
    <row r="2833" spans="1:57" x14ac:dyDescent="0.25">
      <c r="A2833" s="1" t="str">
        <f>T("1947306319644662032")</f>
        <v>1947306319644662032</v>
      </c>
      <c r="B2833" s="1" t="str">
        <f>T("249903191473")</f>
        <v>249903191473</v>
      </c>
      <c r="C2833" s="1" t="str">
        <f>T("1941094532552590424")</f>
        <v>1941094532552590424</v>
      </c>
      <c r="AC2833" s="1" t="s">
        <v>344</v>
      </c>
      <c r="AD2833" s="1" t="s">
        <v>441</v>
      </c>
      <c r="AE2833" s="1" t="s">
        <v>530</v>
      </c>
      <c r="AF2833" s="1" t="s">
        <v>144</v>
      </c>
      <c r="AG2833" s="1">
        <v>55</v>
      </c>
      <c r="AO2833" s="2">
        <v>46282</v>
      </c>
      <c r="AP2833" s="1" t="s">
        <v>845</v>
      </c>
      <c r="AS2833" s="1" t="s">
        <v>71</v>
      </c>
      <c r="AU2833" s="1" t="s">
        <v>72</v>
      </c>
      <c r="AV2833" s="1" t="s">
        <v>437</v>
      </c>
      <c r="AX2833" s="1">
        <v>0</v>
      </c>
      <c r="BA2833" s="1">
        <v>9</v>
      </c>
      <c r="BB2833" s="1">
        <v>0</v>
      </c>
      <c r="BC2833" s="1">
        <v>0</v>
      </c>
      <c r="BE2833" s="1">
        <v>27432060</v>
      </c>
    </row>
    <row r="2834" spans="1:57" x14ac:dyDescent="0.25">
      <c r="A2834" s="1" t="str">
        <f>T("1947306319644662232")</f>
        <v>1947306319644662232</v>
      </c>
      <c r="B2834" s="1" t="str">
        <f>T("249915706396")</f>
        <v>249915706396</v>
      </c>
      <c r="C2834" s="1" t="str">
        <f>T("1941094532552591224")</f>
        <v>1941094532552591224</v>
      </c>
      <c r="AC2834" s="1" t="s">
        <v>344</v>
      </c>
      <c r="AD2834" s="1" t="s">
        <v>430</v>
      </c>
      <c r="AE2834" s="1" t="s">
        <v>530</v>
      </c>
      <c r="AF2834" s="1" t="s">
        <v>107</v>
      </c>
      <c r="AG2834" s="1">
        <v>21</v>
      </c>
      <c r="AO2834" s="2">
        <v>46282</v>
      </c>
      <c r="AP2834" s="1" t="s">
        <v>845</v>
      </c>
      <c r="AS2834" s="1" t="s">
        <v>71</v>
      </c>
      <c r="AU2834" s="1" t="s">
        <v>72</v>
      </c>
      <c r="AV2834" s="1" t="s">
        <v>73</v>
      </c>
      <c r="AX2834" s="1">
        <v>0</v>
      </c>
      <c r="BA2834" s="1">
        <v>9</v>
      </c>
      <c r="BB2834" s="1">
        <v>0</v>
      </c>
      <c r="BC2834" s="1">
        <v>0</v>
      </c>
      <c r="BE2834" s="1">
        <v>27432060</v>
      </c>
    </row>
    <row r="2835" spans="1:57" x14ac:dyDescent="0.25">
      <c r="A2835" s="1" t="str">
        <f>T("1947306319653049348")</f>
        <v>1947306319653049348</v>
      </c>
      <c r="B2835" s="1" t="str">
        <f>T("249917921500")</f>
        <v>249917921500</v>
      </c>
      <c r="C2835" s="1" t="str">
        <f>T("1941094532552591724")</f>
        <v>1941094532552591724</v>
      </c>
      <c r="AC2835" s="1" t="s">
        <v>344</v>
      </c>
      <c r="AD2835" s="1" t="s">
        <v>441</v>
      </c>
      <c r="AE2835" s="1" t="s">
        <v>530</v>
      </c>
      <c r="AF2835" s="1" t="s">
        <v>107</v>
      </c>
      <c r="AG2835" s="1">
        <v>44</v>
      </c>
      <c r="AO2835" s="2">
        <v>46282</v>
      </c>
      <c r="AP2835" s="1" t="s">
        <v>845</v>
      </c>
      <c r="AS2835" s="1" t="s">
        <v>71</v>
      </c>
      <c r="AU2835" s="1" t="s">
        <v>72</v>
      </c>
      <c r="AV2835" s="1" t="s">
        <v>437</v>
      </c>
      <c r="AX2835" s="1">
        <v>0</v>
      </c>
      <c r="BA2835" s="1">
        <v>9</v>
      </c>
      <c r="BB2835" s="1">
        <v>0</v>
      </c>
      <c r="BC2835" s="1">
        <v>0</v>
      </c>
      <c r="BE2835" s="1">
        <v>27432060</v>
      </c>
    </row>
    <row r="2836" spans="1:57" x14ac:dyDescent="0.25">
      <c r="A2836" s="1" t="str">
        <f>T("1947306319678216596")</f>
        <v>1947306319678216596</v>
      </c>
      <c r="B2836" s="1" t="str">
        <f>T("249903407482")</f>
        <v>249903407482</v>
      </c>
      <c r="C2836" s="1" t="str">
        <f>T("1941094532552592924")</f>
        <v>1941094532552592924</v>
      </c>
      <c r="AC2836" s="1" t="s">
        <v>344</v>
      </c>
      <c r="AD2836" s="1" t="s">
        <v>430</v>
      </c>
      <c r="AE2836" s="1" t="s">
        <v>530</v>
      </c>
      <c r="AF2836" s="1" t="s">
        <v>144</v>
      </c>
      <c r="AG2836" s="1">
        <v>28</v>
      </c>
      <c r="AO2836" s="2">
        <v>46282</v>
      </c>
      <c r="AP2836" s="1" t="s">
        <v>845</v>
      </c>
      <c r="AS2836" s="1" t="s">
        <v>71</v>
      </c>
      <c r="AU2836" s="1" t="s">
        <v>72</v>
      </c>
      <c r="AV2836" s="1" t="s">
        <v>437</v>
      </c>
      <c r="AX2836" s="1">
        <v>0</v>
      </c>
      <c r="BA2836" s="1">
        <v>9</v>
      </c>
      <c r="BB2836" s="1">
        <v>0</v>
      </c>
      <c r="BC2836" s="1">
        <v>0</v>
      </c>
      <c r="BE2836" s="1">
        <v>27432060</v>
      </c>
    </row>
    <row r="2837" spans="1:57" x14ac:dyDescent="0.25">
      <c r="A2837" s="1" t="str">
        <f>T("1947306319707575352")</f>
        <v>1947306319707575352</v>
      </c>
      <c r="B2837" s="1" t="str">
        <f>T("249964876422")</f>
        <v>249964876422</v>
      </c>
      <c r="C2837" s="1" t="str">
        <f>T("1941094532556783632")</f>
        <v>1941094532556783632</v>
      </c>
      <c r="AC2837" s="1" t="s">
        <v>344</v>
      </c>
      <c r="AD2837" s="1" t="s">
        <v>430</v>
      </c>
      <c r="AE2837" s="1" t="s">
        <v>530</v>
      </c>
      <c r="AF2837" s="1" t="s">
        <v>144</v>
      </c>
      <c r="AG2837" s="1">
        <v>25</v>
      </c>
      <c r="AO2837" s="2">
        <v>46282</v>
      </c>
      <c r="AP2837" s="1" t="s">
        <v>845</v>
      </c>
      <c r="AS2837" s="1" t="s">
        <v>71</v>
      </c>
      <c r="AU2837" s="1" t="s">
        <v>72</v>
      </c>
      <c r="AV2837" s="1" t="s">
        <v>73</v>
      </c>
      <c r="AX2837" s="1">
        <v>0</v>
      </c>
      <c r="BA2837" s="1">
        <v>9</v>
      </c>
      <c r="BB2837" s="1">
        <v>0</v>
      </c>
      <c r="BC2837" s="1">
        <v>0</v>
      </c>
      <c r="BE2837" s="1">
        <v>27432060</v>
      </c>
    </row>
    <row r="2838" spans="1:57" x14ac:dyDescent="0.25">
      <c r="A2838" s="1" t="str">
        <f>T("1947306319711770060")</f>
        <v>1947306319711770060</v>
      </c>
      <c r="B2838" s="1" t="str">
        <f>T("249917343686")</f>
        <v>249917343686</v>
      </c>
      <c r="C2838" s="1" t="str">
        <f>T("1941094532556784132")</f>
        <v>1941094532556784132</v>
      </c>
      <c r="AC2838" s="1" t="s">
        <v>344</v>
      </c>
      <c r="AD2838" s="1" t="s">
        <v>441</v>
      </c>
      <c r="AE2838" s="1" t="s">
        <v>530</v>
      </c>
      <c r="AF2838" s="1" t="s">
        <v>107</v>
      </c>
      <c r="AG2838" s="1">
        <v>58</v>
      </c>
      <c r="AO2838" s="2">
        <v>46282</v>
      </c>
      <c r="AP2838" s="1" t="s">
        <v>845</v>
      </c>
      <c r="AS2838" s="1" t="s">
        <v>71</v>
      </c>
      <c r="AU2838" s="1" t="s">
        <v>72</v>
      </c>
      <c r="AV2838" s="1" t="s">
        <v>73</v>
      </c>
      <c r="AX2838" s="1">
        <v>0</v>
      </c>
      <c r="BA2838" s="1">
        <v>9</v>
      </c>
      <c r="BB2838" s="1">
        <v>0</v>
      </c>
      <c r="BC2838" s="1">
        <v>0</v>
      </c>
      <c r="BE2838" s="1">
        <v>27432060</v>
      </c>
    </row>
    <row r="2839" spans="1:57" x14ac:dyDescent="0.25">
      <c r="A2839" s="1" t="str">
        <f>T("1947306319715964268")</f>
        <v>1947306319715964268</v>
      </c>
      <c r="B2839" s="1" t="str">
        <f>T("249917813790")</f>
        <v>249917813790</v>
      </c>
      <c r="C2839" s="1" t="str">
        <f>T("1941094532544204508")</f>
        <v>1941094532544204508</v>
      </c>
      <c r="AC2839" s="1" t="s">
        <v>344</v>
      </c>
      <c r="AD2839" s="1" t="s">
        <v>430</v>
      </c>
      <c r="AE2839" s="1" t="s">
        <v>530</v>
      </c>
      <c r="AF2839" s="1" t="s">
        <v>144</v>
      </c>
      <c r="AG2839" s="1">
        <v>28</v>
      </c>
      <c r="AO2839" s="2">
        <v>46282</v>
      </c>
      <c r="AP2839" s="1" t="s">
        <v>845</v>
      </c>
      <c r="AS2839" s="1" t="s">
        <v>71</v>
      </c>
      <c r="AU2839" s="1" t="s">
        <v>72</v>
      </c>
      <c r="AV2839" s="1" t="s">
        <v>73</v>
      </c>
      <c r="AX2839" s="1">
        <v>0</v>
      </c>
      <c r="BA2839" s="1">
        <v>9</v>
      </c>
      <c r="BB2839" s="1">
        <v>0</v>
      </c>
      <c r="BC2839" s="1">
        <v>0</v>
      </c>
      <c r="BE2839" s="1">
        <v>27432060</v>
      </c>
    </row>
    <row r="2840" spans="1:57" x14ac:dyDescent="0.25">
      <c r="A2840" s="1" t="str">
        <f>T("1947306319728549392")</f>
        <v>1947306319728549392</v>
      </c>
      <c r="B2840" s="1" t="str">
        <f>T("249965135429")</f>
        <v>249965135429</v>
      </c>
      <c r="C2840" s="1" t="str">
        <f>T("1941094532556784532")</f>
        <v>1941094532556784532</v>
      </c>
      <c r="AC2840" s="1" t="s">
        <v>344</v>
      </c>
      <c r="AD2840" s="1" t="s">
        <v>430</v>
      </c>
      <c r="AE2840" s="1" t="s">
        <v>530</v>
      </c>
      <c r="AF2840" s="1" t="s">
        <v>144</v>
      </c>
      <c r="AG2840" s="1">
        <v>48</v>
      </c>
      <c r="AO2840" s="2">
        <v>46282</v>
      </c>
      <c r="AP2840" s="1" t="s">
        <v>845</v>
      </c>
      <c r="AS2840" s="1" t="s">
        <v>71</v>
      </c>
      <c r="AU2840" s="1" t="s">
        <v>72</v>
      </c>
      <c r="AV2840" s="1" t="s">
        <v>437</v>
      </c>
      <c r="AX2840" s="1">
        <v>0</v>
      </c>
      <c r="BA2840" s="1">
        <v>9</v>
      </c>
      <c r="BB2840" s="1">
        <v>0</v>
      </c>
      <c r="BC2840" s="1">
        <v>0</v>
      </c>
      <c r="BE2840" s="1">
        <v>27432060</v>
      </c>
    </row>
    <row r="2841" spans="1:57" x14ac:dyDescent="0.25">
      <c r="A2841" s="1" t="str">
        <f>T("1947306319766295164")</f>
        <v>1947306319766295164</v>
      </c>
      <c r="B2841" s="1" t="str">
        <f>T("249968721415")</f>
        <v>249968721415</v>
      </c>
      <c r="C2841" s="1" t="str">
        <f>T("1941094532556785032")</f>
        <v>1941094532556785032</v>
      </c>
      <c r="AC2841" s="1" t="s">
        <v>344</v>
      </c>
      <c r="AD2841" s="1" t="s">
        <v>372</v>
      </c>
      <c r="AE2841" s="1" t="s">
        <v>813</v>
      </c>
      <c r="AF2841" s="1" t="s">
        <v>144</v>
      </c>
      <c r="AG2841" s="1">
        <v>25</v>
      </c>
      <c r="AO2841" s="2">
        <v>46282</v>
      </c>
      <c r="AP2841" s="1" t="s">
        <v>845</v>
      </c>
      <c r="AS2841" s="1" t="s">
        <v>71</v>
      </c>
      <c r="AU2841" s="1" t="s">
        <v>72</v>
      </c>
      <c r="AV2841" s="1" t="s">
        <v>437</v>
      </c>
      <c r="AX2841" s="1">
        <v>0</v>
      </c>
      <c r="BA2841" s="1">
        <v>9</v>
      </c>
      <c r="BB2841" s="1">
        <v>0</v>
      </c>
      <c r="BC2841" s="1">
        <v>0</v>
      </c>
      <c r="BE2841" s="1">
        <v>27432060</v>
      </c>
    </row>
    <row r="2842" spans="1:57" x14ac:dyDescent="0.25">
      <c r="A2842" s="1" t="str">
        <f>T("1947306319766295165")</f>
        <v>1947306319766295165</v>
      </c>
      <c r="B2842" s="1" t="str">
        <f>T("249900105048")</f>
        <v>249900105048</v>
      </c>
      <c r="C2842" s="1" t="str">
        <f>T("1941094532556785432")</f>
        <v>1941094532556785432</v>
      </c>
      <c r="AC2842" s="1" t="s">
        <v>344</v>
      </c>
      <c r="AD2842" s="1" t="s">
        <v>441</v>
      </c>
      <c r="AE2842" s="1" t="s">
        <v>530</v>
      </c>
      <c r="AF2842" s="1" t="s">
        <v>107</v>
      </c>
      <c r="AG2842" s="1">
        <v>51</v>
      </c>
      <c r="AO2842" s="2">
        <v>46282</v>
      </c>
      <c r="AP2842" s="1" t="s">
        <v>845</v>
      </c>
      <c r="AS2842" s="1" t="s">
        <v>71</v>
      </c>
      <c r="AU2842" s="1" t="s">
        <v>72</v>
      </c>
      <c r="AV2842" s="1" t="s">
        <v>73</v>
      </c>
      <c r="AX2842" s="1">
        <v>0</v>
      </c>
      <c r="BA2842" s="1">
        <v>9</v>
      </c>
      <c r="BB2842" s="1">
        <v>0</v>
      </c>
      <c r="BC2842" s="1">
        <v>0</v>
      </c>
      <c r="BE2842" s="1">
        <v>27432060</v>
      </c>
    </row>
    <row r="2843" spans="1:57" x14ac:dyDescent="0.25">
      <c r="A2843" s="1" t="str">
        <f>T("1947306319778879488")</f>
        <v>1947306319778879488</v>
      </c>
      <c r="B2843" s="1" t="str">
        <f>T("249907500066")</f>
        <v>249907500066</v>
      </c>
      <c r="C2843" s="1" t="str">
        <f>T("1941094532556786032")</f>
        <v>1941094532556786032</v>
      </c>
      <c r="AC2843" s="1" t="s">
        <v>344</v>
      </c>
      <c r="AD2843" s="1" t="s">
        <v>441</v>
      </c>
      <c r="AE2843" s="1" t="s">
        <v>530</v>
      </c>
      <c r="AF2843" s="1" t="s">
        <v>107</v>
      </c>
      <c r="AG2843" s="1">
        <v>50</v>
      </c>
      <c r="AO2843" s="2">
        <v>46282</v>
      </c>
      <c r="AP2843" s="1" t="s">
        <v>845</v>
      </c>
      <c r="AS2843" s="1" t="s">
        <v>71</v>
      </c>
      <c r="AU2843" s="1" t="s">
        <v>72</v>
      </c>
      <c r="AV2843" s="1" t="s">
        <v>437</v>
      </c>
      <c r="AX2843" s="1">
        <v>0</v>
      </c>
      <c r="BA2843" s="1">
        <v>9</v>
      </c>
      <c r="BB2843" s="1">
        <v>0</v>
      </c>
      <c r="BC2843" s="1">
        <v>0</v>
      </c>
      <c r="BE2843" s="1">
        <v>27432060</v>
      </c>
    </row>
    <row r="2844" spans="1:57" x14ac:dyDescent="0.25">
      <c r="A2844" s="1" t="str">
        <f>T("1947306319804045736")</f>
        <v>1947306319804045736</v>
      </c>
      <c r="B2844" s="1" t="str">
        <f>T("249923991670")</f>
        <v>249923991670</v>
      </c>
      <c r="C2844" s="1" t="str">
        <f>T("1941094532556786532")</f>
        <v>1941094532556786532</v>
      </c>
      <c r="AC2844" s="1" t="s">
        <v>344</v>
      </c>
      <c r="AD2844" s="1" t="s">
        <v>372</v>
      </c>
      <c r="AE2844" s="1" t="s">
        <v>820</v>
      </c>
      <c r="AF2844" s="1" t="s">
        <v>144</v>
      </c>
      <c r="AG2844" s="1">
        <v>25</v>
      </c>
      <c r="AO2844" s="2">
        <v>46282</v>
      </c>
      <c r="AP2844" s="1" t="s">
        <v>845</v>
      </c>
      <c r="AQ2844" s="2">
        <v>46282</v>
      </c>
      <c r="AR2844" s="1" t="s">
        <v>853</v>
      </c>
      <c r="AS2844" s="1" t="s">
        <v>71</v>
      </c>
      <c r="AU2844" s="1" t="s">
        <v>79</v>
      </c>
      <c r="AV2844" s="1" t="s">
        <v>80</v>
      </c>
      <c r="AW2844" s="1">
        <v>24.12</v>
      </c>
      <c r="AX2844" s="1">
        <v>0</v>
      </c>
      <c r="AZ2844" s="1" t="s">
        <v>81</v>
      </c>
      <c r="BA2844" s="1">
        <v>1</v>
      </c>
      <c r="BB2844" s="1">
        <v>0</v>
      </c>
      <c r="BC2844" s="1">
        <v>0</v>
      </c>
      <c r="BE2844" s="1">
        <v>27432060</v>
      </c>
    </row>
    <row r="2845" spans="1:57" x14ac:dyDescent="0.25">
      <c r="A2845" s="1" t="str">
        <f>T("1947306319808240544")</f>
        <v>1947306319808240544</v>
      </c>
      <c r="B2845" s="1" t="str">
        <f>T("249110355155")</f>
        <v>249110355155</v>
      </c>
      <c r="C2845" s="1" t="str">
        <f>T("1941094532556787432")</f>
        <v>1941094532556787432</v>
      </c>
      <c r="AA2845" s="1">
        <v>1</v>
      </c>
      <c r="AC2845" s="1" t="s">
        <v>344</v>
      </c>
      <c r="AD2845" s="1" t="s">
        <v>372</v>
      </c>
      <c r="AE2845" s="1" t="s">
        <v>814</v>
      </c>
      <c r="AF2845" s="1" t="s">
        <v>144</v>
      </c>
      <c r="AG2845" s="1">
        <v>27</v>
      </c>
      <c r="AO2845" s="2">
        <v>46282</v>
      </c>
      <c r="AP2845" s="1" t="s">
        <v>845</v>
      </c>
      <c r="AQ2845" s="2">
        <v>46282</v>
      </c>
      <c r="AR2845" s="1" t="s">
        <v>854</v>
      </c>
      <c r="AS2845" s="1" t="s">
        <v>71</v>
      </c>
      <c r="AU2845" s="1" t="s">
        <v>79</v>
      </c>
      <c r="AV2845" s="1" t="s">
        <v>80</v>
      </c>
      <c r="AW2845" s="1">
        <v>58.6</v>
      </c>
      <c r="AX2845" s="1">
        <v>0</v>
      </c>
      <c r="AZ2845" s="1" t="s">
        <v>81</v>
      </c>
      <c r="BA2845" s="1">
        <v>1</v>
      </c>
      <c r="BB2845" s="1">
        <v>0</v>
      </c>
      <c r="BC2845" s="1">
        <v>0</v>
      </c>
      <c r="BE2845" s="1">
        <v>27432060</v>
      </c>
    </row>
    <row r="2846" spans="1:57" x14ac:dyDescent="0.25">
      <c r="A2846" s="1" t="str">
        <f>T("1947306319829211484")</f>
        <v>1947306319829211484</v>
      </c>
      <c r="B2846" s="1" t="str">
        <f>T("249190485010")</f>
        <v>249190485010</v>
      </c>
      <c r="C2846" s="1" t="str">
        <f>T("1941094532560978240")</f>
        <v>1941094532560978240</v>
      </c>
      <c r="AC2846" s="1" t="s">
        <v>344</v>
      </c>
      <c r="AD2846" s="1" t="s">
        <v>372</v>
      </c>
      <c r="AE2846" s="1" t="s">
        <v>820</v>
      </c>
      <c r="AF2846" s="1" t="s">
        <v>107</v>
      </c>
      <c r="AG2846" s="1">
        <v>70</v>
      </c>
      <c r="AO2846" s="2">
        <v>46282</v>
      </c>
      <c r="AP2846" s="1" t="s">
        <v>845</v>
      </c>
      <c r="AS2846" s="1" t="s">
        <v>71</v>
      </c>
      <c r="AU2846" s="1" t="s">
        <v>72</v>
      </c>
      <c r="AV2846" s="1" t="s">
        <v>73</v>
      </c>
      <c r="AX2846" s="1">
        <v>0</v>
      </c>
      <c r="BA2846" s="1">
        <v>9</v>
      </c>
      <c r="BB2846" s="1">
        <v>0</v>
      </c>
      <c r="BC2846" s="1">
        <v>0</v>
      </c>
      <c r="BE2846" s="1">
        <v>27432060</v>
      </c>
    </row>
    <row r="2847" spans="1:57" x14ac:dyDescent="0.25">
      <c r="A2847" s="1" t="str">
        <f>T("1947306319837599400")</f>
        <v>1947306319837599400</v>
      </c>
      <c r="B2847" s="1" t="str">
        <f>T("249913980114")</f>
        <v>249913980114</v>
      </c>
      <c r="C2847" s="1" t="str">
        <f>T("1941094532560978940")</f>
        <v>1941094532560978940</v>
      </c>
      <c r="AC2847" s="1" t="s">
        <v>344</v>
      </c>
      <c r="AD2847" s="1" t="s">
        <v>430</v>
      </c>
      <c r="AE2847" s="1" t="s">
        <v>530</v>
      </c>
      <c r="AF2847" s="1" t="s">
        <v>144</v>
      </c>
      <c r="AG2847" s="1">
        <v>60</v>
      </c>
      <c r="AO2847" s="2">
        <v>46282</v>
      </c>
      <c r="AP2847" s="1" t="s">
        <v>845</v>
      </c>
      <c r="AS2847" s="1" t="s">
        <v>71</v>
      </c>
      <c r="AU2847" s="1" t="s">
        <v>72</v>
      </c>
      <c r="AV2847" s="1" t="s">
        <v>73</v>
      </c>
      <c r="AX2847" s="1">
        <v>0</v>
      </c>
      <c r="BA2847" s="1">
        <v>9</v>
      </c>
      <c r="BB2847" s="1">
        <v>0</v>
      </c>
      <c r="BC2847" s="1">
        <v>0</v>
      </c>
      <c r="BE2847" s="1">
        <v>27432060</v>
      </c>
    </row>
    <row r="2848" spans="1:57" x14ac:dyDescent="0.25">
      <c r="A2848" s="1" t="str">
        <f>T("1947366708717755348")</f>
        <v>1947366708717755348</v>
      </c>
      <c r="B2848" s="1" t="str">
        <f>T("249966854133")</f>
        <v>249966854133</v>
      </c>
      <c r="C2848" s="1" t="str">
        <f>T("1941094532565175548")</f>
        <v>1941094532565175548</v>
      </c>
      <c r="AC2848" s="1" t="s">
        <v>344</v>
      </c>
      <c r="AD2848" s="1" t="s">
        <v>372</v>
      </c>
      <c r="AE2848" s="1" t="s">
        <v>818</v>
      </c>
      <c r="AF2848" s="1" t="s">
        <v>144</v>
      </c>
      <c r="AG2848" s="1">
        <v>49</v>
      </c>
      <c r="AO2848" s="2">
        <v>46282</v>
      </c>
      <c r="AP2848" s="1" t="s">
        <v>226</v>
      </c>
      <c r="AS2848" s="1" t="s">
        <v>71</v>
      </c>
      <c r="AU2848" s="1" t="s">
        <v>72</v>
      </c>
      <c r="AV2848" s="1" t="s">
        <v>437</v>
      </c>
      <c r="AX2848" s="1">
        <v>0</v>
      </c>
      <c r="BA2848" s="1">
        <v>9</v>
      </c>
      <c r="BB2848" s="1">
        <v>0</v>
      </c>
      <c r="BC2848" s="1">
        <v>0</v>
      </c>
      <c r="BE2848" s="1">
        <v>27432077</v>
      </c>
    </row>
    <row r="2849" spans="1:57" x14ac:dyDescent="0.25">
      <c r="A2849" s="1" t="str">
        <f>T("1947366708717755548")</f>
        <v>1947366708717755548</v>
      </c>
      <c r="B2849" s="1" t="str">
        <f>T("249123062978")</f>
        <v>249123062978</v>
      </c>
      <c r="C2849" s="1" t="str">
        <f>T("1941094532565176148")</f>
        <v>1941094532565176148</v>
      </c>
      <c r="AA2849" s="1">
        <v>1</v>
      </c>
      <c r="AC2849" s="1" t="s">
        <v>344</v>
      </c>
      <c r="AD2849" s="1" t="s">
        <v>372</v>
      </c>
      <c r="AE2849" s="1" t="s">
        <v>814</v>
      </c>
      <c r="AF2849" s="1" t="s">
        <v>107</v>
      </c>
      <c r="AG2849" s="1">
        <v>40</v>
      </c>
      <c r="AO2849" s="2">
        <v>46282</v>
      </c>
      <c r="AP2849" s="1" t="s">
        <v>226</v>
      </c>
      <c r="AQ2849" s="2">
        <v>46282</v>
      </c>
      <c r="AR2849" s="1" t="s">
        <v>233</v>
      </c>
      <c r="AS2849" s="1" t="s">
        <v>71</v>
      </c>
      <c r="AU2849" s="1" t="s">
        <v>79</v>
      </c>
      <c r="AV2849" s="1" t="s">
        <v>80</v>
      </c>
      <c r="AW2849" s="1">
        <v>40.200000000000003</v>
      </c>
      <c r="AX2849" s="1">
        <v>0</v>
      </c>
      <c r="AZ2849" s="1" t="s">
        <v>81</v>
      </c>
      <c r="BA2849" s="1">
        <v>1</v>
      </c>
      <c r="BB2849" s="1">
        <v>0</v>
      </c>
      <c r="BC2849" s="1">
        <v>0</v>
      </c>
      <c r="BE2849" s="1">
        <v>27432077</v>
      </c>
    </row>
    <row r="2850" spans="1:57" x14ac:dyDescent="0.25">
      <c r="A2850" s="1" t="str">
        <f>T("1947366708721948156")</f>
        <v>1947366708721948156</v>
      </c>
      <c r="B2850" s="1" t="str">
        <f>T("249913097938")</f>
        <v>249913097938</v>
      </c>
      <c r="C2850" s="1" t="str">
        <f>T("1941094532569366856")</f>
        <v>1941094532569366856</v>
      </c>
      <c r="AC2850" s="1" t="s">
        <v>344</v>
      </c>
      <c r="AD2850" s="1" t="s">
        <v>372</v>
      </c>
      <c r="AE2850" s="1" t="s">
        <v>373</v>
      </c>
      <c r="AF2850" s="1" t="s">
        <v>107</v>
      </c>
      <c r="AG2850" s="1">
        <v>47</v>
      </c>
      <c r="AO2850" s="2">
        <v>46282</v>
      </c>
      <c r="AP2850" s="1" t="s">
        <v>226</v>
      </c>
      <c r="AS2850" s="1" t="s">
        <v>71</v>
      </c>
      <c r="AU2850" s="1" t="s">
        <v>72</v>
      </c>
      <c r="AV2850" s="1" t="s">
        <v>437</v>
      </c>
      <c r="AX2850" s="1">
        <v>0</v>
      </c>
      <c r="BA2850" s="1">
        <v>9</v>
      </c>
      <c r="BB2850" s="1">
        <v>0</v>
      </c>
      <c r="BC2850" s="1">
        <v>0</v>
      </c>
      <c r="BE2850" s="1">
        <v>27432077</v>
      </c>
    </row>
    <row r="2851" spans="1:57" x14ac:dyDescent="0.25">
      <c r="A2851" s="1" t="str">
        <f>T("1947366708730335372")</f>
        <v>1947366708730335372</v>
      </c>
      <c r="B2851" s="1" t="str">
        <f>T("249916726483")</f>
        <v>249916726483</v>
      </c>
      <c r="C2851" s="1" t="str">
        <f>T("1941094532560979540")</f>
        <v>1941094532560979540</v>
      </c>
      <c r="AC2851" s="1" t="s">
        <v>344</v>
      </c>
      <c r="AD2851" s="1" t="s">
        <v>430</v>
      </c>
      <c r="AE2851" s="1" t="s">
        <v>530</v>
      </c>
      <c r="AF2851" s="1" t="s">
        <v>144</v>
      </c>
      <c r="AG2851" s="1">
        <v>50</v>
      </c>
      <c r="AO2851" s="2">
        <v>46282</v>
      </c>
      <c r="AP2851" s="1" t="s">
        <v>226</v>
      </c>
      <c r="AS2851" s="1" t="s">
        <v>71</v>
      </c>
      <c r="AU2851" s="1" t="s">
        <v>72</v>
      </c>
      <c r="AV2851" s="1" t="s">
        <v>437</v>
      </c>
      <c r="AX2851" s="1">
        <v>0</v>
      </c>
      <c r="BA2851" s="1">
        <v>9</v>
      </c>
      <c r="BB2851" s="1">
        <v>0</v>
      </c>
      <c r="BC2851" s="1">
        <v>0</v>
      </c>
      <c r="BE2851" s="1">
        <v>27432077</v>
      </c>
    </row>
    <row r="2852" spans="1:57" x14ac:dyDescent="0.25">
      <c r="A2852" s="1" t="str">
        <f>T("1947366708755503520")</f>
        <v>1947366708755503520</v>
      </c>
      <c r="B2852" s="1" t="str">
        <f>T("249912470099")</f>
        <v>249912470099</v>
      </c>
      <c r="C2852" s="1" t="str">
        <f>T("1941094532569367256")</f>
        <v>1941094532569367256</v>
      </c>
      <c r="AC2852" s="1" t="s">
        <v>344</v>
      </c>
      <c r="AD2852" s="1" t="s">
        <v>430</v>
      </c>
      <c r="AE2852" s="1" t="s">
        <v>530</v>
      </c>
      <c r="AF2852" s="1" t="s">
        <v>107</v>
      </c>
      <c r="AG2852" s="1">
        <v>35</v>
      </c>
      <c r="AO2852" s="2">
        <v>46282</v>
      </c>
      <c r="AP2852" s="1" t="s">
        <v>226</v>
      </c>
      <c r="AS2852" s="1" t="s">
        <v>71</v>
      </c>
      <c r="AU2852" s="1" t="s">
        <v>72</v>
      </c>
      <c r="AV2852" s="1" t="s">
        <v>73</v>
      </c>
      <c r="AX2852" s="1">
        <v>0</v>
      </c>
      <c r="BA2852" s="1">
        <v>9</v>
      </c>
      <c r="BB2852" s="1">
        <v>0</v>
      </c>
      <c r="BC2852" s="1">
        <v>0</v>
      </c>
      <c r="BE2852" s="1">
        <v>27432077</v>
      </c>
    </row>
    <row r="2853" spans="1:57" x14ac:dyDescent="0.25">
      <c r="A2853" s="1" t="str">
        <f>T("1947366708885527568")</f>
        <v>1947366708885527568</v>
      </c>
      <c r="B2853" s="1" t="str">
        <f>T("249961918071")</f>
        <v>249961918071</v>
      </c>
      <c r="C2853" s="1" t="str">
        <f>T("1941094532569367756")</f>
        <v>1941094532569367756</v>
      </c>
      <c r="AC2853" s="1" t="s">
        <v>344</v>
      </c>
      <c r="AD2853" s="1" t="s">
        <v>372</v>
      </c>
      <c r="AE2853" s="1" t="s">
        <v>813</v>
      </c>
      <c r="AF2853" s="1" t="s">
        <v>107</v>
      </c>
      <c r="AG2853" s="1">
        <v>40</v>
      </c>
      <c r="AO2853" s="2">
        <v>46282</v>
      </c>
      <c r="AP2853" s="1" t="s">
        <v>226</v>
      </c>
      <c r="AS2853" s="1" t="s">
        <v>71</v>
      </c>
      <c r="AU2853" s="1" t="s">
        <v>72</v>
      </c>
      <c r="AV2853" s="1" t="s">
        <v>73</v>
      </c>
      <c r="AX2853" s="1">
        <v>0</v>
      </c>
      <c r="BA2853" s="1">
        <v>9</v>
      </c>
      <c r="BB2853" s="1">
        <v>0</v>
      </c>
      <c r="BC2853" s="1">
        <v>0</v>
      </c>
      <c r="BE2853" s="1">
        <v>27432077</v>
      </c>
    </row>
    <row r="2854" spans="1:57" x14ac:dyDescent="0.25">
      <c r="A2854" s="1" t="str">
        <f>T("1947366708914885324")</f>
        <v>1947366708914885324</v>
      </c>
      <c r="B2854" s="1" t="str">
        <f>T("249903572794")</f>
        <v>249903572794</v>
      </c>
      <c r="C2854" s="1" t="str">
        <f>T("1941094532569368156")</f>
        <v>1941094532569368156</v>
      </c>
      <c r="AC2854" s="1" t="s">
        <v>344</v>
      </c>
      <c r="AD2854" s="1" t="s">
        <v>372</v>
      </c>
      <c r="AE2854" s="1" t="s">
        <v>818</v>
      </c>
      <c r="AF2854" s="1" t="s">
        <v>107</v>
      </c>
      <c r="AG2854" s="1">
        <v>77</v>
      </c>
      <c r="AO2854" s="2">
        <v>46282</v>
      </c>
      <c r="AP2854" s="1" t="s">
        <v>226</v>
      </c>
      <c r="AS2854" s="1" t="s">
        <v>71</v>
      </c>
      <c r="AU2854" s="1" t="s">
        <v>72</v>
      </c>
      <c r="AV2854" s="1" t="s">
        <v>73</v>
      </c>
      <c r="AX2854" s="1">
        <v>0</v>
      </c>
      <c r="BA2854" s="1">
        <v>9</v>
      </c>
      <c r="BB2854" s="1">
        <v>0</v>
      </c>
      <c r="BC2854" s="1">
        <v>0</v>
      </c>
      <c r="BE2854" s="1">
        <v>27432077</v>
      </c>
    </row>
    <row r="2855" spans="1:57" x14ac:dyDescent="0.25">
      <c r="A2855" s="1" t="str">
        <f>T("1947366708923275140")</f>
        <v>1947366708923275140</v>
      </c>
      <c r="B2855" s="1" t="str">
        <f>T("249919468277")</f>
        <v>249919468277</v>
      </c>
      <c r="C2855" s="1" t="str">
        <f>T("1941094532569368556")</f>
        <v>1941094532569368556</v>
      </c>
      <c r="AC2855" s="1" t="s">
        <v>344</v>
      </c>
      <c r="AD2855" s="1" t="s">
        <v>372</v>
      </c>
      <c r="AE2855" s="1" t="s">
        <v>813</v>
      </c>
      <c r="AF2855" s="1" t="s">
        <v>107</v>
      </c>
      <c r="AG2855" s="1">
        <v>34</v>
      </c>
      <c r="AO2855" s="2">
        <v>46282</v>
      </c>
      <c r="AP2855" s="1" t="s">
        <v>226</v>
      </c>
      <c r="AS2855" s="1" t="s">
        <v>71</v>
      </c>
      <c r="AU2855" s="1" t="s">
        <v>72</v>
      </c>
      <c r="AV2855" s="1" t="s">
        <v>437</v>
      </c>
      <c r="AX2855" s="1">
        <v>0</v>
      </c>
      <c r="BA2855" s="1">
        <v>9</v>
      </c>
      <c r="BB2855" s="1">
        <v>0</v>
      </c>
      <c r="BC2855" s="1">
        <v>0</v>
      </c>
      <c r="BE2855" s="1">
        <v>27432077</v>
      </c>
    </row>
    <row r="2856" spans="1:57" x14ac:dyDescent="0.25">
      <c r="A2856" s="1" t="str">
        <f>T("1947366708923275840")</f>
        <v>1947366708923275840</v>
      </c>
      <c r="B2856" s="1" t="str">
        <f>T("249961973317")</f>
        <v>249961973317</v>
      </c>
      <c r="C2856" s="1" t="str">
        <f>T("1941094532569369056")</f>
        <v>1941094532569369056</v>
      </c>
      <c r="AC2856" s="1" t="s">
        <v>344</v>
      </c>
      <c r="AD2856" s="1" t="s">
        <v>357</v>
      </c>
      <c r="AE2856" s="1" t="s">
        <v>812</v>
      </c>
      <c r="AF2856" s="1" t="s">
        <v>107</v>
      </c>
      <c r="AG2856" s="1">
        <v>57</v>
      </c>
      <c r="AO2856" s="2">
        <v>46282</v>
      </c>
      <c r="AP2856" s="1" t="s">
        <v>226</v>
      </c>
      <c r="AS2856" s="1" t="s">
        <v>71</v>
      </c>
      <c r="AU2856" s="1" t="s">
        <v>72</v>
      </c>
      <c r="AV2856" s="1" t="s">
        <v>437</v>
      </c>
      <c r="AX2856" s="1">
        <v>0</v>
      </c>
      <c r="BA2856" s="1">
        <v>9</v>
      </c>
      <c r="BB2856" s="1">
        <v>0</v>
      </c>
      <c r="BC2856" s="1">
        <v>0</v>
      </c>
      <c r="BE2856" s="1">
        <v>27432077</v>
      </c>
    </row>
    <row r="2857" spans="1:57" x14ac:dyDescent="0.25">
      <c r="A2857" s="1" t="str">
        <f>T("1947366708927471348")</f>
        <v>1947366708927471348</v>
      </c>
      <c r="B2857" s="1" t="str">
        <f>T("249903252919")</f>
        <v>249903252919</v>
      </c>
      <c r="C2857" s="1" t="str">
        <f>T("1941094532569369456")</f>
        <v>1941094532569369456</v>
      </c>
      <c r="AC2857" s="1" t="s">
        <v>344</v>
      </c>
      <c r="AD2857" s="1" t="s">
        <v>372</v>
      </c>
      <c r="AE2857" s="1" t="s">
        <v>814</v>
      </c>
      <c r="AF2857" s="1" t="s">
        <v>144</v>
      </c>
      <c r="AG2857" s="1">
        <v>25</v>
      </c>
      <c r="AO2857" s="2">
        <v>46282</v>
      </c>
      <c r="AP2857" s="1" t="s">
        <v>226</v>
      </c>
      <c r="AS2857" s="1" t="s">
        <v>71</v>
      </c>
      <c r="AU2857" s="1" t="s">
        <v>72</v>
      </c>
      <c r="AV2857" s="1" t="s">
        <v>437</v>
      </c>
      <c r="AX2857" s="1">
        <v>0</v>
      </c>
      <c r="BA2857" s="1">
        <v>9</v>
      </c>
      <c r="BB2857" s="1">
        <v>0</v>
      </c>
      <c r="BC2857" s="1">
        <v>0</v>
      </c>
      <c r="BE2857" s="1">
        <v>27432077</v>
      </c>
    </row>
    <row r="2858" spans="1:57" x14ac:dyDescent="0.25">
      <c r="A2858" s="1" t="str">
        <f>T("1947366708935857864")</f>
        <v>1947366708935857864</v>
      </c>
      <c r="B2858" s="1" t="str">
        <f>T("249992675302")</f>
        <v>249992675302</v>
      </c>
      <c r="C2858" s="1" t="str">
        <f>T("1941094532569369956")</f>
        <v>1941094532569369956</v>
      </c>
      <c r="AC2858" s="1" t="s">
        <v>344</v>
      </c>
      <c r="AD2858" s="1" t="s">
        <v>372</v>
      </c>
      <c r="AE2858" s="1" t="s">
        <v>814</v>
      </c>
      <c r="AF2858" s="1" t="s">
        <v>107</v>
      </c>
      <c r="AG2858" s="1">
        <v>40</v>
      </c>
      <c r="AO2858" s="2">
        <v>46282</v>
      </c>
      <c r="AP2858" s="1" t="s">
        <v>226</v>
      </c>
      <c r="AS2858" s="1" t="s">
        <v>71</v>
      </c>
      <c r="AU2858" s="1" t="s">
        <v>72</v>
      </c>
      <c r="AV2858" s="1" t="s">
        <v>73</v>
      </c>
      <c r="AX2858" s="1">
        <v>0</v>
      </c>
      <c r="BA2858" s="1">
        <v>9</v>
      </c>
      <c r="BB2858" s="1">
        <v>0</v>
      </c>
      <c r="BC2858" s="1">
        <v>0</v>
      </c>
      <c r="BE2858" s="1">
        <v>27432077</v>
      </c>
    </row>
    <row r="2859" spans="1:57" x14ac:dyDescent="0.25">
      <c r="A2859" s="1" t="str">
        <f>T("1947366708969411828")</f>
        <v>1947366708969411828</v>
      </c>
      <c r="B2859" s="1" t="str">
        <f>T("249909075000")</f>
        <v>249909075000</v>
      </c>
      <c r="C2859" s="1" t="str">
        <f>T("1941094532569370556")</f>
        <v>1941094532569370556</v>
      </c>
      <c r="AC2859" s="1" t="s">
        <v>344</v>
      </c>
      <c r="AD2859" s="1" t="s">
        <v>372</v>
      </c>
      <c r="AE2859" s="1" t="s">
        <v>813</v>
      </c>
      <c r="AF2859" s="1" t="s">
        <v>107</v>
      </c>
      <c r="AG2859" s="1">
        <v>36</v>
      </c>
      <c r="AO2859" s="2">
        <v>46282</v>
      </c>
      <c r="AP2859" s="1" t="s">
        <v>226</v>
      </c>
      <c r="AS2859" s="1" t="s">
        <v>71</v>
      </c>
      <c r="AU2859" s="1" t="s">
        <v>72</v>
      </c>
      <c r="AV2859" s="1" t="s">
        <v>126</v>
      </c>
      <c r="AX2859" s="1">
        <v>0</v>
      </c>
      <c r="BA2859" s="1">
        <v>9</v>
      </c>
      <c r="BB2859" s="1">
        <v>0</v>
      </c>
      <c r="BC2859" s="1">
        <v>0</v>
      </c>
      <c r="BE2859" s="1">
        <v>27432077</v>
      </c>
    </row>
    <row r="2860" spans="1:57" x14ac:dyDescent="0.25">
      <c r="A2860" s="1" t="str">
        <f>T("1947366708981996652")</f>
        <v>1947366708981996652</v>
      </c>
      <c r="B2860" s="1" t="str">
        <f>T("249960765407")</f>
        <v>249960765407</v>
      </c>
      <c r="C2860" s="1" t="str">
        <f>T("1941094532573561164")</f>
        <v>1941094532573561164</v>
      </c>
      <c r="AC2860" s="1" t="s">
        <v>344</v>
      </c>
      <c r="AD2860" s="1" t="s">
        <v>441</v>
      </c>
      <c r="AE2860" s="1" t="s">
        <v>530</v>
      </c>
      <c r="AF2860" s="1" t="s">
        <v>107</v>
      </c>
      <c r="AG2860" s="1">
        <v>50</v>
      </c>
      <c r="AO2860" s="2">
        <v>46282</v>
      </c>
      <c r="AP2860" s="1" t="s">
        <v>226</v>
      </c>
      <c r="AS2860" s="1" t="s">
        <v>71</v>
      </c>
      <c r="AU2860" s="1" t="s">
        <v>72</v>
      </c>
      <c r="AV2860" s="1" t="s">
        <v>73</v>
      </c>
      <c r="AX2860" s="1">
        <v>0</v>
      </c>
      <c r="BA2860" s="1">
        <v>9</v>
      </c>
      <c r="BB2860" s="1">
        <v>0</v>
      </c>
      <c r="BC2860" s="1">
        <v>0</v>
      </c>
      <c r="BE2860" s="1">
        <v>27432077</v>
      </c>
    </row>
    <row r="2861" spans="1:57" x14ac:dyDescent="0.25">
      <c r="A2861" s="1" t="str">
        <f>T("1947366708990383468")</f>
        <v>1947366708990383468</v>
      </c>
      <c r="B2861" s="1" t="str">
        <f>T("249961803353")</f>
        <v>249961803353</v>
      </c>
      <c r="C2861" s="1" t="str">
        <f>T("1941094532573561564")</f>
        <v>1941094532573561564</v>
      </c>
      <c r="AC2861" s="1" t="s">
        <v>344</v>
      </c>
      <c r="AD2861" s="1" t="s">
        <v>372</v>
      </c>
      <c r="AE2861" s="1" t="s">
        <v>813</v>
      </c>
      <c r="AF2861" s="1" t="s">
        <v>107</v>
      </c>
      <c r="AG2861" s="1">
        <v>58</v>
      </c>
      <c r="AO2861" s="2">
        <v>46282</v>
      </c>
      <c r="AP2861" s="1" t="s">
        <v>226</v>
      </c>
      <c r="AS2861" s="1" t="s">
        <v>71</v>
      </c>
      <c r="AU2861" s="1" t="s">
        <v>72</v>
      </c>
      <c r="AV2861" s="1" t="s">
        <v>73</v>
      </c>
      <c r="AX2861" s="1">
        <v>0</v>
      </c>
      <c r="BA2861" s="1">
        <v>9</v>
      </c>
      <c r="BB2861" s="1">
        <v>0</v>
      </c>
      <c r="BC2861" s="1">
        <v>0</v>
      </c>
      <c r="BE2861" s="1">
        <v>27432077</v>
      </c>
    </row>
    <row r="2862" spans="1:57" x14ac:dyDescent="0.25">
      <c r="A2862" s="1" t="str">
        <f>T("1947366708990383668")</f>
        <v>1947366708990383668</v>
      </c>
      <c r="B2862" s="1" t="str">
        <f>T("249910964159")</f>
        <v>249910964159</v>
      </c>
      <c r="C2862" s="1" t="str">
        <f>T("1941094532573562464")</f>
        <v>1941094532573562464</v>
      </c>
      <c r="AC2862" s="1" t="s">
        <v>344</v>
      </c>
      <c r="AD2862" s="1" t="s">
        <v>430</v>
      </c>
      <c r="AE2862" s="1" t="s">
        <v>530</v>
      </c>
      <c r="AF2862" s="1" t="s">
        <v>144</v>
      </c>
      <c r="AG2862" s="1">
        <v>48</v>
      </c>
      <c r="AO2862" s="2">
        <v>46282</v>
      </c>
      <c r="AP2862" s="1" t="s">
        <v>226</v>
      </c>
      <c r="AS2862" s="1" t="s">
        <v>71</v>
      </c>
      <c r="AU2862" s="1" t="s">
        <v>72</v>
      </c>
      <c r="AV2862" s="1" t="s">
        <v>437</v>
      </c>
      <c r="AX2862" s="1">
        <v>0</v>
      </c>
      <c r="BA2862" s="1">
        <v>9</v>
      </c>
      <c r="BB2862" s="1">
        <v>0</v>
      </c>
      <c r="BC2862" s="1">
        <v>0</v>
      </c>
      <c r="BE2862" s="1">
        <v>27432077</v>
      </c>
    </row>
    <row r="2863" spans="1:57" x14ac:dyDescent="0.25">
      <c r="A2863" s="1" t="str">
        <f>T("1947366708990384568")</f>
        <v>1947366708990384568</v>
      </c>
      <c r="B2863" s="1" t="str">
        <f>T("249920032081")</f>
        <v>249920032081</v>
      </c>
      <c r="C2863" s="1" t="str">
        <f>T("1941094532573561964")</f>
        <v>1941094532573561964</v>
      </c>
      <c r="AC2863" s="1" t="s">
        <v>344</v>
      </c>
      <c r="AD2863" s="1" t="s">
        <v>372</v>
      </c>
      <c r="AE2863" s="1" t="s">
        <v>813</v>
      </c>
      <c r="AF2863" s="1" t="s">
        <v>107</v>
      </c>
      <c r="AG2863" s="1">
        <v>28</v>
      </c>
      <c r="AO2863" s="2">
        <v>46282</v>
      </c>
      <c r="AP2863" s="1" t="s">
        <v>226</v>
      </c>
      <c r="AS2863" s="1" t="s">
        <v>71</v>
      </c>
      <c r="AU2863" s="1" t="s">
        <v>72</v>
      </c>
      <c r="AV2863" s="1" t="s">
        <v>73</v>
      </c>
      <c r="AX2863" s="1">
        <v>0</v>
      </c>
      <c r="BA2863" s="1">
        <v>9</v>
      </c>
      <c r="BB2863" s="1">
        <v>0</v>
      </c>
      <c r="BC2863" s="1">
        <v>0</v>
      </c>
      <c r="BE2863" s="1">
        <v>27432077</v>
      </c>
    </row>
    <row r="2864" spans="1:57" x14ac:dyDescent="0.25">
      <c r="A2864" s="1" t="str">
        <f>T("1947366709023938232")</f>
        <v>1947366709023938232</v>
      </c>
      <c r="B2864" s="1" t="str">
        <f>T("249911022494")</f>
        <v>249911022494</v>
      </c>
      <c r="C2864" s="1" t="str">
        <f>T("1941094532573562864")</f>
        <v>1941094532573562864</v>
      </c>
      <c r="AC2864" s="1" t="s">
        <v>344</v>
      </c>
      <c r="AD2864" s="1" t="s">
        <v>430</v>
      </c>
      <c r="AE2864" s="1" t="s">
        <v>530</v>
      </c>
      <c r="AF2864" s="1" t="s">
        <v>107</v>
      </c>
      <c r="AG2864" s="1">
        <v>26</v>
      </c>
      <c r="AO2864" s="2">
        <v>46282</v>
      </c>
      <c r="AP2864" s="1" t="s">
        <v>226</v>
      </c>
      <c r="AS2864" s="1" t="s">
        <v>71</v>
      </c>
      <c r="AU2864" s="1" t="s">
        <v>72</v>
      </c>
      <c r="AV2864" s="1" t="s">
        <v>437</v>
      </c>
      <c r="AX2864" s="1">
        <v>0</v>
      </c>
      <c r="BA2864" s="1">
        <v>9</v>
      </c>
      <c r="BB2864" s="1">
        <v>0</v>
      </c>
      <c r="BC2864" s="1">
        <v>0</v>
      </c>
      <c r="BE2864" s="1">
        <v>27432077</v>
      </c>
    </row>
    <row r="2865" spans="1:57" x14ac:dyDescent="0.25">
      <c r="A2865" s="1" t="str">
        <f>T("1947366709032328248")</f>
        <v>1947366709032328248</v>
      </c>
      <c r="B2865" s="1" t="str">
        <f>T("249903205843")</f>
        <v>249903205843</v>
      </c>
      <c r="C2865" s="1" t="str">
        <f>T("1941094532573563364")</f>
        <v>1941094532573563364</v>
      </c>
      <c r="AC2865" s="1" t="s">
        <v>344</v>
      </c>
      <c r="AD2865" s="1" t="s">
        <v>441</v>
      </c>
      <c r="AE2865" s="1" t="s">
        <v>530</v>
      </c>
      <c r="AF2865" s="1" t="s">
        <v>107</v>
      </c>
      <c r="AG2865" s="1">
        <v>66</v>
      </c>
      <c r="AO2865" s="2">
        <v>46282</v>
      </c>
      <c r="AP2865" s="1" t="s">
        <v>226</v>
      </c>
      <c r="AS2865" s="1" t="s">
        <v>71</v>
      </c>
      <c r="AU2865" s="1" t="s">
        <v>72</v>
      </c>
      <c r="AV2865" s="1" t="s">
        <v>73</v>
      </c>
      <c r="AX2865" s="1">
        <v>0</v>
      </c>
      <c r="BA2865" s="1">
        <v>9</v>
      </c>
      <c r="BB2865" s="1">
        <v>0</v>
      </c>
      <c r="BC2865" s="1">
        <v>0</v>
      </c>
      <c r="BE2865" s="1">
        <v>27432077</v>
      </c>
    </row>
    <row r="2866" spans="1:57" x14ac:dyDescent="0.25">
      <c r="A2866" s="1" t="str">
        <f>T("1947366709040715364")</f>
        <v>1947366709040715364</v>
      </c>
      <c r="B2866" s="1" t="str">
        <f>T("249928744423")</f>
        <v>249928744423</v>
      </c>
      <c r="C2866" s="1" t="str">
        <f>T("1941094532573563764")</f>
        <v>1941094532573563764</v>
      </c>
      <c r="AA2866" s="1">
        <v>1</v>
      </c>
      <c r="AC2866" s="1" t="s">
        <v>344</v>
      </c>
      <c r="AD2866" s="1" t="s">
        <v>372</v>
      </c>
      <c r="AE2866" s="1" t="s">
        <v>820</v>
      </c>
      <c r="AF2866" s="1" t="s">
        <v>107</v>
      </c>
      <c r="AG2866" s="1">
        <v>56</v>
      </c>
      <c r="AO2866" s="2">
        <v>46282</v>
      </c>
      <c r="AP2866" s="1" t="s">
        <v>226</v>
      </c>
      <c r="AQ2866" s="2">
        <v>46282</v>
      </c>
      <c r="AR2866" s="1" t="s">
        <v>379</v>
      </c>
      <c r="AS2866" s="1" t="s">
        <v>71</v>
      </c>
      <c r="AU2866" s="1" t="s">
        <v>79</v>
      </c>
      <c r="AV2866" s="1" t="s">
        <v>80</v>
      </c>
      <c r="AW2866" s="1">
        <v>59.9</v>
      </c>
      <c r="AX2866" s="1">
        <v>0</v>
      </c>
      <c r="AZ2866" s="1" t="s">
        <v>81</v>
      </c>
      <c r="BA2866" s="1">
        <v>1</v>
      </c>
      <c r="BB2866" s="1">
        <v>0</v>
      </c>
      <c r="BC2866" s="1">
        <v>0</v>
      </c>
      <c r="BE2866" s="1">
        <v>27432077</v>
      </c>
    </row>
    <row r="2867" spans="1:57" x14ac:dyDescent="0.25">
      <c r="A2867" s="1" t="str">
        <f>T("1947366709044910372")</f>
        <v>1947366709044910372</v>
      </c>
      <c r="B2867" s="1" t="str">
        <f>T("249967980385")</f>
        <v>249967980385</v>
      </c>
      <c r="C2867" s="1" t="str">
        <f>T("1941094532573564464")</f>
        <v>1941094532573564464</v>
      </c>
      <c r="AC2867" s="1" t="s">
        <v>344</v>
      </c>
      <c r="AD2867" s="1" t="s">
        <v>430</v>
      </c>
      <c r="AE2867" s="1" t="s">
        <v>530</v>
      </c>
      <c r="AF2867" s="1" t="s">
        <v>144</v>
      </c>
      <c r="AG2867" s="1">
        <v>49</v>
      </c>
      <c r="AO2867" s="2">
        <v>46282</v>
      </c>
      <c r="AP2867" s="1" t="s">
        <v>226</v>
      </c>
      <c r="AS2867" s="1" t="s">
        <v>71</v>
      </c>
      <c r="AU2867" s="1" t="s">
        <v>72</v>
      </c>
      <c r="AV2867" s="1" t="s">
        <v>73</v>
      </c>
      <c r="AX2867" s="1">
        <v>0</v>
      </c>
      <c r="BA2867" s="1">
        <v>9</v>
      </c>
      <c r="BB2867" s="1">
        <v>0</v>
      </c>
      <c r="BC2867" s="1">
        <v>0</v>
      </c>
      <c r="BE2867" s="1">
        <v>27432077</v>
      </c>
    </row>
    <row r="2868" spans="1:57" x14ac:dyDescent="0.25">
      <c r="A2868" s="1" t="str">
        <f>T("1947366709057492896")</f>
        <v>1947366709057492896</v>
      </c>
      <c r="B2868" s="1" t="str">
        <f>T("249900864155")</f>
        <v>249900864155</v>
      </c>
      <c r="C2868" s="1" t="str">
        <f>T("1941094532577755372")</f>
        <v>1941094532577755372</v>
      </c>
      <c r="AC2868" s="1" t="s">
        <v>344</v>
      </c>
      <c r="AD2868" s="1" t="s">
        <v>430</v>
      </c>
      <c r="AE2868" s="1" t="s">
        <v>530</v>
      </c>
      <c r="AF2868" s="1" t="s">
        <v>144</v>
      </c>
      <c r="AG2868" s="1">
        <v>41</v>
      </c>
      <c r="AO2868" s="2">
        <v>46282</v>
      </c>
      <c r="AP2868" s="1" t="s">
        <v>226</v>
      </c>
      <c r="AS2868" s="1" t="s">
        <v>71</v>
      </c>
      <c r="AU2868" s="1" t="s">
        <v>72</v>
      </c>
      <c r="AV2868" s="1" t="s">
        <v>437</v>
      </c>
      <c r="AX2868" s="1">
        <v>0</v>
      </c>
      <c r="BA2868" s="1">
        <v>9</v>
      </c>
      <c r="BB2868" s="1">
        <v>0</v>
      </c>
      <c r="BC2868" s="1">
        <v>0</v>
      </c>
      <c r="BE2868" s="1">
        <v>27432077</v>
      </c>
    </row>
    <row r="2869" spans="1:57" x14ac:dyDescent="0.25">
      <c r="A2869" s="1" t="str">
        <f>T("1947366709065882112")</f>
        <v>1947366709065882112</v>
      </c>
      <c r="B2869" s="1" t="str">
        <f>T("249917073544")</f>
        <v>249917073544</v>
      </c>
      <c r="C2869" s="1" t="str">
        <f>T("1941094532577755772")</f>
        <v>1941094532577755772</v>
      </c>
      <c r="AC2869" s="1" t="s">
        <v>344</v>
      </c>
      <c r="AD2869" s="1" t="s">
        <v>430</v>
      </c>
      <c r="AE2869" s="1" t="s">
        <v>530</v>
      </c>
      <c r="AF2869" s="1" t="s">
        <v>107</v>
      </c>
      <c r="AG2869" s="1">
        <v>24</v>
      </c>
      <c r="AO2869" s="2">
        <v>46282</v>
      </c>
      <c r="AP2869" s="1" t="s">
        <v>226</v>
      </c>
      <c r="AS2869" s="1" t="s">
        <v>71</v>
      </c>
      <c r="AU2869" s="1" t="s">
        <v>72</v>
      </c>
      <c r="AV2869" s="1" t="s">
        <v>73</v>
      </c>
      <c r="AX2869" s="1">
        <v>0</v>
      </c>
      <c r="BA2869" s="1">
        <v>9</v>
      </c>
      <c r="BB2869" s="1">
        <v>0</v>
      </c>
      <c r="BC2869" s="1">
        <v>0</v>
      </c>
      <c r="BE2869" s="1">
        <v>27432077</v>
      </c>
    </row>
    <row r="2870" spans="1:57" x14ac:dyDescent="0.25">
      <c r="A2870" s="1" t="str">
        <f>T("1947366709086853552")</f>
        <v>1947366709086853552</v>
      </c>
      <c r="B2870" s="1" t="str">
        <f>T("249910233796")</f>
        <v>249910233796</v>
      </c>
      <c r="C2870" s="1" t="str">
        <f>T("1941094532577756272")</f>
        <v>1941094532577756272</v>
      </c>
      <c r="AC2870" s="1" t="s">
        <v>344</v>
      </c>
      <c r="AD2870" s="1" t="s">
        <v>372</v>
      </c>
      <c r="AE2870" s="1" t="s">
        <v>813</v>
      </c>
      <c r="AF2870" s="1" t="s">
        <v>144</v>
      </c>
      <c r="AG2870" s="1">
        <v>35</v>
      </c>
      <c r="AO2870" s="2">
        <v>46282</v>
      </c>
      <c r="AP2870" s="1" t="s">
        <v>226</v>
      </c>
      <c r="AS2870" s="1" t="s">
        <v>71</v>
      </c>
      <c r="AU2870" s="1" t="s">
        <v>72</v>
      </c>
      <c r="AV2870" s="1" t="s">
        <v>126</v>
      </c>
      <c r="AX2870" s="1">
        <v>0</v>
      </c>
      <c r="BA2870" s="1">
        <v>9</v>
      </c>
      <c r="BB2870" s="1">
        <v>0</v>
      </c>
      <c r="BC2870" s="1">
        <v>0</v>
      </c>
      <c r="BE2870" s="1">
        <v>27432077</v>
      </c>
    </row>
    <row r="2871" spans="1:57" x14ac:dyDescent="0.25">
      <c r="A2871" s="1" t="str">
        <f>T("1947366709091046560")</f>
        <v>1947366709091046560</v>
      </c>
      <c r="B2871" s="1" t="str">
        <f>T("249913889296")</f>
        <v>249913889296</v>
      </c>
      <c r="C2871" s="1" t="str">
        <f>T("1941094532586147088")</f>
        <v>1941094532586147088</v>
      </c>
      <c r="AC2871" s="1" t="s">
        <v>344</v>
      </c>
      <c r="AD2871" s="1" t="s">
        <v>441</v>
      </c>
      <c r="AE2871" s="1" t="s">
        <v>530</v>
      </c>
      <c r="AF2871" s="1" t="s">
        <v>107</v>
      </c>
      <c r="AG2871" s="1">
        <v>40</v>
      </c>
      <c r="AO2871" s="2">
        <v>46282</v>
      </c>
      <c r="AP2871" s="1" t="s">
        <v>226</v>
      </c>
      <c r="AS2871" s="1" t="s">
        <v>71</v>
      </c>
      <c r="AU2871" s="1" t="s">
        <v>72</v>
      </c>
      <c r="AV2871" s="1" t="s">
        <v>437</v>
      </c>
      <c r="AX2871" s="1">
        <v>0</v>
      </c>
      <c r="BA2871" s="1">
        <v>9</v>
      </c>
      <c r="BB2871" s="1">
        <v>0</v>
      </c>
      <c r="BC2871" s="1">
        <v>0</v>
      </c>
      <c r="BE2871" s="1">
        <v>27432077</v>
      </c>
    </row>
    <row r="2872" spans="1:57" x14ac:dyDescent="0.25">
      <c r="A2872" s="1" t="str">
        <f>T("1947366709099434076")</f>
        <v>1947366709099434076</v>
      </c>
      <c r="B2872" s="1" t="str">
        <f>T("249961075836")</f>
        <v>249961075836</v>
      </c>
      <c r="C2872" s="1" t="str">
        <f>T("1941094532586147788")</f>
        <v>1941094532586147788</v>
      </c>
      <c r="AC2872" s="1" t="s">
        <v>344</v>
      </c>
      <c r="AD2872" s="1" t="s">
        <v>441</v>
      </c>
      <c r="AE2872" s="1" t="s">
        <v>530</v>
      </c>
      <c r="AF2872" s="1" t="s">
        <v>107</v>
      </c>
      <c r="AG2872" s="1">
        <v>40</v>
      </c>
      <c r="AO2872" s="2">
        <v>46282</v>
      </c>
      <c r="AP2872" s="1" t="s">
        <v>226</v>
      </c>
      <c r="AS2872" s="1" t="s">
        <v>71</v>
      </c>
      <c r="AU2872" s="1" t="s">
        <v>72</v>
      </c>
      <c r="AV2872" s="1" t="s">
        <v>437</v>
      </c>
      <c r="AX2872" s="1">
        <v>0</v>
      </c>
      <c r="BA2872" s="1">
        <v>9</v>
      </c>
      <c r="BB2872" s="1">
        <v>0</v>
      </c>
      <c r="BC2872" s="1">
        <v>0</v>
      </c>
      <c r="BE2872" s="1">
        <v>27432077</v>
      </c>
    </row>
    <row r="2873" spans="1:57" x14ac:dyDescent="0.25">
      <c r="A2873" s="1" t="str">
        <f>T("1947366709112019300")</f>
        <v>1947366709112019300</v>
      </c>
      <c r="B2873" s="1" t="str">
        <f>T("249962895153")</f>
        <v>249962895153</v>
      </c>
      <c r="C2873" s="1" t="str">
        <f>T("1941094532590338596")</f>
        <v>1941094532590338596</v>
      </c>
      <c r="AC2873" s="1" t="s">
        <v>344</v>
      </c>
      <c r="AD2873" s="1" t="s">
        <v>441</v>
      </c>
      <c r="AE2873" s="1" t="s">
        <v>530</v>
      </c>
      <c r="AF2873" s="1" t="s">
        <v>144</v>
      </c>
      <c r="AG2873" s="1">
        <v>40</v>
      </c>
      <c r="AO2873" s="2">
        <v>46282</v>
      </c>
      <c r="AP2873" s="1" t="s">
        <v>226</v>
      </c>
      <c r="AS2873" s="1" t="s">
        <v>71</v>
      </c>
      <c r="AU2873" s="1" t="s">
        <v>72</v>
      </c>
      <c r="AV2873" s="1" t="s">
        <v>437</v>
      </c>
      <c r="AX2873" s="1">
        <v>0</v>
      </c>
      <c r="BA2873" s="1">
        <v>9</v>
      </c>
      <c r="BB2873" s="1">
        <v>0</v>
      </c>
      <c r="BC2873" s="1">
        <v>0</v>
      </c>
      <c r="BE2873" s="1">
        <v>27432077</v>
      </c>
    </row>
    <row r="2874" spans="1:57" x14ac:dyDescent="0.25">
      <c r="A2874" s="1" t="str">
        <f>T("1947366709120408316")</f>
        <v>1947366709120408316</v>
      </c>
      <c r="B2874" s="1" t="str">
        <f>T("249966940126")</f>
        <v>249966940126</v>
      </c>
      <c r="C2874" s="1" t="str">
        <f>T("1941094532590338996")</f>
        <v>1941094532590338996</v>
      </c>
      <c r="AC2874" s="1" t="s">
        <v>344</v>
      </c>
      <c r="AD2874" s="1" t="s">
        <v>372</v>
      </c>
      <c r="AE2874" s="1" t="s">
        <v>815</v>
      </c>
      <c r="AF2874" s="1" t="s">
        <v>107</v>
      </c>
      <c r="AG2874" s="1">
        <v>30</v>
      </c>
      <c r="AO2874" s="2">
        <v>46282</v>
      </c>
      <c r="AP2874" s="1" t="s">
        <v>226</v>
      </c>
      <c r="AS2874" s="1" t="s">
        <v>71</v>
      </c>
      <c r="AU2874" s="1" t="s">
        <v>72</v>
      </c>
      <c r="AV2874" s="1" t="s">
        <v>73</v>
      </c>
      <c r="AX2874" s="1">
        <v>0</v>
      </c>
      <c r="BA2874" s="1">
        <v>9</v>
      </c>
      <c r="BB2874" s="1">
        <v>0</v>
      </c>
      <c r="BC2874" s="1">
        <v>0</v>
      </c>
      <c r="BE2874" s="1">
        <v>27432077</v>
      </c>
    </row>
    <row r="2875" spans="1:57" x14ac:dyDescent="0.25">
      <c r="A2875" s="1" t="str">
        <f>T("1947366709145573464")</f>
        <v>1947366709145573464</v>
      </c>
      <c r="B2875" s="1" t="str">
        <f>T("249919468964")</f>
        <v>249919468964</v>
      </c>
      <c r="C2875" s="1" t="str">
        <f>T("1941094532590339496")</f>
        <v>1941094532590339496</v>
      </c>
      <c r="AC2875" s="1" t="s">
        <v>344</v>
      </c>
      <c r="AD2875" s="1" t="s">
        <v>430</v>
      </c>
      <c r="AE2875" s="1" t="s">
        <v>530</v>
      </c>
      <c r="AF2875" s="1" t="s">
        <v>107</v>
      </c>
      <c r="AG2875" s="1">
        <v>34</v>
      </c>
      <c r="AO2875" s="2">
        <v>46282</v>
      </c>
      <c r="AP2875" s="1" t="s">
        <v>226</v>
      </c>
      <c r="AS2875" s="1" t="s">
        <v>71</v>
      </c>
      <c r="AU2875" s="1" t="s">
        <v>72</v>
      </c>
      <c r="AV2875" s="1" t="s">
        <v>437</v>
      </c>
      <c r="AX2875" s="1">
        <v>0</v>
      </c>
      <c r="BA2875" s="1">
        <v>9</v>
      </c>
      <c r="BB2875" s="1">
        <v>0</v>
      </c>
      <c r="BC2875" s="1">
        <v>0</v>
      </c>
      <c r="BE2875" s="1">
        <v>27432077</v>
      </c>
    </row>
    <row r="2876" spans="1:57" x14ac:dyDescent="0.25">
      <c r="A2876" s="1" t="str">
        <f>T("1947366709162349096")</f>
        <v>1947366709162349096</v>
      </c>
      <c r="B2876" s="1" t="str">
        <f>T("249967721533")</f>
        <v>249967721533</v>
      </c>
      <c r="C2876" s="1" t="str">
        <f>T("1941094532590339896")</f>
        <v>1941094532590339896</v>
      </c>
      <c r="AC2876" s="1" t="s">
        <v>344</v>
      </c>
      <c r="AD2876" s="1" t="s">
        <v>441</v>
      </c>
      <c r="AE2876" s="1" t="s">
        <v>530</v>
      </c>
      <c r="AF2876" s="1" t="s">
        <v>107</v>
      </c>
      <c r="AG2876" s="1">
        <v>46</v>
      </c>
      <c r="AO2876" s="2">
        <v>46282</v>
      </c>
      <c r="AP2876" s="1" t="s">
        <v>226</v>
      </c>
      <c r="AS2876" s="1" t="s">
        <v>71</v>
      </c>
      <c r="AU2876" s="1" t="s">
        <v>72</v>
      </c>
      <c r="AV2876" s="1" t="s">
        <v>126</v>
      </c>
      <c r="AX2876" s="1">
        <v>0</v>
      </c>
      <c r="BA2876" s="1">
        <v>9</v>
      </c>
      <c r="BB2876" s="1">
        <v>0</v>
      </c>
      <c r="BC2876" s="1">
        <v>0</v>
      </c>
      <c r="BE2876" s="1">
        <v>27432077</v>
      </c>
    </row>
    <row r="2877" spans="1:57" x14ac:dyDescent="0.25">
      <c r="A2877" s="1" t="str">
        <f>T("1947366709162350796")</f>
        <v>1947366709162350796</v>
      </c>
      <c r="B2877" s="1" t="str">
        <f>T("249993200301")</f>
        <v>249993200301</v>
      </c>
      <c r="C2877" s="1" t="str">
        <f>T("1941094532590340296")</f>
        <v>1941094532590340296</v>
      </c>
      <c r="AA2877" s="1">
        <v>1</v>
      </c>
      <c r="AC2877" s="1" t="s">
        <v>344</v>
      </c>
      <c r="AD2877" s="1" t="s">
        <v>372</v>
      </c>
      <c r="AE2877" s="1" t="s">
        <v>820</v>
      </c>
      <c r="AF2877" s="1" t="s">
        <v>107</v>
      </c>
      <c r="AG2877" s="1">
        <v>20</v>
      </c>
      <c r="AO2877" s="2">
        <v>46282</v>
      </c>
      <c r="AP2877" s="1" t="s">
        <v>226</v>
      </c>
      <c r="AQ2877" s="2">
        <v>46283</v>
      </c>
      <c r="AR2877" s="1" t="s">
        <v>855</v>
      </c>
      <c r="AS2877" s="1" t="s">
        <v>71</v>
      </c>
      <c r="AU2877" s="1" t="s">
        <v>79</v>
      </c>
      <c r="AV2877" s="1" t="s">
        <v>80</v>
      </c>
      <c r="AW2877" s="1">
        <v>128.58000000000001</v>
      </c>
      <c r="AX2877" s="1">
        <v>0</v>
      </c>
      <c r="AZ2877" s="1" t="s">
        <v>81</v>
      </c>
      <c r="BA2877" s="1">
        <v>4</v>
      </c>
      <c r="BB2877" s="1">
        <v>0</v>
      </c>
      <c r="BC2877" s="1">
        <v>0</v>
      </c>
      <c r="BE2877" s="1">
        <v>27432077</v>
      </c>
    </row>
    <row r="2878" spans="1:57" x14ac:dyDescent="0.25">
      <c r="A2878" s="1" t="str">
        <f>T("1947366709166545304")</f>
        <v>1947366709166545304</v>
      </c>
      <c r="B2878" s="1" t="str">
        <f>T("249965562011")</f>
        <v>249965562011</v>
      </c>
      <c r="C2878" s="1" t="str">
        <f>T("1941094532590340896")</f>
        <v>1941094532590340896</v>
      </c>
      <c r="AC2878" s="1" t="s">
        <v>344</v>
      </c>
      <c r="AD2878" s="1" t="s">
        <v>430</v>
      </c>
      <c r="AE2878" s="1" t="s">
        <v>530</v>
      </c>
      <c r="AF2878" s="1" t="s">
        <v>144</v>
      </c>
      <c r="AG2878" s="1">
        <v>25</v>
      </c>
      <c r="AO2878" s="2">
        <v>46282</v>
      </c>
      <c r="AP2878" s="1" t="s">
        <v>226</v>
      </c>
      <c r="AS2878" s="1" t="s">
        <v>71</v>
      </c>
      <c r="AU2878" s="1" t="s">
        <v>72</v>
      </c>
      <c r="AV2878" s="1" t="s">
        <v>437</v>
      </c>
      <c r="AX2878" s="1">
        <v>0</v>
      </c>
      <c r="BA2878" s="1">
        <v>9</v>
      </c>
      <c r="BB2878" s="1">
        <v>0</v>
      </c>
      <c r="BC2878" s="1">
        <v>0</v>
      </c>
      <c r="BE2878" s="1">
        <v>27432077</v>
      </c>
    </row>
    <row r="2879" spans="1:57" x14ac:dyDescent="0.25">
      <c r="A2879" s="1" t="str">
        <f>T("1947366709183323336")</f>
        <v>1947366709183323336</v>
      </c>
      <c r="B2879" s="1" t="str">
        <f>T("249961753844")</f>
        <v>249961753844</v>
      </c>
      <c r="C2879" s="1" t="str">
        <f>T("1941094532590341396")</f>
        <v>1941094532590341396</v>
      </c>
      <c r="AC2879" s="1" t="s">
        <v>344</v>
      </c>
      <c r="AD2879" s="1" t="s">
        <v>441</v>
      </c>
      <c r="AE2879" s="1" t="s">
        <v>530</v>
      </c>
      <c r="AF2879" s="1" t="s">
        <v>107</v>
      </c>
      <c r="AG2879" s="1">
        <v>30</v>
      </c>
      <c r="AO2879" s="2">
        <v>46282</v>
      </c>
      <c r="AP2879" s="1" t="s">
        <v>226</v>
      </c>
      <c r="AS2879" s="1" t="s">
        <v>71</v>
      </c>
      <c r="AU2879" s="1" t="s">
        <v>72</v>
      </c>
      <c r="AV2879" s="1" t="s">
        <v>73</v>
      </c>
      <c r="AX2879" s="1">
        <v>0</v>
      </c>
      <c r="BA2879" s="1">
        <v>9</v>
      </c>
      <c r="BB2879" s="1">
        <v>0</v>
      </c>
      <c r="BC2879" s="1">
        <v>0</v>
      </c>
      <c r="BE2879" s="1">
        <v>27432077</v>
      </c>
    </row>
    <row r="2880" spans="1:57" x14ac:dyDescent="0.25">
      <c r="A2880" s="1" t="str">
        <f>T("1947366709200100468")</f>
        <v>1947366709200100468</v>
      </c>
      <c r="B2880" s="1" t="str">
        <f>T("249967876672")</f>
        <v>249967876672</v>
      </c>
      <c r="C2880" s="1" t="str">
        <f>T("1941094532590341796")</f>
        <v>1941094532590341796</v>
      </c>
      <c r="AC2880" s="1" t="s">
        <v>344</v>
      </c>
      <c r="AD2880" s="1" t="s">
        <v>441</v>
      </c>
      <c r="AE2880" s="1" t="s">
        <v>530</v>
      </c>
      <c r="AF2880" s="1" t="s">
        <v>144</v>
      </c>
      <c r="AG2880" s="1">
        <v>20</v>
      </c>
      <c r="AO2880" s="2">
        <v>46282</v>
      </c>
      <c r="AP2880" s="1" t="s">
        <v>226</v>
      </c>
      <c r="AS2880" s="1" t="s">
        <v>71</v>
      </c>
      <c r="AU2880" s="1" t="s">
        <v>72</v>
      </c>
      <c r="AV2880" s="1" t="s">
        <v>73</v>
      </c>
      <c r="AX2880" s="1">
        <v>0</v>
      </c>
      <c r="BA2880" s="1">
        <v>9</v>
      </c>
      <c r="BB2880" s="1">
        <v>0</v>
      </c>
      <c r="BC2880" s="1">
        <v>0</v>
      </c>
      <c r="BE2880" s="1">
        <v>27432077</v>
      </c>
    </row>
    <row r="2881" spans="1:57" x14ac:dyDescent="0.25">
      <c r="A2881" s="1" t="str">
        <f>T("1947366709212681392")</f>
        <v>1947366709212681392</v>
      </c>
      <c r="B2881" s="1" t="str">
        <f>T("249908388790")</f>
        <v>249908388790</v>
      </c>
      <c r="C2881" s="1" t="str">
        <f>T("1941094532594532504")</f>
        <v>1941094532594532504</v>
      </c>
      <c r="AC2881" s="1" t="s">
        <v>344</v>
      </c>
      <c r="AD2881" s="1" t="s">
        <v>372</v>
      </c>
      <c r="AE2881" s="1" t="s">
        <v>814</v>
      </c>
      <c r="AF2881" s="1" t="s">
        <v>144</v>
      </c>
      <c r="AG2881" s="1">
        <v>33</v>
      </c>
      <c r="AO2881" s="2">
        <v>46282</v>
      </c>
      <c r="AP2881" s="1" t="s">
        <v>226</v>
      </c>
      <c r="AS2881" s="1" t="s">
        <v>71</v>
      </c>
      <c r="AU2881" s="1" t="s">
        <v>72</v>
      </c>
      <c r="AV2881" s="1" t="s">
        <v>437</v>
      </c>
      <c r="AX2881" s="1">
        <v>0</v>
      </c>
      <c r="BA2881" s="1">
        <v>9</v>
      </c>
      <c r="BB2881" s="1">
        <v>0</v>
      </c>
      <c r="BC2881" s="1">
        <v>0</v>
      </c>
      <c r="BE2881" s="1">
        <v>27432077</v>
      </c>
    </row>
    <row r="2882" spans="1:57" x14ac:dyDescent="0.25">
      <c r="A2882" s="1" t="str">
        <f>T("1947366709225265916")</f>
        <v>1947366709225265916</v>
      </c>
      <c r="B2882" s="1" t="str">
        <f>T("249919517242")</f>
        <v>249919517242</v>
      </c>
      <c r="C2882" s="1" t="str">
        <f>T("1941094532594532904")</f>
        <v>1941094532594532904</v>
      </c>
      <c r="AC2882" s="1" t="s">
        <v>344</v>
      </c>
      <c r="AD2882" s="1" t="s">
        <v>441</v>
      </c>
      <c r="AE2882" s="1" t="s">
        <v>530</v>
      </c>
      <c r="AF2882" s="1" t="s">
        <v>107</v>
      </c>
      <c r="AG2882" s="1">
        <v>51</v>
      </c>
      <c r="AO2882" s="2">
        <v>46282</v>
      </c>
      <c r="AP2882" s="1" t="s">
        <v>226</v>
      </c>
      <c r="AS2882" s="1" t="s">
        <v>71</v>
      </c>
      <c r="AU2882" s="1" t="s">
        <v>72</v>
      </c>
      <c r="AV2882" s="1" t="s">
        <v>73</v>
      </c>
      <c r="AX2882" s="1">
        <v>0</v>
      </c>
      <c r="BA2882" s="1">
        <v>9</v>
      </c>
      <c r="BB2882" s="1">
        <v>0</v>
      </c>
      <c r="BC2882" s="1">
        <v>0</v>
      </c>
      <c r="BE2882" s="1">
        <v>27432077</v>
      </c>
    </row>
    <row r="2883" spans="1:57" x14ac:dyDescent="0.25">
      <c r="A2883" s="1" t="str">
        <f>T("1947366709242041948")</f>
        <v>1947366709242041948</v>
      </c>
      <c r="B2883" s="1" t="str">
        <f>T("249110358064")</f>
        <v>249110358064</v>
      </c>
      <c r="C2883" s="1" t="str">
        <f>T("1941094532594533804")</f>
        <v>1941094532594533804</v>
      </c>
      <c r="AC2883" s="1" t="s">
        <v>344</v>
      </c>
      <c r="AD2883" s="1" t="s">
        <v>372</v>
      </c>
      <c r="AE2883" s="1" t="s">
        <v>820</v>
      </c>
      <c r="AF2883" s="1" t="s">
        <v>144</v>
      </c>
      <c r="AG2883" s="1">
        <v>35</v>
      </c>
      <c r="AO2883" s="2">
        <v>46282</v>
      </c>
      <c r="AP2883" s="1" t="s">
        <v>226</v>
      </c>
      <c r="AS2883" s="1" t="s">
        <v>71</v>
      </c>
      <c r="AU2883" s="1" t="s">
        <v>72</v>
      </c>
      <c r="AV2883" s="1" t="s">
        <v>73</v>
      </c>
      <c r="AX2883" s="1">
        <v>0</v>
      </c>
      <c r="BA2883" s="1">
        <v>9</v>
      </c>
      <c r="BB2883" s="1">
        <v>0</v>
      </c>
      <c r="BC2883" s="1">
        <v>0</v>
      </c>
      <c r="BE2883" s="1">
        <v>27432077</v>
      </c>
    </row>
    <row r="2884" spans="1:57" x14ac:dyDescent="0.25">
      <c r="A2884" s="1" t="str">
        <f>T("1947366709242043048")</f>
        <v>1947366709242043048</v>
      </c>
      <c r="B2884" s="1" t="str">
        <f>T("249968743569")</f>
        <v>249968743569</v>
      </c>
      <c r="C2884" s="1" t="str">
        <f>T("1941094532594533404")</f>
        <v>1941094532594533404</v>
      </c>
      <c r="AC2884" s="1" t="s">
        <v>344</v>
      </c>
      <c r="AD2884" s="1" t="s">
        <v>441</v>
      </c>
      <c r="AE2884" s="1" t="s">
        <v>530</v>
      </c>
      <c r="AF2884" s="1" t="s">
        <v>144</v>
      </c>
      <c r="AG2884" s="1">
        <v>33</v>
      </c>
      <c r="AO2884" s="2">
        <v>46282</v>
      </c>
      <c r="AP2884" s="1" t="s">
        <v>226</v>
      </c>
      <c r="AS2884" s="1" t="s">
        <v>71</v>
      </c>
      <c r="AU2884" s="1" t="s">
        <v>72</v>
      </c>
      <c r="AV2884" s="1" t="s">
        <v>126</v>
      </c>
      <c r="AX2884" s="1">
        <v>0</v>
      </c>
      <c r="BA2884" s="1">
        <v>9</v>
      </c>
      <c r="BB2884" s="1">
        <v>0</v>
      </c>
      <c r="BC2884" s="1">
        <v>0</v>
      </c>
      <c r="BE2884" s="1">
        <v>27432077</v>
      </c>
    </row>
    <row r="2885" spans="1:57" x14ac:dyDescent="0.25">
      <c r="A2885" s="1" t="str">
        <f>T("1947366709258817880")</f>
        <v>1947366709258817880</v>
      </c>
      <c r="B2885" s="1" t="str">
        <f>T("249907615438")</f>
        <v>249907615438</v>
      </c>
      <c r="C2885" s="1" t="str">
        <f>T("1941094532594534504")</f>
        <v>1941094532594534504</v>
      </c>
      <c r="AC2885" s="1" t="s">
        <v>344</v>
      </c>
      <c r="AD2885" s="1" t="s">
        <v>372</v>
      </c>
      <c r="AE2885" s="1" t="s">
        <v>373</v>
      </c>
      <c r="AF2885" s="1" t="s">
        <v>107</v>
      </c>
      <c r="AG2885" s="1">
        <v>31</v>
      </c>
      <c r="AO2885" s="2">
        <v>46282</v>
      </c>
      <c r="AP2885" s="1" t="s">
        <v>226</v>
      </c>
      <c r="AS2885" s="1" t="s">
        <v>71</v>
      </c>
      <c r="AU2885" s="1" t="s">
        <v>72</v>
      </c>
      <c r="AV2885" s="1" t="s">
        <v>73</v>
      </c>
      <c r="AX2885" s="1">
        <v>0</v>
      </c>
      <c r="BA2885" s="1">
        <v>9</v>
      </c>
      <c r="BB2885" s="1">
        <v>0</v>
      </c>
      <c r="BC2885" s="1">
        <v>0</v>
      </c>
      <c r="BE2885" s="1">
        <v>27432077</v>
      </c>
    </row>
    <row r="2886" spans="1:57" x14ac:dyDescent="0.25">
      <c r="A2886" s="1" t="str">
        <f>T("1947366709267206596")</f>
        <v>1947366709267206596</v>
      </c>
      <c r="B2886" s="1" t="str">
        <f>T("249998086220")</f>
        <v>249998086220</v>
      </c>
      <c r="C2886" s="1" t="str">
        <f>T("1941094532594534904")</f>
        <v>1941094532594534904</v>
      </c>
      <c r="AC2886" s="1" t="s">
        <v>344</v>
      </c>
      <c r="AD2886" s="1" t="s">
        <v>372</v>
      </c>
      <c r="AE2886" s="1" t="s">
        <v>814</v>
      </c>
      <c r="AF2886" s="1" t="s">
        <v>144</v>
      </c>
      <c r="AG2886" s="1">
        <v>55</v>
      </c>
      <c r="AO2886" s="2">
        <v>46282</v>
      </c>
      <c r="AP2886" s="1" t="s">
        <v>226</v>
      </c>
      <c r="AS2886" s="1" t="s">
        <v>71</v>
      </c>
      <c r="AU2886" s="1" t="s">
        <v>72</v>
      </c>
      <c r="AV2886" s="1" t="s">
        <v>73</v>
      </c>
      <c r="AX2886" s="1">
        <v>0</v>
      </c>
      <c r="BA2886" s="1">
        <v>9</v>
      </c>
      <c r="BB2886" s="1">
        <v>0</v>
      </c>
      <c r="BC2886" s="1">
        <v>0</v>
      </c>
      <c r="BE2886" s="1">
        <v>27432077</v>
      </c>
    </row>
    <row r="2887" spans="1:57" x14ac:dyDescent="0.25">
      <c r="A2887" s="1" t="str">
        <f>T("1947366709275597812")</f>
        <v>1947366709275597812</v>
      </c>
      <c r="B2887" s="1" t="str">
        <f>T("249910498340")</f>
        <v>249910498340</v>
      </c>
      <c r="C2887" s="1" t="str">
        <f>T("1941094532594536204")</f>
        <v>1941094532594536204</v>
      </c>
      <c r="AC2887" s="1" t="s">
        <v>344</v>
      </c>
      <c r="AD2887" s="1" t="s">
        <v>357</v>
      </c>
      <c r="AE2887" s="1" t="s">
        <v>812</v>
      </c>
      <c r="AF2887" s="1" t="s">
        <v>107</v>
      </c>
      <c r="AG2887" s="1">
        <v>48</v>
      </c>
      <c r="AO2887" s="2">
        <v>46282</v>
      </c>
      <c r="AP2887" s="1" t="s">
        <v>226</v>
      </c>
      <c r="AS2887" s="1" t="s">
        <v>71</v>
      </c>
      <c r="AU2887" s="1" t="s">
        <v>72</v>
      </c>
      <c r="AV2887" s="1" t="s">
        <v>73</v>
      </c>
      <c r="AX2887" s="1">
        <v>0</v>
      </c>
      <c r="BA2887" s="1">
        <v>9</v>
      </c>
      <c r="BB2887" s="1">
        <v>0</v>
      </c>
      <c r="BC2887" s="1">
        <v>0</v>
      </c>
      <c r="BE2887" s="1">
        <v>27432077</v>
      </c>
    </row>
    <row r="2888" spans="1:57" x14ac:dyDescent="0.25">
      <c r="A2888" s="1" t="str">
        <f>T("1947366709300761560")</f>
        <v>1947366709300761560</v>
      </c>
      <c r="B2888" s="1" t="str">
        <f>T("249911897857")</f>
        <v>249911897857</v>
      </c>
      <c r="C2888" s="1" t="str">
        <f>T("1941094532598727012")</f>
        <v>1941094532598727012</v>
      </c>
      <c r="AC2888" s="1" t="s">
        <v>344</v>
      </c>
      <c r="AD2888" s="1" t="s">
        <v>372</v>
      </c>
      <c r="AE2888" s="1" t="s">
        <v>373</v>
      </c>
      <c r="AF2888" s="1" t="s">
        <v>144</v>
      </c>
      <c r="AG2888" s="1">
        <v>45</v>
      </c>
      <c r="AO2888" s="2">
        <v>46282</v>
      </c>
      <c r="AP2888" s="1" t="s">
        <v>226</v>
      </c>
      <c r="AS2888" s="1" t="s">
        <v>71</v>
      </c>
      <c r="AU2888" s="1" t="s">
        <v>72</v>
      </c>
      <c r="AV2888" s="1" t="s">
        <v>73</v>
      </c>
      <c r="AX2888" s="1">
        <v>0</v>
      </c>
      <c r="BA2888" s="1">
        <v>9</v>
      </c>
      <c r="BB2888" s="1">
        <v>0</v>
      </c>
      <c r="BC2888" s="1">
        <v>0</v>
      </c>
      <c r="BE2888" s="1">
        <v>27432077</v>
      </c>
    </row>
    <row r="2889" spans="1:57" x14ac:dyDescent="0.25">
      <c r="A2889" s="1" t="str">
        <f>T("1947366709309151876")</f>
        <v>1947366709309151876</v>
      </c>
      <c r="B2889" s="1" t="str">
        <f>T("249900440007")</f>
        <v>249900440007</v>
      </c>
      <c r="C2889" s="1" t="str">
        <f>T("1941094532598727412")</f>
        <v>1941094532598727412</v>
      </c>
      <c r="AC2889" s="1" t="s">
        <v>344</v>
      </c>
      <c r="AD2889" s="1" t="s">
        <v>430</v>
      </c>
      <c r="AE2889" s="1" t="s">
        <v>530</v>
      </c>
      <c r="AF2889" s="1" t="s">
        <v>107</v>
      </c>
      <c r="AG2889" s="1">
        <v>32</v>
      </c>
      <c r="AO2889" s="2">
        <v>46282</v>
      </c>
      <c r="AP2889" s="1" t="s">
        <v>226</v>
      </c>
      <c r="AS2889" s="1" t="s">
        <v>71</v>
      </c>
      <c r="AU2889" s="1" t="s">
        <v>72</v>
      </c>
      <c r="AV2889" s="1" t="s">
        <v>73</v>
      </c>
      <c r="AX2889" s="1">
        <v>0</v>
      </c>
      <c r="BA2889" s="1">
        <v>9</v>
      </c>
      <c r="BB2889" s="1">
        <v>0</v>
      </c>
      <c r="BC2889" s="1">
        <v>0</v>
      </c>
      <c r="BE2889" s="1">
        <v>27432077</v>
      </c>
    </row>
    <row r="2890" spans="1:57" x14ac:dyDescent="0.25">
      <c r="A2890" s="1" t="str">
        <f>T("1947366709313343684")</f>
        <v>1947366709313343684</v>
      </c>
      <c r="B2890" s="1" t="str">
        <f>T("249996004283")</f>
        <v>249996004283</v>
      </c>
      <c r="C2890" s="1" t="str">
        <f>T("1941094532598727812")</f>
        <v>1941094532598727812</v>
      </c>
      <c r="AC2890" s="1" t="s">
        <v>344</v>
      </c>
      <c r="AD2890" s="1" t="s">
        <v>372</v>
      </c>
      <c r="AE2890" s="1" t="s">
        <v>820</v>
      </c>
      <c r="AF2890" s="1" t="s">
        <v>107</v>
      </c>
      <c r="AG2890" s="1">
        <v>35</v>
      </c>
      <c r="AO2890" s="2">
        <v>46282</v>
      </c>
      <c r="AP2890" s="1" t="s">
        <v>226</v>
      </c>
      <c r="AS2890" s="1" t="s">
        <v>71</v>
      </c>
      <c r="AU2890" s="1" t="s">
        <v>72</v>
      </c>
      <c r="AV2890" s="1" t="s">
        <v>73</v>
      </c>
      <c r="AX2890" s="1">
        <v>0</v>
      </c>
      <c r="BA2890" s="1">
        <v>9</v>
      </c>
      <c r="BB2890" s="1">
        <v>0</v>
      </c>
      <c r="BC2890" s="1">
        <v>0</v>
      </c>
      <c r="BE2890" s="1">
        <v>27432077</v>
      </c>
    </row>
    <row r="2891" spans="1:57" x14ac:dyDescent="0.25">
      <c r="A2891" s="1" t="str">
        <f>T("1947366709313346484")</f>
        <v>1947366709313346484</v>
      </c>
      <c r="B2891" s="1" t="str">
        <f>T("249913158914")</f>
        <v>249913158914</v>
      </c>
      <c r="C2891" s="1" t="str">
        <f>T("1941094532598728312")</f>
        <v>1941094532598728312</v>
      </c>
      <c r="AC2891" s="1" t="s">
        <v>344</v>
      </c>
      <c r="AD2891" s="1" t="s">
        <v>372</v>
      </c>
      <c r="AE2891" s="1" t="s">
        <v>818</v>
      </c>
      <c r="AF2891" s="1" t="s">
        <v>107</v>
      </c>
      <c r="AG2891" s="1">
        <v>55</v>
      </c>
      <c r="AO2891" s="2">
        <v>46282</v>
      </c>
      <c r="AP2891" s="1" t="s">
        <v>226</v>
      </c>
      <c r="AS2891" s="1" t="s">
        <v>71</v>
      </c>
      <c r="AU2891" s="1" t="s">
        <v>72</v>
      </c>
      <c r="AV2891" s="1" t="s">
        <v>437</v>
      </c>
      <c r="AX2891" s="1">
        <v>0</v>
      </c>
      <c r="BA2891" s="1">
        <v>9</v>
      </c>
      <c r="BB2891" s="1">
        <v>0</v>
      </c>
      <c r="BC2891" s="1">
        <v>0</v>
      </c>
      <c r="BE2891" s="1">
        <v>27432077</v>
      </c>
    </row>
    <row r="2892" spans="1:57" x14ac:dyDescent="0.25">
      <c r="A2892" s="1" t="str">
        <f>T("1947366709321733600")</f>
        <v>1947366709321733600</v>
      </c>
      <c r="B2892" s="1" t="str">
        <f>T("249900778859")</f>
        <v>249900778859</v>
      </c>
      <c r="C2892" s="1" t="str">
        <f>T("1941094532598728612")</f>
        <v>1941094532598728612</v>
      </c>
      <c r="AC2892" s="1" t="s">
        <v>344</v>
      </c>
      <c r="AD2892" s="1" t="s">
        <v>430</v>
      </c>
      <c r="AE2892" s="1" t="s">
        <v>530</v>
      </c>
      <c r="AF2892" s="1" t="s">
        <v>107</v>
      </c>
      <c r="AG2892" s="1">
        <v>40</v>
      </c>
      <c r="AO2892" s="2">
        <v>46282</v>
      </c>
      <c r="AP2892" s="1" t="s">
        <v>226</v>
      </c>
      <c r="AS2892" s="1" t="s">
        <v>71</v>
      </c>
      <c r="AU2892" s="1" t="s">
        <v>72</v>
      </c>
      <c r="AV2892" s="1" t="s">
        <v>437</v>
      </c>
      <c r="AX2892" s="1">
        <v>0</v>
      </c>
      <c r="BA2892" s="1">
        <v>9</v>
      </c>
      <c r="BB2892" s="1">
        <v>0</v>
      </c>
      <c r="BC2892" s="1">
        <v>0</v>
      </c>
      <c r="BE2892" s="1">
        <v>27432077</v>
      </c>
    </row>
    <row r="2893" spans="1:57" x14ac:dyDescent="0.25">
      <c r="A2893" s="1" t="str">
        <f>T("1947366709351094656")</f>
        <v>1947366709351094656</v>
      </c>
      <c r="B2893" s="1" t="str">
        <f>T("249904425158")</f>
        <v>249904425158</v>
      </c>
      <c r="C2893" s="1" t="str">
        <f>T("1941094532598729112")</f>
        <v>1941094532598729112</v>
      </c>
      <c r="AC2893" s="1" t="s">
        <v>344</v>
      </c>
      <c r="AD2893" s="1" t="s">
        <v>372</v>
      </c>
      <c r="AE2893" s="1" t="s">
        <v>818</v>
      </c>
      <c r="AF2893" s="1" t="s">
        <v>144</v>
      </c>
      <c r="AG2893" s="1">
        <v>40</v>
      </c>
      <c r="AO2893" s="2">
        <v>46282</v>
      </c>
      <c r="AP2893" s="1" t="s">
        <v>226</v>
      </c>
      <c r="AS2893" s="1" t="s">
        <v>71</v>
      </c>
      <c r="AU2893" s="1" t="s">
        <v>72</v>
      </c>
      <c r="AV2893" s="1" t="s">
        <v>437</v>
      </c>
      <c r="AX2893" s="1">
        <v>0</v>
      </c>
      <c r="BA2893" s="1">
        <v>9</v>
      </c>
      <c r="BB2893" s="1">
        <v>0</v>
      </c>
      <c r="BC2893" s="1">
        <v>0</v>
      </c>
      <c r="BE2893" s="1">
        <v>27432077</v>
      </c>
    </row>
    <row r="2894" spans="1:57" x14ac:dyDescent="0.25">
      <c r="A2894" s="1" t="str">
        <f>T("1947366709372063996")</f>
        <v>1947366709372063996</v>
      </c>
      <c r="B2894" s="1" t="str">
        <f>T("249908765918")</f>
        <v>249908765918</v>
      </c>
      <c r="C2894" s="1" t="str">
        <f>T("1941094532598729512")</f>
        <v>1941094532598729512</v>
      </c>
      <c r="AC2894" s="1" t="s">
        <v>344</v>
      </c>
      <c r="AD2894" s="1" t="s">
        <v>430</v>
      </c>
      <c r="AE2894" s="1" t="s">
        <v>530</v>
      </c>
      <c r="AF2894" s="1" t="s">
        <v>144</v>
      </c>
      <c r="AG2894" s="1">
        <v>30</v>
      </c>
      <c r="AO2894" s="2">
        <v>46282</v>
      </c>
      <c r="AP2894" s="1" t="s">
        <v>226</v>
      </c>
      <c r="AS2894" s="1" t="s">
        <v>71</v>
      </c>
      <c r="AU2894" s="1" t="s">
        <v>72</v>
      </c>
      <c r="AV2894" s="1" t="s">
        <v>73</v>
      </c>
      <c r="AX2894" s="1">
        <v>0</v>
      </c>
      <c r="BA2894" s="1">
        <v>9</v>
      </c>
      <c r="BB2894" s="1">
        <v>0</v>
      </c>
      <c r="BC2894" s="1">
        <v>0</v>
      </c>
      <c r="BE2894" s="1">
        <v>27432077</v>
      </c>
    </row>
    <row r="2895" spans="1:57" x14ac:dyDescent="0.25">
      <c r="A2895" s="1" t="str">
        <f>T("1947366709376261604")</f>
        <v>1947366709376261604</v>
      </c>
      <c r="B2895" s="1" t="str">
        <f>T("249917728595")</f>
        <v>249917728595</v>
      </c>
      <c r="C2895" s="1" t="str">
        <f>T("1941094532598730012")</f>
        <v>1941094532598730012</v>
      </c>
      <c r="AC2895" s="1" t="s">
        <v>344</v>
      </c>
      <c r="AD2895" s="1" t="s">
        <v>441</v>
      </c>
      <c r="AE2895" s="1" t="s">
        <v>530</v>
      </c>
      <c r="AF2895" s="1" t="s">
        <v>144</v>
      </c>
      <c r="AG2895" s="1">
        <v>70</v>
      </c>
      <c r="AO2895" s="2">
        <v>46282</v>
      </c>
      <c r="AP2895" s="1" t="s">
        <v>226</v>
      </c>
      <c r="AS2895" s="1" t="s">
        <v>71</v>
      </c>
      <c r="AU2895" s="1" t="s">
        <v>72</v>
      </c>
      <c r="AV2895" s="1" t="s">
        <v>73</v>
      </c>
      <c r="AX2895" s="1">
        <v>0</v>
      </c>
      <c r="BA2895" s="1">
        <v>9</v>
      </c>
      <c r="BB2895" s="1">
        <v>0</v>
      </c>
      <c r="BC2895" s="1">
        <v>0</v>
      </c>
      <c r="BE2895" s="1">
        <v>27432077</v>
      </c>
    </row>
    <row r="2896" spans="1:57" x14ac:dyDescent="0.25">
      <c r="A2896" s="1" t="str">
        <f>T("1947366709380452912")</f>
        <v>1947366709380452912</v>
      </c>
      <c r="B2896" s="1" t="str">
        <f>T("249967384435")</f>
        <v>249967384435</v>
      </c>
      <c r="C2896" s="1" t="str">
        <f>T("1941094532602921220")</f>
        <v>1941094532602921220</v>
      </c>
      <c r="AC2896" s="1" t="s">
        <v>344</v>
      </c>
      <c r="AD2896" s="1" t="s">
        <v>430</v>
      </c>
      <c r="AE2896" s="1" t="s">
        <v>530</v>
      </c>
      <c r="AF2896" s="1" t="s">
        <v>107</v>
      </c>
      <c r="AG2896" s="1">
        <v>27</v>
      </c>
      <c r="AO2896" s="2">
        <v>46282</v>
      </c>
      <c r="AP2896" s="1" t="s">
        <v>226</v>
      </c>
      <c r="AS2896" s="1" t="s">
        <v>71</v>
      </c>
      <c r="AU2896" s="1" t="s">
        <v>72</v>
      </c>
      <c r="AV2896" s="1" t="s">
        <v>437</v>
      </c>
      <c r="AX2896" s="1">
        <v>0</v>
      </c>
      <c r="BA2896" s="1">
        <v>9</v>
      </c>
      <c r="BB2896" s="1">
        <v>0</v>
      </c>
      <c r="BC2896" s="1">
        <v>0</v>
      </c>
      <c r="BE2896" s="1">
        <v>27432077</v>
      </c>
    </row>
    <row r="2897" spans="1:57" x14ac:dyDescent="0.25">
      <c r="A2897" s="1" t="str">
        <f>T("1947366709380455512")</f>
        <v>1947366709380455512</v>
      </c>
      <c r="B2897" s="1" t="str">
        <f>T("249916363964")</f>
        <v>249916363964</v>
      </c>
      <c r="C2897" s="1" t="str">
        <f>T("1941094532598730412")</f>
        <v>1941094532598730412</v>
      </c>
      <c r="AC2897" s="1" t="s">
        <v>344</v>
      </c>
      <c r="AD2897" s="1" t="s">
        <v>430</v>
      </c>
      <c r="AE2897" s="1" t="s">
        <v>530</v>
      </c>
      <c r="AF2897" s="1" t="s">
        <v>107</v>
      </c>
      <c r="AG2897" s="1">
        <v>28</v>
      </c>
      <c r="AO2897" s="2">
        <v>46282</v>
      </c>
      <c r="AP2897" s="1" t="s">
        <v>226</v>
      </c>
      <c r="AS2897" s="1" t="s">
        <v>71</v>
      </c>
      <c r="AU2897" s="1" t="s">
        <v>72</v>
      </c>
      <c r="AV2897" s="1" t="s">
        <v>437</v>
      </c>
      <c r="AX2897" s="1">
        <v>0</v>
      </c>
      <c r="BA2897" s="1">
        <v>9</v>
      </c>
      <c r="BB2897" s="1">
        <v>0</v>
      </c>
      <c r="BC2897" s="1">
        <v>0</v>
      </c>
      <c r="BE2897" s="1">
        <v>27432077</v>
      </c>
    </row>
    <row r="2898" spans="1:57" x14ac:dyDescent="0.25">
      <c r="A2898" s="1" t="str">
        <f>T("1947366709481116104")</f>
        <v>1947366709481116104</v>
      </c>
      <c r="B2898" s="1" t="str">
        <f>T("249913219106")</f>
        <v>249913219106</v>
      </c>
      <c r="C2898" s="1" t="str">
        <f>T("1941094532602921620")</f>
        <v>1941094532602921620</v>
      </c>
      <c r="AC2898" s="1" t="s">
        <v>344</v>
      </c>
      <c r="AD2898" s="1" t="s">
        <v>856</v>
      </c>
      <c r="AE2898" s="1" t="s">
        <v>857</v>
      </c>
      <c r="AF2898" s="1" t="s">
        <v>107</v>
      </c>
      <c r="AG2898" s="1">
        <v>40</v>
      </c>
      <c r="AO2898" s="2">
        <v>46282</v>
      </c>
      <c r="AP2898" s="1" t="s">
        <v>226</v>
      </c>
      <c r="AS2898" s="1" t="s">
        <v>71</v>
      </c>
      <c r="AU2898" s="1" t="s">
        <v>72</v>
      </c>
      <c r="AV2898" s="1" t="s">
        <v>73</v>
      </c>
      <c r="AX2898" s="1">
        <v>0</v>
      </c>
      <c r="BA2898" s="1">
        <v>9</v>
      </c>
      <c r="BB2898" s="1">
        <v>0</v>
      </c>
      <c r="BC2898" s="1">
        <v>0</v>
      </c>
      <c r="BE2898" s="1">
        <v>27432077</v>
      </c>
    </row>
    <row r="2899" spans="1:57" x14ac:dyDescent="0.25">
      <c r="A2899" s="1" t="str">
        <f>T("1947366709485314012")</f>
        <v>1947366709485314012</v>
      </c>
      <c r="B2899" s="1" t="str">
        <f>T("249906365733")</f>
        <v>249906365733</v>
      </c>
      <c r="C2899" s="1" t="str">
        <f>T("1941094532602922220")</f>
        <v>1941094532602922220</v>
      </c>
      <c r="AC2899" s="1" t="s">
        <v>344</v>
      </c>
      <c r="AD2899" s="1" t="s">
        <v>441</v>
      </c>
      <c r="AE2899" s="1" t="s">
        <v>530</v>
      </c>
      <c r="AF2899" s="1" t="s">
        <v>107</v>
      </c>
      <c r="AG2899" s="1">
        <v>50</v>
      </c>
      <c r="AO2899" s="2">
        <v>46282</v>
      </c>
      <c r="AP2899" s="1" t="s">
        <v>226</v>
      </c>
      <c r="AS2899" s="1" t="s">
        <v>71</v>
      </c>
      <c r="AU2899" s="1" t="s">
        <v>72</v>
      </c>
      <c r="AV2899" s="1" t="s">
        <v>437</v>
      </c>
      <c r="AX2899" s="1">
        <v>0</v>
      </c>
      <c r="BA2899" s="1">
        <v>9</v>
      </c>
      <c r="BB2899" s="1">
        <v>0</v>
      </c>
      <c r="BC2899" s="1">
        <v>0</v>
      </c>
      <c r="BE2899" s="1">
        <v>27432077</v>
      </c>
    </row>
    <row r="2900" spans="1:57" x14ac:dyDescent="0.25">
      <c r="A2900" s="1" t="str">
        <f>T("1947366709489504720")</f>
        <v>1947366709489504720</v>
      </c>
      <c r="B2900" s="1" t="str">
        <f>T("249901163961")</f>
        <v>249901163961</v>
      </c>
      <c r="C2900" s="1" t="str">
        <f>T("1941094532602923220")</f>
        <v>1941094532602923220</v>
      </c>
      <c r="AC2900" s="1" t="s">
        <v>344</v>
      </c>
      <c r="AD2900" s="1" t="s">
        <v>441</v>
      </c>
      <c r="AE2900" s="1" t="s">
        <v>530</v>
      </c>
      <c r="AF2900" s="1" t="s">
        <v>107</v>
      </c>
      <c r="AG2900" s="1">
        <v>20</v>
      </c>
      <c r="AO2900" s="2">
        <v>46282</v>
      </c>
      <c r="AP2900" s="1" t="s">
        <v>226</v>
      </c>
      <c r="AS2900" s="1" t="s">
        <v>71</v>
      </c>
      <c r="AU2900" s="1" t="s">
        <v>72</v>
      </c>
      <c r="AV2900" s="1" t="s">
        <v>73</v>
      </c>
      <c r="AX2900" s="1">
        <v>0</v>
      </c>
      <c r="BA2900" s="1">
        <v>9</v>
      </c>
      <c r="BB2900" s="1">
        <v>0</v>
      </c>
      <c r="BC2900" s="1">
        <v>0</v>
      </c>
      <c r="BE2900" s="1">
        <v>27432077</v>
      </c>
    </row>
    <row r="2901" spans="1:57" x14ac:dyDescent="0.25">
      <c r="A2901" s="1" t="str">
        <f>T("1947366709489506120")</f>
        <v>1947366709489506120</v>
      </c>
      <c r="B2901" s="1" t="str">
        <f>T("249916064007")</f>
        <v>249916064007</v>
      </c>
      <c r="C2901" s="1" t="str">
        <f>T("1941094532602922720")</f>
        <v>1941094532602922720</v>
      </c>
      <c r="AC2901" s="1" t="s">
        <v>344</v>
      </c>
      <c r="AD2901" s="1" t="s">
        <v>372</v>
      </c>
      <c r="AE2901" s="1" t="s">
        <v>818</v>
      </c>
      <c r="AF2901" s="1" t="s">
        <v>144</v>
      </c>
      <c r="AG2901" s="1">
        <v>41</v>
      </c>
      <c r="AO2901" s="2">
        <v>46282</v>
      </c>
      <c r="AP2901" s="1" t="s">
        <v>226</v>
      </c>
      <c r="AS2901" s="1" t="s">
        <v>71</v>
      </c>
      <c r="AU2901" s="1" t="s">
        <v>72</v>
      </c>
      <c r="AV2901" s="1" t="s">
        <v>126</v>
      </c>
      <c r="AX2901" s="1">
        <v>0</v>
      </c>
      <c r="BA2901" s="1">
        <v>9</v>
      </c>
      <c r="BB2901" s="1">
        <v>0</v>
      </c>
      <c r="BC2901" s="1">
        <v>0</v>
      </c>
      <c r="BE2901" s="1">
        <v>27432077</v>
      </c>
    </row>
    <row r="2902" spans="1:57" x14ac:dyDescent="0.25">
      <c r="A2902" s="1" t="str">
        <f>T("1947366709489507120")</f>
        <v>1947366709489507120</v>
      </c>
      <c r="B2902" s="1" t="str">
        <f>T("249902424037")</f>
        <v>249902424037</v>
      </c>
      <c r="C2902" s="1" t="str">
        <f>T("1941094532602923720")</f>
        <v>1941094532602923720</v>
      </c>
      <c r="AC2902" s="1" t="s">
        <v>344</v>
      </c>
      <c r="AD2902" s="1" t="s">
        <v>372</v>
      </c>
      <c r="AE2902" s="1" t="s">
        <v>813</v>
      </c>
      <c r="AF2902" s="1" t="s">
        <v>107</v>
      </c>
      <c r="AG2902" s="1">
        <v>52</v>
      </c>
      <c r="AO2902" s="2">
        <v>46282</v>
      </c>
      <c r="AP2902" s="1" t="s">
        <v>226</v>
      </c>
      <c r="AS2902" s="1" t="s">
        <v>71</v>
      </c>
      <c r="AU2902" s="1" t="s">
        <v>72</v>
      </c>
      <c r="AV2902" s="1" t="s">
        <v>437</v>
      </c>
      <c r="AX2902" s="1">
        <v>0</v>
      </c>
      <c r="BA2902" s="1">
        <v>9</v>
      </c>
      <c r="BB2902" s="1">
        <v>0</v>
      </c>
      <c r="BC2902" s="1">
        <v>0</v>
      </c>
      <c r="BE2902" s="1">
        <v>27432077</v>
      </c>
    </row>
    <row r="2903" spans="1:57" x14ac:dyDescent="0.25">
      <c r="A2903" s="1" t="str">
        <f>T("1947366709548226232")</f>
        <v>1947366709548226232</v>
      </c>
      <c r="B2903" s="1" t="str">
        <f>T("249917834970")</f>
        <v>249917834970</v>
      </c>
      <c r="C2903" s="1" t="str">
        <f>T("1941094532602924720")</f>
        <v>1941094532602924720</v>
      </c>
      <c r="AC2903" s="1" t="s">
        <v>344</v>
      </c>
      <c r="AD2903" s="1" t="s">
        <v>357</v>
      </c>
      <c r="AE2903" s="1" t="s">
        <v>812</v>
      </c>
      <c r="AF2903" s="1" t="s">
        <v>107</v>
      </c>
      <c r="AG2903" s="1">
        <v>36</v>
      </c>
      <c r="AO2903" s="2">
        <v>46282</v>
      </c>
      <c r="AP2903" s="1" t="s">
        <v>226</v>
      </c>
      <c r="AS2903" s="1" t="s">
        <v>71</v>
      </c>
      <c r="AU2903" s="1" t="s">
        <v>72</v>
      </c>
      <c r="AV2903" s="1" t="s">
        <v>126</v>
      </c>
      <c r="AX2903" s="1">
        <v>0</v>
      </c>
      <c r="BA2903" s="1">
        <v>9</v>
      </c>
      <c r="BB2903" s="1">
        <v>0</v>
      </c>
      <c r="BC2903" s="1">
        <v>0</v>
      </c>
      <c r="BE2903" s="1">
        <v>27432077</v>
      </c>
    </row>
    <row r="2904" spans="1:57" x14ac:dyDescent="0.25">
      <c r="A2904" s="1" t="str">
        <f>T("1947366709548227232")</f>
        <v>1947366709548227232</v>
      </c>
      <c r="B2904" s="1" t="str">
        <f>T("249968103469")</f>
        <v>249968103469</v>
      </c>
      <c r="C2904" s="1" t="str">
        <f>T("1941094532602924220")</f>
        <v>1941094532602924220</v>
      </c>
      <c r="AC2904" s="1" t="s">
        <v>344</v>
      </c>
      <c r="AD2904" s="1" t="s">
        <v>441</v>
      </c>
      <c r="AE2904" s="1" t="s">
        <v>530</v>
      </c>
      <c r="AF2904" s="1" t="s">
        <v>144</v>
      </c>
      <c r="AG2904" s="1">
        <v>58</v>
      </c>
      <c r="AO2904" s="2">
        <v>46282</v>
      </c>
      <c r="AP2904" s="1" t="s">
        <v>226</v>
      </c>
      <c r="AS2904" s="1" t="s">
        <v>71</v>
      </c>
      <c r="AU2904" s="1" t="s">
        <v>72</v>
      </c>
      <c r="AV2904" s="1" t="s">
        <v>437</v>
      </c>
      <c r="AX2904" s="1">
        <v>0</v>
      </c>
      <c r="BA2904" s="1">
        <v>9</v>
      </c>
      <c r="BB2904" s="1">
        <v>0</v>
      </c>
      <c r="BC2904" s="1">
        <v>0</v>
      </c>
      <c r="BE2904" s="1">
        <v>27432077</v>
      </c>
    </row>
    <row r="2905" spans="1:57" x14ac:dyDescent="0.25">
      <c r="A2905" s="1" t="str">
        <f>T("1947366709552421040")</f>
        <v>1947366709552421040</v>
      </c>
      <c r="B2905" s="1" t="str">
        <f>T("249902697726")</f>
        <v>249902697726</v>
      </c>
      <c r="C2905" s="1" t="str">
        <f>T("1941094532607116228")</f>
        <v>1941094532607116228</v>
      </c>
      <c r="AC2905" s="1" t="s">
        <v>344</v>
      </c>
      <c r="AD2905" s="1" t="s">
        <v>430</v>
      </c>
      <c r="AE2905" s="1" t="s">
        <v>530</v>
      </c>
      <c r="AF2905" s="1" t="s">
        <v>107</v>
      </c>
      <c r="AG2905" s="1">
        <v>28</v>
      </c>
      <c r="AO2905" s="2">
        <v>46282</v>
      </c>
      <c r="AP2905" s="1" t="s">
        <v>226</v>
      </c>
      <c r="AS2905" s="1" t="s">
        <v>71</v>
      </c>
      <c r="AU2905" s="1" t="s">
        <v>72</v>
      </c>
      <c r="AV2905" s="1" t="s">
        <v>437</v>
      </c>
      <c r="AX2905" s="1">
        <v>0</v>
      </c>
      <c r="BA2905" s="1">
        <v>9</v>
      </c>
      <c r="BB2905" s="1">
        <v>0</v>
      </c>
      <c r="BC2905" s="1">
        <v>0</v>
      </c>
      <c r="BE2905" s="1">
        <v>27432077</v>
      </c>
    </row>
    <row r="2906" spans="1:57" x14ac:dyDescent="0.25">
      <c r="A2906" s="1" t="str">
        <f>T("1947366709552421240")</f>
        <v>1947366709552421240</v>
      </c>
      <c r="B2906" s="1" t="str">
        <f>T("249914063111")</f>
        <v>249914063111</v>
      </c>
      <c r="C2906" s="1" t="str">
        <f>T("1941094532607115428")</f>
        <v>1941094532607115428</v>
      </c>
      <c r="AC2906" s="1" t="s">
        <v>344</v>
      </c>
      <c r="AD2906" s="1" t="s">
        <v>430</v>
      </c>
      <c r="AE2906" s="1" t="s">
        <v>530</v>
      </c>
      <c r="AF2906" s="1" t="s">
        <v>107</v>
      </c>
      <c r="AG2906" s="1">
        <v>22</v>
      </c>
      <c r="AO2906" s="2">
        <v>46282</v>
      </c>
      <c r="AP2906" s="1" t="s">
        <v>226</v>
      </c>
      <c r="AS2906" s="1" t="s">
        <v>71</v>
      </c>
      <c r="AU2906" s="1" t="s">
        <v>72</v>
      </c>
      <c r="AV2906" s="1" t="s">
        <v>73</v>
      </c>
      <c r="AX2906" s="1">
        <v>0</v>
      </c>
      <c r="BA2906" s="1">
        <v>9</v>
      </c>
      <c r="BB2906" s="1">
        <v>0</v>
      </c>
      <c r="BC2906" s="1">
        <v>0</v>
      </c>
      <c r="BE2906" s="1">
        <v>27432077</v>
      </c>
    </row>
    <row r="2907" spans="1:57" x14ac:dyDescent="0.25">
      <c r="A2907" s="1" t="str">
        <f>T("1947366709556614548")</f>
        <v>1947366709556614548</v>
      </c>
      <c r="B2907" s="1" t="str">
        <f>T("249968760751")</f>
        <v>249968760751</v>
      </c>
      <c r="C2907" s="1" t="str">
        <f>T("1941094532607116728")</f>
        <v>1941094532607116728</v>
      </c>
      <c r="AC2907" s="1" t="s">
        <v>344</v>
      </c>
      <c r="AD2907" s="1" t="s">
        <v>441</v>
      </c>
      <c r="AE2907" s="1" t="s">
        <v>530</v>
      </c>
      <c r="AF2907" s="1" t="s">
        <v>107</v>
      </c>
      <c r="AG2907" s="1">
        <v>35</v>
      </c>
      <c r="AO2907" s="2">
        <v>46282</v>
      </c>
      <c r="AP2907" s="1" t="s">
        <v>226</v>
      </c>
      <c r="AS2907" s="1" t="s">
        <v>71</v>
      </c>
      <c r="AU2907" s="1" t="s">
        <v>72</v>
      </c>
      <c r="AV2907" s="1" t="s">
        <v>73</v>
      </c>
      <c r="AX2907" s="1">
        <v>0</v>
      </c>
      <c r="BA2907" s="1">
        <v>9</v>
      </c>
      <c r="BB2907" s="1">
        <v>0</v>
      </c>
      <c r="BC2907" s="1">
        <v>0</v>
      </c>
      <c r="BE2907" s="1">
        <v>27432077</v>
      </c>
    </row>
    <row r="2908" spans="1:57" x14ac:dyDescent="0.25">
      <c r="A2908" s="1" t="str">
        <f>T("1947366709611140152")</f>
        <v>1947366709611140152</v>
      </c>
      <c r="B2908" s="1" t="str">
        <f>T("249901516689")</f>
        <v>249901516689</v>
      </c>
      <c r="C2908" s="1" t="str">
        <f>T("1941094532607117128")</f>
        <v>1941094532607117128</v>
      </c>
      <c r="AC2908" s="1" t="s">
        <v>344</v>
      </c>
      <c r="AD2908" s="1" t="s">
        <v>430</v>
      </c>
      <c r="AE2908" s="1" t="s">
        <v>530</v>
      </c>
      <c r="AF2908" s="1" t="s">
        <v>107</v>
      </c>
      <c r="AG2908" s="1">
        <v>25</v>
      </c>
      <c r="AO2908" s="2">
        <v>46282</v>
      </c>
      <c r="AP2908" s="1" t="s">
        <v>226</v>
      </c>
      <c r="AS2908" s="1" t="s">
        <v>71</v>
      </c>
      <c r="AU2908" s="1" t="s">
        <v>72</v>
      </c>
      <c r="AV2908" s="1" t="s">
        <v>437</v>
      </c>
      <c r="AX2908" s="1">
        <v>0</v>
      </c>
      <c r="BA2908" s="1">
        <v>9</v>
      </c>
      <c r="BB2908" s="1">
        <v>0</v>
      </c>
      <c r="BC2908" s="1">
        <v>0</v>
      </c>
      <c r="BE2908" s="1">
        <v>27432077</v>
      </c>
    </row>
    <row r="2909" spans="1:57" x14ac:dyDescent="0.25">
      <c r="A2909" s="1" t="str">
        <f>T("1947366709615337260")</f>
        <v>1947366709615337260</v>
      </c>
      <c r="B2909" s="1" t="str">
        <f>T("249919877293")</f>
        <v>249919877293</v>
      </c>
      <c r="C2909" s="1" t="str">
        <f>T("1941094532607117628")</f>
        <v>1941094532607117628</v>
      </c>
      <c r="AC2909" s="1" t="s">
        <v>344</v>
      </c>
      <c r="AD2909" s="1" t="s">
        <v>441</v>
      </c>
      <c r="AE2909" s="1" t="s">
        <v>530</v>
      </c>
      <c r="AF2909" s="1" t="s">
        <v>107</v>
      </c>
      <c r="AG2909" s="1">
        <v>42</v>
      </c>
      <c r="AO2909" s="2">
        <v>46282</v>
      </c>
      <c r="AP2909" s="1" t="s">
        <v>226</v>
      </c>
      <c r="AS2909" s="1" t="s">
        <v>71</v>
      </c>
      <c r="AU2909" s="1" t="s">
        <v>72</v>
      </c>
      <c r="AV2909" s="1" t="s">
        <v>126</v>
      </c>
      <c r="AX2909" s="1">
        <v>0</v>
      </c>
      <c r="BA2909" s="1">
        <v>9</v>
      </c>
      <c r="BB2909" s="1">
        <v>0</v>
      </c>
      <c r="BC2909" s="1">
        <v>0</v>
      </c>
      <c r="BE2909" s="1">
        <v>27432077</v>
      </c>
    </row>
    <row r="2910" spans="1:57" x14ac:dyDescent="0.25">
      <c r="A2910" s="1" t="str">
        <f>T("1947366709636305300")</f>
        <v>1947366709636305300</v>
      </c>
      <c r="B2910" s="1" t="str">
        <f>T("249961663329")</f>
        <v>249961663329</v>
      </c>
      <c r="C2910" s="1" t="str">
        <f>T("1941094532607118628")</f>
        <v>1941094532607118628</v>
      </c>
      <c r="AC2910" s="1" t="s">
        <v>344</v>
      </c>
      <c r="AD2910" s="1" t="s">
        <v>441</v>
      </c>
      <c r="AE2910" s="1" t="s">
        <v>530</v>
      </c>
      <c r="AF2910" s="1" t="s">
        <v>144</v>
      </c>
      <c r="AG2910" s="1">
        <v>40</v>
      </c>
      <c r="AO2910" s="2">
        <v>46282</v>
      </c>
      <c r="AP2910" s="1" t="s">
        <v>226</v>
      </c>
      <c r="AS2910" s="1" t="s">
        <v>71</v>
      </c>
      <c r="AU2910" s="1" t="s">
        <v>72</v>
      </c>
      <c r="AV2910" s="1" t="s">
        <v>73</v>
      </c>
      <c r="AX2910" s="1">
        <v>0</v>
      </c>
      <c r="BA2910" s="1">
        <v>9</v>
      </c>
      <c r="BB2910" s="1">
        <v>0</v>
      </c>
      <c r="BC2910" s="1">
        <v>0</v>
      </c>
      <c r="BE2910" s="1">
        <v>27432077</v>
      </c>
    </row>
    <row r="2911" spans="1:57" x14ac:dyDescent="0.25">
      <c r="A2911" s="1" t="str">
        <f>T("1947366709636306400")</f>
        <v>1947366709636306400</v>
      </c>
      <c r="B2911" s="1" t="str">
        <f>T("249902838673")</f>
        <v>249902838673</v>
      </c>
      <c r="C2911" s="1" t="str">
        <f>T("1941094532607118028")</f>
        <v>1941094532607118028</v>
      </c>
      <c r="AC2911" s="1" t="s">
        <v>344</v>
      </c>
      <c r="AD2911" s="1" t="s">
        <v>357</v>
      </c>
      <c r="AE2911" s="1" t="s">
        <v>812</v>
      </c>
      <c r="AF2911" s="1" t="s">
        <v>107</v>
      </c>
      <c r="AG2911" s="1">
        <v>65</v>
      </c>
      <c r="AO2911" s="2">
        <v>46282</v>
      </c>
      <c r="AP2911" s="1" t="s">
        <v>226</v>
      </c>
      <c r="AS2911" s="1" t="s">
        <v>71</v>
      </c>
      <c r="AU2911" s="1" t="s">
        <v>72</v>
      </c>
      <c r="AV2911" s="1" t="s">
        <v>437</v>
      </c>
      <c r="AX2911" s="1">
        <v>0</v>
      </c>
      <c r="BA2911" s="1">
        <v>9</v>
      </c>
      <c r="BB2911" s="1">
        <v>0</v>
      </c>
      <c r="BC2911" s="1">
        <v>0</v>
      </c>
      <c r="BE2911" s="1">
        <v>27432077</v>
      </c>
    </row>
    <row r="2912" spans="1:57" x14ac:dyDescent="0.25">
      <c r="A2912" s="1" t="str">
        <f>T("1947366709636306500")</f>
        <v>1947366709636306500</v>
      </c>
      <c r="B2912" s="1" t="str">
        <f>T("249966417563")</f>
        <v>249966417563</v>
      </c>
      <c r="C2912" s="1" t="str">
        <f>T("1941094532611312936")</f>
        <v>1941094532611312936</v>
      </c>
      <c r="AC2912" s="1" t="s">
        <v>344</v>
      </c>
      <c r="AD2912" s="1" t="s">
        <v>441</v>
      </c>
      <c r="AE2912" s="1" t="s">
        <v>530</v>
      </c>
      <c r="AF2912" s="1" t="s">
        <v>144</v>
      </c>
      <c r="AG2912" s="1">
        <v>45</v>
      </c>
      <c r="AO2912" s="2">
        <v>46282</v>
      </c>
      <c r="AP2912" s="1" t="s">
        <v>226</v>
      </c>
      <c r="AS2912" s="1" t="s">
        <v>71</v>
      </c>
      <c r="AU2912" s="1" t="s">
        <v>72</v>
      </c>
      <c r="AV2912" s="1" t="s">
        <v>73</v>
      </c>
      <c r="AX2912" s="1">
        <v>0</v>
      </c>
      <c r="BA2912" s="1">
        <v>9</v>
      </c>
      <c r="BB2912" s="1">
        <v>0</v>
      </c>
      <c r="BC2912" s="1">
        <v>0</v>
      </c>
      <c r="BE2912" s="1">
        <v>27432077</v>
      </c>
    </row>
    <row r="2913" spans="1:57" x14ac:dyDescent="0.25">
      <c r="A2913" s="1" t="str">
        <f>T("1947366709686640296")</f>
        <v>1947366709686640296</v>
      </c>
      <c r="B2913" s="1" t="str">
        <f>T("249913588317")</f>
        <v>249913588317</v>
      </c>
      <c r="C2913" s="1" t="str">
        <f>T("1941094532611313436")</f>
        <v>1941094532611313436</v>
      </c>
      <c r="AC2913" s="1" t="s">
        <v>344</v>
      </c>
      <c r="AD2913" s="1" t="s">
        <v>372</v>
      </c>
      <c r="AE2913" s="1" t="s">
        <v>818</v>
      </c>
      <c r="AF2913" s="1" t="s">
        <v>144</v>
      </c>
      <c r="AG2913" s="1">
        <v>30</v>
      </c>
      <c r="AO2913" s="2">
        <v>46282</v>
      </c>
      <c r="AP2913" s="1" t="s">
        <v>226</v>
      </c>
      <c r="AS2913" s="1" t="s">
        <v>71</v>
      </c>
      <c r="AU2913" s="1" t="s">
        <v>72</v>
      </c>
      <c r="AV2913" s="1" t="s">
        <v>437</v>
      </c>
      <c r="AX2913" s="1">
        <v>0</v>
      </c>
      <c r="BA2913" s="1">
        <v>9</v>
      </c>
      <c r="BB2913" s="1">
        <v>0</v>
      </c>
      <c r="BC2913" s="1">
        <v>0</v>
      </c>
      <c r="BE2913" s="1">
        <v>27432077</v>
      </c>
    </row>
    <row r="2914" spans="1:57" x14ac:dyDescent="0.25">
      <c r="A2914" s="1" t="str">
        <f>T("1947366709695026312")</f>
        <v>1947366709695026312</v>
      </c>
      <c r="B2914" s="1" t="str">
        <f>T("249990978005")</f>
        <v>249990978005</v>
      </c>
      <c r="C2914" s="1" t="str">
        <f>T("1941094532615504144")</f>
        <v>1941094532615504144</v>
      </c>
      <c r="AC2914" s="1" t="s">
        <v>344</v>
      </c>
      <c r="AD2914" s="1" t="s">
        <v>441</v>
      </c>
      <c r="AE2914" s="1" t="s">
        <v>530</v>
      </c>
      <c r="AF2914" s="1" t="s">
        <v>107</v>
      </c>
      <c r="AG2914" s="1">
        <v>35</v>
      </c>
      <c r="AO2914" s="2">
        <v>46282</v>
      </c>
      <c r="AP2914" s="1" t="s">
        <v>226</v>
      </c>
      <c r="AS2914" s="1" t="s">
        <v>71</v>
      </c>
      <c r="AU2914" s="1" t="s">
        <v>72</v>
      </c>
      <c r="AV2914" s="1" t="s">
        <v>73</v>
      </c>
      <c r="AX2914" s="1">
        <v>0</v>
      </c>
      <c r="BA2914" s="1">
        <v>9</v>
      </c>
      <c r="BB2914" s="1">
        <v>0</v>
      </c>
      <c r="BC2914" s="1">
        <v>0</v>
      </c>
      <c r="BE2914" s="1">
        <v>27432077</v>
      </c>
    </row>
    <row r="2915" spans="1:57" x14ac:dyDescent="0.25">
      <c r="A2915" s="1" t="str">
        <f>T("1947366709699219920")</f>
        <v>1947366709699219920</v>
      </c>
      <c r="B2915" s="1" t="str">
        <f>T("249960024958")</f>
        <v>249960024958</v>
      </c>
      <c r="C2915" s="1" t="str">
        <f>T("1941094532615504644")</f>
        <v>1941094532615504644</v>
      </c>
      <c r="AC2915" s="1" t="s">
        <v>344</v>
      </c>
      <c r="AD2915" s="1" t="s">
        <v>372</v>
      </c>
      <c r="AE2915" s="1" t="s">
        <v>813</v>
      </c>
      <c r="AF2915" s="1" t="s">
        <v>107</v>
      </c>
      <c r="AG2915" s="1">
        <v>25</v>
      </c>
      <c r="AO2915" s="2">
        <v>46282</v>
      </c>
      <c r="AP2915" s="1" t="s">
        <v>226</v>
      </c>
      <c r="AS2915" s="1" t="s">
        <v>71</v>
      </c>
      <c r="AU2915" s="1" t="s">
        <v>72</v>
      </c>
      <c r="AV2915" s="1" t="s">
        <v>73</v>
      </c>
      <c r="AX2915" s="1">
        <v>0</v>
      </c>
      <c r="BA2915" s="1">
        <v>9</v>
      </c>
      <c r="BB2915" s="1">
        <v>0</v>
      </c>
      <c r="BC2915" s="1">
        <v>0</v>
      </c>
      <c r="BE2915" s="1">
        <v>27432077</v>
      </c>
    </row>
    <row r="2916" spans="1:57" x14ac:dyDescent="0.25">
      <c r="A2916" s="1" t="str">
        <f>T("1947366709703415328")</f>
        <v>1947366709703415328</v>
      </c>
      <c r="B2916" s="1" t="str">
        <f>T("249917957626")</f>
        <v>249917957626</v>
      </c>
      <c r="C2916" s="1" t="str">
        <f>T("1941094532615505144")</f>
        <v>1941094532615505144</v>
      </c>
      <c r="AC2916" s="1" t="s">
        <v>344</v>
      </c>
      <c r="AD2916" s="1" t="s">
        <v>441</v>
      </c>
      <c r="AE2916" s="1" t="s">
        <v>530</v>
      </c>
      <c r="AF2916" s="1" t="s">
        <v>144</v>
      </c>
      <c r="AG2916" s="1">
        <v>65</v>
      </c>
      <c r="AO2916" s="2">
        <v>46282</v>
      </c>
      <c r="AP2916" s="1" t="s">
        <v>226</v>
      </c>
      <c r="AS2916" s="1" t="s">
        <v>71</v>
      </c>
      <c r="AU2916" s="1" t="s">
        <v>72</v>
      </c>
      <c r="AV2916" s="1" t="s">
        <v>73</v>
      </c>
      <c r="AX2916" s="1">
        <v>0</v>
      </c>
      <c r="BA2916" s="1">
        <v>9</v>
      </c>
      <c r="BB2916" s="1">
        <v>0</v>
      </c>
      <c r="BC2916" s="1">
        <v>0</v>
      </c>
      <c r="BE2916" s="1">
        <v>27432077</v>
      </c>
    </row>
    <row r="2917" spans="1:57" x14ac:dyDescent="0.25">
      <c r="A2917" s="1" t="str">
        <f>T("1947366709715996852")</f>
        <v>1947366709715996852</v>
      </c>
      <c r="B2917" s="1" t="str">
        <f>T("249119393873")</f>
        <v>249119393873</v>
      </c>
      <c r="C2917" s="1" t="str">
        <f>T("1941094532615505844")</f>
        <v>1941094532615505844</v>
      </c>
      <c r="AA2917" s="1">
        <v>1</v>
      </c>
      <c r="AC2917" s="1" t="s">
        <v>344</v>
      </c>
      <c r="AD2917" s="1" t="s">
        <v>441</v>
      </c>
      <c r="AE2917" s="1" t="s">
        <v>530</v>
      </c>
      <c r="AF2917" s="1" t="s">
        <v>144</v>
      </c>
      <c r="AG2917" s="1">
        <v>39</v>
      </c>
      <c r="AO2917" s="2">
        <v>46282</v>
      </c>
      <c r="AP2917" s="1" t="s">
        <v>226</v>
      </c>
      <c r="AQ2917" s="2">
        <v>46282</v>
      </c>
      <c r="AR2917" s="1" t="s">
        <v>782</v>
      </c>
      <c r="AS2917" s="1" t="s">
        <v>71</v>
      </c>
      <c r="AU2917" s="1" t="s">
        <v>79</v>
      </c>
      <c r="AV2917" s="1" t="s">
        <v>80</v>
      </c>
      <c r="AW2917" s="1">
        <v>67.62</v>
      </c>
      <c r="AX2917" s="1">
        <v>0</v>
      </c>
      <c r="AZ2917" s="1" t="s">
        <v>81</v>
      </c>
      <c r="BA2917" s="1">
        <v>3</v>
      </c>
      <c r="BB2917" s="1">
        <v>0</v>
      </c>
      <c r="BC2917" s="1">
        <v>0</v>
      </c>
      <c r="BE2917" s="1">
        <v>27432077</v>
      </c>
    </row>
    <row r="2918" spans="1:57" x14ac:dyDescent="0.25">
      <c r="A2918" s="1" t="str">
        <f>T("1947366709736970992")</f>
        <v>1947366709736970992</v>
      </c>
      <c r="B2918" s="1" t="str">
        <f>T("249919155589")</f>
        <v>249919155589</v>
      </c>
      <c r="C2918" s="1" t="str">
        <f>T("1941094532615506344")</f>
        <v>1941094532615506344</v>
      </c>
      <c r="AC2918" s="1" t="s">
        <v>344</v>
      </c>
      <c r="AD2918" s="1" t="s">
        <v>372</v>
      </c>
      <c r="AE2918" s="1" t="s">
        <v>373</v>
      </c>
      <c r="AF2918" s="1" t="s">
        <v>144</v>
      </c>
      <c r="AG2918" s="1">
        <v>60</v>
      </c>
      <c r="AO2918" s="2">
        <v>46282</v>
      </c>
      <c r="AP2918" s="1" t="s">
        <v>226</v>
      </c>
      <c r="AS2918" s="1" t="s">
        <v>71</v>
      </c>
      <c r="AU2918" s="1" t="s">
        <v>72</v>
      </c>
      <c r="AV2918" s="1" t="s">
        <v>73</v>
      </c>
      <c r="AX2918" s="1">
        <v>0</v>
      </c>
      <c r="BA2918" s="1">
        <v>9</v>
      </c>
      <c r="BB2918" s="1">
        <v>0</v>
      </c>
      <c r="BC2918" s="1">
        <v>0</v>
      </c>
      <c r="BE2918" s="1">
        <v>27432077</v>
      </c>
    </row>
    <row r="2919" spans="1:57" x14ac:dyDescent="0.25">
      <c r="A2919" s="1" t="str">
        <f>T("1947366709749551816")</f>
        <v>1947366709749551816</v>
      </c>
      <c r="B2919" s="1" t="str">
        <f>T("249901036873")</f>
        <v>249901036873</v>
      </c>
      <c r="C2919" s="1" t="str">
        <f>T("1941094532615506944")</f>
        <v>1941094532615506944</v>
      </c>
      <c r="AC2919" s="1" t="s">
        <v>344</v>
      </c>
      <c r="AD2919" s="1" t="s">
        <v>430</v>
      </c>
      <c r="AE2919" s="1" t="s">
        <v>530</v>
      </c>
      <c r="AF2919" s="1" t="s">
        <v>144</v>
      </c>
      <c r="AG2919" s="1">
        <v>24</v>
      </c>
      <c r="AO2919" s="2">
        <v>46282</v>
      </c>
      <c r="AP2919" s="1" t="s">
        <v>226</v>
      </c>
      <c r="AS2919" s="1" t="s">
        <v>71</v>
      </c>
      <c r="AU2919" s="1" t="s">
        <v>72</v>
      </c>
      <c r="AV2919" s="1" t="s">
        <v>437</v>
      </c>
      <c r="AX2919" s="1">
        <v>0</v>
      </c>
      <c r="BA2919" s="1">
        <v>9</v>
      </c>
      <c r="BB2919" s="1">
        <v>0</v>
      </c>
      <c r="BC2919" s="1">
        <v>0</v>
      </c>
      <c r="BE2919" s="1">
        <v>27432077</v>
      </c>
    </row>
    <row r="2920" spans="1:57" x14ac:dyDescent="0.25">
      <c r="A2920" s="1" t="str">
        <f>T("1947366709749553416")</f>
        <v>1947366709749553416</v>
      </c>
      <c r="B2920" s="1" t="str">
        <f>T("249969654802")</f>
        <v>249969654802</v>
      </c>
      <c r="C2920" s="1" t="str">
        <f>T("1941094532615507444")</f>
        <v>1941094532615507444</v>
      </c>
      <c r="AC2920" s="1" t="s">
        <v>344</v>
      </c>
      <c r="AD2920" s="1" t="s">
        <v>372</v>
      </c>
      <c r="AE2920" s="1" t="s">
        <v>815</v>
      </c>
      <c r="AF2920" s="1" t="s">
        <v>107</v>
      </c>
      <c r="AG2920" s="1">
        <v>41</v>
      </c>
      <c r="AO2920" s="2">
        <v>46282</v>
      </c>
      <c r="AP2920" s="1" t="s">
        <v>226</v>
      </c>
      <c r="AS2920" s="1" t="s">
        <v>71</v>
      </c>
      <c r="AU2920" s="1" t="s">
        <v>72</v>
      </c>
      <c r="AV2920" s="1" t="s">
        <v>73</v>
      </c>
      <c r="AX2920" s="1">
        <v>0</v>
      </c>
      <c r="BA2920" s="1">
        <v>9</v>
      </c>
      <c r="BB2920" s="1">
        <v>0</v>
      </c>
      <c r="BC2920" s="1">
        <v>0</v>
      </c>
      <c r="BE2920" s="1">
        <v>27432077</v>
      </c>
    </row>
    <row r="2921" spans="1:57" x14ac:dyDescent="0.25">
      <c r="A2921" s="1" t="str">
        <f>T("1947366709749554316")</f>
        <v>1947366709749554316</v>
      </c>
      <c r="B2921" s="1" t="str">
        <f>T("249968904982")</f>
        <v>249968904982</v>
      </c>
      <c r="C2921" s="1" t="str">
        <f>T("1941094532615507944")</f>
        <v>1941094532615507944</v>
      </c>
      <c r="AC2921" s="1" t="s">
        <v>344</v>
      </c>
      <c r="AD2921" s="1" t="s">
        <v>372</v>
      </c>
      <c r="AE2921" s="1" t="s">
        <v>813</v>
      </c>
      <c r="AF2921" s="1" t="s">
        <v>144</v>
      </c>
      <c r="AG2921" s="1">
        <v>45</v>
      </c>
      <c r="AO2921" s="2">
        <v>46282</v>
      </c>
      <c r="AP2921" s="1" t="s">
        <v>226</v>
      </c>
      <c r="AS2921" s="1" t="s">
        <v>71</v>
      </c>
      <c r="AU2921" s="1" t="s">
        <v>72</v>
      </c>
      <c r="AV2921" s="1" t="s">
        <v>73</v>
      </c>
      <c r="AX2921" s="1">
        <v>0</v>
      </c>
      <c r="BA2921" s="1">
        <v>9</v>
      </c>
      <c r="BB2921" s="1">
        <v>0</v>
      </c>
      <c r="BC2921" s="1">
        <v>0</v>
      </c>
      <c r="BE2921" s="1">
        <v>27432077</v>
      </c>
    </row>
    <row r="2922" spans="1:57" x14ac:dyDescent="0.25">
      <c r="A2922" s="1" t="str">
        <f>T("1947366709770524056")</f>
        <v>1947366709770524056</v>
      </c>
      <c r="B2922" s="1" t="str">
        <f>T("249995499350")</f>
        <v>249995499350</v>
      </c>
      <c r="C2922" s="1" t="str">
        <f>T("1941094532619698652")</f>
        <v>1941094532619698652</v>
      </c>
      <c r="AA2922" s="1">
        <v>1</v>
      </c>
      <c r="AC2922" s="1" t="s">
        <v>344</v>
      </c>
      <c r="AD2922" s="1" t="s">
        <v>372</v>
      </c>
      <c r="AE2922" s="1" t="s">
        <v>814</v>
      </c>
      <c r="AF2922" s="1" t="s">
        <v>144</v>
      </c>
      <c r="AG2922" s="1">
        <v>32</v>
      </c>
      <c r="AO2922" s="2">
        <v>46282</v>
      </c>
      <c r="AP2922" s="1" t="s">
        <v>226</v>
      </c>
      <c r="AQ2922" s="2">
        <v>46283</v>
      </c>
      <c r="AR2922" s="1" t="s">
        <v>858</v>
      </c>
      <c r="AS2922" s="1" t="s">
        <v>71</v>
      </c>
      <c r="AU2922" s="1" t="s">
        <v>79</v>
      </c>
      <c r="AV2922" s="1" t="s">
        <v>80</v>
      </c>
      <c r="AW2922" s="1">
        <v>128.34</v>
      </c>
      <c r="AX2922" s="1">
        <v>0</v>
      </c>
      <c r="AZ2922" s="1" t="s">
        <v>81</v>
      </c>
      <c r="BA2922" s="1">
        <v>4</v>
      </c>
      <c r="BB2922" s="1">
        <v>0</v>
      </c>
      <c r="BC2922" s="1">
        <v>0</v>
      </c>
      <c r="BE2922" s="1">
        <v>27432077</v>
      </c>
    </row>
    <row r="2923" spans="1:57" x14ac:dyDescent="0.25">
      <c r="A2923" s="1" t="str">
        <f>T("1947366709795688604")</f>
        <v>1947366709795688604</v>
      </c>
      <c r="B2923" s="1" t="str">
        <f>T("249905951645")</f>
        <v>249905951645</v>
      </c>
      <c r="C2923" s="1" t="str">
        <f>T("1941094532619698952")</f>
        <v>1941094532619698952</v>
      </c>
      <c r="AC2923" s="1" t="s">
        <v>344</v>
      </c>
      <c r="AD2923" s="1" t="s">
        <v>430</v>
      </c>
      <c r="AE2923" s="1" t="s">
        <v>530</v>
      </c>
      <c r="AF2923" s="1" t="s">
        <v>144</v>
      </c>
      <c r="AG2923" s="1">
        <v>46</v>
      </c>
      <c r="AO2923" s="2">
        <v>46282</v>
      </c>
      <c r="AP2923" s="1" t="s">
        <v>226</v>
      </c>
      <c r="AS2923" s="1" t="s">
        <v>71</v>
      </c>
      <c r="AU2923" s="1" t="s">
        <v>72</v>
      </c>
      <c r="AV2923" s="1" t="s">
        <v>437</v>
      </c>
      <c r="AX2923" s="1">
        <v>0</v>
      </c>
      <c r="BA2923" s="1">
        <v>9</v>
      </c>
      <c r="BB2923" s="1">
        <v>0</v>
      </c>
      <c r="BC2923" s="1">
        <v>0</v>
      </c>
      <c r="BE2923" s="1">
        <v>27432077</v>
      </c>
    </row>
    <row r="2924" spans="1:57" x14ac:dyDescent="0.25">
      <c r="A2924" s="1" t="str">
        <f>T("1947366709804081120")</f>
        <v>1947366709804081120</v>
      </c>
      <c r="B2924" s="1" t="str">
        <f>T("249920392309")</f>
        <v>249920392309</v>
      </c>
      <c r="C2924" s="1" t="str">
        <f>T("1941094532628090868")</f>
        <v>1941094532628090868</v>
      </c>
      <c r="M2924" s="1" t="s">
        <v>59</v>
      </c>
      <c r="O2924" s="1" t="s">
        <v>65</v>
      </c>
      <c r="P2924" s="1" t="s">
        <v>61</v>
      </c>
      <c r="Q2924" s="1" t="s">
        <v>101</v>
      </c>
      <c r="R2924" s="1" t="s">
        <v>93</v>
      </c>
      <c r="T2924" s="1" t="s">
        <v>95</v>
      </c>
      <c r="U2924" s="1" t="s">
        <v>65</v>
      </c>
      <c r="V2924" s="1" t="s">
        <v>66</v>
      </c>
      <c r="W2924" s="1" t="s">
        <v>60</v>
      </c>
      <c r="X2924" s="1" t="s">
        <v>66</v>
      </c>
      <c r="Y2924" s="1" t="s">
        <v>85</v>
      </c>
      <c r="AA2924" s="1">
        <v>1</v>
      </c>
      <c r="AB2924" s="1">
        <v>1</v>
      </c>
      <c r="AC2924" s="1" t="s">
        <v>344</v>
      </c>
      <c r="AD2924" s="1" t="s">
        <v>372</v>
      </c>
      <c r="AE2924" s="1" t="s">
        <v>820</v>
      </c>
      <c r="AF2924" s="1" t="s">
        <v>107</v>
      </c>
      <c r="AG2924" s="1">
        <v>27</v>
      </c>
      <c r="AO2924" s="2">
        <v>46282</v>
      </c>
      <c r="AP2924" s="1" t="s">
        <v>226</v>
      </c>
      <c r="AQ2924" s="2">
        <v>46283</v>
      </c>
      <c r="AR2924" s="1" t="s">
        <v>859</v>
      </c>
      <c r="AS2924" s="1" t="s">
        <v>71</v>
      </c>
      <c r="AU2924" s="1" t="s">
        <v>78</v>
      </c>
      <c r="AV2924" s="1" t="s">
        <v>80</v>
      </c>
      <c r="AW2924" s="1">
        <v>267.5</v>
      </c>
      <c r="AX2924" s="1">
        <v>0</v>
      </c>
      <c r="AZ2924" s="1" t="s">
        <v>81</v>
      </c>
      <c r="BA2924" s="1">
        <v>7</v>
      </c>
      <c r="BB2924" s="1">
        <v>0</v>
      </c>
      <c r="BC2924" s="1">
        <v>0</v>
      </c>
      <c r="BE2924" s="1">
        <v>27432077</v>
      </c>
    </row>
    <row r="2925" spans="1:57" x14ac:dyDescent="0.25">
      <c r="A2925" s="1" t="str">
        <f>T("1947366709808271928")</f>
        <v>1947366709808271928</v>
      </c>
      <c r="B2925" s="1" t="str">
        <f>T("249907350129")</f>
        <v>249907350129</v>
      </c>
      <c r="C2925" s="1" t="str">
        <f>T("1941094532628090168")</f>
        <v>1941094532628090168</v>
      </c>
      <c r="AC2925" s="1" t="s">
        <v>344</v>
      </c>
      <c r="AD2925" s="1" t="s">
        <v>441</v>
      </c>
      <c r="AE2925" s="1" t="s">
        <v>530</v>
      </c>
      <c r="AF2925" s="1" t="s">
        <v>107</v>
      </c>
      <c r="AG2925" s="1">
        <v>50</v>
      </c>
      <c r="AO2925" s="2">
        <v>46282</v>
      </c>
      <c r="AP2925" s="1" t="s">
        <v>226</v>
      </c>
      <c r="AS2925" s="1" t="s">
        <v>71</v>
      </c>
      <c r="AU2925" s="1" t="s">
        <v>72</v>
      </c>
      <c r="AV2925" s="1" t="s">
        <v>437</v>
      </c>
      <c r="AX2925" s="1">
        <v>0</v>
      </c>
      <c r="BA2925" s="1">
        <v>9</v>
      </c>
      <c r="BB2925" s="1">
        <v>0</v>
      </c>
      <c r="BC2925" s="1">
        <v>0</v>
      </c>
      <c r="BE2925" s="1">
        <v>27432077</v>
      </c>
    </row>
    <row r="2926" spans="1:57" x14ac:dyDescent="0.25">
      <c r="A2926" s="1" t="str">
        <f>T("1947366709808272228")</f>
        <v>1947366709808272228</v>
      </c>
      <c r="B2926" s="1" t="str">
        <f>T("249918497997")</f>
        <v>249918497997</v>
      </c>
      <c r="C2926" s="1" t="str">
        <f>T("1941094532632281576")</f>
        <v>1941094532632281576</v>
      </c>
      <c r="AC2926" s="1" t="s">
        <v>344</v>
      </c>
      <c r="AD2926" s="1" t="s">
        <v>856</v>
      </c>
      <c r="AE2926" s="1" t="s">
        <v>857</v>
      </c>
      <c r="AF2926" s="1" t="s">
        <v>107</v>
      </c>
      <c r="AG2926" s="1">
        <v>35</v>
      </c>
      <c r="AO2926" s="2">
        <v>46282</v>
      </c>
      <c r="AP2926" s="1" t="s">
        <v>226</v>
      </c>
      <c r="AS2926" s="1" t="s">
        <v>71</v>
      </c>
      <c r="AU2926" s="1" t="s">
        <v>72</v>
      </c>
      <c r="AV2926" s="1" t="s">
        <v>437</v>
      </c>
      <c r="AX2926" s="1">
        <v>0</v>
      </c>
      <c r="BA2926" s="1">
        <v>9</v>
      </c>
      <c r="BB2926" s="1">
        <v>0</v>
      </c>
      <c r="BC2926" s="1">
        <v>0</v>
      </c>
      <c r="BE2926" s="1">
        <v>27432077</v>
      </c>
    </row>
    <row r="2927" spans="1:57" x14ac:dyDescent="0.25">
      <c r="A2927" s="1" t="str">
        <f>T("1947366709837631984")</f>
        <v>1947366709837631984</v>
      </c>
      <c r="B2927" s="1" t="str">
        <f>T("249919734423")</f>
        <v>249919734423</v>
      </c>
      <c r="C2927" s="1" t="str">
        <f>T("1941094532632282076")</f>
        <v>1941094532632282076</v>
      </c>
      <c r="AC2927" s="1" t="s">
        <v>344</v>
      </c>
      <c r="AD2927" s="1" t="s">
        <v>430</v>
      </c>
      <c r="AE2927" s="1" t="s">
        <v>530</v>
      </c>
      <c r="AF2927" s="1" t="s">
        <v>144</v>
      </c>
      <c r="AG2927" s="1">
        <v>42</v>
      </c>
      <c r="AO2927" s="2">
        <v>46282</v>
      </c>
      <c r="AP2927" s="1" t="s">
        <v>226</v>
      </c>
      <c r="AS2927" s="1" t="s">
        <v>71</v>
      </c>
      <c r="AU2927" s="1" t="s">
        <v>72</v>
      </c>
      <c r="AV2927" s="1" t="s">
        <v>437</v>
      </c>
      <c r="AX2927" s="1">
        <v>0</v>
      </c>
      <c r="BA2927" s="1">
        <v>9</v>
      </c>
      <c r="BB2927" s="1">
        <v>0</v>
      </c>
      <c r="BC2927" s="1">
        <v>0</v>
      </c>
      <c r="BE2927" s="1">
        <v>27432077</v>
      </c>
    </row>
    <row r="2928" spans="1:57" x14ac:dyDescent="0.25">
      <c r="A2928" s="1" t="str">
        <f>T("1947366709866993140")</f>
        <v>1947366709866993140</v>
      </c>
      <c r="B2928" s="1" t="str">
        <f>T("249903202664")</f>
        <v>249903202664</v>
      </c>
      <c r="C2928" s="1" t="str">
        <f>T("1941094532632282476")</f>
        <v>1941094532632282476</v>
      </c>
      <c r="AC2928" s="1" t="s">
        <v>344</v>
      </c>
      <c r="AD2928" s="1" t="s">
        <v>372</v>
      </c>
      <c r="AE2928" s="1" t="s">
        <v>820</v>
      </c>
      <c r="AF2928" s="1" t="s">
        <v>144</v>
      </c>
      <c r="AG2928" s="1">
        <v>55</v>
      </c>
      <c r="AO2928" s="2">
        <v>46282</v>
      </c>
      <c r="AP2928" s="1" t="s">
        <v>226</v>
      </c>
      <c r="AS2928" s="1" t="s">
        <v>71</v>
      </c>
      <c r="AU2928" s="1" t="s">
        <v>72</v>
      </c>
      <c r="AV2928" s="1" t="s">
        <v>73</v>
      </c>
      <c r="AX2928" s="1">
        <v>0</v>
      </c>
      <c r="BA2928" s="1">
        <v>9</v>
      </c>
      <c r="BB2928" s="1">
        <v>0</v>
      </c>
      <c r="BC2928" s="1">
        <v>0</v>
      </c>
      <c r="BE2928" s="1">
        <v>27432077</v>
      </c>
    </row>
    <row r="2929" spans="1:57" x14ac:dyDescent="0.25">
      <c r="A2929" s="1" t="str">
        <f>T("1947366709871186748")</f>
        <v>1947366709871186748</v>
      </c>
      <c r="B2929" s="1" t="str">
        <f>T("249901354800")</f>
        <v>249901354800</v>
      </c>
      <c r="C2929" s="1" t="str">
        <f>T("1941094532632282976")</f>
        <v>1941094532632282976</v>
      </c>
      <c r="AC2929" s="1" t="s">
        <v>344</v>
      </c>
      <c r="AD2929" s="1" t="s">
        <v>372</v>
      </c>
      <c r="AE2929" s="1" t="s">
        <v>815</v>
      </c>
      <c r="AF2929" s="1" t="s">
        <v>144</v>
      </c>
      <c r="AG2929" s="1">
        <v>28</v>
      </c>
      <c r="AO2929" s="2">
        <v>46282</v>
      </c>
      <c r="AP2929" s="1" t="s">
        <v>226</v>
      </c>
      <c r="AS2929" s="1" t="s">
        <v>71</v>
      </c>
      <c r="AU2929" s="1" t="s">
        <v>72</v>
      </c>
      <c r="AV2929" s="1" t="s">
        <v>437</v>
      </c>
      <c r="AX2929" s="1">
        <v>0</v>
      </c>
      <c r="BA2929" s="1">
        <v>9</v>
      </c>
      <c r="BB2929" s="1">
        <v>0</v>
      </c>
      <c r="BC2929" s="1">
        <v>0</v>
      </c>
      <c r="BE2929" s="1">
        <v>27432077</v>
      </c>
    </row>
    <row r="2930" spans="1:57" x14ac:dyDescent="0.25">
      <c r="A2930" s="1" t="str">
        <f>T("1947366709879577864")</f>
        <v>1947366709879577864</v>
      </c>
      <c r="B2930" s="1" t="str">
        <f>T("249904785867")</f>
        <v>249904785867</v>
      </c>
      <c r="C2930" s="1" t="str">
        <f>T("1941094532632283376")</f>
        <v>1941094532632283376</v>
      </c>
      <c r="AC2930" s="1" t="s">
        <v>344</v>
      </c>
      <c r="AD2930" s="1" t="s">
        <v>430</v>
      </c>
      <c r="AE2930" s="1" t="s">
        <v>530</v>
      </c>
      <c r="AF2930" s="1" t="s">
        <v>144</v>
      </c>
      <c r="AG2930" s="1">
        <v>50</v>
      </c>
      <c r="AO2930" s="2">
        <v>46282</v>
      </c>
      <c r="AP2930" s="1" t="s">
        <v>226</v>
      </c>
      <c r="AS2930" s="1" t="s">
        <v>71</v>
      </c>
      <c r="AU2930" s="1" t="s">
        <v>72</v>
      </c>
      <c r="AV2930" s="1" t="s">
        <v>73</v>
      </c>
      <c r="AX2930" s="1">
        <v>0</v>
      </c>
      <c r="BA2930" s="1">
        <v>9</v>
      </c>
      <c r="BB2930" s="1">
        <v>0</v>
      </c>
      <c r="BC2930" s="1">
        <v>0</v>
      </c>
      <c r="BE2930" s="1">
        <v>27432077</v>
      </c>
    </row>
    <row r="2931" spans="1:57" x14ac:dyDescent="0.25">
      <c r="A2931" s="1" t="str">
        <f>T("1947366709879578164")</f>
        <v>1947366709879578164</v>
      </c>
      <c r="B2931" s="1" t="str">
        <f>T("249964212540")</f>
        <v>249964212540</v>
      </c>
      <c r="C2931" s="1" t="str">
        <f>T("1941094532632283876")</f>
        <v>1941094532632283876</v>
      </c>
      <c r="AC2931" s="1" t="s">
        <v>344</v>
      </c>
      <c r="AD2931" s="1" t="s">
        <v>441</v>
      </c>
      <c r="AE2931" s="1" t="s">
        <v>530</v>
      </c>
      <c r="AF2931" s="1" t="s">
        <v>144</v>
      </c>
      <c r="AG2931" s="1">
        <v>35</v>
      </c>
      <c r="AO2931" s="2">
        <v>46282</v>
      </c>
      <c r="AP2931" s="1" t="s">
        <v>226</v>
      </c>
      <c r="AS2931" s="1" t="s">
        <v>71</v>
      </c>
      <c r="AU2931" s="1" t="s">
        <v>72</v>
      </c>
      <c r="AV2931" s="1" t="s">
        <v>73</v>
      </c>
      <c r="AX2931" s="1">
        <v>0</v>
      </c>
      <c r="BA2931" s="1">
        <v>9</v>
      </c>
      <c r="BB2931" s="1">
        <v>0</v>
      </c>
      <c r="BC2931" s="1">
        <v>0</v>
      </c>
      <c r="BE2931" s="1">
        <v>27432077</v>
      </c>
    </row>
    <row r="2932" spans="1:57" x14ac:dyDescent="0.25">
      <c r="A2932" s="1" t="str">
        <f>T("1947366709921518444")</f>
        <v>1947366709921518444</v>
      </c>
      <c r="B2932" s="1" t="str">
        <f>T("249909020229")</f>
        <v>249909020229</v>
      </c>
      <c r="C2932" s="1" t="str">
        <f>T("1941094532632284476")</f>
        <v>1941094532632284476</v>
      </c>
      <c r="AC2932" s="1" t="s">
        <v>344</v>
      </c>
      <c r="AD2932" s="1" t="s">
        <v>372</v>
      </c>
      <c r="AE2932" s="1" t="s">
        <v>815</v>
      </c>
      <c r="AF2932" s="1" t="s">
        <v>107</v>
      </c>
      <c r="AG2932" s="1">
        <v>42</v>
      </c>
      <c r="AO2932" s="2">
        <v>46282</v>
      </c>
      <c r="AP2932" s="1" t="s">
        <v>226</v>
      </c>
      <c r="AS2932" s="1" t="s">
        <v>71</v>
      </c>
      <c r="AU2932" s="1" t="s">
        <v>72</v>
      </c>
      <c r="AV2932" s="1" t="s">
        <v>73</v>
      </c>
      <c r="AX2932" s="1">
        <v>0</v>
      </c>
      <c r="BA2932" s="1">
        <v>9</v>
      </c>
      <c r="BB2932" s="1">
        <v>0</v>
      </c>
      <c r="BC2932" s="1">
        <v>0</v>
      </c>
      <c r="BE2932" s="1">
        <v>27432077</v>
      </c>
    </row>
    <row r="2933" spans="1:57" x14ac:dyDescent="0.25">
      <c r="A2933" s="1" t="str">
        <f>T("1947366709955075708")</f>
        <v>1947366709955075708</v>
      </c>
      <c r="B2933" s="1" t="str">
        <f>T("249915878320")</f>
        <v>249915878320</v>
      </c>
      <c r="C2933" s="1" t="str">
        <f>T("1941094532640672992")</f>
        <v>1941094532640672992</v>
      </c>
      <c r="AC2933" s="1" t="s">
        <v>344</v>
      </c>
      <c r="AD2933" s="1" t="s">
        <v>372</v>
      </c>
      <c r="AE2933" s="1" t="s">
        <v>815</v>
      </c>
      <c r="AF2933" s="1" t="s">
        <v>107</v>
      </c>
      <c r="AG2933" s="1">
        <v>60</v>
      </c>
      <c r="AO2933" s="2">
        <v>46282</v>
      </c>
      <c r="AP2933" s="1" t="s">
        <v>226</v>
      </c>
      <c r="AS2933" s="1" t="s">
        <v>71</v>
      </c>
      <c r="AU2933" s="1" t="s">
        <v>72</v>
      </c>
      <c r="AV2933" s="1" t="s">
        <v>73</v>
      </c>
      <c r="AX2933" s="1">
        <v>0</v>
      </c>
      <c r="BA2933" s="1">
        <v>9</v>
      </c>
      <c r="BB2933" s="1">
        <v>0</v>
      </c>
      <c r="BC2933" s="1">
        <v>0</v>
      </c>
      <c r="BE2933" s="1">
        <v>27432077</v>
      </c>
    </row>
    <row r="2934" spans="1:57" x14ac:dyDescent="0.25">
      <c r="A2934" s="1" t="str">
        <f>T("1947366709963461224")</f>
        <v>1947366709963461224</v>
      </c>
      <c r="B2934" s="1" t="str">
        <f>T("249915277190")</f>
        <v>249915277190</v>
      </c>
      <c r="C2934" s="1" t="str">
        <f>T("1941094532644864300")</f>
        <v>1941094532644864300</v>
      </c>
      <c r="AC2934" s="1" t="s">
        <v>344</v>
      </c>
      <c r="AD2934" s="1" t="s">
        <v>372</v>
      </c>
      <c r="AE2934" s="1" t="s">
        <v>813</v>
      </c>
      <c r="AF2934" s="1" t="s">
        <v>107</v>
      </c>
      <c r="AG2934" s="1">
        <v>70</v>
      </c>
      <c r="AO2934" s="2">
        <v>46282</v>
      </c>
      <c r="AP2934" s="1" t="s">
        <v>226</v>
      </c>
      <c r="AS2934" s="1" t="s">
        <v>71</v>
      </c>
      <c r="AU2934" s="1" t="s">
        <v>72</v>
      </c>
      <c r="AV2934" s="1" t="s">
        <v>437</v>
      </c>
      <c r="AX2934" s="1">
        <v>0</v>
      </c>
      <c r="BA2934" s="1">
        <v>9</v>
      </c>
      <c r="BB2934" s="1">
        <v>0</v>
      </c>
      <c r="BC2934" s="1">
        <v>0</v>
      </c>
      <c r="BE2934" s="1">
        <v>27432077</v>
      </c>
    </row>
    <row r="2935" spans="1:57" x14ac:dyDescent="0.25">
      <c r="A2935" s="1" t="str">
        <f>T("1947366709963462224")</f>
        <v>1947366709963462224</v>
      </c>
      <c r="B2935" s="1" t="str">
        <f>T("249112804466")</f>
        <v>249112804466</v>
      </c>
      <c r="C2935" s="1" t="str">
        <f>T("1941094532640673492")</f>
        <v>1941094532640673492</v>
      </c>
      <c r="AA2935" s="1">
        <v>1</v>
      </c>
      <c r="AC2935" s="1" t="s">
        <v>344</v>
      </c>
      <c r="AD2935" s="1" t="s">
        <v>372</v>
      </c>
      <c r="AE2935" s="1" t="s">
        <v>818</v>
      </c>
      <c r="AF2935" s="1" t="s">
        <v>107</v>
      </c>
      <c r="AG2935" s="1">
        <v>57</v>
      </c>
      <c r="AO2935" s="2">
        <v>46282</v>
      </c>
      <c r="AP2935" s="1" t="s">
        <v>226</v>
      </c>
      <c r="AQ2935" s="2">
        <v>46282</v>
      </c>
      <c r="AR2935" s="1" t="s">
        <v>231</v>
      </c>
      <c r="AS2935" s="1" t="s">
        <v>71</v>
      </c>
      <c r="AU2935" s="1" t="s">
        <v>79</v>
      </c>
      <c r="AV2935" s="1" t="s">
        <v>80</v>
      </c>
      <c r="AW2935" s="1">
        <v>108.66</v>
      </c>
      <c r="AX2935" s="1">
        <v>0</v>
      </c>
      <c r="AZ2935" s="1" t="s">
        <v>81</v>
      </c>
      <c r="BA2935" s="1">
        <v>1</v>
      </c>
      <c r="BB2935" s="1">
        <v>0</v>
      </c>
      <c r="BC2935" s="1">
        <v>0</v>
      </c>
      <c r="BE2935" s="1">
        <v>27432077</v>
      </c>
    </row>
    <row r="2936" spans="1:57" x14ac:dyDescent="0.25">
      <c r="A2936" s="1" t="str">
        <f>T("1947366709976046548")</f>
        <v>1947366709976046548</v>
      </c>
      <c r="B2936" s="1" t="str">
        <f>T("249985044287")</f>
        <v>249985044287</v>
      </c>
      <c r="C2936" s="1" t="str">
        <f>T("1941094532644864800")</f>
        <v>1941094532644864800</v>
      </c>
      <c r="AC2936" s="1" t="s">
        <v>344</v>
      </c>
      <c r="AD2936" s="1" t="s">
        <v>441</v>
      </c>
      <c r="AE2936" s="1" t="s">
        <v>530</v>
      </c>
      <c r="AF2936" s="1" t="s">
        <v>107</v>
      </c>
      <c r="AG2936" s="1">
        <v>36</v>
      </c>
      <c r="AO2936" s="2">
        <v>46282</v>
      </c>
      <c r="AP2936" s="1" t="s">
        <v>226</v>
      </c>
      <c r="AS2936" s="1" t="s">
        <v>71</v>
      </c>
      <c r="AU2936" s="1" t="s">
        <v>72</v>
      </c>
      <c r="AV2936" s="1" t="s">
        <v>73</v>
      </c>
      <c r="AX2936" s="1">
        <v>0</v>
      </c>
      <c r="BA2936" s="1">
        <v>9</v>
      </c>
      <c r="BB2936" s="1">
        <v>0</v>
      </c>
      <c r="BC2936" s="1">
        <v>0</v>
      </c>
      <c r="BE2936" s="1">
        <v>27432077</v>
      </c>
    </row>
    <row r="2937" spans="1:57" x14ac:dyDescent="0.25">
      <c r="A2937" s="1" t="str">
        <f>T("1947366709984434864")</f>
        <v>1947366709984434864</v>
      </c>
      <c r="B2937" s="1" t="str">
        <f>T("249916640743")</f>
        <v>249916640743</v>
      </c>
      <c r="C2937" s="1" t="str">
        <f>T("1941094532644865800")</f>
        <v>1941094532644865800</v>
      </c>
      <c r="AC2937" s="1" t="s">
        <v>344</v>
      </c>
      <c r="AD2937" s="1" t="s">
        <v>430</v>
      </c>
      <c r="AE2937" s="1" t="s">
        <v>530</v>
      </c>
      <c r="AF2937" s="1" t="s">
        <v>107</v>
      </c>
      <c r="AG2937" s="1">
        <v>40</v>
      </c>
      <c r="AO2937" s="2">
        <v>46282</v>
      </c>
      <c r="AP2937" s="1" t="s">
        <v>226</v>
      </c>
      <c r="AS2937" s="1" t="s">
        <v>71</v>
      </c>
      <c r="AU2937" s="1" t="s">
        <v>72</v>
      </c>
      <c r="AV2937" s="1" t="s">
        <v>73</v>
      </c>
      <c r="AX2937" s="1">
        <v>0</v>
      </c>
      <c r="BA2937" s="1">
        <v>9</v>
      </c>
      <c r="BB2937" s="1">
        <v>0</v>
      </c>
      <c r="BC2937" s="1">
        <v>0</v>
      </c>
      <c r="BE2937" s="1">
        <v>27432077</v>
      </c>
    </row>
    <row r="2938" spans="1:57" x14ac:dyDescent="0.25">
      <c r="A2938" s="1" t="str">
        <f>T("1947366710038961068")</f>
        <v>1947366710038961068</v>
      </c>
      <c r="B2938" s="1" t="str">
        <f>T("249910809346")</f>
        <v>249910809346</v>
      </c>
      <c r="C2938" s="1" t="str">
        <f>T("1941094532649058508")</f>
        <v>1941094532649058508</v>
      </c>
      <c r="AC2938" s="1" t="s">
        <v>344</v>
      </c>
      <c r="AD2938" s="1" t="s">
        <v>372</v>
      </c>
      <c r="AE2938" s="1" t="s">
        <v>815</v>
      </c>
      <c r="AF2938" s="1" t="s">
        <v>107</v>
      </c>
      <c r="AG2938" s="1">
        <v>55</v>
      </c>
      <c r="AO2938" s="2">
        <v>46282</v>
      </c>
      <c r="AP2938" s="1" t="s">
        <v>226</v>
      </c>
      <c r="AS2938" s="1" t="s">
        <v>71</v>
      </c>
      <c r="AU2938" s="1" t="s">
        <v>72</v>
      </c>
      <c r="AV2938" s="1" t="s">
        <v>437</v>
      </c>
      <c r="AX2938" s="1">
        <v>0</v>
      </c>
      <c r="BA2938" s="1">
        <v>9</v>
      </c>
      <c r="BB2938" s="1">
        <v>0</v>
      </c>
      <c r="BC2938" s="1">
        <v>0</v>
      </c>
      <c r="BE2938" s="1">
        <v>27432077</v>
      </c>
    </row>
    <row r="2939" spans="1:57" x14ac:dyDescent="0.25">
      <c r="A2939" s="1" t="str">
        <f>T("1947366710043152876")</f>
        <v>1947366710043152876</v>
      </c>
      <c r="B2939" s="1" t="str">
        <f>T("249918783552")</f>
        <v>249918783552</v>
      </c>
      <c r="C2939" s="1" t="str">
        <f>T("1941094532665839340")</f>
        <v>1941094532665839340</v>
      </c>
      <c r="AC2939" s="1" t="s">
        <v>344</v>
      </c>
      <c r="AD2939" s="1" t="s">
        <v>372</v>
      </c>
      <c r="AE2939" s="1" t="s">
        <v>373</v>
      </c>
      <c r="AF2939" s="1" t="s">
        <v>107</v>
      </c>
      <c r="AG2939" s="1">
        <v>64</v>
      </c>
      <c r="AO2939" s="2">
        <v>46282</v>
      </c>
      <c r="AP2939" s="1" t="s">
        <v>226</v>
      </c>
      <c r="AS2939" s="1" t="s">
        <v>71</v>
      </c>
      <c r="AU2939" s="1" t="s">
        <v>72</v>
      </c>
      <c r="AV2939" s="1" t="s">
        <v>73</v>
      </c>
      <c r="AX2939" s="1">
        <v>0</v>
      </c>
      <c r="BA2939" s="1">
        <v>9</v>
      </c>
      <c r="BB2939" s="1">
        <v>0</v>
      </c>
      <c r="BC2939" s="1">
        <v>0</v>
      </c>
      <c r="BE2939" s="1">
        <v>27432077</v>
      </c>
    </row>
    <row r="2940" spans="1:57" x14ac:dyDescent="0.25">
      <c r="A2940" s="1" t="str">
        <f>T("1947366710051543292")</f>
        <v>1947366710051543292</v>
      </c>
      <c r="B2940" s="1" t="str">
        <f>T("249912727600")</f>
        <v>249912727600</v>
      </c>
      <c r="C2940" s="1" t="str">
        <f>T("1941094532670030648")</f>
        <v>1941094532670030648</v>
      </c>
      <c r="AC2940" s="1" t="s">
        <v>344</v>
      </c>
      <c r="AD2940" s="1" t="s">
        <v>372</v>
      </c>
      <c r="AE2940" s="1" t="s">
        <v>813</v>
      </c>
      <c r="AF2940" s="1" t="s">
        <v>107</v>
      </c>
      <c r="AG2940" s="1">
        <v>55</v>
      </c>
      <c r="AO2940" s="2">
        <v>46282</v>
      </c>
      <c r="AP2940" s="1" t="s">
        <v>226</v>
      </c>
      <c r="AS2940" s="1" t="s">
        <v>71</v>
      </c>
      <c r="AU2940" s="1" t="s">
        <v>72</v>
      </c>
      <c r="AV2940" s="1" t="s">
        <v>437</v>
      </c>
      <c r="AX2940" s="1">
        <v>0</v>
      </c>
      <c r="BA2940" s="1">
        <v>9</v>
      </c>
      <c r="BB2940" s="1">
        <v>0</v>
      </c>
      <c r="BC2940" s="1">
        <v>0</v>
      </c>
      <c r="BE2940" s="1">
        <v>27432077</v>
      </c>
    </row>
    <row r="2941" spans="1:57" x14ac:dyDescent="0.25">
      <c r="A2941" s="1" t="str">
        <f>T("1947366710051544092")</f>
        <v>1947366710051544092</v>
      </c>
      <c r="B2941" s="1" t="str">
        <f>T("249969541074")</f>
        <v>249969541074</v>
      </c>
      <c r="C2941" s="1" t="str">
        <f>T("1941094532670032748")</f>
        <v>1941094532670032748</v>
      </c>
      <c r="AC2941" s="1" t="s">
        <v>344</v>
      </c>
      <c r="AD2941" s="1" t="s">
        <v>441</v>
      </c>
      <c r="AE2941" s="1" t="s">
        <v>530</v>
      </c>
      <c r="AF2941" s="1" t="s">
        <v>107</v>
      </c>
      <c r="AG2941" s="1">
        <v>30</v>
      </c>
      <c r="AO2941" s="2">
        <v>46282</v>
      </c>
      <c r="AP2941" s="1" t="s">
        <v>226</v>
      </c>
      <c r="AS2941" s="1" t="s">
        <v>71</v>
      </c>
      <c r="AU2941" s="1" t="s">
        <v>72</v>
      </c>
      <c r="AV2941" s="1" t="s">
        <v>437</v>
      </c>
      <c r="AX2941" s="1">
        <v>0</v>
      </c>
      <c r="BA2941" s="1">
        <v>9</v>
      </c>
      <c r="BB2941" s="1">
        <v>0</v>
      </c>
      <c r="BC2941" s="1">
        <v>0</v>
      </c>
      <c r="BE2941" s="1">
        <v>27432077</v>
      </c>
    </row>
    <row r="2942" spans="1:57" x14ac:dyDescent="0.25">
      <c r="A2942" s="1" t="str">
        <f>T("1947366710068318724")</f>
        <v>1947366710068318724</v>
      </c>
      <c r="B2942" s="1" t="str">
        <f>T("249919006693")</f>
        <v>249919006693</v>
      </c>
      <c r="C2942" s="1" t="str">
        <f>T("1941094532670033348")</f>
        <v>1941094532670033348</v>
      </c>
      <c r="AC2942" s="1" t="s">
        <v>344</v>
      </c>
      <c r="AD2942" s="1" t="s">
        <v>441</v>
      </c>
      <c r="AE2942" s="1" t="s">
        <v>530</v>
      </c>
      <c r="AF2942" s="1" t="s">
        <v>144</v>
      </c>
      <c r="AG2942" s="1">
        <v>70</v>
      </c>
      <c r="AO2942" s="2">
        <v>46282</v>
      </c>
      <c r="AP2942" s="1" t="s">
        <v>226</v>
      </c>
      <c r="AS2942" s="1" t="s">
        <v>71</v>
      </c>
      <c r="AU2942" s="1" t="s">
        <v>72</v>
      </c>
      <c r="AV2942" s="1" t="s">
        <v>73</v>
      </c>
      <c r="AX2942" s="1">
        <v>0</v>
      </c>
      <c r="BA2942" s="1">
        <v>9</v>
      </c>
      <c r="BB2942" s="1">
        <v>0</v>
      </c>
      <c r="BC2942" s="1">
        <v>0</v>
      </c>
      <c r="BE2942" s="1">
        <v>27432077</v>
      </c>
    </row>
    <row r="2943" spans="1:57" x14ac:dyDescent="0.25">
      <c r="A2943" s="1" t="str">
        <f>T("1947366710127039836")</f>
        <v>1947366710127039836</v>
      </c>
      <c r="B2943" s="1" t="str">
        <f>T("249960627485")</f>
        <v>249960627485</v>
      </c>
      <c r="C2943" s="1" t="str">
        <f>T("1941094532670033748")</f>
        <v>1941094532670033748</v>
      </c>
      <c r="AC2943" s="1" t="s">
        <v>344</v>
      </c>
      <c r="AD2943" s="1" t="s">
        <v>441</v>
      </c>
      <c r="AE2943" s="1" t="s">
        <v>530</v>
      </c>
      <c r="AF2943" s="1" t="s">
        <v>144</v>
      </c>
      <c r="AG2943" s="1">
        <v>55</v>
      </c>
      <c r="AO2943" s="2">
        <v>46282</v>
      </c>
      <c r="AP2943" s="1" t="s">
        <v>226</v>
      </c>
      <c r="AS2943" s="1" t="s">
        <v>71</v>
      </c>
      <c r="AU2943" s="1" t="s">
        <v>72</v>
      </c>
      <c r="AV2943" s="1" t="s">
        <v>73</v>
      </c>
      <c r="AX2943" s="1">
        <v>0</v>
      </c>
      <c r="BA2943" s="1">
        <v>9</v>
      </c>
      <c r="BB2943" s="1">
        <v>0</v>
      </c>
      <c r="BC2943" s="1">
        <v>0</v>
      </c>
      <c r="BE2943" s="1">
        <v>27432077</v>
      </c>
    </row>
    <row r="2944" spans="1:57" x14ac:dyDescent="0.25">
      <c r="A2944" s="1" t="str">
        <f>T("1947366710139622460")</f>
        <v>1947366710139622460</v>
      </c>
      <c r="B2944" s="1" t="str">
        <f>T("249999202020")</f>
        <v>249999202020</v>
      </c>
      <c r="C2944" s="1" t="str">
        <f>T("1941094532674224456")</f>
        <v>1941094532674224456</v>
      </c>
      <c r="M2944" s="1" t="s">
        <v>406</v>
      </c>
      <c r="O2944" s="1" t="s">
        <v>65</v>
      </c>
      <c r="P2944" s="1" t="s">
        <v>61</v>
      </c>
      <c r="Q2944" s="1" t="s">
        <v>62</v>
      </c>
      <c r="R2944" s="1" t="s">
        <v>84</v>
      </c>
      <c r="AA2944" s="1">
        <v>1</v>
      </c>
      <c r="AC2944" s="1" t="s">
        <v>344</v>
      </c>
      <c r="AD2944" s="1" t="s">
        <v>430</v>
      </c>
      <c r="AE2944" s="1" t="s">
        <v>530</v>
      </c>
      <c r="AF2944" s="1" t="s">
        <v>107</v>
      </c>
      <c r="AG2944" s="1">
        <v>22</v>
      </c>
      <c r="AO2944" s="2">
        <v>46282</v>
      </c>
      <c r="AP2944" s="1" t="s">
        <v>226</v>
      </c>
      <c r="AQ2944" s="2">
        <v>46282</v>
      </c>
      <c r="AR2944" s="1" t="s">
        <v>735</v>
      </c>
      <c r="AS2944" s="1" t="s">
        <v>71</v>
      </c>
      <c r="AU2944" s="1" t="s">
        <v>79</v>
      </c>
      <c r="AV2944" s="1" t="s">
        <v>80</v>
      </c>
      <c r="AW2944" s="1">
        <v>126.02</v>
      </c>
      <c r="AX2944" s="1">
        <v>0</v>
      </c>
      <c r="AZ2944" s="1" t="s">
        <v>81</v>
      </c>
      <c r="BA2944" s="1">
        <v>1</v>
      </c>
      <c r="BB2944" s="1">
        <v>0</v>
      </c>
      <c r="BC2944" s="1">
        <v>0</v>
      </c>
      <c r="BE2944" s="1">
        <v>27432077</v>
      </c>
    </row>
    <row r="2945" spans="1:57" x14ac:dyDescent="0.25">
      <c r="A2945" s="1" t="str">
        <f>T("1947366710143819668")</f>
        <v>1947366710143819668</v>
      </c>
      <c r="B2945" s="1" t="str">
        <f>T("249915744796")</f>
        <v>249915744796</v>
      </c>
      <c r="C2945" s="1" t="str">
        <f>T("1941094532674225256")</f>
        <v>1941094532674225256</v>
      </c>
      <c r="AC2945" s="1" t="s">
        <v>344</v>
      </c>
      <c r="AD2945" s="1" t="s">
        <v>372</v>
      </c>
      <c r="AE2945" s="1" t="s">
        <v>815</v>
      </c>
      <c r="AF2945" s="1" t="s">
        <v>144</v>
      </c>
      <c r="AG2945" s="1">
        <v>37</v>
      </c>
      <c r="AO2945" s="2">
        <v>46282</v>
      </c>
      <c r="AP2945" s="1" t="s">
        <v>226</v>
      </c>
      <c r="AS2945" s="1" t="s">
        <v>71</v>
      </c>
      <c r="AU2945" s="1" t="s">
        <v>72</v>
      </c>
      <c r="AV2945" s="1" t="s">
        <v>437</v>
      </c>
      <c r="AX2945" s="1">
        <v>0</v>
      </c>
      <c r="BA2945" s="1">
        <v>9</v>
      </c>
      <c r="BB2945" s="1">
        <v>0</v>
      </c>
      <c r="BC2945" s="1">
        <v>0</v>
      </c>
      <c r="BE2945" s="1">
        <v>27432077</v>
      </c>
    </row>
    <row r="2946" spans="1:57" x14ac:dyDescent="0.25">
      <c r="A2946" s="1" t="str">
        <f>T("1947366710148010776")</f>
        <v>1947366710148010776</v>
      </c>
      <c r="B2946" s="1" t="str">
        <f>T("249964008668")</f>
        <v>249964008668</v>
      </c>
      <c r="C2946" s="1" t="str">
        <f>T("1941094532674225556")</f>
        <v>1941094532674225556</v>
      </c>
      <c r="AC2946" s="1" t="s">
        <v>344</v>
      </c>
      <c r="AD2946" s="1" t="s">
        <v>372</v>
      </c>
      <c r="AE2946" s="1" t="s">
        <v>813</v>
      </c>
      <c r="AF2946" s="1" t="s">
        <v>144</v>
      </c>
      <c r="AG2946" s="1">
        <v>45</v>
      </c>
      <c r="AO2946" s="2">
        <v>46282</v>
      </c>
      <c r="AP2946" s="1" t="s">
        <v>226</v>
      </c>
      <c r="AS2946" s="1" t="s">
        <v>71</v>
      </c>
      <c r="AU2946" s="1" t="s">
        <v>72</v>
      </c>
      <c r="AV2946" s="1" t="s">
        <v>73</v>
      </c>
      <c r="AX2946" s="1">
        <v>0</v>
      </c>
      <c r="BA2946" s="1">
        <v>9</v>
      </c>
      <c r="BB2946" s="1">
        <v>0</v>
      </c>
      <c r="BC2946" s="1">
        <v>0</v>
      </c>
      <c r="BE2946" s="1">
        <v>27432077</v>
      </c>
    </row>
    <row r="2947" spans="1:57" x14ac:dyDescent="0.25">
      <c r="A2947" s="1" t="str">
        <f>T("1947366710148010777")</f>
        <v>1947366710148010777</v>
      </c>
      <c r="B2947" s="1" t="str">
        <f>T("249964780668")</f>
        <v>249964780668</v>
      </c>
      <c r="C2947" s="1" t="str">
        <f>T("1941094532674224856")</f>
        <v>1941094532674224856</v>
      </c>
      <c r="AC2947" s="1" t="s">
        <v>344</v>
      </c>
      <c r="AD2947" s="1" t="s">
        <v>372</v>
      </c>
      <c r="AE2947" s="1" t="s">
        <v>815</v>
      </c>
      <c r="AF2947" s="1" t="s">
        <v>107</v>
      </c>
      <c r="AG2947" s="1">
        <v>35</v>
      </c>
      <c r="AO2947" s="2">
        <v>46282</v>
      </c>
      <c r="AP2947" s="1" t="s">
        <v>226</v>
      </c>
      <c r="AS2947" s="1" t="s">
        <v>71</v>
      </c>
      <c r="AU2947" s="1" t="s">
        <v>72</v>
      </c>
      <c r="AV2947" s="1" t="s">
        <v>437</v>
      </c>
      <c r="AX2947" s="1">
        <v>0</v>
      </c>
      <c r="BA2947" s="1">
        <v>9</v>
      </c>
      <c r="BB2947" s="1">
        <v>0</v>
      </c>
      <c r="BC2947" s="1">
        <v>0</v>
      </c>
      <c r="BE2947" s="1">
        <v>27432077</v>
      </c>
    </row>
    <row r="2948" spans="1:57" x14ac:dyDescent="0.25">
      <c r="A2948" s="1" t="str">
        <f>T("1947652162482541596")</f>
        <v>1947652162482541596</v>
      </c>
      <c r="B2948" s="1" t="str">
        <f>T("249904238243")</f>
        <v>249904238243</v>
      </c>
      <c r="C2948" s="1" t="str">
        <f>T("1941094532674225856")</f>
        <v>1941094532674225856</v>
      </c>
      <c r="AC2948" s="1" t="s">
        <v>344</v>
      </c>
      <c r="AD2948" s="1" t="s">
        <v>372</v>
      </c>
      <c r="AE2948" s="1" t="s">
        <v>815</v>
      </c>
      <c r="AF2948" s="1" t="s">
        <v>107</v>
      </c>
      <c r="AG2948" s="1">
        <v>50</v>
      </c>
      <c r="AO2948" s="2">
        <v>46283</v>
      </c>
      <c r="AP2948" s="1" t="s">
        <v>860</v>
      </c>
      <c r="AS2948" s="1" t="s">
        <v>71</v>
      </c>
      <c r="AU2948" s="1" t="s">
        <v>72</v>
      </c>
      <c r="AV2948" s="1" t="s">
        <v>437</v>
      </c>
      <c r="AX2948" s="1">
        <v>0</v>
      </c>
      <c r="BA2948" s="1">
        <v>9</v>
      </c>
      <c r="BB2948" s="1">
        <v>0</v>
      </c>
      <c r="BC2948" s="1">
        <v>0</v>
      </c>
      <c r="BE2948" s="1">
        <v>27558981</v>
      </c>
    </row>
    <row r="2949" spans="1:57" x14ac:dyDescent="0.25">
      <c r="A2949" s="1" t="str">
        <f>T("1947652162700644712")</f>
        <v>1947652162700644712</v>
      </c>
      <c r="B2949" s="1" t="str">
        <f>T("249969235075")</f>
        <v>249969235075</v>
      </c>
      <c r="C2949" s="1" t="str">
        <f>T("1941094532674226256")</f>
        <v>1941094532674226256</v>
      </c>
      <c r="AC2949" s="1" t="s">
        <v>344</v>
      </c>
      <c r="AD2949" s="1" t="s">
        <v>441</v>
      </c>
      <c r="AE2949" s="1" t="s">
        <v>530</v>
      </c>
      <c r="AF2949" s="1" t="s">
        <v>107</v>
      </c>
      <c r="AG2949" s="1">
        <v>36</v>
      </c>
      <c r="AO2949" s="2">
        <v>46283</v>
      </c>
      <c r="AP2949" s="1" t="s">
        <v>860</v>
      </c>
      <c r="AS2949" s="1" t="s">
        <v>71</v>
      </c>
      <c r="AU2949" s="1" t="s">
        <v>72</v>
      </c>
      <c r="AV2949" s="1" t="s">
        <v>73</v>
      </c>
      <c r="AX2949" s="1">
        <v>0</v>
      </c>
      <c r="BA2949" s="1">
        <v>9</v>
      </c>
      <c r="BB2949" s="1">
        <v>0</v>
      </c>
      <c r="BC2949" s="1">
        <v>0</v>
      </c>
      <c r="BE2949" s="1">
        <v>27558981</v>
      </c>
    </row>
    <row r="2950" spans="1:57" x14ac:dyDescent="0.25">
      <c r="A2950" s="1" t="str">
        <f>T("1947652162759365024")</f>
        <v>1947652162759365024</v>
      </c>
      <c r="B2950" s="1" t="str">
        <f>T("249909012684")</f>
        <v>249909012684</v>
      </c>
      <c r="C2950" s="1" t="str">
        <f>T("1941094532674226756")</f>
        <v>1941094532674226756</v>
      </c>
      <c r="AC2950" s="1" t="s">
        <v>344</v>
      </c>
      <c r="AD2950" s="1" t="s">
        <v>372</v>
      </c>
      <c r="AE2950" s="1" t="s">
        <v>815</v>
      </c>
      <c r="AF2950" s="1" t="s">
        <v>144</v>
      </c>
      <c r="AG2950" s="1">
        <v>45</v>
      </c>
      <c r="AO2950" s="2">
        <v>46283</v>
      </c>
      <c r="AP2950" s="1" t="s">
        <v>860</v>
      </c>
      <c r="AS2950" s="1" t="s">
        <v>71</v>
      </c>
      <c r="AU2950" s="1" t="s">
        <v>72</v>
      </c>
      <c r="AV2950" s="1" t="s">
        <v>437</v>
      </c>
      <c r="AX2950" s="1">
        <v>0</v>
      </c>
      <c r="BA2950" s="1">
        <v>9</v>
      </c>
      <c r="BB2950" s="1">
        <v>0</v>
      </c>
      <c r="BC2950" s="1">
        <v>0</v>
      </c>
      <c r="BE2950" s="1">
        <v>27558981</v>
      </c>
    </row>
    <row r="2951" spans="1:57" x14ac:dyDescent="0.25">
      <c r="A2951" s="1" t="str">
        <f>T("1947652162809699620")</f>
        <v>1947652162809699620</v>
      </c>
      <c r="B2951" s="1" t="str">
        <f>T("249909331334")</f>
        <v>249909331334</v>
      </c>
      <c r="C2951" s="1" t="str">
        <f>T("1941094532674227256")</f>
        <v>1941094532674227256</v>
      </c>
      <c r="AC2951" s="1" t="s">
        <v>344</v>
      </c>
      <c r="AD2951" s="1" t="s">
        <v>441</v>
      </c>
      <c r="AE2951" s="1" t="s">
        <v>530</v>
      </c>
      <c r="AF2951" s="1" t="s">
        <v>107</v>
      </c>
      <c r="AG2951" s="1">
        <v>32</v>
      </c>
      <c r="AO2951" s="2">
        <v>46283</v>
      </c>
      <c r="AP2951" s="1" t="s">
        <v>860</v>
      </c>
      <c r="AS2951" s="1" t="s">
        <v>71</v>
      </c>
      <c r="AU2951" s="1" t="s">
        <v>72</v>
      </c>
      <c r="AV2951" s="1" t="s">
        <v>73</v>
      </c>
      <c r="AX2951" s="1">
        <v>0</v>
      </c>
      <c r="BA2951" s="1">
        <v>9</v>
      </c>
      <c r="BB2951" s="1">
        <v>0</v>
      </c>
      <c r="BC2951" s="1">
        <v>0</v>
      </c>
      <c r="BE2951" s="1">
        <v>27558981</v>
      </c>
    </row>
    <row r="2952" spans="1:57" x14ac:dyDescent="0.25">
      <c r="A2952" s="1" t="str">
        <f>T("1947652162864224424")</f>
        <v>1947652162864224424</v>
      </c>
      <c r="B2952" s="1" t="str">
        <f>T("249983887900")</f>
        <v>249983887900</v>
      </c>
      <c r="C2952" s="1" t="str">
        <f>T("1941094532674227756")</f>
        <v>1941094532674227756</v>
      </c>
      <c r="AC2952" s="1" t="s">
        <v>344</v>
      </c>
      <c r="AD2952" s="1" t="s">
        <v>372</v>
      </c>
      <c r="AE2952" s="1" t="s">
        <v>814</v>
      </c>
      <c r="AF2952" s="1" t="s">
        <v>144</v>
      </c>
      <c r="AG2952" s="1">
        <v>32</v>
      </c>
      <c r="AO2952" s="2">
        <v>46283</v>
      </c>
      <c r="AP2952" s="1" t="s">
        <v>860</v>
      </c>
      <c r="AS2952" s="1" t="s">
        <v>71</v>
      </c>
      <c r="AU2952" s="1" t="s">
        <v>72</v>
      </c>
      <c r="AV2952" s="1" t="s">
        <v>73</v>
      </c>
      <c r="AX2952" s="1">
        <v>0</v>
      </c>
      <c r="BA2952" s="1">
        <v>9</v>
      </c>
      <c r="BB2952" s="1">
        <v>0</v>
      </c>
      <c r="BC2952" s="1">
        <v>0</v>
      </c>
      <c r="BE2952" s="1">
        <v>27558981</v>
      </c>
    </row>
    <row r="2953" spans="1:57" x14ac:dyDescent="0.25">
      <c r="A2953" s="1" t="str">
        <f>T("1947652162939719868")</f>
        <v>1947652162939719868</v>
      </c>
      <c r="B2953" s="1" t="str">
        <f>T("249901831182")</f>
        <v>249901831182</v>
      </c>
      <c r="C2953" s="1" t="str">
        <f>T("1941094532674228156")</f>
        <v>1941094532674228156</v>
      </c>
      <c r="AC2953" s="1" t="s">
        <v>344</v>
      </c>
      <c r="AD2953" s="1" t="s">
        <v>441</v>
      </c>
      <c r="AE2953" s="1" t="s">
        <v>530</v>
      </c>
      <c r="AF2953" s="1" t="s">
        <v>107</v>
      </c>
      <c r="AG2953" s="1">
        <v>56</v>
      </c>
      <c r="AO2953" s="2">
        <v>46283</v>
      </c>
      <c r="AP2953" s="1" t="s">
        <v>860</v>
      </c>
      <c r="AS2953" s="1" t="s">
        <v>71</v>
      </c>
      <c r="AU2953" s="1" t="s">
        <v>72</v>
      </c>
      <c r="AV2953" s="1" t="s">
        <v>73</v>
      </c>
      <c r="AX2953" s="1">
        <v>0</v>
      </c>
      <c r="BA2953" s="1">
        <v>9</v>
      </c>
      <c r="BB2953" s="1">
        <v>0</v>
      </c>
      <c r="BC2953" s="1">
        <v>0</v>
      </c>
      <c r="BE2953" s="1">
        <v>27558981</v>
      </c>
    </row>
    <row r="2954" spans="1:57" x14ac:dyDescent="0.25">
      <c r="A2954" s="1" t="str">
        <f>T("1947652162994246972")</f>
        <v>1947652162994246972</v>
      </c>
      <c r="B2954" s="1" t="str">
        <f>T("249909067594")</f>
        <v>249909067594</v>
      </c>
      <c r="C2954" s="1" t="str">
        <f>T("1941094532678418864")</f>
        <v>1941094532678418864</v>
      </c>
      <c r="AC2954" s="1" t="s">
        <v>344</v>
      </c>
      <c r="AD2954" s="1" t="s">
        <v>441</v>
      </c>
      <c r="AE2954" s="1" t="s">
        <v>530</v>
      </c>
      <c r="AF2954" s="1" t="s">
        <v>107</v>
      </c>
      <c r="AG2954" s="1">
        <v>37</v>
      </c>
      <c r="AO2954" s="2">
        <v>46283</v>
      </c>
      <c r="AP2954" s="1" t="s">
        <v>860</v>
      </c>
      <c r="AS2954" s="1" t="s">
        <v>71</v>
      </c>
      <c r="AU2954" s="1" t="s">
        <v>72</v>
      </c>
      <c r="AV2954" s="1" t="s">
        <v>437</v>
      </c>
      <c r="AX2954" s="1">
        <v>0</v>
      </c>
      <c r="BA2954" s="1">
        <v>9</v>
      </c>
      <c r="BB2954" s="1">
        <v>0</v>
      </c>
      <c r="BC2954" s="1">
        <v>0</v>
      </c>
      <c r="BE2954" s="1">
        <v>27558981</v>
      </c>
    </row>
    <row r="2955" spans="1:57" x14ac:dyDescent="0.25">
      <c r="A2955" s="1" t="str">
        <f>T("1947652163044577568")</f>
        <v>1947652163044577568</v>
      </c>
      <c r="B2955" s="1" t="str">
        <f>T("249964511221")</f>
        <v>249964511221</v>
      </c>
      <c r="C2955" s="1" t="str">
        <f>T("1941094532678419164")</f>
        <v>1941094532678419164</v>
      </c>
      <c r="AC2955" s="1" t="s">
        <v>344</v>
      </c>
      <c r="AD2955" s="1" t="s">
        <v>441</v>
      </c>
      <c r="AE2955" s="1" t="s">
        <v>530</v>
      </c>
      <c r="AF2955" s="1" t="s">
        <v>107</v>
      </c>
      <c r="AG2955" s="1">
        <v>40</v>
      </c>
      <c r="AO2955" s="2">
        <v>46283</v>
      </c>
      <c r="AP2955" s="1" t="s">
        <v>860</v>
      </c>
      <c r="AS2955" s="1" t="s">
        <v>71</v>
      </c>
      <c r="AU2955" s="1" t="s">
        <v>72</v>
      </c>
      <c r="AV2955" s="1" t="s">
        <v>73</v>
      </c>
      <c r="AX2955" s="1">
        <v>0</v>
      </c>
      <c r="BA2955" s="1">
        <v>9</v>
      </c>
      <c r="BB2955" s="1">
        <v>0</v>
      </c>
      <c r="BC2955" s="1">
        <v>0</v>
      </c>
      <c r="BE2955" s="1">
        <v>27558981</v>
      </c>
    </row>
    <row r="2956" spans="1:57" x14ac:dyDescent="0.25">
      <c r="A2956" s="1" t="str">
        <f>T("1947652163099104772")</f>
        <v>1947652163099104772</v>
      </c>
      <c r="B2956" s="1" t="str">
        <f>T("249116488153")</f>
        <v>249116488153</v>
      </c>
      <c r="C2956" s="1" t="str">
        <f>T("1941094532678419564")</f>
        <v>1941094532678419564</v>
      </c>
      <c r="AA2956" s="1">
        <v>1</v>
      </c>
      <c r="AC2956" s="1" t="s">
        <v>344</v>
      </c>
      <c r="AD2956" s="1" t="s">
        <v>372</v>
      </c>
      <c r="AE2956" s="1" t="s">
        <v>820</v>
      </c>
      <c r="AF2956" s="1" t="s">
        <v>107</v>
      </c>
      <c r="AG2956" s="1">
        <v>24</v>
      </c>
      <c r="AO2956" s="2">
        <v>46283</v>
      </c>
      <c r="AP2956" s="1" t="s">
        <v>860</v>
      </c>
      <c r="AQ2956" s="2">
        <v>46283</v>
      </c>
      <c r="AR2956" s="1" t="s">
        <v>861</v>
      </c>
      <c r="AS2956" s="1" t="s">
        <v>71</v>
      </c>
      <c r="AU2956" s="1" t="s">
        <v>78</v>
      </c>
      <c r="AV2956" s="1" t="s">
        <v>80</v>
      </c>
      <c r="AW2956" s="1">
        <v>134.5</v>
      </c>
      <c r="AX2956" s="1">
        <v>0</v>
      </c>
      <c r="AZ2956" s="1" t="s">
        <v>81</v>
      </c>
      <c r="BA2956" s="1">
        <v>1</v>
      </c>
      <c r="BB2956" s="1">
        <v>0</v>
      </c>
      <c r="BC2956" s="1">
        <v>0</v>
      </c>
      <c r="BE2956" s="1">
        <v>27558981</v>
      </c>
    </row>
    <row r="2957" spans="1:57" x14ac:dyDescent="0.25">
      <c r="A2957" s="1" t="str">
        <f>T("1947652163149434968")</f>
        <v>1947652163149434968</v>
      </c>
      <c r="B2957" s="1" t="str">
        <f>T("249900351826")</f>
        <v>249900351826</v>
      </c>
      <c r="C2957" s="1" t="str">
        <f>T("1941094532678419864")</f>
        <v>1941094532678419864</v>
      </c>
      <c r="AC2957" s="1" t="s">
        <v>344</v>
      </c>
      <c r="AD2957" s="1" t="s">
        <v>372</v>
      </c>
      <c r="AE2957" s="1" t="s">
        <v>814</v>
      </c>
      <c r="AF2957" s="1" t="s">
        <v>144</v>
      </c>
      <c r="AG2957" s="1">
        <v>30</v>
      </c>
      <c r="AO2957" s="2">
        <v>46283</v>
      </c>
      <c r="AP2957" s="1" t="s">
        <v>860</v>
      </c>
      <c r="AS2957" s="1" t="s">
        <v>71</v>
      </c>
      <c r="AU2957" s="1" t="s">
        <v>72</v>
      </c>
      <c r="AV2957" s="1" t="s">
        <v>437</v>
      </c>
      <c r="AX2957" s="1">
        <v>0</v>
      </c>
      <c r="BA2957" s="1">
        <v>9</v>
      </c>
      <c r="BB2957" s="1">
        <v>0</v>
      </c>
      <c r="BC2957" s="1">
        <v>0</v>
      </c>
      <c r="BE2957" s="1">
        <v>27558981</v>
      </c>
    </row>
    <row r="2958" spans="1:57" x14ac:dyDescent="0.25">
      <c r="A2958" s="1" t="str">
        <f>T("1947652163203963172")</f>
        <v>1947652163203963172</v>
      </c>
      <c r="B2958" s="1" t="str">
        <f>T("249910382744")</f>
        <v>249910382744</v>
      </c>
      <c r="C2958" s="1" t="str">
        <f>T("1941094532678420364")</f>
        <v>1941094532678420364</v>
      </c>
      <c r="AC2958" s="1" t="s">
        <v>344</v>
      </c>
      <c r="AD2958" s="1" t="s">
        <v>441</v>
      </c>
      <c r="AE2958" s="1" t="s">
        <v>530</v>
      </c>
      <c r="AF2958" s="1" t="s">
        <v>107</v>
      </c>
      <c r="AG2958" s="1">
        <v>46</v>
      </c>
      <c r="AO2958" s="2">
        <v>46283</v>
      </c>
      <c r="AP2958" s="1" t="s">
        <v>860</v>
      </c>
      <c r="AS2958" s="1" t="s">
        <v>71</v>
      </c>
      <c r="AU2958" s="1" t="s">
        <v>72</v>
      </c>
      <c r="AV2958" s="1" t="s">
        <v>73</v>
      </c>
      <c r="AX2958" s="1">
        <v>0</v>
      </c>
      <c r="BA2958" s="1">
        <v>9</v>
      </c>
      <c r="BB2958" s="1">
        <v>0</v>
      </c>
      <c r="BC2958" s="1">
        <v>0</v>
      </c>
      <c r="BE2958" s="1">
        <v>27558981</v>
      </c>
    </row>
    <row r="2959" spans="1:57" x14ac:dyDescent="0.25">
      <c r="A2959" s="1" t="str">
        <f>T("1947652163258490376")</f>
        <v>1947652163258490376</v>
      </c>
      <c r="B2959" s="1" t="str">
        <f>T("249917121743")</f>
        <v>249917121743</v>
      </c>
      <c r="C2959" s="1" t="str">
        <f>T("1941094532678420764")</f>
        <v>1941094532678420764</v>
      </c>
      <c r="AC2959" s="1" t="s">
        <v>344</v>
      </c>
      <c r="AD2959" s="1" t="s">
        <v>372</v>
      </c>
      <c r="AE2959" s="1" t="s">
        <v>820</v>
      </c>
      <c r="AF2959" s="1" t="s">
        <v>144</v>
      </c>
      <c r="AG2959" s="1">
        <v>38</v>
      </c>
      <c r="AO2959" s="2">
        <v>46283</v>
      </c>
      <c r="AP2959" s="1" t="s">
        <v>860</v>
      </c>
      <c r="AS2959" s="1" t="s">
        <v>71</v>
      </c>
      <c r="AU2959" s="1" t="s">
        <v>72</v>
      </c>
      <c r="AV2959" s="1" t="s">
        <v>437</v>
      </c>
      <c r="AX2959" s="1">
        <v>0</v>
      </c>
      <c r="BA2959" s="1">
        <v>9</v>
      </c>
      <c r="BB2959" s="1">
        <v>0</v>
      </c>
      <c r="BC2959" s="1">
        <v>0</v>
      </c>
      <c r="BE2959" s="1">
        <v>27558981</v>
      </c>
    </row>
    <row r="2960" spans="1:57" x14ac:dyDescent="0.25">
      <c r="A2960" s="1" t="str">
        <f>T("1947652163308820872")</f>
        <v>1947652163308820872</v>
      </c>
      <c r="B2960" s="1" t="str">
        <f>T("249907789700")</f>
        <v>249907789700</v>
      </c>
      <c r="C2960" s="1" t="str">
        <f>T("1941094532678421164")</f>
        <v>1941094532678421164</v>
      </c>
      <c r="AC2960" s="1" t="s">
        <v>344</v>
      </c>
      <c r="AD2960" s="1" t="s">
        <v>430</v>
      </c>
      <c r="AE2960" s="1" t="s">
        <v>530</v>
      </c>
      <c r="AF2960" s="1" t="s">
        <v>144</v>
      </c>
      <c r="AG2960" s="1">
        <v>50</v>
      </c>
      <c r="AO2960" s="2">
        <v>46283</v>
      </c>
      <c r="AP2960" s="1" t="s">
        <v>860</v>
      </c>
      <c r="AS2960" s="1" t="s">
        <v>71</v>
      </c>
      <c r="AU2960" s="1" t="s">
        <v>75</v>
      </c>
      <c r="AV2960" s="1" t="s">
        <v>590</v>
      </c>
      <c r="AX2960" s="1">
        <v>0</v>
      </c>
      <c r="BA2960" s="1">
        <v>9</v>
      </c>
      <c r="BB2960" s="1">
        <v>0</v>
      </c>
      <c r="BC2960" s="1">
        <v>0</v>
      </c>
      <c r="BE2960" s="1">
        <v>27558981</v>
      </c>
    </row>
    <row r="2961" spans="1:57" x14ac:dyDescent="0.25">
      <c r="A2961" s="1" t="str">
        <f>T("1947652163367542484")</f>
        <v>1947652163367542484</v>
      </c>
      <c r="B2961" s="1" t="str">
        <f>T("249906622108")</f>
        <v>249906622108</v>
      </c>
      <c r="C2961" s="1" t="str">
        <f>T("1941094532678421664")</f>
        <v>1941094532678421664</v>
      </c>
      <c r="AC2961" s="1" t="s">
        <v>344</v>
      </c>
      <c r="AD2961" s="1" t="s">
        <v>441</v>
      </c>
      <c r="AE2961" s="1" t="s">
        <v>530</v>
      </c>
      <c r="AF2961" s="1" t="s">
        <v>107</v>
      </c>
      <c r="AG2961" s="1">
        <v>28</v>
      </c>
      <c r="AO2961" s="2">
        <v>46283</v>
      </c>
      <c r="AP2961" s="1" t="s">
        <v>860</v>
      </c>
      <c r="AS2961" s="1" t="s">
        <v>71</v>
      </c>
      <c r="AU2961" s="1" t="s">
        <v>72</v>
      </c>
      <c r="AV2961" s="1" t="s">
        <v>73</v>
      </c>
      <c r="AX2961" s="1">
        <v>0</v>
      </c>
      <c r="BA2961" s="1">
        <v>9</v>
      </c>
      <c r="BB2961" s="1">
        <v>0</v>
      </c>
      <c r="BC2961" s="1">
        <v>0</v>
      </c>
      <c r="BE2961" s="1">
        <v>27558981</v>
      </c>
    </row>
    <row r="2962" spans="1:57" x14ac:dyDescent="0.25">
      <c r="A2962" s="1" t="str">
        <f>T("1947652163455620352")</f>
        <v>1947652163455620352</v>
      </c>
      <c r="B2962" s="1" t="str">
        <f>T("249960098922")</f>
        <v>249960098922</v>
      </c>
      <c r="C2962" s="1" t="str">
        <f>T("1941094532678422264")</f>
        <v>1941094532678422264</v>
      </c>
      <c r="AC2962" s="1" t="s">
        <v>344</v>
      </c>
      <c r="AD2962" s="1" t="s">
        <v>430</v>
      </c>
      <c r="AE2962" s="1" t="s">
        <v>530</v>
      </c>
      <c r="AF2962" s="1" t="s">
        <v>107</v>
      </c>
      <c r="AG2962" s="1">
        <v>27</v>
      </c>
      <c r="AO2962" s="2">
        <v>46283</v>
      </c>
      <c r="AP2962" s="1" t="s">
        <v>860</v>
      </c>
      <c r="AS2962" s="1" t="s">
        <v>71</v>
      </c>
      <c r="AU2962" s="1" t="s">
        <v>72</v>
      </c>
      <c r="AV2962" s="1" t="s">
        <v>73</v>
      </c>
      <c r="AX2962" s="1">
        <v>0</v>
      </c>
      <c r="BA2962" s="1">
        <v>9</v>
      </c>
      <c r="BB2962" s="1">
        <v>0</v>
      </c>
      <c r="BC2962" s="1">
        <v>0</v>
      </c>
      <c r="BE2962" s="1">
        <v>27558981</v>
      </c>
    </row>
    <row r="2963" spans="1:57" x14ac:dyDescent="0.25">
      <c r="A2963" s="1" t="str">
        <f>T("1947652163514340364")</f>
        <v>1947652163514340364</v>
      </c>
      <c r="B2963" s="1" t="str">
        <f>T("249123502370")</f>
        <v>249123502370</v>
      </c>
      <c r="C2963" s="1" t="str">
        <f>T("1941094532682613072")</f>
        <v>1941094532682613072</v>
      </c>
      <c r="AC2963" s="1" t="s">
        <v>344</v>
      </c>
      <c r="AD2963" s="1" t="s">
        <v>372</v>
      </c>
      <c r="AE2963" s="1" t="s">
        <v>818</v>
      </c>
      <c r="AF2963" s="1" t="s">
        <v>107</v>
      </c>
      <c r="AG2963" s="1">
        <v>32</v>
      </c>
      <c r="AO2963" s="2">
        <v>46283</v>
      </c>
      <c r="AP2963" s="1" t="s">
        <v>860</v>
      </c>
      <c r="AS2963" s="1" t="s">
        <v>71</v>
      </c>
      <c r="AU2963" s="1" t="s">
        <v>72</v>
      </c>
      <c r="AV2963" s="1" t="s">
        <v>334</v>
      </c>
      <c r="AX2963" s="1">
        <v>0</v>
      </c>
      <c r="BA2963" s="1">
        <v>9</v>
      </c>
      <c r="BB2963" s="1">
        <v>0</v>
      </c>
      <c r="BC2963" s="1">
        <v>0</v>
      </c>
      <c r="BE2963" s="1">
        <v>27558981</v>
      </c>
    </row>
    <row r="2964" spans="1:57" x14ac:dyDescent="0.25">
      <c r="A2964" s="1" t="str">
        <f>T("1947652163564673060")</f>
        <v>1947652163564673060</v>
      </c>
      <c r="B2964" s="1" t="str">
        <f>T("249910792408")</f>
        <v>249910792408</v>
      </c>
      <c r="C2964" s="1" t="str">
        <f>T("1941094532682613572")</f>
        <v>1941094532682613572</v>
      </c>
      <c r="AC2964" s="1" t="s">
        <v>344</v>
      </c>
      <c r="AD2964" s="1" t="s">
        <v>441</v>
      </c>
      <c r="AE2964" s="1" t="s">
        <v>530</v>
      </c>
      <c r="AF2964" s="1" t="s">
        <v>107</v>
      </c>
      <c r="AG2964" s="1">
        <v>55</v>
      </c>
      <c r="AO2964" s="2">
        <v>46283</v>
      </c>
      <c r="AP2964" s="1" t="s">
        <v>860</v>
      </c>
      <c r="AS2964" s="1" t="s">
        <v>71</v>
      </c>
      <c r="AU2964" s="1" t="s">
        <v>72</v>
      </c>
      <c r="AV2964" s="1" t="s">
        <v>437</v>
      </c>
      <c r="AX2964" s="1">
        <v>0</v>
      </c>
      <c r="BA2964" s="1">
        <v>9</v>
      </c>
      <c r="BB2964" s="1">
        <v>0</v>
      </c>
      <c r="BC2964" s="1">
        <v>0</v>
      </c>
      <c r="BE2964" s="1">
        <v>27558981</v>
      </c>
    </row>
    <row r="2965" spans="1:57" x14ac:dyDescent="0.25">
      <c r="A2965" s="1" t="str">
        <f>T("1947652163615003156")</f>
        <v>1947652163615003156</v>
      </c>
      <c r="B2965" s="1" t="str">
        <f>T("249908486363")</f>
        <v>249908486363</v>
      </c>
      <c r="C2965" s="1" t="str">
        <f>T("1941094532682614172")</f>
        <v>1941094532682614172</v>
      </c>
      <c r="AC2965" s="1" t="s">
        <v>344</v>
      </c>
      <c r="AD2965" s="1" t="s">
        <v>441</v>
      </c>
      <c r="AE2965" s="1" t="s">
        <v>530</v>
      </c>
      <c r="AF2965" s="1" t="s">
        <v>107</v>
      </c>
      <c r="AG2965" s="1">
        <v>40</v>
      </c>
      <c r="AO2965" s="2">
        <v>46283</v>
      </c>
      <c r="AP2965" s="1" t="s">
        <v>860</v>
      </c>
      <c r="AS2965" s="1" t="s">
        <v>71</v>
      </c>
      <c r="AU2965" s="1" t="s">
        <v>72</v>
      </c>
      <c r="AV2965" s="1" t="s">
        <v>73</v>
      </c>
      <c r="AX2965" s="1">
        <v>0</v>
      </c>
      <c r="BA2965" s="1">
        <v>9</v>
      </c>
      <c r="BB2965" s="1">
        <v>0</v>
      </c>
      <c r="BC2965" s="1">
        <v>0</v>
      </c>
      <c r="BE2965" s="1">
        <v>27558981</v>
      </c>
    </row>
    <row r="2966" spans="1:57" x14ac:dyDescent="0.25">
      <c r="A2966" s="1" t="str">
        <f>T("1947652163669529460")</f>
        <v>1947652163669529460</v>
      </c>
      <c r="B2966" s="1" t="str">
        <f>T("249964580617")</f>
        <v>249964580617</v>
      </c>
      <c r="C2966" s="1" t="str">
        <f>T("1941094532682614572")</f>
        <v>1941094532682614572</v>
      </c>
      <c r="AC2966" s="1" t="s">
        <v>344</v>
      </c>
      <c r="AD2966" s="1" t="s">
        <v>441</v>
      </c>
      <c r="AE2966" s="1" t="s">
        <v>530</v>
      </c>
      <c r="AF2966" s="1" t="s">
        <v>107</v>
      </c>
      <c r="AG2966" s="1">
        <v>39</v>
      </c>
      <c r="AO2966" s="2">
        <v>46283</v>
      </c>
      <c r="AP2966" s="1" t="s">
        <v>860</v>
      </c>
      <c r="AS2966" s="1" t="s">
        <v>71</v>
      </c>
      <c r="AU2966" s="1" t="s">
        <v>72</v>
      </c>
      <c r="AV2966" s="1" t="s">
        <v>73</v>
      </c>
      <c r="AX2966" s="1">
        <v>0</v>
      </c>
      <c r="BA2966" s="1">
        <v>9</v>
      </c>
      <c r="BB2966" s="1">
        <v>0</v>
      </c>
      <c r="BC2966" s="1">
        <v>0</v>
      </c>
      <c r="BE2966" s="1">
        <v>27558981</v>
      </c>
    </row>
    <row r="2967" spans="1:57" x14ac:dyDescent="0.25">
      <c r="A2967" s="1" t="str">
        <f>T("1947652163728252472")</f>
        <v>1947652163728252472</v>
      </c>
      <c r="B2967" s="1" t="str">
        <f>T("249905779133")</f>
        <v>249905779133</v>
      </c>
      <c r="C2967" s="1" t="str">
        <f>T("1941094532682614972")</f>
        <v>1941094532682614972</v>
      </c>
      <c r="AC2967" s="1" t="s">
        <v>344</v>
      </c>
      <c r="AD2967" s="1" t="s">
        <v>441</v>
      </c>
      <c r="AE2967" s="1" t="s">
        <v>530</v>
      </c>
      <c r="AF2967" s="1" t="s">
        <v>107</v>
      </c>
      <c r="AG2967" s="1">
        <v>32</v>
      </c>
      <c r="AO2967" s="2">
        <v>46283</v>
      </c>
      <c r="AP2967" s="1" t="s">
        <v>860</v>
      </c>
      <c r="AS2967" s="1" t="s">
        <v>71</v>
      </c>
      <c r="AU2967" s="1" t="s">
        <v>72</v>
      </c>
      <c r="AV2967" s="1" t="s">
        <v>73</v>
      </c>
      <c r="AX2967" s="1">
        <v>0</v>
      </c>
      <c r="BA2967" s="1">
        <v>9</v>
      </c>
      <c r="BB2967" s="1">
        <v>0</v>
      </c>
      <c r="BC2967" s="1">
        <v>0</v>
      </c>
      <c r="BE2967" s="1">
        <v>27558981</v>
      </c>
    </row>
    <row r="2968" spans="1:57" x14ac:dyDescent="0.25">
      <c r="A2968" s="1" t="str">
        <f>T("1947652163820525848")</f>
        <v>1947652163820525848</v>
      </c>
      <c r="B2968" s="1" t="str">
        <f>T("249914054461")</f>
        <v>249914054461</v>
      </c>
      <c r="C2968" s="1" t="str">
        <f>T("1941094532682615472")</f>
        <v>1941094532682615472</v>
      </c>
      <c r="AC2968" s="1" t="s">
        <v>344</v>
      </c>
      <c r="AD2968" s="1" t="s">
        <v>441</v>
      </c>
      <c r="AE2968" s="1" t="s">
        <v>530</v>
      </c>
      <c r="AF2968" s="1" t="s">
        <v>107</v>
      </c>
      <c r="AG2968" s="1">
        <v>68</v>
      </c>
      <c r="AO2968" s="2">
        <v>46283</v>
      </c>
      <c r="AP2968" s="1" t="s">
        <v>860</v>
      </c>
      <c r="AS2968" s="1" t="s">
        <v>71</v>
      </c>
      <c r="AU2968" s="1" t="s">
        <v>72</v>
      </c>
      <c r="AV2968" s="1" t="s">
        <v>73</v>
      </c>
      <c r="AX2968" s="1">
        <v>0</v>
      </c>
      <c r="BA2968" s="1">
        <v>9</v>
      </c>
      <c r="BB2968" s="1">
        <v>0</v>
      </c>
      <c r="BC2968" s="1">
        <v>0</v>
      </c>
      <c r="BE2968" s="1">
        <v>27558981</v>
      </c>
    </row>
    <row r="2969" spans="1:57" x14ac:dyDescent="0.25">
      <c r="A2969" s="1" t="str">
        <f>T("1947652163900218000")</f>
        <v>1947652163900218000</v>
      </c>
      <c r="B2969" s="1" t="str">
        <f>T("249903931139")</f>
        <v>249903931139</v>
      </c>
      <c r="C2969" s="1" t="str">
        <f>T("1941094532682615972")</f>
        <v>1941094532682615972</v>
      </c>
      <c r="AC2969" s="1" t="s">
        <v>344</v>
      </c>
      <c r="AD2969" s="1" t="s">
        <v>372</v>
      </c>
      <c r="AE2969" s="1" t="s">
        <v>813</v>
      </c>
      <c r="AF2969" s="1" t="s">
        <v>107</v>
      </c>
      <c r="AG2969" s="1">
        <v>34</v>
      </c>
      <c r="AO2969" s="2">
        <v>46283</v>
      </c>
      <c r="AP2969" s="1" t="s">
        <v>860</v>
      </c>
      <c r="AS2969" s="1" t="s">
        <v>71</v>
      </c>
      <c r="AU2969" s="1" t="s">
        <v>72</v>
      </c>
      <c r="AV2969" s="1" t="s">
        <v>437</v>
      </c>
      <c r="AX2969" s="1">
        <v>0</v>
      </c>
      <c r="BA2969" s="1">
        <v>9</v>
      </c>
      <c r="BB2969" s="1">
        <v>0</v>
      </c>
      <c r="BC2969" s="1">
        <v>0</v>
      </c>
      <c r="BE2969" s="1">
        <v>27558981</v>
      </c>
    </row>
    <row r="2970" spans="1:57" x14ac:dyDescent="0.25">
      <c r="A2970" s="1" t="str">
        <f>T("1947652163971519636")</f>
        <v>1947652163971519636</v>
      </c>
      <c r="B2970" s="1" t="str">
        <f>T("249961169590")</f>
        <v>249961169590</v>
      </c>
      <c r="C2970" s="1" t="str">
        <f>T("1941094532682616272")</f>
        <v>1941094532682616272</v>
      </c>
      <c r="AC2970" s="1" t="s">
        <v>344</v>
      </c>
      <c r="AD2970" s="1" t="s">
        <v>441</v>
      </c>
      <c r="AE2970" s="1" t="s">
        <v>530</v>
      </c>
      <c r="AF2970" s="1" t="s">
        <v>144</v>
      </c>
      <c r="AG2970" s="1">
        <v>40</v>
      </c>
      <c r="AO2970" s="2">
        <v>46283</v>
      </c>
      <c r="AP2970" s="1" t="s">
        <v>860</v>
      </c>
      <c r="AS2970" s="1" t="s">
        <v>71</v>
      </c>
      <c r="AU2970" s="1" t="s">
        <v>72</v>
      </c>
      <c r="AV2970" s="1" t="s">
        <v>437</v>
      </c>
      <c r="AX2970" s="1">
        <v>0</v>
      </c>
      <c r="BA2970" s="1">
        <v>9</v>
      </c>
      <c r="BB2970" s="1">
        <v>0</v>
      </c>
      <c r="BC2970" s="1">
        <v>0</v>
      </c>
      <c r="BE2970" s="1">
        <v>27558981</v>
      </c>
    </row>
    <row r="2971" spans="1:57" x14ac:dyDescent="0.25">
      <c r="A2971" s="1" t="str">
        <f>T("1947652164042824172")</f>
        <v>1947652164042824172</v>
      </c>
      <c r="B2971" s="1" t="str">
        <f>T("249903294936")</f>
        <v>249903294936</v>
      </c>
      <c r="C2971" s="1" t="str">
        <f>T("1941094532686808480")</f>
        <v>1941094532686808480</v>
      </c>
      <c r="AC2971" s="1" t="s">
        <v>344</v>
      </c>
      <c r="AD2971" s="1" t="s">
        <v>441</v>
      </c>
      <c r="AE2971" s="1" t="s">
        <v>530</v>
      </c>
      <c r="AF2971" s="1" t="s">
        <v>107</v>
      </c>
      <c r="AG2971" s="1">
        <v>46</v>
      </c>
      <c r="AO2971" s="2">
        <v>46283</v>
      </c>
      <c r="AP2971" s="1" t="s">
        <v>860</v>
      </c>
      <c r="AS2971" s="1" t="s">
        <v>71</v>
      </c>
      <c r="AU2971" s="1" t="s">
        <v>72</v>
      </c>
      <c r="AV2971" s="1" t="s">
        <v>73</v>
      </c>
      <c r="AX2971" s="1">
        <v>0</v>
      </c>
      <c r="BA2971" s="1">
        <v>9</v>
      </c>
      <c r="BB2971" s="1">
        <v>0</v>
      </c>
      <c r="BC2971" s="1">
        <v>0</v>
      </c>
      <c r="BE2971" s="1">
        <v>27558981</v>
      </c>
    </row>
    <row r="2972" spans="1:57" x14ac:dyDescent="0.25">
      <c r="A2972" s="1" t="str">
        <f>T("1947652164093156168")</f>
        <v>1947652164093156168</v>
      </c>
      <c r="B2972" s="1" t="str">
        <f>T("249967322834")</f>
        <v>249967322834</v>
      </c>
      <c r="C2972" s="1" t="str">
        <f>T("1941094532686808780")</f>
        <v>1941094532686808780</v>
      </c>
      <c r="AC2972" s="1" t="s">
        <v>344</v>
      </c>
      <c r="AD2972" s="1" t="s">
        <v>357</v>
      </c>
      <c r="AE2972" s="1" t="s">
        <v>812</v>
      </c>
      <c r="AF2972" s="1" t="s">
        <v>107</v>
      </c>
      <c r="AG2972" s="1">
        <v>32</v>
      </c>
      <c r="AO2972" s="2">
        <v>46283</v>
      </c>
      <c r="AP2972" s="1" t="s">
        <v>860</v>
      </c>
      <c r="AS2972" s="1" t="s">
        <v>71</v>
      </c>
      <c r="AU2972" s="1" t="s">
        <v>72</v>
      </c>
      <c r="AV2972" s="1" t="s">
        <v>437</v>
      </c>
      <c r="AX2972" s="1">
        <v>0</v>
      </c>
      <c r="BA2972" s="1">
        <v>9</v>
      </c>
      <c r="BB2972" s="1">
        <v>0</v>
      </c>
      <c r="BC2972" s="1">
        <v>0</v>
      </c>
      <c r="BE2972" s="1">
        <v>27558981</v>
      </c>
    </row>
    <row r="2973" spans="1:57" x14ac:dyDescent="0.25">
      <c r="A2973" s="1" t="str">
        <f>T("1947652164151876880")</f>
        <v>1947652164151876880</v>
      </c>
      <c r="B2973" s="1" t="str">
        <f>T("249904773300")</f>
        <v>249904773300</v>
      </c>
      <c r="C2973" s="1" t="str">
        <f>T("1941094532686809180")</f>
        <v>1941094532686809180</v>
      </c>
      <c r="AC2973" s="1" t="s">
        <v>344</v>
      </c>
      <c r="AD2973" s="1" t="s">
        <v>441</v>
      </c>
      <c r="AE2973" s="1" t="s">
        <v>530</v>
      </c>
      <c r="AF2973" s="1" t="s">
        <v>144</v>
      </c>
      <c r="AG2973" s="1">
        <v>47</v>
      </c>
      <c r="AO2973" s="2">
        <v>46283</v>
      </c>
      <c r="AP2973" s="1" t="s">
        <v>860</v>
      </c>
      <c r="AS2973" s="1" t="s">
        <v>71</v>
      </c>
      <c r="AU2973" s="1" t="s">
        <v>72</v>
      </c>
      <c r="AV2973" s="1" t="s">
        <v>73</v>
      </c>
      <c r="AX2973" s="1">
        <v>0</v>
      </c>
      <c r="BA2973" s="1">
        <v>9</v>
      </c>
      <c r="BB2973" s="1">
        <v>0</v>
      </c>
      <c r="BC2973" s="1">
        <v>0</v>
      </c>
      <c r="BE2973" s="1">
        <v>27558981</v>
      </c>
    </row>
    <row r="2974" spans="1:57" x14ac:dyDescent="0.25">
      <c r="A2974" s="1" t="str">
        <f>T("1947652164177040028")</f>
        <v>1947652164177040028</v>
      </c>
      <c r="B2974" s="1" t="str">
        <f>T("249923461705")</f>
        <v>249923461705</v>
      </c>
      <c r="C2974" s="1" t="str">
        <f>T("1941094532682616572")</f>
        <v>1941094532682616572</v>
      </c>
      <c r="AC2974" s="1" t="s">
        <v>344</v>
      </c>
      <c r="AD2974" s="1" t="s">
        <v>372</v>
      </c>
      <c r="AE2974" s="1" t="s">
        <v>814</v>
      </c>
      <c r="AF2974" s="1" t="s">
        <v>144</v>
      </c>
      <c r="AG2974" s="1">
        <v>50</v>
      </c>
      <c r="AO2974" s="2">
        <v>46283</v>
      </c>
      <c r="AP2974" s="1" t="s">
        <v>860</v>
      </c>
      <c r="AS2974" s="1" t="s">
        <v>71</v>
      </c>
      <c r="AU2974" s="1" t="s">
        <v>72</v>
      </c>
      <c r="AV2974" s="1" t="s">
        <v>73</v>
      </c>
      <c r="AX2974" s="1">
        <v>0</v>
      </c>
      <c r="BA2974" s="1">
        <v>9</v>
      </c>
      <c r="BB2974" s="1">
        <v>0</v>
      </c>
      <c r="BC2974" s="1">
        <v>0</v>
      </c>
      <c r="BE2974" s="1">
        <v>27558981</v>
      </c>
    </row>
    <row r="2975" spans="1:57" x14ac:dyDescent="0.25">
      <c r="A2975" s="1" t="str">
        <f>T("1947652164177040128")</f>
        <v>1947652164177040128</v>
      </c>
      <c r="B2975" s="1" t="str">
        <f>T("249908425501")</f>
        <v>249908425501</v>
      </c>
      <c r="C2975" s="1" t="str">
        <f>T("1941094532686807480")</f>
        <v>1941094532686807480</v>
      </c>
      <c r="AC2975" s="1" t="s">
        <v>344</v>
      </c>
      <c r="AD2975" s="1" t="s">
        <v>372</v>
      </c>
      <c r="AE2975" s="1" t="s">
        <v>373</v>
      </c>
      <c r="AF2975" s="1" t="s">
        <v>107</v>
      </c>
      <c r="AG2975" s="1">
        <v>36</v>
      </c>
      <c r="AO2975" s="2">
        <v>46283</v>
      </c>
      <c r="AP2975" s="1" t="s">
        <v>860</v>
      </c>
      <c r="AS2975" s="1" t="s">
        <v>71</v>
      </c>
      <c r="AU2975" s="1" t="s">
        <v>72</v>
      </c>
      <c r="AV2975" s="1" t="s">
        <v>437</v>
      </c>
      <c r="AX2975" s="1">
        <v>0</v>
      </c>
      <c r="BA2975" s="1">
        <v>9</v>
      </c>
      <c r="BB2975" s="1">
        <v>0</v>
      </c>
      <c r="BC2975" s="1">
        <v>0</v>
      </c>
      <c r="BE2975" s="1">
        <v>27558981</v>
      </c>
    </row>
    <row r="2976" spans="1:57" x14ac:dyDescent="0.25">
      <c r="A2976" s="1" t="str">
        <f>T("1947652164198011668")</f>
        <v>1947652164198011668</v>
      </c>
      <c r="B2976" s="1" t="str">
        <f>T("249999721066")</f>
        <v>249999721066</v>
      </c>
      <c r="C2976" s="1" t="str">
        <f>T("1941094532686807180")</f>
        <v>1941094532686807180</v>
      </c>
      <c r="M2976" s="1" t="s">
        <v>133</v>
      </c>
      <c r="N2976" s="1" t="s">
        <v>65</v>
      </c>
      <c r="O2976" s="1" t="s">
        <v>65</v>
      </c>
      <c r="P2976" s="1" t="s">
        <v>83</v>
      </c>
      <c r="Q2976" s="1" t="s">
        <v>101</v>
      </c>
      <c r="R2976" s="1" t="s">
        <v>63</v>
      </c>
      <c r="S2976" s="1" t="s">
        <v>64</v>
      </c>
      <c r="U2976" s="1" t="s">
        <v>65</v>
      </c>
      <c r="V2976" s="1" t="s">
        <v>102</v>
      </c>
      <c r="W2976" s="1" t="s">
        <v>67</v>
      </c>
      <c r="X2976" s="1" t="s">
        <v>66</v>
      </c>
      <c r="Y2976" s="1" t="s">
        <v>85</v>
      </c>
      <c r="AA2976" s="1">
        <v>1</v>
      </c>
      <c r="AB2976" s="1">
        <v>1</v>
      </c>
      <c r="AC2976" s="1" t="s">
        <v>344</v>
      </c>
      <c r="AD2976" s="1" t="s">
        <v>372</v>
      </c>
      <c r="AE2976" s="1" t="s">
        <v>814</v>
      </c>
      <c r="AF2976" s="1" t="s">
        <v>144</v>
      </c>
      <c r="AG2976" s="1">
        <v>35</v>
      </c>
      <c r="AO2976" s="2">
        <v>46283</v>
      </c>
      <c r="AP2976" s="1" t="s">
        <v>860</v>
      </c>
      <c r="AQ2976" s="2">
        <v>46283</v>
      </c>
      <c r="AR2976" s="1" t="s">
        <v>862</v>
      </c>
      <c r="AS2976" s="1" t="s">
        <v>71</v>
      </c>
      <c r="AU2976" s="1" t="s">
        <v>78</v>
      </c>
      <c r="AV2976" s="1" t="s">
        <v>80</v>
      </c>
      <c r="AW2976" s="1">
        <v>247.12</v>
      </c>
      <c r="AX2976" s="1">
        <v>0</v>
      </c>
      <c r="AZ2976" s="1" t="s">
        <v>81</v>
      </c>
      <c r="BA2976" s="1">
        <v>1</v>
      </c>
      <c r="BB2976" s="1">
        <v>0</v>
      </c>
      <c r="BC2976" s="1">
        <v>0</v>
      </c>
      <c r="BE2976" s="1">
        <v>27558981</v>
      </c>
    </row>
    <row r="2977" spans="1:57" x14ac:dyDescent="0.25">
      <c r="A2977" s="1" t="str">
        <f>T("1947652164210596792")</f>
        <v>1947652164210596792</v>
      </c>
      <c r="B2977" s="1" t="str">
        <f>T("249918149307")</f>
        <v>249918149307</v>
      </c>
      <c r="C2977" s="1" t="str">
        <f>T("1941094532686807780")</f>
        <v>1941094532686807780</v>
      </c>
      <c r="AC2977" s="1" t="s">
        <v>344</v>
      </c>
      <c r="AD2977" s="1" t="s">
        <v>430</v>
      </c>
      <c r="AE2977" s="1" t="s">
        <v>530</v>
      </c>
      <c r="AF2977" s="1" t="s">
        <v>144</v>
      </c>
      <c r="AG2977" s="1">
        <v>40</v>
      </c>
      <c r="AO2977" s="2">
        <v>46283</v>
      </c>
      <c r="AP2977" s="1" t="s">
        <v>860</v>
      </c>
      <c r="AS2977" s="1" t="s">
        <v>71</v>
      </c>
      <c r="AU2977" s="1" t="s">
        <v>72</v>
      </c>
      <c r="AV2977" s="1" t="s">
        <v>73</v>
      </c>
      <c r="AX2977" s="1">
        <v>0</v>
      </c>
      <c r="BA2977" s="1">
        <v>9</v>
      </c>
      <c r="BB2977" s="1">
        <v>0</v>
      </c>
      <c r="BC2977" s="1">
        <v>0</v>
      </c>
      <c r="BE2977" s="1">
        <v>27558981</v>
      </c>
    </row>
    <row r="2978" spans="1:57" x14ac:dyDescent="0.25">
      <c r="A2978" s="1" t="str">
        <f>T("1947652164223179816")</f>
        <v>1947652164223179816</v>
      </c>
      <c r="B2978" s="1" t="str">
        <f>T("249910915048")</f>
        <v>249910915048</v>
      </c>
      <c r="C2978" s="1" t="str">
        <f>T("1941094532691004688")</f>
        <v>1941094532691004688</v>
      </c>
      <c r="AC2978" s="1" t="s">
        <v>344</v>
      </c>
      <c r="AD2978" s="1" t="s">
        <v>441</v>
      </c>
      <c r="AE2978" s="1" t="s">
        <v>530</v>
      </c>
      <c r="AF2978" s="1" t="s">
        <v>107</v>
      </c>
      <c r="AG2978" s="1">
        <v>85</v>
      </c>
      <c r="AO2978" s="2">
        <v>46283</v>
      </c>
      <c r="AP2978" s="1" t="s">
        <v>860</v>
      </c>
      <c r="AS2978" s="1" t="s">
        <v>71</v>
      </c>
      <c r="AU2978" s="1" t="s">
        <v>72</v>
      </c>
      <c r="AV2978" s="1" t="s">
        <v>73</v>
      </c>
      <c r="AX2978" s="1">
        <v>0</v>
      </c>
      <c r="BA2978" s="1">
        <v>9</v>
      </c>
      <c r="BB2978" s="1">
        <v>0</v>
      </c>
      <c r="BC2978" s="1">
        <v>0</v>
      </c>
      <c r="BE2978" s="1">
        <v>27558981</v>
      </c>
    </row>
    <row r="2979" spans="1:57" x14ac:dyDescent="0.25">
      <c r="A2979" s="1" t="str">
        <f>T("1947652164231566432")</f>
        <v>1947652164231566432</v>
      </c>
      <c r="B2979" s="1" t="str">
        <f>T("249969889065")</f>
        <v>249969889065</v>
      </c>
      <c r="C2979" s="1" t="str">
        <f>T("1941094532686808180")</f>
        <v>1941094532686808180</v>
      </c>
      <c r="AC2979" s="1" t="s">
        <v>344</v>
      </c>
      <c r="AD2979" s="1" t="s">
        <v>372</v>
      </c>
      <c r="AE2979" s="1" t="s">
        <v>813</v>
      </c>
      <c r="AF2979" s="1" t="s">
        <v>144</v>
      </c>
      <c r="AG2979" s="1">
        <v>50</v>
      </c>
      <c r="AO2979" s="2">
        <v>46283</v>
      </c>
      <c r="AP2979" s="1" t="s">
        <v>860</v>
      </c>
      <c r="AS2979" s="1" t="s">
        <v>71</v>
      </c>
      <c r="AU2979" s="1" t="s">
        <v>72</v>
      </c>
      <c r="AV2979" s="1" t="s">
        <v>437</v>
      </c>
      <c r="AX2979" s="1">
        <v>0</v>
      </c>
      <c r="BA2979" s="1">
        <v>9</v>
      </c>
      <c r="BB2979" s="1">
        <v>0</v>
      </c>
      <c r="BC2979" s="1">
        <v>0</v>
      </c>
      <c r="BE2979" s="1">
        <v>27558981</v>
      </c>
    </row>
    <row r="2980" spans="1:57" x14ac:dyDescent="0.25">
      <c r="A2980" s="1" t="str">
        <f>T("1947652164273508412")</f>
        <v>1947652164273508412</v>
      </c>
      <c r="B2980" s="1" t="str">
        <f>T("249924969917")</f>
        <v>249924969917</v>
      </c>
      <c r="C2980" s="1" t="str">
        <f>T("1941094532691005088")</f>
        <v>1941094532691005088</v>
      </c>
      <c r="AC2980" s="1" t="s">
        <v>344</v>
      </c>
      <c r="AD2980" s="1" t="s">
        <v>372</v>
      </c>
      <c r="AE2980" s="1" t="s">
        <v>820</v>
      </c>
      <c r="AF2980" s="1" t="s">
        <v>107</v>
      </c>
      <c r="AG2980" s="1">
        <v>63</v>
      </c>
      <c r="AO2980" s="2">
        <v>46283</v>
      </c>
      <c r="AP2980" s="1" t="s">
        <v>860</v>
      </c>
      <c r="AS2980" s="1" t="s">
        <v>71</v>
      </c>
      <c r="AU2980" s="1" t="s">
        <v>72</v>
      </c>
      <c r="AV2980" s="1" t="s">
        <v>73</v>
      </c>
      <c r="AX2980" s="1">
        <v>0</v>
      </c>
      <c r="BA2980" s="1">
        <v>9</v>
      </c>
      <c r="BB2980" s="1">
        <v>0</v>
      </c>
      <c r="BC2980" s="1">
        <v>0</v>
      </c>
      <c r="BE2980" s="1">
        <v>27558981</v>
      </c>
    </row>
    <row r="2981" spans="1:57" x14ac:dyDescent="0.25">
      <c r="A2981" s="1" t="str">
        <f>T("1947652164277703320")</f>
        <v>1947652164277703320</v>
      </c>
      <c r="B2981" s="1" t="str">
        <f>T("249909419306")</f>
        <v>249909419306</v>
      </c>
      <c r="C2981" s="1" t="str">
        <f>T("1941094532695195796")</f>
        <v>1941094532695195796</v>
      </c>
      <c r="AC2981" s="1" t="s">
        <v>344</v>
      </c>
      <c r="AD2981" s="1" t="s">
        <v>430</v>
      </c>
      <c r="AE2981" s="1" t="s">
        <v>530</v>
      </c>
      <c r="AF2981" s="1" t="s">
        <v>144</v>
      </c>
      <c r="AG2981" s="1">
        <v>58</v>
      </c>
      <c r="AO2981" s="2">
        <v>46283</v>
      </c>
      <c r="AP2981" s="1" t="s">
        <v>860</v>
      </c>
      <c r="AS2981" s="1" t="s">
        <v>71</v>
      </c>
      <c r="AU2981" s="1" t="s">
        <v>72</v>
      </c>
      <c r="AV2981" s="1" t="s">
        <v>437</v>
      </c>
      <c r="AX2981" s="1">
        <v>0</v>
      </c>
      <c r="BA2981" s="1">
        <v>9</v>
      </c>
      <c r="BB2981" s="1">
        <v>0</v>
      </c>
      <c r="BC2981" s="1">
        <v>0</v>
      </c>
      <c r="BE2981" s="1">
        <v>27558981</v>
      </c>
    </row>
    <row r="2982" spans="1:57" x14ac:dyDescent="0.25">
      <c r="A2982" s="1" t="str">
        <f>T("1947652164298675260")</f>
        <v>1947652164298675260</v>
      </c>
      <c r="B2982" s="1" t="str">
        <f>T("249123506370")</f>
        <v>249123506370</v>
      </c>
      <c r="C2982" s="1" t="str">
        <f>T("1941094532695196596")</f>
        <v>1941094532695196596</v>
      </c>
      <c r="AA2982" s="1">
        <v>1</v>
      </c>
      <c r="AC2982" s="1" t="s">
        <v>344</v>
      </c>
      <c r="AD2982" s="1" t="s">
        <v>372</v>
      </c>
      <c r="AE2982" s="1" t="s">
        <v>818</v>
      </c>
      <c r="AF2982" s="1" t="s">
        <v>144</v>
      </c>
      <c r="AG2982" s="1">
        <v>70</v>
      </c>
      <c r="AO2982" s="2">
        <v>46283</v>
      </c>
      <c r="AP2982" s="1" t="s">
        <v>860</v>
      </c>
      <c r="AQ2982" s="2">
        <v>46283</v>
      </c>
      <c r="AR2982" s="1" t="s">
        <v>863</v>
      </c>
      <c r="AS2982" s="1" t="s">
        <v>71</v>
      </c>
      <c r="AU2982" s="1" t="s">
        <v>79</v>
      </c>
      <c r="AV2982" s="1" t="s">
        <v>80</v>
      </c>
      <c r="AW2982" s="1">
        <v>130.339</v>
      </c>
      <c r="AX2982" s="1">
        <v>0</v>
      </c>
      <c r="AZ2982" s="1" t="s">
        <v>81</v>
      </c>
      <c r="BA2982" s="1">
        <v>1</v>
      </c>
      <c r="BB2982" s="1">
        <v>0</v>
      </c>
      <c r="BC2982" s="1">
        <v>0</v>
      </c>
      <c r="BE2982" s="1">
        <v>27558981</v>
      </c>
    </row>
    <row r="2983" spans="1:57" x14ac:dyDescent="0.25">
      <c r="A2983" s="1" t="str">
        <f>T("1947652164302869768")</f>
        <v>1947652164302869768</v>
      </c>
      <c r="B2983" s="1" t="str">
        <f>T("249908939226")</f>
        <v>249908939226</v>
      </c>
      <c r="C2983" s="1" t="str">
        <f>T("1941094532695196996")</f>
        <v>1941094532695196996</v>
      </c>
      <c r="AC2983" s="1" t="s">
        <v>344</v>
      </c>
      <c r="AD2983" s="1" t="s">
        <v>441</v>
      </c>
      <c r="AE2983" s="1" t="s">
        <v>530</v>
      </c>
      <c r="AF2983" s="1" t="s">
        <v>107</v>
      </c>
      <c r="AG2983" s="1">
        <v>51</v>
      </c>
      <c r="AO2983" s="2">
        <v>46283</v>
      </c>
      <c r="AP2983" s="1" t="s">
        <v>860</v>
      </c>
      <c r="AS2983" s="1" t="s">
        <v>71</v>
      </c>
      <c r="AU2983" s="1" t="s">
        <v>72</v>
      </c>
      <c r="AV2983" s="1" t="s">
        <v>437</v>
      </c>
      <c r="AX2983" s="1">
        <v>0</v>
      </c>
      <c r="BA2983" s="1">
        <v>9</v>
      </c>
      <c r="BB2983" s="1">
        <v>0</v>
      </c>
      <c r="BC2983" s="1">
        <v>0</v>
      </c>
      <c r="BE2983" s="1">
        <v>27558981</v>
      </c>
    </row>
    <row r="2984" spans="1:57" x14ac:dyDescent="0.25">
      <c r="A2984" s="1" t="str">
        <f>T("1947652164307065076")</f>
        <v>1947652164307065076</v>
      </c>
      <c r="B2984" s="1" t="str">
        <f>T("249969597658")</f>
        <v>249969597658</v>
      </c>
      <c r="C2984" s="1" t="str">
        <f>T("1941094532695197396")</f>
        <v>1941094532695197396</v>
      </c>
      <c r="AC2984" s="1" t="s">
        <v>344</v>
      </c>
      <c r="AD2984" s="1" t="s">
        <v>441</v>
      </c>
      <c r="AE2984" s="1" t="s">
        <v>530</v>
      </c>
      <c r="AF2984" s="1" t="s">
        <v>107</v>
      </c>
      <c r="AG2984" s="1">
        <v>68</v>
      </c>
      <c r="AO2984" s="2">
        <v>46283</v>
      </c>
      <c r="AP2984" s="1" t="s">
        <v>860</v>
      </c>
      <c r="AS2984" s="1" t="s">
        <v>71</v>
      </c>
      <c r="AU2984" s="1" t="s">
        <v>72</v>
      </c>
      <c r="AV2984" s="1" t="s">
        <v>437</v>
      </c>
      <c r="AX2984" s="1">
        <v>0</v>
      </c>
      <c r="BA2984" s="1">
        <v>9</v>
      </c>
      <c r="BB2984" s="1">
        <v>0</v>
      </c>
      <c r="BC2984" s="1">
        <v>0</v>
      </c>
      <c r="BE2984" s="1">
        <v>27558981</v>
      </c>
    </row>
    <row r="2985" spans="1:57" x14ac:dyDescent="0.25">
      <c r="A2985" s="1" t="str">
        <f>T("1947652164311259184")</f>
        <v>1947652164311259184</v>
      </c>
      <c r="B2985" s="1" t="str">
        <f>T("249911854844")</f>
        <v>249911854844</v>
      </c>
      <c r="C2985" s="1" t="str">
        <f>T("1941094532695196296")</f>
        <v>1941094532695196296</v>
      </c>
      <c r="AC2985" s="1" t="s">
        <v>344</v>
      </c>
      <c r="AD2985" s="1" t="s">
        <v>430</v>
      </c>
      <c r="AE2985" s="1" t="s">
        <v>530</v>
      </c>
      <c r="AF2985" s="1" t="s">
        <v>144</v>
      </c>
      <c r="AG2985" s="1">
        <v>63</v>
      </c>
      <c r="AO2985" s="2">
        <v>46283</v>
      </c>
      <c r="AP2985" s="1" t="s">
        <v>860</v>
      </c>
      <c r="AS2985" s="1" t="s">
        <v>71</v>
      </c>
      <c r="AU2985" s="1" t="s">
        <v>72</v>
      </c>
      <c r="AV2985" s="1" t="s">
        <v>73</v>
      </c>
      <c r="AX2985" s="1">
        <v>0</v>
      </c>
      <c r="BA2985" s="1">
        <v>9</v>
      </c>
      <c r="BB2985" s="1">
        <v>0</v>
      </c>
      <c r="BC2985" s="1">
        <v>0</v>
      </c>
      <c r="BE2985" s="1">
        <v>27558981</v>
      </c>
    </row>
    <row r="2986" spans="1:57" x14ac:dyDescent="0.25">
      <c r="A2986" s="1" t="str">
        <f>T("1947652164311259384")</f>
        <v>1947652164311259384</v>
      </c>
      <c r="B2986" s="1" t="str">
        <f>T("249917538513")</f>
        <v>249917538513</v>
      </c>
      <c r="C2986" s="1" t="str">
        <f>T("1941094532695197796")</f>
        <v>1941094532695197796</v>
      </c>
      <c r="AC2986" s="1" t="s">
        <v>344</v>
      </c>
      <c r="AD2986" s="1" t="s">
        <v>441</v>
      </c>
      <c r="AE2986" s="1" t="s">
        <v>530</v>
      </c>
      <c r="AF2986" s="1" t="s">
        <v>107</v>
      </c>
      <c r="AG2986" s="1">
        <v>49</v>
      </c>
      <c r="AO2986" s="2">
        <v>46283</v>
      </c>
      <c r="AP2986" s="1" t="s">
        <v>860</v>
      </c>
      <c r="AS2986" s="1" t="s">
        <v>71</v>
      </c>
      <c r="AU2986" s="1" t="s">
        <v>72</v>
      </c>
      <c r="AV2986" s="1" t="s">
        <v>437</v>
      </c>
      <c r="AX2986" s="1">
        <v>0</v>
      </c>
      <c r="BA2986" s="1">
        <v>9</v>
      </c>
      <c r="BB2986" s="1">
        <v>0</v>
      </c>
      <c r="BC2986" s="1">
        <v>0</v>
      </c>
      <c r="BE2986" s="1">
        <v>27558981</v>
      </c>
    </row>
    <row r="2987" spans="1:57" x14ac:dyDescent="0.25">
      <c r="A2987" s="1" t="str">
        <f>T("1947652164315453192")</f>
        <v>1947652164315453192</v>
      </c>
      <c r="B2987" s="1" t="str">
        <f>T("249918361400")</f>
        <v>249918361400</v>
      </c>
      <c r="C2987" s="1" t="str">
        <f>T("1941094532695198896")</f>
        <v>1941094532695198896</v>
      </c>
      <c r="AC2987" s="1" t="s">
        <v>344</v>
      </c>
      <c r="AD2987" s="1" t="s">
        <v>430</v>
      </c>
      <c r="AE2987" s="1" t="s">
        <v>530</v>
      </c>
      <c r="AF2987" s="1" t="s">
        <v>107</v>
      </c>
      <c r="AG2987" s="1">
        <v>26</v>
      </c>
      <c r="AO2987" s="2">
        <v>46283</v>
      </c>
      <c r="AP2987" s="1" t="s">
        <v>860</v>
      </c>
      <c r="AS2987" s="1" t="s">
        <v>71</v>
      </c>
      <c r="AU2987" s="1" t="s">
        <v>72</v>
      </c>
      <c r="AV2987" s="1" t="s">
        <v>437</v>
      </c>
      <c r="AX2987" s="1">
        <v>0</v>
      </c>
      <c r="BA2987" s="1">
        <v>9</v>
      </c>
      <c r="BB2987" s="1">
        <v>0</v>
      </c>
      <c r="BC2987" s="1">
        <v>0</v>
      </c>
      <c r="BE2987" s="1">
        <v>27558981</v>
      </c>
    </row>
    <row r="2988" spans="1:57" x14ac:dyDescent="0.25">
      <c r="A2988" s="1" t="str">
        <f>T("1947652164340619040")</f>
        <v>1947652164340619040</v>
      </c>
      <c r="B2988" s="1" t="str">
        <f>T("249920624463")</f>
        <v>249920624463</v>
      </c>
      <c r="C2988" s="1" t="str">
        <f>T("1941094532695199296")</f>
        <v>1941094532695199296</v>
      </c>
      <c r="AC2988" s="1" t="s">
        <v>344</v>
      </c>
      <c r="AD2988" s="1" t="s">
        <v>372</v>
      </c>
      <c r="AE2988" s="1" t="s">
        <v>815</v>
      </c>
      <c r="AF2988" s="1" t="s">
        <v>107</v>
      </c>
      <c r="AG2988" s="1">
        <v>60</v>
      </c>
      <c r="AO2988" s="2">
        <v>46283</v>
      </c>
      <c r="AP2988" s="1" t="s">
        <v>860</v>
      </c>
      <c r="AS2988" s="1" t="s">
        <v>71</v>
      </c>
      <c r="AU2988" s="1" t="s">
        <v>72</v>
      </c>
      <c r="AV2988" s="1" t="s">
        <v>73</v>
      </c>
      <c r="AX2988" s="1">
        <v>0</v>
      </c>
      <c r="BA2988" s="1">
        <v>9</v>
      </c>
      <c r="BB2988" s="1">
        <v>0</v>
      </c>
      <c r="BC2988" s="1">
        <v>0</v>
      </c>
      <c r="BE2988" s="1">
        <v>27558981</v>
      </c>
    </row>
    <row r="2989" spans="1:57" x14ac:dyDescent="0.25">
      <c r="A2989" s="1" t="str">
        <f>T("1947652164349008656")</f>
        <v>1947652164349008656</v>
      </c>
      <c r="B2989" s="1" t="str">
        <f>T("249914027058")</f>
        <v>249914027058</v>
      </c>
      <c r="C2989" s="1" t="str">
        <f>T("1941094532695199696")</f>
        <v>1941094532695199696</v>
      </c>
      <c r="AC2989" s="1" t="s">
        <v>344</v>
      </c>
      <c r="AD2989" s="1" t="s">
        <v>441</v>
      </c>
      <c r="AE2989" s="1" t="s">
        <v>530</v>
      </c>
      <c r="AF2989" s="1" t="s">
        <v>107</v>
      </c>
      <c r="AG2989" s="1">
        <v>52</v>
      </c>
      <c r="AO2989" s="2">
        <v>46283</v>
      </c>
      <c r="AP2989" s="1" t="s">
        <v>860</v>
      </c>
      <c r="AS2989" s="1" t="s">
        <v>71</v>
      </c>
      <c r="AU2989" s="1" t="s">
        <v>72</v>
      </c>
      <c r="AV2989" s="1" t="s">
        <v>73</v>
      </c>
      <c r="AX2989" s="1">
        <v>0</v>
      </c>
      <c r="BA2989" s="1">
        <v>9</v>
      </c>
      <c r="BB2989" s="1">
        <v>0</v>
      </c>
      <c r="BC2989" s="1">
        <v>0</v>
      </c>
      <c r="BE2989" s="1">
        <v>27558981</v>
      </c>
    </row>
    <row r="2990" spans="1:57" x14ac:dyDescent="0.25">
      <c r="A2990" s="1" t="str">
        <f>T("1947652164357395372")</f>
        <v>1947652164357395372</v>
      </c>
      <c r="B2990" s="1" t="str">
        <f>T("249964205440")</f>
        <v>249964205440</v>
      </c>
      <c r="C2990" s="1" t="str">
        <f>T("1941094532699390304")</f>
        <v>1941094532699390304</v>
      </c>
      <c r="AC2990" s="1" t="s">
        <v>344</v>
      </c>
      <c r="AD2990" s="1" t="s">
        <v>430</v>
      </c>
      <c r="AE2990" s="1" t="s">
        <v>530</v>
      </c>
      <c r="AF2990" s="1" t="s">
        <v>107</v>
      </c>
      <c r="AG2990" s="1">
        <v>27</v>
      </c>
      <c r="AO2990" s="2">
        <v>46283</v>
      </c>
      <c r="AP2990" s="1" t="s">
        <v>860</v>
      </c>
      <c r="AS2990" s="1" t="s">
        <v>71</v>
      </c>
      <c r="AU2990" s="1" t="s">
        <v>72</v>
      </c>
      <c r="AV2990" s="1" t="s">
        <v>437</v>
      </c>
      <c r="AX2990" s="1">
        <v>0</v>
      </c>
      <c r="BA2990" s="1">
        <v>9</v>
      </c>
      <c r="BB2990" s="1">
        <v>0</v>
      </c>
      <c r="BC2990" s="1">
        <v>0</v>
      </c>
      <c r="BE2990" s="1">
        <v>27558981</v>
      </c>
    </row>
    <row r="2991" spans="1:57" x14ac:dyDescent="0.25">
      <c r="A2991" s="1" t="str">
        <f>T("1947652164361590480")</f>
        <v>1947652164361590480</v>
      </c>
      <c r="B2991" s="1" t="str">
        <f>T("249914082970")</f>
        <v>249914082970</v>
      </c>
      <c r="C2991" s="1" t="str">
        <f>T("1941094532699390604")</f>
        <v>1941094532699390604</v>
      </c>
      <c r="AC2991" s="1" t="s">
        <v>344</v>
      </c>
      <c r="AD2991" s="1" t="s">
        <v>430</v>
      </c>
      <c r="AE2991" s="1" t="s">
        <v>530</v>
      </c>
      <c r="AF2991" s="1" t="s">
        <v>144</v>
      </c>
      <c r="AG2991" s="1">
        <v>50</v>
      </c>
      <c r="AO2991" s="2">
        <v>46283</v>
      </c>
      <c r="AP2991" s="1" t="s">
        <v>860</v>
      </c>
      <c r="AS2991" s="1" t="s">
        <v>71</v>
      </c>
      <c r="AU2991" s="1" t="s">
        <v>72</v>
      </c>
      <c r="AV2991" s="1" t="s">
        <v>73</v>
      </c>
      <c r="AX2991" s="1">
        <v>0</v>
      </c>
      <c r="BA2991" s="1">
        <v>9</v>
      </c>
      <c r="BB2991" s="1">
        <v>0</v>
      </c>
      <c r="BC2991" s="1">
        <v>0</v>
      </c>
      <c r="BE2991" s="1">
        <v>27558981</v>
      </c>
    </row>
    <row r="2992" spans="1:57" x14ac:dyDescent="0.25">
      <c r="A2992" s="1" t="str">
        <f>T("1947652164365784588")</f>
        <v>1947652164365784588</v>
      </c>
      <c r="B2992" s="1" t="str">
        <f>T("249918034617")</f>
        <v>249918034617</v>
      </c>
      <c r="C2992" s="1" t="str">
        <f>T("1941094532699391004")</f>
        <v>1941094532699391004</v>
      </c>
      <c r="AC2992" s="1" t="s">
        <v>344</v>
      </c>
      <c r="AD2992" s="1" t="s">
        <v>441</v>
      </c>
      <c r="AE2992" s="1" t="s">
        <v>530</v>
      </c>
      <c r="AF2992" s="1" t="s">
        <v>144</v>
      </c>
      <c r="AG2992" s="1">
        <v>66</v>
      </c>
      <c r="AO2992" s="2">
        <v>46283</v>
      </c>
      <c r="AP2992" s="1" t="s">
        <v>860</v>
      </c>
      <c r="AS2992" s="1" t="s">
        <v>71</v>
      </c>
      <c r="AU2992" s="1" t="s">
        <v>72</v>
      </c>
      <c r="AV2992" s="1" t="s">
        <v>437</v>
      </c>
      <c r="AX2992" s="1">
        <v>0</v>
      </c>
      <c r="BA2992" s="1">
        <v>9</v>
      </c>
      <c r="BB2992" s="1">
        <v>0</v>
      </c>
      <c r="BC2992" s="1">
        <v>0</v>
      </c>
      <c r="BE2992" s="1">
        <v>27558981</v>
      </c>
    </row>
    <row r="2993" spans="1:57" x14ac:dyDescent="0.25">
      <c r="A2993" s="1" t="str">
        <f>T("1947652164374172404")</f>
        <v>1947652164374172404</v>
      </c>
      <c r="B2993" s="1" t="str">
        <f>T("249969643321")</f>
        <v>249969643321</v>
      </c>
      <c r="C2993" s="1" t="str">
        <f>T("1941094532699391404")</f>
        <v>1941094532699391404</v>
      </c>
      <c r="AC2993" s="1" t="s">
        <v>344</v>
      </c>
      <c r="AD2993" s="1" t="s">
        <v>372</v>
      </c>
      <c r="AE2993" s="1" t="s">
        <v>818</v>
      </c>
      <c r="AF2993" s="1" t="s">
        <v>107</v>
      </c>
      <c r="AG2993" s="1">
        <v>59</v>
      </c>
      <c r="AO2993" s="2">
        <v>46283</v>
      </c>
      <c r="AP2993" s="1" t="s">
        <v>860</v>
      </c>
      <c r="AS2993" s="1" t="s">
        <v>71</v>
      </c>
      <c r="AU2993" s="1" t="s">
        <v>72</v>
      </c>
      <c r="AV2993" s="1" t="s">
        <v>73</v>
      </c>
      <c r="AX2993" s="1">
        <v>0</v>
      </c>
      <c r="BA2993" s="1">
        <v>9</v>
      </c>
      <c r="BB2993" s="1">
        <v>0</v>
      </c>
      <c r="BC2993" s="1">
        <v>0</v>
      </c>
      <c r="BE2993" s="1">
        <v>27558981</v>
      </c>
    </row>
    <row r="2994" spans="1:57" x14ac:dyDescent="0.25">
      <c r="A2994" s="1" t="str">
        <f>T("1947652164382564020")</f>
        <v>1947652164382564020</v>
      </c>
      <c r="B2994" s="1" t="str">
        <f>T("249917936927")</f>
        <v>249917936927</v>
      </c>
      <c r="C2994" s="1" t="str">
        <f>T("1941094532699391704")</f>
        <v>1941094532699391704</v>
      </c>
      <c r="AC2994" s="1" t="s">
        <v>344</v>
      </c>
      <c r="AD2994" s="1" t="s">
        <v>372</v>
      </c>
      <c r="AE2994" s="1" t="s">
        <v>820</v>
      </c>
      <c r="AF2994" s="1" t="s">
        <v>144</v>
      </c>
      <c r="AG2994" s="1">
        <v>35</v>
      </c>
      <c r="AO2994" s="2">
        <v>46283</v>
      </c>
      <c r="AP2994" s="1" t="s">
        <v>860</v>
      </c>
      <c r="AS2994" s="1" t="s">
        <v>71</v>
      </c>
      <c r="AU2994" s="1" t="s">
        <v>72</v>
      </c>
      <c r="AV2994" s="1" t="s">
        <v>437</v>
      </c>
      <c r="AX2994" s="1">
        <v>0</v>
      </c>
      <c r="BA2994" s="1">
        <v>9</v>
      </c>
      <c r="BB2994" s="1">
        <v>0</v>
      </c>
      <c r="BC2994" s="1">
        <v>0</v>
      </c>
      <c r="BE2994" s="1">
        <v>27558981</v>
      </c>
    </row>
    <row r="2995" spans="1:57" x14ac:dyDescent="0.25">
      <c r="A2995" s="1" t="str">
        <f>T("1947652164395144744")</f>
        <v>1947652164395144744</v>
      </c>
      <c r="B2995" s="1" t="str">
        <f>T("249913883910")</f>
        <v>249913883910</v>
      </c>
      <c r="C2995" s="1" t="str">
        <f>T("1941094532699392004")</f>
        <v>1941094532699392004</v>
      </c>
      <c r="AC2995" s="1" t="s">
        <v>344</v>
      </c>
      <c r="AD2995" s="1" t="s">
        <v>441</v>
      </c>
      <c r="AE2995" s="1" t="s">
        <v>530</v>
      </c>
      <c r="AF2995" s="1" t="s">
        <v>107</v>
      </c>
      <c r="AG2995" s="1">
        <v>40</v>
      </c>
      <c r="AO2995" s="2">
        <v>46283</v>
      </c>
      <c r="AP2995" s="1" t="s">
        <v>860</v>
      </c>
      <c r="AS2995" s="1" t="s">
        <v>71</v>
      </c>
      <c r="AU2995" s="1" t="s">
        <v>72</v>
      </c>
      <c r="AV2995" s="1" t="s">
        <v>73</v>
      </c>
      <c r="AX2995" s="1">
        <v>0</v>
      </c>
      <c r="BA2995" s="1">
        <v>9</v>
      </c>
      <c r="BB2995" s="1">
        <v>0</v>
      </c>
      <c r="BC2995" s="1">
        <v>0</v>
      </c>
      <c r="BE2995" s="1">
        <v>27558981</v>
      </c>
    </row>
    <row r="2996" spans="1:57" x14ac:dyDescent="0.25">
      <c r="A2996" s="1" t="str">
        <f>T("1947652164399340252")</f>
        <v>1947652164399340252</v>
      </c>
      <c r="B2996" s="1" t="str">
        <f>T("249917538750")</f>
        <v>249917538750</v>
      </c>
      <c r="C2996" s="1" t="str">
        <f>T("1941094532699392304")</f>
        <v>1941094532699392304</v>
      </c>
      <c r="AC2996" s="1" t="s">
        <v>344</v>
      </c>
      <c r="AD2996" s="1" t="s">
        <v>372</v>
      </c>
      <c r="AE2996" s="1" t="s">
        <v>818</v>
      </c>
      <c r="AF2996" s="1" t="s">
        <v>107</v>
      </c>
      <c r="AG2996" s="1">
        <v>54</v>
      </c>
      <c r="AO2996" s="2">
        <v>46283</v>
      </c>
      <c r="AP2996" s="1" t="s">
        <v>860</v>
      </c>
      <c r="AS2996" s="1" t="s">
        <v>71</v>
      </c>
      <c r="AU2996" s="1" t="s">
        <v>72</v>
      </c>
      <c r="AV2996" s="1" t="s">
        <v>73</v>
      </c>
      <c r="AX2996" s="1">
        <v>0</v>
      </c>
      <c r="BA2996" s="1">
        <v>9</v>
      </c>
      <c r="BB2996" s="1">
        <v>0</v>
      </c>
      <c r="BC2996" s="1">
        <v>0</v>
      </c>
      <c r="BE2996" s="1">
        <v>27558981</v>
      </c>
    </row>
    <row r="2997" spans="1:57" x14ac:dyDescent="0.25">
      <c r="A2997" s="1" t="str">
        <f>T("1947652164407729268")</f>
        <v>1947652164407729268</v>
      </c>
      <c r="B2997" s="1" t="str">
        <f>T("249961210060")</f>
        <v>249961210060</v>
      </c>
      <c r="C2997" s="1" t="str">
        <f>T("1941094532699392704")</f>
        <v>1941094532699392704</v>
      </c>
      <c r="AC2997" s="1" t="s">
        <v>344</v>
      </c>
      <c r="AD2997" s="1" t="s">
        <v>441</v>
      </c>
      <c r="AE2997" s="1" t="s">
        <v>530</v>
      </c>
      <c r="AF2997" s="1" t="s">
        <v>144</v>
      </c>
      <c r="AG2997" s="1">
        <v>55</v>
      </c>
      <c r="AO2997" s="2">
        <v>46283</v>
      </c>
      <c r="AP2997" s="1" t="s">
        <v>860</v>
      </c>
      <c r="AS2997" s="1" t="s">
        <v>71</v>
      </c>
      <c r="AU2997" s="1" t="s">
        <v>72</v>
      </c>
      <c r="AV2997" s="1" t="s">
        <v>437</v>
      </c>
      <c r="AX2997" s="1">
        <v>0</v>
      </c>
      <c r="BA2997" s="1">
        <v>9</v>
      </c>
      <c r="BB2997" s="1">
        <v>0</v>
      </c>
      <c r="BC2997" s="1">
        <v>0</v>
      </c>
      <c r="BE2997" s="1">
        <v>27558981</v>
      </c>
    </row>
    <row r="2998" spans="1:57" x14ac:dyDescent="0.25">
      <c r="A2998" s="1" t="str">
        <f>T("1947652164416116484")</f>
        <v>1947652164416116484</v>
      </c>
      <c r="B2998" s="1" t="str">
        <f>T("249122659596")</f>
        <v>249122659596</v>
      </c>
      <c r="C2998" s="1" t="str">
        <f>T("1941094532707781920")</f>
        <v>1941094532707781920</v>
      </c>
      <c r="AC2998" s="1" t="s">
        <v>344</v>
      </c>
      <c r="AD2998" s="1" t="s">
        <v>372</v>
      </c>
      <c r="AE2998" s="1" t="s">
        <v>820</v>
      </c>
      <c r="AF2998" s="1" t="s">
        <v>107</v>
      </c>
      <c r="AG2998" s="1">
        <v>50</v>
      </c>
      <c r="AO2998" s="2">
        <v>46283</v>
      </c>
      <c r="AP2998" s="1" t="s">
        <v>860</v>
      </c>
      <c r="AQ2998" s="2">
        <v>46283</v>
      </c>
      <c r="AR2998" s="1" t="s">
        <v>864</v>
      </c>
      <c r="AS2998" s="1" t="s">
        <v>71</v>
      </c>
      <c r="AU2998" s="1" t="s">
        <v>79</v>
      </c>
      <c r="AV2998" s="1" t="s">
        <v>80</v>
      </c>
      <c r="AW2998" s="1">
        <v>18.54</v>
      </c>
      <c r="AX2998" s="1">
        <v>0</v>
      </c>
      <c r="AZ2998" s="1" t="s">
        <v>81</v>
      </c>
      <c r="BA2998" s="1">
        <v>2</v>
      </c>
      <c r="BB2998" s="1">
        <v>0</v>
      </c>
      <c r="BC2998" s="1">
        <v>0</v>
      </c>
      <c r="BE2998" s="1">
        <v>27558981</v>
      </c>
    </row>
    <row r="2999" spans="1:57" x14ac:dyDescent="0.25">
      <c r="A2999" s="1" t="str">
        <f>T("1947652164428697608")</f>
        <v>1947652164428697608</v>
      </c>
      <c r="B2999" s="1" t="str">
        <f>T("249917035480")</f>
        <v>249917035480</v>
      </c>
      <c r="C2999" s="1" t="str">
        <f>T("1941094532707782320")</f>
        <v>1941094532707782320</v>
      </c>
      <c r="AC2999" s="1" t="s">
        <v>344</v>
      </c>
      <c r="AD2999" s="1" t="s">
        <v>441</v>
      </c>
      <c r="AE2999" s="1" t="s">
        <v>530</v>
      </c>
      <c r="AF2999" s="1" t="s">
        <v>107</v>
      </c>
      <c r="AG2999" s="1">
        <v>25</v>
      </c>
      <c r="AO2999" s="2">
        <v>46283</v>
      </c>
      <c r="AP2999" s="1" t="s">
        <v>860</v>
      </c>
      <c r="AS2999" s="1" t="s">
        <v>71</v>
      </c>
      <c r="AU2999" s="1" t="s">
        <v>72</v>
      </c>
      <c r="AV2999" s="1" t="s">
        <v>73</v>
      </c>
      <c r="AX2999" s="1">
        <v>0</v>
      </c>
      <c r="BA2999" s="1">
        <v>9</v>
      </c>
      <c r="BB2999" s="1">
        <v>0</v>
      </c>
      <c r="BC2999" s="1">
        <v>0</v>
      </c>
      <c r="BE2999" s="1">
        <v>27558981</v>
      </c>
    </row>
    <row r="3000" spans="1:57" x14ac:dyDescent="0.25">
      <c r="A3000" s="1" t="str">
        <f>T("1947652164449671148")</f>
        <v>1947652164449671148</v>
      </c>
      <c r="B3000" s="1" t="str">
        <f>T("249917485224")</f>
        <v>249917485224</v>
      </c>
      <c r="C3000" s="1" t="str">
        <f>T("1941094532711973028")</f>
        <v>1941094532711973028</v>
      </c>
      <c r="AC3000" s="1" t="s">
        <v>344</v>
      </c>
      <c r="AD3000" s="1" t="s">
        <v>430</v>
      </c>
      <c r="AE3000" s="1" t="s">
        <v>530</v>
      </c>
      <c r="AF3000" s="1" t="s">
        <v>144</v>
      </c>
      <c r="AG3000" s="1">
        <v>50</v>
      </c>
      <c r="AO3000" s="2">
        <v>46283</v>
      </c>
      <c r="AP3000" s="1" t="s">
        <v>860</v>
      </c>
      <c r="AS3000" s="1" t="s">
        <v>71</v>
      </c>
      <c r="AU3000" s="1" t="s">
        <v>72</v>
      </c>
      <c r="AV3000" s="1" t="s">
        <v>73</v>
      </c>
      <c r="AX3000" s="1">
        <v>0</v>
      </c>
      <c r="BA3000" s="1">
        <v>9</v>
      </c>
      <c r="BB3000" s="1">
        <v>0</v>
      </c>
      <c r="BC3000" s="1">
        <v>0</v>
      </c>
      <c r="BE3000" s="1">
        <v>27558981</v>
      </c>
    </row>
    <row r="3001" spans="1:57" x14ac:dyDescent="0.25">
      <c r="A3001" s="1" t="str">
        <f>T("1947652164453865956")</f>
        <v>1947652164453865956</v>
      </c>
      <c r="B3001" s="1" t="str">
        <f>T("249926281797")</f>
        <v>249926281797</v>
      </c>
      <c r="C3001" s="1" t="str">
        <f>T("1941094532711973428")</f>
        <v>1941094532711973428</v>
      </c>
      <c r="M3001" s="1" t="s">
        <v>133</v>
      </c>
      <c r="N3001" s="1" t="s">
        <v>65</v>
      </c>
      <c r="O3001" s="1" t="s">
        <v>65</v>
      </c>
      <c r="P3001" s="1" t="s">
        <v>83</v>
      </c>
      <c r="Q3001" s="1" t="s">
        <v>112</v>
      </c>
      <c r="R3001" s="1" t="s">
        <v>84</v>
      </c>
      <c r="S3001" s="1" t="s">
        <v>94</v>
      </c>
      <c r="U3001" s="1" t="s">
        <v>65</v>
      </c>
      <c r="V3001" s="1" t="s">
        <v>103</v>
      </c>
      <c r="W3001" s="1" t="s">
        <v>60</v>
      </c>
      <c r="X3001" s="1" t="s">
        <v>103</v>
      </c>
      <c r="Y3001" s="1" t="s">
        <v>85</v>
      </c>
      <c r="AA3001" s="1">
        <v>1</v>
      </c>
      <c r="AB3001" s="1">
        <v>1</v>
      </c>
      <c r="AC3001" s="1" t="s">
        <v>344</v>
      </c>
      <c r="AD3001" s="1" t="s">
        <v>372</v>
      </c>
      <c r="AE3001" s="1" t="s">
        <v>818</v>
      </c>
      <c r="AF3001" s="1" t="s">
        <v>107</v>
      </c>
      <c r="AG3001" s="1">
        <v>75</v>
      </c>
      <c r="AO3001" s="2">
        <v>46283</v>
      </c>
      <c r="AP3001" s="1" t="s">
        <v>860</v>
      </c>
      <c r="AQ3001" s="2">
        <v>46283</v>
      </c>
      <c r="AR3001" s="1" t="s">
        <v>865</v>
      </c>
      <c r="AS3001" s="1" t="s">
        <v>71</v>
      </c>
      <c r="AU3001" s="1" t="s">
        <v>78</v>
      </c>
      <c r="AV3001" s="1" t="s">
        <v>80</v>
      </c>
      <c r="AW3001" s="1">
        <v>231.06</v>
      </c>
      <c r="AX3001" s="1">
        <v>0</v>
      </c>
      <c r="AZ3001" s="1" t="s">
        <v>81</v>
      </c>
      <c r="BA3001" s="1">
        <v>2</v>
      </c>
      <c r="BB3001" s="1">
        <v>0</v>
      </c>
      <c r="BC3001" s="1">
        <v>0</v>
      </c>
      <c r="BE3001" s="1">
        <v>27558981</v>
      </c>
    </row>
    <row r="3002" spans="1:57" x14ac:dyDescent="0.25">
      <c r="A3002" s="1" t="str">
        <f>T("1947652164462253672")</f>
        <v>1947652164462253672</v>
      </c>
      <c r="B3002" s="1" t="str">
        <f>T("249969572097")</f>
        <v>249969572097</v>
      </c>
      <c r="C3002" s="1" t="str">
        <f>T("1941094532711973728")</f>
        <v>1941094532711973728</v>
      </c>
      <c r="AC3002" s="1" t="s">
        <v>344</v>
      </c>
      <c r="AD3002" s="1" t="s">
        <v>441</v>
      </c>
      <c r="AE3002" s="1" t="s">
        <v>530</v>
      </c>
      <c r="AF3002" s="1" t="s">
        <v>144</v>
      </c>
      <c r="AG3002" s="1">
        <v>50</v>
      </c>
      <c r="AO3002" s="2">
        <v>46283</v>
      </c>
      <c r="AP3002" s="1" t="s">
        <v>860</v>
      </c>
      <c r="AS3002" s="1" t="s">
        <v>71</v>
      </c>
      <c r="AU3002" s="1" t="s">
        <v>72</v>
      </c>
      <c r="AV3002" s="1" t="s">
        <v>437</v>
      </c>
      <c r="AX3002" s="1">
        <v>0</v>
      </c>
      <c r="BA3002" s="1">
        <v>9</v>
      </c>
      <c r="BB3002" s="1">
        <v>0</v>
      </c>
      <c r="BC3002" s="1">
        <v>0</v>
      </c>
      <c r="BE3002" s="1">
        <v>27558981</v>
      </c>
    </row>
    <row r="3003" spans="1:57" x14ac:dyDescent="0.25">
      <c r="A3003" s="1" t="str">
        <f>T("1947652164470641288")</f>
        <v>1947652164470641288</v>
      </c>
      <c r="B3003" s="1" t="str">
        <f>T("249920892972")</f>
        <v>249920892972</v>
      </c>
      <c r="C3003" s="1" t="str">
        <f>T("1941094532711974128")</f>
        <v>1941094532711974128</v>
      </c>
      <c r="AC3003" s="1" t="s">
        <v>344</v>
      </c>
      <c r="AD3003" s="1" t="s">
        <v>372</v>
      </c>
      <c r="AE3003" s="1" t="s">
        <v>814</v>
      </c>
      <c r="AF3003" s="1" t="s">
        <v>144</v>
      </c>
      <c r="AG3003" s="1">
        <v>48</v>
      </c>
      <c r="AO3003" s="2">
        <v>46283</v>
      </c>
      <c r="AP3003" s="1" t="s">
        <v>860</v>
      </c>
      <c r="AS3003" s="1" t="s">
        <v>71</v>
      </c>
      <c r="AU3003" s="1" t="s">
        <v>72</v>
      </c>
      <c r="AV3003" s="1" t="s">
        <v>334</v>
      </c>
      <c r="AX3003" s="1">
        <v>0</v>
      </c>
      <c r="BA3003" s="1">
        <v>9</v>
      </c>
      <c r="BB3003" s="1">
        <v>0</v>
      </c>
      <c r="BC3003" s="1">
        <v>0</v>
      </c>
      <c r="BE3003" s="1">
        <v>27558981</v>
      </c>
    </row>
    <row r="3004" spans="1:57" x14ac:dyDescent="0.25">
      <c r="A3004" s="1" t="str">
        <f>T("1947652164474835196")</f>
        <v>1947652164474835196</v>
      </c>
      <c r="B3004" s="1" t="str">
        <f>T("249913839903")</f>
        <v>249913839903</v>
      </c>
      <c r="C3004" s="1" t="str">
        <f>T("1941094532711974928")</f>
        <v>1941094532711974928</v>
      </c>
      <c r="AC3004" s="1" t="s">
        <v>344</v>
      </c>
      <c r="AD3004" s="1" t="s">
        <v>372</v>
      </c>
      <c r="AE3004" s="1" t="s">
        <v>813</v>
      </c>
      <c r="AF3004" s="1" t="s">
        <v>144</v>
      </c>
      <c r="AG3004" s="1">
        <v>40</v>
      </c>
      <c r="AO3004" s="2">
        <v>46283</v>
      </c>
      <c r="AP3004" s="1" t="s">
        <v>860</v>
      </c>
      <c r="AS3004" s="1" t="s">
        <v>71</v>
      </c>
      <c r="AU3004" s="1" t="s">
        <v>72</v>
      </c>
      <c r="AV3004" s="1" t="s">
        <v>73</v>
      </c>
      <c r="AX3004" s="1">
        <v>0</v>
      </c>
      <c r="BA3004" s="1">
        <v>9</v>
      </c>
      <c r="BB3004" s="1">
        <v>0</v>
      </c>
      <c r="BC3004" s="1">
        <v>0</v>
      </c>
      <c r="BE3004" s="1">
        <v>27558981</v>
      </c>
    </row>
    <row r="3005" spans="1:57" x14ac:dyDescent="0.25">
      <c r="A3005" s="1" t="str">
        <f>T("1947652164474836796")</f>
        <v>1947652164474836796</v>
      </c>
      <c r="B3005" s="1" t="str">
        <f>T("249916549957")</f>
        <v>249916549957</v>
      </c>
      <c r="C3005" s="1" t="str">
        <f>T("1941094532711974528")</f>
        <v>1941094532711974528</v>
      </c>
      <c r="AC3005" s="1" t="s">
        <v>344</v>
      </c>
      <c r="AD3005" s="1" t="s">
        <v>372</v>
      </c>
      <c r="AE3005" s="1" t="s">
        <v>813</v>
      </c>
      <c r="AF3005" s="1" t="s">
        <v>107</v>
      </c>
      <c r="AG3005" s="1">
        <v>42</v>
      </c>
      <c r="AO3005" s="2">
        <v>46283</v>
      </c>
      <c r="AP3005" s="1" t="s">
        <v>860</v>
      </c>
      <c r="AS3005" s="1" t="s">
        <v>71</v>
      </c>
      <c r="AU3005" s="1" t="s">
        <v>72</v>
      </c>
      <c r="AV3005" s="1" t="s">
        <v>437</v>
      </c>
      <c r="AX3005" s="1">
        <v>0</v>
      </c>
      <c r="BA3005" s="1">
        <v>9</v>
      </c>
      <c r="BB3005" s="1">
        <v>0</v>
      </c>
      <c r="BC3005" s="1">
        <v>0</v>
      </c>
      <c r="BE3005" s="1">
        <v>27558981</v>
      </c>
    </row>
    <row r="3006" spans="1:57" x14ac:dyDescent="0.25">
      <c r="A3006" s="1" t="str">
        <f>T("1947652164495808136")</f>
        <v>1947652164495808136</v>
      </c>
      <c r="B3006" s="1" t="str">
        <f>T("249906785507")</f>
        <v>249906785507</v>
      </c>
      <c r="C3006" s="1" t="str">
        <f>T("1941094532711975328")</f>
        <v>1941094532711975328</v>
      </c>
      <c r="AC3006" s="1" t="s">
        <v>344</v>
      </c>
      <c r="AD3006" s="1" t="s">
        <v>441</v>
      </c>
      <c r="AE3006" s="1" t="s">
        <v>530</v>
      </c>
      <c r="AF3006" s="1" t="s">
        <v>144</v>
      </c>
      <c r="AG3006" s="1">
        <v>65</v>
      </c>
      <c r="AO3006" s="2">
        <v>46283</v>
      </c>
      <c r="AP3006" s="1" t="s">
        <v>860</v>
      </c>
      <c r="AS3006" s="1" t="s">
        <v>71</v>
      </c>
      <c r="AU3006" s="1" t="s">
        <v>72</v>
      </c>
      <c r="AV3006" s="1" t="s">
        <v>437</v>
      </c>
      <c r="AX3006" s="1">
        <v>0</v>
      </c>
      <c r="BA3006" s="1">
        <v>9</v>
      </c>
      <c r="BB3006" s="1">
        <v>0</v>
      </c>
      <c r="BC3006" s="1">
        <v>0</v>
      </c>
      <c r="BE3006" s="1">
        <v>27558981</v>
      </c>
    </row>
    <row r="3007" spans="1:57" x14ac:dyDescent="0.25">
      <c r="A3007" s="1" t="str">
        <f>T("1947652164500002344")</f>
        <v>1947652164500002344</v>
      </c>
      <c r="B3007" s="1" t="str">
        <f>T("249955023038")</f>
        <v>249955023038</v>
      </c>
      <c r="C3007" s="1" t="str">
        <f>T("1941094532711975628")</f>
        <v>1941094532711975628</v>
      </c>
      <c r="AC3007" s="1" t="s">
        <v>344</v>
      </c>
      <c r="AD3007" s="1" t="s">
        <v>372</v>
      </c>
      <c r="AE3007" s="1" t="s">
        <v>813</v>
      </c>
      <c r="AF3007" s="1" t="s">
        <v>144</v>
      </c>
      <c r="AG3007" s="1">
        <v>35</v>
      </c>
      <c r="AO3007" s="2">
        <v>46283</v>
      </c>
      <c r="AP3007" s="1" t="s">
        <v>860</v>
      </c>
      <c r="AS3007" s="1" t="s">
        <v>71</v>
      </c>
      <c r="AU3007" s="1" t="s">
        <v>72</v>
      </c>
      <c r="AV3007" s="1" t="s">
        <v>73</v>
      </c>
      <c r="AX3007" s="1">
        <v>0</v>
      </c>
      <c r="BA3007" s="1">
        <v>9</v>
      </c>
      <c r="BB3007" s="1">
        <v>0</v>
      </c>
      <c r="BC3007" s="1">
        <v>0</v>
      </c>
      <c r="BE3007" s="1">
        <v>27558981</v>
      </c>
    </row>
    <row r="3008" spans="1:57" x14ac:dyDescent="0.25">
      <c r="A3008" s="1" t="str">
        <f>T("1947652164508393260")</f>
        <v>1947652164508393260</v>
      </c>
      <c r="B3008" s="1" t="str">
        <f>T("249924074607")</f>
        <v>249924074607</v>
      </c>
      <c r="C3008" s="1" t="str">
        <f>T("1941094532711976128")</f>
        <v>1941094532711976128</v>
      </c>
      <c r="M3008" s="1" t="s">
        <v>148</v>
      </c>
      <c r="N3008" s="1" t="s">
        <v>60</v>
      </c>
      <c r="O3008" s="1" t="s">
        <v>65</v>
      </c>
      <c r="P3008" s="1" t="s">
        <v>61</v>
      </c>
      <c r="Q3008" s="1" t="s">
        <v>101</v>
      </c>
      <c r="R3008" s="1" t="s">
        <v>93</v>
      </c>
      <c r="T3008" s="1" t="s">
        <v>95</v>
      </c>
      <c r="U3008" s="1" t="s">
        <v>60</v>
      </c>
      <c r="V3008" s="1" t="s">
        <v>66</v>
      </c>
      <c r="W3008" s="1" t="s">
        <v>67</v>
      </c>
      <c r="X3008" s="1" t="s">
        <v>68</v>
      </c>
      <c r="Y3008" s="1" t="s">
        <v>85</v>
      </c>
      <c r="AA3008" s="1">
        <v>1</v>
      </c>
      <c r="AB3008" s="1">
        <v>1</v>
      </c>
      <c r="AC3008" s="1" t="s">
        <v>344</v>
      </c>
      <c r="AD3008" s="1" t="s">
        <v>372</v>
      </c>
      <c r="AE3008" s="1" t="s">
        <v>820</v>
      </c>
      <c r="AF3008" s="1" t="s">
        <v>107</v>
      </c>
      <c r="AG3008" s="1">
        <v>22</v>
      </c>
      <c r="AO3008" s="2">
        <v>46283</v>
      </c>
      <c r="AP3008" s="1" t="s">
        <v>860</v>
      </c>
      <c r="AQ3008" s="2">
        <v>46283</v>
      </c>
      <c r="AR3008" s="1" t="s">
        <v>866</v>
      </c>
      <c r="AS3008" s="1" t="s">
        <v>71</v>
      </c>
      <c r="AU3008" s="1" t="s">
        <v>78</v>
      </c>
      <c r="AV3008" s="1" t="s">
        <v>80</v>
      </c>
      <c r="AW3008" s="1">
        <v>214.37899999999999</v>
      </c>
      <c r="AX3008" s="1">
        <v>0</v>
      </c>
      <c r="AZ3008" s="1" t="s">
        <v>81</v>
      </c>
      <c r="BA3008" s="1">
        <v>3</v>
      </c>
      <c r="BB3008" s="1">
        <v>0</v>
      </c>
      <c r="BC3008" s="1">
        <v>0</v>
      </c>
      <c r="BE3008" s="1">
        <v>27558981</v>
      </c>
    </row>
    <row r="3009" spans="1:57" x14ac:dyDescent="0.25">
      <c r="A3009" s="1" t="str">
        <f>T("1947652164512585668")</f>
        <v>1947652164512585668</v>
      </c>
      <c r="B3009" s="1" t="str">
        <f>T("249995050222")</f>
        <v>249995050222</v>
      </c>
      <c r="C3009" s="1" t="str">
        <f>T("1941094532711976528")</f>
        <v>1941094532711976528</v>
      </c>
      <c r="AC3009" s="1" t="s">
        <v>344</v>
      </c>
      <c r="AD3009" s="1" t="s">
        <v>372</v>
      </c>
      <c r="AE3009" s="1" t="s">
        <v>814</v>
      </c>
      <c r="AF3009" s="1" t="s">
        <v>107</v>
      </c>
      <c r="AG3009" s="1">
        <v>50</v>
      </c>
      <c r="AO3009" s="2">
        <v>46283</v>
      </c>
      <c r="AP3009" s="1" t="s">
        <v>860</v>
      </c>
      <c r="AQ3009" s="2">
        <v>46283</v>
      </c>
      <c r="AR3009" s="1" t="s">
        <v>867</v>
      </c>
      <c r="AS3009" s="1" t="s">
        <v>71</v>
      </c>
      <c r="AU3009" s="1" t="s">
        <v>79</v>
      </c>
      <c r="AV3009" s="1" t="s">
        <v>80</v>
      </c>
      <c r="AW3009" s="1">
        <v>31.52</v>
      </c>
      <c r="AX3009" s="1">
        <v>0</v>
      </c>
      <c r="AZ3009" s="1" t="s">
        <v>81</v>
      </c>
      <c r="BA3009" s="1">
        <v>2</v>
      </c>
      <c r="BB3009" s="1">
        <v>0</v>
      </c>
      <c r="BC3009" s="1">
        <v>0</v>
      </c>
      <c r="BE3009" s="1">
        <v>27558981</v>
      </c>
    </row>
    <row r="3010" spans="1:57" x14ac:dyDescent="0.25">
      <c r="A3010" s="1" t="str">
        <f>T("1947652164520973184")</f>
        <v>1947652164520973184</v>
      </c>
      <c r="B3010" s="1" t="str">
        <f>T("249968515240")</f>
        <v>249968515240</v>
      </c>
      <c r="C3010" s="1" t="str">
        <f>T("1941094532711976928")</f>
        <v>1941094532711976928</v>
      </c>
      <c r="AC3010" s="1" t="s">
        <v>344</v>
      </c>
      <c r="AD3010" s="1" t="s">
        <v>372</v>
      </c>
      <c r="AE3010" s="1" t="s">
        <v>815</v>
      </c>
      <c r="AF3010" s="1" t="s">
        <v>144</v>
      </c>
      <c r="AG3010" s="1">
        <v>20</v>
      </c>
      <c r="AO3010" s="2">
        <v>46283</v>
      </c>
      <c r="AP3010" s="1" t="s">
        <v>860</v>
      </c>
      <c r="AS3010" s="1" t="s">
        <v>71</v>
      </c>
      <c r="AU3010" s="1" t="s">
        <v>72</v>
      </c>
      <c r="AV3010" s="1" t="s">
        <v>437</v>
      </c>
      <c r="AX3010" s="1">
        <v>0</v>
      </c>
      <c r="BA3010" s="1">
        <v>9</v>
      </c>
      <c r="BB3010" s="1">
        <v>0</v>
      </c>
      <c r="BC3010" s="1">
        <v>0</v>
      </c>
      <c r="BE3010" s="1">
        <v>27558981</v>
      </c>
    </row>
    <row r="3011" spans="1:57" x14ac:dyDescent="0.25">
      <c r="A3011" s="1" t="str">
        <f>T("1947652164520975384")</f>
        <v>1947652164520975384</v>
      </c>
      <c r="B3011" s="1" t="str">
        <f>T("249918330299")</f>
        <v>249918330299</v>
      </c>
      <c r="C3011" s="1" t="str">
        <f>T("1941094532716167536")</f>
        <v>1941094532716167536</v>
      </c>
      <c r="AC3011" s="1" t="s">
        <v>344</v>
      </c>
      <c r="AD3011" s="1" t="s">
        <v>430</v>
      </c>
      <c r="AE3011" s="1" t="s">
        <v>530</v>
      </c>
      <c r="AF3011" s="1" t="s">
        <v>107</v>
      </c>
      <c r="AG3011" s="1">
        <v>25</v>
      </c>
      <c r="AO3011" s="2">
        <v>46283</v>
      </c>
      <c r="AP3011" s="1" t="s">
        <v>860</v>
      </c>
      <c r="AS3011" s="1" t="s">
        <v>71</v>
      </c>
      <c r="AU3011" s="1" t="s">
        <v>72</v>
      </c>
      <c r="AV3011" s="1" t="s">
        <v>437</v>
      </c>
      <c r="AX3011" s="1">
        <v>0</v>
      </c>
      <c r="BA3011" s="1">
        <v>9</v>
      </c>
      <c r="BB3011" s="1">
        <v>0</v>
      </c>
      <c r="BC3011" s="1">
        <v>0</v>
      </c>
      <c r="BE3011" s="1">
        <v>27558981</v>
      </c>
    </row>
    <row r="3012" spans="1:57" x14ac:dyDescent="0.25">
      <c r="A3012" s="1" t="str">
        <f>T("1947652164537751016")</f>
        <v>1947652164537751016</v>
      </c>
      <c r="B3012" s="1" t="str">
        <f>T("249928742445")</f>
        <v>249928742445</v>
      </c>
      <c r="C3012" s="1" t="str">
        <f>T("1941094532716167836")</f>
        <v>1941094532716167836</v>
      </c>
      <c r="AA3012" s="1">
        <v>1</v>
      </c>
      <c r="AC3012" s="1" t="s">
        <v>344</v>
      </c>
      <c r="AD3012" s="1" t="s">
        <v>372</v>
      </c>
      <c r="AE3012" s="1" t="s">
        <v>820</v>
      </c>
      <c r="AF3012" s="1" t="s">
        <v>144</v>
      </c>
      <c r="AG3012" s="1">
        <v>38</v>
      </c>
      <c r="AO3012" s="2">
        <v>46283</v>
      </c>
      <c r="AP3012" s="1" t="s">
        <v>860</v>
      </c>
      <c r="AQ3012" s="2">
        <v>46283</v>
      </c>
      <c r="AR3012" s="1" t="s">
        <v>863</v>
      </c>
      <c r="AS3012" s="1" t="s">
        <v>71</v>
      </c>
      <c r="AU3012" s="1" t="s">
        <v>79</v>
      </c>
      <c r="AV3012" s="1" t="s">
        <v>80</v>
      </c>
      <c r="AW3012" s="1">
        <v>64.8</v>
      </c>
      <c r="AX3012" s="1">
        <v>0</v>
      </c>
      <c r="AZ3012" s="1" t="s">
        <v>81</v>
      </c>
      <c r="BA3012" s="1">
        <v>1</v>
      </c>
      <c r="BB3012" s="1">
        <v>0</v>
      </c>
      <c r="BC3012" s="1">
        <v>0</v>
      </c>
      <c r="BE3012" s="1">
        <v>27558981</v>
      </c>
    </row>
    <row r="3013" spans="1:57" x14ac:dyDescent="0.25">
      <c r="A3013" s="1" t="str">
        <f>T("1947652164546140732")</f>
        <v>1947652164546140732</v>
      </c>
      <c r="B3013" s="1" t="str">
        <f>T("249909009776")</f>
        <v>249909009776</v>
      </c>
      <c r="C3013" s="1" t="str">
        <f>T("1941094532716168336")</f>
        <v>1941094532716168336</v>
      </c>
      <c r="AC3013" s="1" t="s">
        <v>344</v>
      </c>
      <c r="AD3013" s="1" t="s">
        <v>430</v>
      </c>
      <c r="AE3013" s="1" t="s">
        <v>530</v>
      </c>
      <c r="AF3013" s="1" t="s">
        <v>144</v>
      </c>
      <c r="AG3013" s="1">
        <v>23</v>
      </c>
      <c r="AO3013" s="2">
        <v>46283</v>
      </c>
      <c r="AP3013" s="1" t="s">
        <v>860</v>
      </c>
      <c r="AS3013" s="1" t="s">
        <v>71</v>
      </c>
      <c r="AU3013" s="1" t="s">
        <v>72</v>
      </c>
      <c r="AV3013" s="1" t="s">
        <v>73</v>
      </c>
      <c r="AX3013" s="1">
        <v>0</v>
      </c>
      <c r="BA3013" s="1">
        <v>9</v>
      </c>
      <c r="BB3013" s="1">
        <v>0</v>
      </c>
      <c r="BC3013" s="1">
        <v>0</v>
      </c>
      <c r="BE3013" s="1">
        <v>27558981</v>
      </c>
    </row>
    <row r="3014" spans="1:57" x14ac:dyDescent="0.25">
      <c r="A3014" s="1" t="str">
        <f>T("1947652164554528848")</f>
        <v>1947652164554528848</v>
      </c>
      <c r="B3014" s="1" t="str">
        <f>T("2492491181287")</f>
        <v>2492491181287</v>
      </c>
      <c r="C3014" s="1" t="str">
        <f>T("1941094532716168736")</f>
        <v>1941094532716168736</v>
      </c>
      <c r="AC3014" s="1" t="s">
        <v>344</v>
      </c>
      <c r="AD3014" s="1" t="s">
        <v>441</v>
      </c>
      <c r="AE3014" s="1" t="s">
        <v>530</v>
      </c>
      <c r="AF3014" s="1" t="s">
        <v>144</v>
      </c>
      <c r="AG3014" s="1">
        <v>41</v>
      </c>
      <c r="AO3014" s="2">
        <v>46283</v>
      </c>
      <c r="AP3014" s="1" t="s">
        <v>860</v>
      </c>
      <c r="AS3014" s="1" t="s">
        <v>71</v>
      </c>
      <c r="AU3014" s="1" t="s">
        <v>72</v>
      </c>
      <c r="AV3014" s="1" t="s">
        <v>73</v>
      </c>
      <c r="AX3014" s="1">
        <v>0</v>
      </c>
      <c r="BA3014" s="1">
        <v>9</v>
      </c>
      <c r="BB3014" s="1">
        <v>0</v>
      </c>
      <c r="BC3014" s="1">
        <v>0</v>
      </c>
      <c r="BE3014" s="1">
        <v>27558981</v>
      </c>
    </row>
    <row r="3015" spans="1:57" x14ac:dyDescent="0.25">
      <c r="A3015" s="1" t="str">
        <f>T("1947652164558724256")</f>
        <v>1947652164558724256</v>
      </c>
      <c r="B3015" s="1" t="str">
        <f>T("249961340834")</f>
        <v>249961340834</v>
      </c>
      <c r="C3015" s="1" t="str">
        <f>T("1941094532716169136")</f>
        <v>1941094532716169136</v>
      </c>
      <c r="AC3015" s="1" t="s">
        <v>344</v>
      </c>
      <c r="AD3015" s="1" t="s">
        <v>441</v>
      </c>
      <c r="AE3015" s="1" t="s">
        <v>530</v>
      </c>
      <c r="AF3015" s="1" t="s">
        <v>144</v>
      </c>
      <c r="AG3015" s="1">
        <v>30</v>
      </c>
      <c r="AO3015" s="2">
        <v>46283</v>
      </c>
      <c r="AP3015" s="1" t="s">
        <v>860</v>
      </c>
      <c r="AS3015" s="1" t="s">
        <v>71</v>
      </c>
      <c r="AU3015" s="1" t="s">
        <v>72</v>
      </c>
      <c r="AV3015" s="1" t="s">
        <v>73</v>
      </c>
      <c r="AX3015" s="1">
        <v>0</v>
      </c>
      <c r="BA3015" s="1">
        <v>9</v>
      </c>
      <c r="BB3015" s="1">
        <v>0</v>
      </c>
      <c r="BC3015" s="1">
        <v>0</v>
      </c>
      <c r="BE3015" s="1">
        <v>27558981</v>
      </c>
    </row>
    <row r="3016" spans="1:57" x14ac:dyDescent="0.25">
      <c r="A3016" s="1" t="str">
        <f>T("1947652164567111472")</f>
        <v>1947652164567111472</v>
      </c>
      <c r="B3016" s="1" t="str">
        <f>T("249112935962")</f>
        <v>249112935962</v>
      </c>
      <c r="C3016" s="1" t="str">
        <f>T("1941094532716169936")</f>
        <v>1941094532716169936</v>
      </c>
      <c r="AA3016" s="1">
        <v>1</v>
      </c>
      <c r="AC3016" s="1" t="s">
        <v>344</v>
      </c>
      <c r="AD3016" s="1" t="s">
        <v>372</v>
      </c>
      <c r="AE3016" s="1" t="s">
        <v>820</v>
      </c>
      <c r="AF3016" s="1" t="s">
        <v>144</v>
      </c>
      <c r="AG3016" s="1">
        <v>31</v>
      </c>
      <c r="AO3016" s="2">
        <v>46283</v>
      </c>
      <c r="AP3016" s="1" t="s">
        <v>860</v>
      </c>
      <c r="AQ3016" s="2">
        <v>46283</v>
      </c>
      <c r="AR3016" s="1" t="s">
        <v>868</v>
      </c>
      <c r="AS3016" s="1" t="s">
        <v>71</v>
      </c>
      <c r="AU3016" s="1" t="s">
        <v>78</v>
      </c>
      <c r="AV3016" s="1" t="s">
        <v>80</v>
      </c>
      <c r="AW3016" s="1">
        <v>134.47999999999999</v>
      </c>
      <c r="AX3016" s="1">
        <v>0</v>
      </c>
      <c r="AZ3016" s="1" t="s">
        <v>81</v>
      </c>
      <c r="BA3016" s="1">
        <v>1</v>
      </c>
      <c r="BB3016" s="1">
        <v>0</v>
      </c>
      <c r="BC3016" s="1">
        <v>0</v>
      </c>
      <c r="BE3016" s="1">
        <v>27558981</v>
      </c>
    </row>
    <row r="3017" spans="1:57" x14ac:dyDescent="0.25">
      <c r="A3017" s="1" t="str">
        <f>T("1947652164571306880")</f>
        <v>1947652164571306880</v>
      </c>
      <c r="B3017" s="1" t="str">
        <f>T("249901701110")</f>
        <v>249901701110</v>
      </c>
      <c r="C3017" s="1" t="str">
        <f>T("1941094532716169636")</f>
        <v>1941094532716169636</v>
      </c>
      <c r="AC3017" s="1" t="s">
        <v>344</v>
      </c>
      <c r="AD3017" s="1" t="s">
        <v>372</v>
      </c>
      <c r="AE3017" s="1" t="s">
        <v>813</v>
      </c>
      <c r="AF3017" s="1" t="s">
        <v>107</v>
      </c>
      <c r="AG3017" s="1">
        <v>38</v>
      </c>
      <c r="AO3017" s="2">
        <v>46283</v>
      </c>
      <c r="AP3017" s="1" t="s">
        <v>860</v>
      </c>
      <c r="AS3017" s="1" t="s">
        <v>71</v>
      </c>
      <c r="AU3017" s="1" t="s">
        <v>72</v>
      </c>
      <c r="AV3017" s="1" t="s">
        <v>73</v>
      </c>
      <c r="AX3017" s="1">
        <v>0</v>
      </c>
      <c r="BA3017" s="1">
        <v>9</v>
      </c>
      <c r="BB3017" s="1">
        <v>0</v>
      </c>
      <c r="BC3017" s="1">
        <v>0</v>
      </c>
      <c r="BE3017" s="1">
        <v>27558981</v>
      </c>
    </row>
    <row r="3018" spans="1:57" x14ac:dyDescent="0.25">
      <c r="A3018" s="1" t="str">
        <f>T("1947652164579694396")</f>
        <v>1947652164579694396</v>
      </c>
      <c r="B3018" s="1" t="str">
        <f>T("249916721936")</f>
        <v>249916721936</v>
      </c>
      <c r="C3018" s="1" t="str">
        <f>T("1941094532716170336")</f>
        <v>1941094532716170336</v>
      </c>
      <c r="AC3018" s="1" t="s">
        <v>344</v>
      </c>
      <c r="AD3018" s="1" t="s">
        <v>441</v>
      </c>
      <c r="AE3018" s="1" t="s">
        <v>530</v>
      </c>
      <c r="AF3018" s="1" t="s">
        <v>107</v>
      </c>
      <c r="AG3018" s="1">
        <v>67</v>
      </c>
      <c r="AO3018" s="2">
        <v>46283</v>
      </c>
      <c r="AP3018" s="1" t="s">
        <v>860</v>
      </c>
      <c r="AS3018" s="1" t="s">
        <v>71</v>
      </c>
      <c r="AU3018" s="1" t="s">
        <v>72</v>
      </c>
      <c r="AV3018" s="1" t="s">
        <v>437</v>
      </c>
      <c r="AX3018" s="1">
        <v>0</v>
      </c>
      <c r="BA3018" s="1">
        <v>9</v>
      </c>
      <c r="BB3018" s="1">
        <v>0</v>
      </c>
      <c r="BC3018" s="1">
        <v>0</v>
      </c>
      <c r="BE3018" s="1">
        <v>27558981</v>
      </c>
    </row>
    <row r="3019" spans="1:57" x14ac:dyDescent="0.25">
      <c r="A3019" s="1" t="str">
        <f>T("1947652164592276320")</f>
        <v>1947652164592276320</v>
      </c>
      <c r="B3019" s="1" t="str">
        <f>T("249919591200")</f>
        <v>249919591200</v>
      </c>
      <c r="C3019" s="1" t="str">
        <f>T("1941094532716170836")</f>
        <v>1941094532716170836</v>
      </c>
      <c r="AC3019" s="1" t="s">
        <v>344</v>
      </c>
      <c r="AD3019" s="1" t="s">
        <v>357</v>
      </c>
      <c r="AE3019" s="1" t="s">
        <v>812</v>
      </c>
      <c r="AF3019" s="1" t="s">
        <v>107</v>
      </c>
      <c r="AG3019" s="1">
        <v>55</v>
      </c>
      <c r="AO3019" s="2">
        <v>46283</v>
      </c>
      <c r="AP3019" s="1" t="s">
        <v>860</v>
      </c>
      <c r="AS3019" s="1" t="s">
        <v>71</v>
      </c>
      <c r="AU3019" s="1" t="s">
        <v>72</v>
      </c>
      <c r="AV3019" s="1" t="s">
        <v>437</v>
      </c>
      <c r="AX3019" s="1">
        <v>0</v>
      </c>
      <c r="BA3019" s="1">
        <v>9</v>
      </c>
      <c r="BB3019" s="1">
        <v>0</v>
      </c>
      <c r="BC3019" s="1">
        <v>0</v>
      </c>
      <c r="BE3019" s="1">
        <v>27558981</v>
      </c>
    </row>
    <row r="3020" spans="1:57" x14ac:dyDescent="0.25">
      <c r="A3020" s="1" t="str">
        <f>T("1947652164604859344")</f>
        <v>1947652164604859344</v>
      </c>
      <c r="B3020" s="1" t="str">
        <f>T("249967996782")</f>
        <v>249967996782</v>
      </c>
      <c r="C3020" s="1" t="str">
        <f>T("1941094532716171236")</f>
        <v>1941094532716171236</v>
      </c>
      <c r="AC3020" s="1" t="s">
        <v>344</v>
      </c>
      <c r="AD3020" s="1" t="s">
        <v>372</v>
      </c>
      <c r="AE3020" s="1" t="s">
        <v>820</v>
      </c>
      <c r="AF3020" s="1" t="s">
        <v>107</v>
      </c>
      <c r="AG3020" s="1">
        <v>23</v>
      </c>
      <c r="AO3020" s="2">
        <v>46283</v>
      </c>
      <c r="AP3020" s="1" t="s">
        <v>860</v>
      </c>
      <c r="AS3020" s="1" t="s">
        <v>71</v>
      </c>
      <c r="AU3020" s="1" t="s">
        <v>72</v>
      </c>
      <c r="AV3020" s="1" t="s">
        <v>437</v>
      </c>
      <c r="AX3020" s="1">
        <v>0</v>
      </c>
      <c r="BA3020" s="1">
        <v>9</v>
      </c>
      <c r="BB3020" s="1">
        <v>0</v>
      </c>
      <c r="BC3020" s="1">
        <v>0</v>
      </c>
      <c r="BE3020" s="1">
        <v>27558981</v>
      </c>
    </row>
    <row r="3021" spans="1:57" x14ac:dyDescent="0.25">
      <c r="A3021" s="1" t="str">
        <f>T("1947652164609056352")</f>
        <v>1947652164609056352</v>
      </c>
      <c r="B3021" s="1" t="str">
        <f>T("249116618648")</f>
        <v>249116618648</v>
      </c>
      <c r="C3021" s="1" t="str">
        <f>T("1941094532720361844")</f>
        <v>1941094532720361844</v>
      </c>
      <c r="AA3021" s="1">
        <v>1</v>
      </c>
      <c r="AC3021" s="1" t="s">
        <v>344</v>
      </c>
      <c r="AD3021" s="1" t="s">
        <v>372</v>
      </c>
      <c r="AE3021" s="1" t="s">
        <v>820</v>
      </c>
      <c r="AF3021" s="1" t="s">
        <v>107</v>
      </c>
      <c r="AG3021" s="1">
        <v>52</v>
      </c>
      <c r="AO3021" s="2">
        <v>46283</v>
      </c>
      <c r="AP3021" s="1" t="s">
        <v>860</v>
      </c>
      <c r="AQ3021" s="2">
        <v>46283</v>
      </c>
      <c r="AR3021" s="1" t="s">
        <v>869</v>
      </c>
      <c r="AS3021" s="1" t="s">
        <v>71</v>
      </c>
      <c r="AU3021" s="1" t="s">
        <v>78</v>
      </c>
      <c r="AV3021" s="1" t="s">
        <v>80</v>
      </c>
      <c r="AW3021" s="1">
        <v>135.4</v>
      </c>
      <c r="AX3021" s="1">
        <v>0</v>
      </c>
      <c r="AZ3021" s="1" t="s">
        <v>81</v>
      </c>
      <c r="BA3021" s="1">
        <v>7</v>
      </c>
      <c r="BB3021" s="1">
        <v>0</v>
      </c>
      <c r="BC3021" s="1">
        <v>0</v>
      </c>
      <c r="BE3021" s="1">
        <v>27558981</v>
      </c>
    </row>
    <row r="3022" spans="1:57" x14ac:dyDescent="0.25">
      <c r="A3022" s="1" t="str">
        <f>T("1947652164617442268")</f>
        <v>1947652164617442268</v>
      </c>
      <c r="B3022" s="1" t="str">
        <f>T("249901880714")</f>
        <v>249901880714</v>
      </c>
      <c r="C3022" s="1" t="str">
        <f>T("1941094532720362244")</f>
        <v>1941094532720362244</v>
      </c>
      <c r="AC3022" s="1" t="s">
        <v>344</v>
      </c>
      <c r="AD3022" s="1" t="s">
        <v>441</v>
      </c>
      <c r="AE3022" s="1" t="s">
        <v>530</v>
      </c>
      <c r="AF3022" s="1" t="s">
        <v>107</v>
      </c>
      <c r="AG3022" s="1">
        <v>40</v>
      </c>
      <c r="AO3022" s="2">
        <v>46283</v>
      </c>
      <c r="AP3022" s="1" t="s">
        <v>860</v>
      </c>
      <c r="AS3022" s="1" t="s">
        <v>71</v>
      </c>
      <c r="AU3022" s="1" t="s">
        <v>72</v>
      </c>
      <c r="AV3022" s="1" t="s">
        <v>73</v>
      </c>
      <c r="AX3022" s="1">
        <v>0</v>
      </c>
      <c r="BA3022" s="1">
        <v>9</v>
      </c>
      <c r="BB3022" s="1">
        <v>0</v>
      </c>
      <c r="BC3022" s="1">
        <v>0</v>
      </c>
      <c r="BE3022" s="1">
        <v>27558981</v>
      </c>
    </row>
    <row r="3023" spans="1:57" x14ac:dyDescent="0.25">
      <c r="A3023" s="1" t="str">
        <f>T("1947652164630025992")</f>
        <v>1947652164630025992</v>
      </c>
      <c r="B3023" s="1" t="str">
        <f>T("249902532131")</f>
        <v>249902532131</v>
      </c>
      <c r="C3023" s="1" t="str">
        <f>T("1941094532720362644")</f>
        <v>1941094532720362644</v>
      </c>
      <c r="AC3023" s="1" t="s">
        <v>344</v>
      </c>
      <c r="AD3023" s="1" t="s">
        <v>372</v>
      </c>
      <c r="AE3023" s="1" t="s">
        <v>813</v>
      </c>
      <c r="AF3023" s="1" t="s">
        <v>144</v>
      </c>
      <c r="AG3023" s="1">
        <v>35</v>
      </c>
      <c r="AO3023" s="2">
        <v>46283</v>
      </c>
      <c r="AP3023" s="1" t="s">
        <v>860</v>
      </c>
      <c r="AS3023" s="1" t="s">
        <v>71</v>
      </c>
      <c r="AU3023" s="1" t="s">
        <v>72</v>
      </c>
      <c r="AV3023" s="1" t="s">
        <v>73</v>
      </c>
      <c r="AX3023" s="1">
        <v>0</v>
      </c>
      <c r="BA3023" s="1">
        <v>9</v>
      </c>
      <c r="BB3023" s="1">
        <v>0</v>
      </c>
      <c r="BC3023" s="1">
        <v>0</v>
      </c>
      <c r="BE3023" s="1">
        <v>27558981</v>
      </c>
    </row>
    <row r="3024" spans="1:57" x14ac:dyDescent="0.25">
      <c r="A3024" s="1" t="str">
        <f>T("1947652164638414608")</f>
        <v>1947652164638414608</v>
      </c>
      <c r="B3024" s="1" t="str">
        <f>T("249908651616")</f>
        <v>249908651616</v>
      </c>
      <c r="C3024" s="1" t="str">
        <f>T("1941094532720363144")</f>
        <v>1941094532720363144</v>
      </c>
      <c r="AC3024" s="1" t="s">
        <v>344</v>
      </c>
      <c r="AD3024" s="1" t="s">
        <v>441</v>
      </c>
      <c r="AE3024" s="1" t="s">
        <v>530</v>
      </c>
      <c r="AF3024" s="1" t="s">
        <v>107</v>
      </c>
      <c r="AG3024" s="1">
        <v>40</v>
      </c>
      <c r="AO3024" s="2">
        <v>46283</v>
      </c>
      <c r="AP3024" s="1" t="s">
        <v>860</v>
      </c>
      <c r="AS3024" s="1" t="s">
        <v>71</v>
      </c>
      <c r="AU3024" s="1" t="s">
        <v>72</v>
      </c>
      <c r="AV3024" s="1" t="s">
        <v>437</v>
      </c>
      <c r="AX3024" s="1">
        <v>0</v>
      </c>
      <c r="BA3024" s="1">
        <v>9</v>
      </c>
      <c r="BB3024" s="1">
        <v>0</v>
      </c>
      <c r="BC3024" s="1">
        <v>0</v>
      </c>
      <c r="BE3024" s="1">
        <v>27558981</v>
      </c>
    </row>
    <row r="3025" spans="1:57" x14ac:dyDescent="0.25">
      <c r="A3025" s="1" t="str">
        <f>T("1947652164642610816")</f>
        <v>1947652164642610816</v>
      </c>
      <c r="B3025" s="1" t="str">
        <f>T("249900673464")</f>
        <v>249900673464</v>
      </c>
      <c r="C3025" s="1" t="str">
        <f>T("1941094532720363544")</f>
        <v>1941094532720363544</v>
      </c>
      <c r="AC3025" s="1" t="s">
        <v>344</v>
      </c>
      <c r="AD3025" s="1" t="s">
        <v>372</v>
      </c>
      <c r="AE3025" s="1" t="s">
        <v>818</v>
      </c>
      <c r="AF3025" s="1" t="s">
        <v>144</v>
      </c>
      <c r="AG3025" s="1">
        <v>55</v>
      </c>
      <c r="AO3025" s="2">
        <v>46283</v>
      </c>
      <c r="AP3025" s="1" t="s">
        <v>860</v>
      </c>
      <c r="AS3025" s="1" t="s">
        <v>71</v>
      </c>
      <c r="AU3025" s="1" t="s">
        <v>72</v>
      </c>
      <c r="AV3025" s="1" t="s">
        <v>73</v>
      </c>
      <c r="AX3025" s="1">
        <v>0</v>
      </c>
      <c r="BA3025" s="1">
        <v>9</v>
      </c>
      <c r="BB3025" s="1">
        <v>0</v>
      </c>
      <c r="BC3025" s="1">
        <v>0</v>
      </c>
      <c r="BE3025" s="1">
        <v>27558981</v>
      </c>
    </row>
    <row r="3026" spans="1:57" x14ac:dyDescent="0.25">
      <c r="A3026" s="1" t="str">
        <f>T("1947652164650998632")</f>
        <v>1947652164650998632</v>
      </c>
      <c r="B3026" s="1" t="str">
        <f>T("249904105581")</f>
        <v>249904105581</v>
      </c>
      <c r="C3026" s="1" t="str">
        <f>T("1941094532720363944")</f>
        <v>1941094532720363944</v>
      </c>
      <c r="AC3026" s="1" t="s">
        <v>344</v>
      </c>
      <c r="AD3026" s="1" t="s">
        <v>441</v>
      </c>
      <c r="AE3026" s="1" t="s">
        <v>530</v>
      </c>
      <c r="AF3026" s="1" t="s">
        <v>107</v>
      </c>
      <c r="AG3026" s="1">
        <v>45</v>
      </c>
      <c r="AO3026" s="2">
        <v>46283</v>
      </c>
      <c r="AP3026" s="1" t="s">
        <v>860</v>
      </c>
      <c r="AS3026" s="1" t="s">
        <v>71</v>
      </c>
      <c r="AU3026" s="1" t="s">
        <v>72</v>
      </c>
      <c r="AV3026" s="1" t="s">
        <v>437</v>
      </c>
      <c r="AX3026" s="1">
        <v>0</v>
      </c>
      <c r="BA3026" s="1">
        <v>9</v>
      </c>
      <c r="BB3026" s="1">
        <v>0</v>
      </c>
      <c r="BC3026" s="1">
        <v>0</v>
      </c>
      <c r="BE3026" s="1">
        <v>27558981</v>
      </c>
    </row>
    <row r="3027" spans="1:57" x14ac:dyDescent="0.25">
      <c r="A3027" s="1" t="str">
        <f>T("1947652164671967672")</f>
        <v>1947652164671967672</v>
      </c>
      <c r="B3027" s="1" t="str">
        <f>T("249900237980")</f>
        <v>249900237980</v>
      </c>
      <c r="C3027" s="1" t="str">
        <f>T("1941094532720364244")</f>
        <v>1941094532720364244</v>
      </c>
      <c r="AC3027" s="1" t="s">
        <v>344</v>
      </c>
      <c r="AD3027" s="1" t="s">
        <v>441</v>
      </c>
      <c r="AE3027" s="1" t="s">
        <v>530</v>
      </c>
      <c r="AF3027" s="1" t="s">
        <v>107</v>
      </c>
      <c r="AG3027" s="1">
        <v>35</v>
      </c>
      <c r="AO3027" s="2">
        <v>46283</v>
      </c>
      <c r="AP3027" s="1" t="s">
        <v>860</v>
      </c>
      <c r="AS3027" s="1" t="s">
        <v>71</v>
      </c>
      <c r="AU3027" s="1" t="s">
        <v>72</v>
      </c>
      <c r="AV3027" s="1" t="s">
        <v>73</v>
      </c>
      <c r="AX3027" s="1">
        <v>0</v>
      </c>
      <c r="BA3027" s="1">
        <v>9</v>
      </c>
      <c r="BB3027" s="1">
        <v>0</v>
      </c>
      <c r="BC3027" s="1">
        <v>0</v>
      </c>
      <c r="BE3027" s="1">
        <v>27558981</v>
      </c>
    </row>
    <row r="3028" spans="1:57" x14ac:dyDescent="0.25">
      <c r="A3028" s="1" t="str">
        <f>T("1947652164671969472")</f>
        <v>1947652164671969472</v>
      </c>
      <c r="B3028" s="1" t="str">
        <f>T("249908445254")</f>
        <v>249908445254</v>
      </c>
      <c r="C3028" s="1" t="str">
        <f>T("1941094532720364744")</f>
        <v>1941094532720364744</v>
      </c>
      <c r="AC3028" s="1" t="s">
        <v>344</v>
      </c>
      <c r="AD3028" s="1" t="s">
        <v>372</v>
      </c>
      <c r="AE3028" s="1" t="s">
        <v>820</v>
      </c>
      <c r="AF3028" s="1" t="s">
        <v>144</v>
      </c>
      <c r="AG3028" s="1">
        <v>30</v>
      </c>
      <c r="AO3028" s="2">
        <v>46283</v>
      </c>
      <c r="AP3028" s="1" t="s">
        <v>860</v>
      </c>
      <c r="AS3028" s="1" t="s">
        <v>71</v>
      </c>
      <c r="AU3028" s="1" t="s">
        <v>72</v>
      </c>
      <c r="AV3028" s="1" t="s">
        <v>73</v>
      </c>
      <c r="AX3028" s="1">
        <v>0</v>
      </c>
      <c r="BA3028" s="1">
        <v>9</v>
      </c>
      <c r="BB3028" s="1">
        <v>0</v>
      </c>
      <c r="BC3028" s="1">
        <v>0</v>
      </c>
      <c r="BE3028" s="1">
        <v>27558981</v>
      </c>
    </row>
    <row r="3029" spans="1:57" x14ac:dyDescent="0.25">
      <c r="A3029" s="1" t="str">
        <f>T("1947652164688746104")</f>
        <v>1947652164688746104</v>
      </c>
      <c r="B3029" s="1" t="str">
        <f>T("249905707377")</f>
        <v>249905707377</v>
      </c>
      <c r="C3029" s="1" t="str">
        <f>T("1941094532720365144")</f>
        <v>1941094532720365144</v>
      </c>
      <c r="AC3029" s="1" t="s">
        <v>344</v>
      </c>
      <c r="AD3029" s="1" t="s">
        <v>441</v>
      </c>
      <c r="AE3029" s="1" t="s">
        <v>530</v>
      </c>
      <c r="AF3029" s="1" t="s">
        <v>144</v>
      </c>
      <c r="AG3029" s="1">
        <v>35</v>
      </c>
      <c r="AO3029" s="2">
        <v>46283</v>
      </c>
      <c r="AP3029" s="1" t="s">
        <v>860</v>
      </c>
      <c r="AS3029" s="1" t="s">
        <v>71</v>
      </c>
      <c r="AU3029" s="1" t="s">
        <v>72</v>
      </c>
      <c r="AV3029" s="1" t="s">
        <v>73</v>
      </c>
      <c r="AX3029" s="1">
        <v>0</v>
      </c>
      <c r="BA3029" s="1">
        <v>9</v>
      </c>
      <c r="BB3029" s="1">
        <v>0</v>
      </c>
      <c r="BC3029" s="1">
        <v>0</v>
      </c>
      <c r="BE3029" s="1">
        <v>27558981</v>
      </c>
    </row>
    <row r="3030" spans="1:57" x14ac:dyDescent="0.25">
      <c r="A3030" s="1" t="str">
        <f>T("1947652164688747204")</f>
        <v>1947652164688747204</v>
      </c>
      <c r="B3030" s="1" t="str">
        <f>T("249914272018")</f>
        <v>249914272018</v>
      </c>
      <c r="C3030" s="1" t="str">
        <f>T("1941094532724555852")</f>
        <v>1941094532724555852</v>
      </c>
      <c r="AC3030" s="1" t="s">
        <v>344</v>
      </c>
      <c r="AD3030" s="1" t="s">
        <v>441</v>
      </c>
      <c r="AE3030" s="1" t="s">
        <v>530</v>
      </c>
      <c r="AF3030" s="1" t="s">
        <v>144</v>
      </c>
      <c r="AG3030" s="1">
        <v>45</v>
      </c>
      <c r="AO3030" s="2">
        <v>46283</v>
      </c>
      <c r="AP3030" s="1" t="s">
        <v>860</v>
      </c>
      <c r="AS3030" s="1" t="s">
        <v>71</v>
      </c>
      <c r="AU3030" s="1" t="s">
        <v>72</v>
      </c>
      <c r="AV3030" s="1" t="s">
        <v>73</v>
      </c>
      <c r="AX3030" s="1">
        <v>0</v>
      </c>
      <c r="BA3030" s="1">
        <v>9</v>
      </c>
      <c r="BB3030" s="1">
        <v>0</v>
      </c>
      <c r="BC3030" s="1">
        <v>0</v>
      </c>
      <c r="BE3030" s="1">
        <v>27558981</v>
      </c>
    </row>
    <row r="3031" spans="1:57" x14ac:dyDescent="0.25">
      <c r="A3031" s="1" t="str">
        <f>T("1947652164692941612")</f>
        <v>1947652164692941612</v>
      </c>
      <c r="B3031" s="1" t="str">
        <f>T("249922231753")</f>
        <v>249922231753</v>
      </c>
      <c r="C3031" s="1" t="str">
        <f>T("1941094532724557652")</f>
        <v>1941094532724557652</v>
      </c>
      <c r="AC3031" s="1" t="s">
        <v>344</v>
      </c>
      <c r="AD3031" s="1" t="s">
        <v>372</v>
      </c>
      <c r="AE3031" s="1" t="s">
        <v>815</v>
      </c>
      <c r="AF3031" s="1" t="s">
        <v>144</v>
      </c>
      <c r="AG3031" s="1">
        <v>34</v>
      </c>
      <c r="AO3031" s="2">
        <v>46283</v>
      </c>
      <c r="AP3031" s="1" t="s">
        <v>860</v>
      </c>
      <c r="AS3031" s="1" t="s">
        <v>71</v>
      </c>
      <c r="AU3031" s="1" t="s">
        <v>72</v>
      </c>
      <c r="AV3031" s="1" t="s">
        <v>73</v>
      </c>
      <c r="AX3031" s="1">
        <v>0</v>
      </c>
      <c r="BA3031" s="1">
        <v>9</v>
      </c>
      <c r="BB3031" s="1">
        <v>0</v>
      </c>
      <c r="BC3031" s="1">
        <v>0</v>
      </c>
      <c r="BE3031" s="1">
        <v>27558981</v>
      </c>
    </row>
    <row r="3032" spans="1:57" x14ac:dyDescent="0.25">
      <c r="A3032" s="1" t="str">
        <f>T("1947652164705524036")</f>
        <v>1947652164705524036</v>
      </c>
      <c r="B3032" s="1" t="str">
        <f>T("249968955277")</f>
        <v>249968955277</v>
      </c>
      <c r="C3032" s="1" t="str">
        <f>T("1941094532724558052")</f>
        <v>1941094532724558052</v>
      </c>
      <c r="AC3032" s="1" t="s">
        <v>344</v>
      </c>
      <c r="AD3032" s="1" t="s">
        <v>372</v>
      </c>
      <c r="AE3032" s="1" t="s">
        <v>373</v>
      </c>
      <c r="AF3032" s="1" t="s">
        <v>107</v>
      </c>
      <c r="AG3032" s="1">
        <v>45</v>
      </c>
      <c r="AO3032" s="2">
        <v>46283</v>
      </c>
      <c r="AP3032" s="1" t="s">
        <v>860</v>
      </c>
      <c r="AS3032" s="1" t="s">
        <v>71</v>
      </c>
      <c r="AU3032" s="1" t="s">
        <v>72</v>
      </c>
      <c r="AV3032" s="1" t="s">
        <v>437</v>
      </c>
      <c r="AX3032" s="1">
        <v>0</v>
      </c>
      <c r="BA3032" s="1">
        <v>9</v>
      </c>
      <c r="BB3032" s="1">
        <v>0</v>
      </c>
      <c r="BC3032" s="1">
        <v>0</v>
      </c>
      <c r="BE3032" s="1">
        <v>27558981</v>
      </c>
    </row>
    <row r="3033" spans="1:57" x14ac:dyDescent="0.25">
      <c r="A3033" s="1" t="str">
        <f>T("1947652164718107960")</f>
        <v>1947652164718107960</v>
      </c>
      <c r="B3033" s="1" t="str">
        <f>T("249968859789")</f>
        <v>249968859789</v>
      </c>
      <c r="C3033" s="1" t="str">
        <f>T("1941094532724558452")</f>
        <v>1941094532724558452</v>
      </c>
      <c r="AC3033" s="1" t="s">
        <v>344</v>
      </c>
      <c r="AD3033" s="1" t="s">
        <v>372</v>
      </c>
      <c r="AE3033" s="1" t="s">
        <v>813</v>
      </c>
      <c r="AF3033" s="1" t="s">
        <v>144</v>
      </c>
      <c r="AG3033" s="1">
        <v>65</v>
      </c>
      <c r="AO3033" s="2">
        <v>46283</v>
      </c>
      <c r="AP3033" s="1" t="s">
        <v>860</v>
      </c>
      <c r="AS3033" s="1" t="s">
        <v>71</v>
      </c>
      <c r="AU3033" s="1" t="s">
        <v>72</v>
      </c>
      <c r="AV3033" s="1" t="s">
        <v>73</v>
      </c>
      <c r="AX3033" s="1">
        <v>0</v>
      </c>
      <c r="BA3033" s="1">
        <v>9</v>
      </c>
      <c r="BB3033" s="1">
        <v>0</v>
      </c>
      <c r="BC3033" s="1">
        <v>0</v>
      </c>
      <c r="BE3033" s="1">
        <v>27558981</v>
      </c>
    </row>
    <row r="3034" spans="1:57" x14ac:dyDescent="0.25">
      <c r="A3034" s="1" t="str">
        <f>T("1947652164739078900")</f>
        <v>1947652164739078900</v>
      </c>
      <c r="B3034" s="1" t="str">
        <f>T("249969483901")</f>
        <v>249969483901</v>
      </c>
      <c r="C3034" s="1" t="str">
        <f>T("1941094532724558952")</f>
        <v>1941094532724558952</v>
      </c>
      <c r="AC3034" s="1" t="s">
        <v>344</v>
      </c>
      <c r="AD3034" s="1" t="s">
        <v>372</v>
      </c>
      <c r="AE3034" s="1" t="s">
        <v>813</v>
      </c>
      <c r="AF3034" s="1" t="s">
        <v>144</v>
      </c>
      <c r="AG3034" s="1">
        <v>30</v>
      </c>
      <c r="AO3034" s="2">
        <v>46283</v>
      </c>
      <c r="AP3034" s="1" t="s">
        <v>860</v>
      </c>
      <c r="AS3034" s="1" t="s">
        <v>71</v>
      </c>
      <c r="AU3034" s="1" t="s">
        <v>72</v>
      </c>
      <c r="AV3034" s="1" t="s">
        <v>437</v>
      </c>
      <c r="AX3034" s="1">
        <v>0</v>
      </c>
      <c r="BA3034" s="1">
        <v>9</v>
      </c>
      <c r="BB3034" s="1">
        <v>0</v>
      </c>
      <c r="BC3034" s="1">
        <v>0</v>
      </c>
      <c r="BE3034" s="1">
        <v>27558981</v>
      </c>
    </row>
    <row r="3035" spans="1:57" x14ac:dyDescent="0.25">
      <c r="A3035" s="1" t="str">
        <f>T("1947652164743272608")</f>
        <v>1947652164743272608</v>
      </c>
      <c r="B3035" s="1" t="str">
        <f>T("249916054519")</f>
        <v>249916054519</v>
      </c>
      <c r="C3035" s="1" t="str">
        <f>T("1941094532724559552")</f>
        <v>1941094532724559552</v>
      </c>
      <c r="AC3035" s="1" t="s">
        <v>344</v>
      </c>
      <c r="AD3035" s="1" t="s">
        <v>430</v>
      </c>
      <c r="AE3035" s="1" t="s">
        <v>530</v>
      </c>
      <c r="AF3035" s="1" t="s">
        <v>107</v>
      </c>
      <c r="AG3035" s="1">
        <v>27</v>
      </c>
      <c r="AO3035" s="2">
        <v>46283</v>
      </c>
      <c r="AP3035" s="1" t="s">
        <v>860</v>
      </c>
      <c r="AS3035" s="1" t="s">
        <v>71</v>
      </c>
      <c r="AU3035" s="1" t="s">
        <v>72</v>
      </c>
      <c r="AV3035" s="1" t="s">
        <v>437</v>
      </c>
      <c r="AX3035" s="1">
        <v>0</v>
      </c>
      <c r="BA3035" s="1">
        <v>9</v>
      </c>
      <c r="BB3035" s="1">
        <v>0</v>
      </c>
      <c r="BC3035" s="1">
        <v>0</v>
      </c>
      <c r="BE3035" s="1">
        <v>27558981</v>
      </c>
    </row>
    <row r="3036" spans="1:57" x14ac:dyDescent="0.25">
      <c r="A3036" s="1" t="str">
        <f>T("1947652164751662924")</f>
        <v>1947652164751662924</v>
      </c>
      <c r="B3036" s="1" t="str">
        <f>T("249916390917")</f>
        <v>249916390917</v>
      </c>
      <c r="C3036" s="1" t="str">
        <f>T("1941094532728750260")</f>
        <v>1941094532728750260</v>
      </c>
      <c r="AC3036" s="1" t="s">
        <v>344</v>
      </c>
      <c r="AD3036" s="1" t="s">
        <v>372</v>
      </c>
      <c r="AE3036" s="1" t="s">
        <v>818</v>
      </c>
      <c r="AF3036" s="1" t="s">
        <v>144</v>
      </c>
      <c r="AG3036" s="1">
        <v>70</v>
      </c>
      <c r="AO3036" s="2">
        <v>46283</v>
      </c>
      <c r="AP3036" s="1" t="s">
        <v>860</v>
      </c>
      <c r="AS3036" s="1" t="s">
        <v>71</v>
      </c>
      <c r="AU3036" s="1" t="s">
        <v>72</v>
      </c>
      <c r="AV3036" s="1" t="s">
        <v>437</v>
      </c>
      <c r="AX3036" s="1">
        <v>0</v>
      </c>
      <c r="BA3036" s="1">
        <v>9</v>
      </c>
      <c r="BB3036" s="1">
        <v>0</v>
      </c>
      <c r="BC3036" s="1">
        <v>0</v>
      </c>
      <c r="BE3036" s="1">
        <v>27558981</v>
      </c>
    </row>
    <row r="3037" spans="1:57" x14ac:dyDescent="0.25">
      <c r="A3037" s="1" t="str">
        <f>T("1947652164755854032")</f>
        <v>1947652164755854032</v>
      </c>
      <c r="B3037" s="1" t="str">
        <f>T("249908107466")</f>
        <v>249908107466</v>
      </c>
      <c r="C3037" s="1" t="str">
        <f>T("1941094532728751260")</f>
        <v>1941094532728751260</v>
      </c>
      <c r="AC3037" s="1" t="s">
        <v>344</v>
      </c>
      <c r="AD3037" s="1" t="s">
        <v>441</v>
      </c>
      <c r="AE3037" s="1" t="s">
        <v>530</v>
      </c>
      <c r="AF3037" s="1" t="s">
        <v>107</v>
      </c>
      <c r="AG3037" s="1">
        <v>35</v>
      </c>
      <c r="AO3037" s="2">
        <v>46283</v>
      </c>
      <c r="AP3037" s="1" t="s">
        <v>860</v>
      </c>
      <c r="AS3037" s="1" t="s">
        <v>71</v>
      </c>
      <c r="AU3037" s="1" t="s">
        <v>72</v>
      </c>
      <c r="AV3037" s="1" t="s">
        <v>73</v>
      </c>
      <c r="AX3037" s="1">
        <v>0</v>
      </c>
      <c r="BA3037" s="1">
        <v>9</v>
      </c>
      <c r="BB3037" s="1">
        <v>0</v>
      </c>
      <c r="BC3037" s="1">
        <v>0</v>
      </c>
      <c r="BE3037" s="1">
        <v>27558981</v>
      </c>
    </row>
    <row r="3038" spans="1:57" x14ac:dyDescent="0.25">
      <c r="A3038" s="1" t="str">
        <f>T("1947652164760049240")</f>
        <v>1947652164760049240</v>
      </c>
      <c r="B3038" s="1" t="str">
        <f>T("249918484945")</f>
        <v>249918484945</v>
      </c>
      <c r="C3038" s="1" t="str">
        <f>T("1941094532728751660")</f>
        <v>1941094532728751660</v>
      </c>
      <c r="AC3038" s="1" t="s">
        <v>344</v>
      </c>
      <c r="AD3038" s="1" t="s">
        <v>372</v>
      </c>
      <c r="AE3038" s="1" t="s">
        <v>813</v>
      </c>
      <c r="AF3038" s="1" t="s">
        <v>144</v>
      </c>
      <c r="AG3038" s="1">
        <v>28</v>
      </c>
      <c r="AO3038" s="2">
        <v>46283</v>
      </c>
      <c r="AP3038" s="1" t="s">
        <v>860</v>
      </c>
      <c r="AS3038" s="1" t="s">
        <v>71</v>
      </c>
      <c r="AU3038" s="1" t="s">
        <v>72</v>
      </c>
      <c r="AV3038" s="1" t="s">
        <v>73</v>
      </c>
      <c r="AX3038" s="1">
        <v>0</v>
      </c>
      <c r="BA3038" s="1">
        <v>9</v>
      </c>
      <c r="BB3038" s="1">
        <v>0</v>
      </c>
      <c r="BC3038" s="1">
        <v>0</v>
      </c>
      <c r="BE3038" s="1">
        <v>27558981</v>
      </c>
    </row>
    <row r="3039" spans="1:57" x14ac:dyDescent="0.25">
      <c r="A3039" s="1" t="str">
        <f>T("1947652164768439056")</f>
        <v>1947652164768439056</v>
      </c>
      <c r="B3039" s="1" t="str">
        <f>T("249902458095")</f>
        <v>249902458095</v>
      </c>
      <c r="C3039" s="1" t="str">
        <f>T("1941094532728751960")</f>
        <v>1941094532728751960</v>
      </c>
      <c r="AC3039" s="1" t="s">
        <v>344</v>
      </c>
      <c r="AD3039" s="1" t="s">
        <v>430</v>
      </c>
      <c r="AE3039" s="1" t="s">
        <v>530</v>
      </c>
      <c r="AF3039" s="1" t="s">
        <v>107</v>
      </c>
      <c r="AG3039" s="1">
        <v>70</v>
      </c>
      <c r="AO3039" s="2">
        <v>46283</v>
      </c>
      <c r="AP3039" s="1" t="s">
        <v>860</v>
      </c>
      <c r="AS3039" s="1" t="s">
        <v>71</v>
      </c>
      <c r="AU3039" s="1" t="s">
        <v>72</v>
      </c>
      <c r="AV3039" s="1" t="s">
        <v>437</v>
      </c>
      <c r="AX3039" s="1">
        <v>0</v>
      </c>
      <c r="BA3039" s="1">
        <v>9</v>
      </c>
      <c r="BB3039" s="1">
        <v>0</v>
      </c>
      <c r="BC3039" s="1">
        <v>0</v>
      </c>
      <c r="BE3039" s="1">
        <v>27558981</v>
      </c>
    </row>
    <row r="3040" spans="1:57" x14ac:dyDescent="0.25">
      <c r="A3040" s="1" t="str">
        <f>T("1947652164793604104")</f>
        <v>1947652164793604104</v>
      </c>
      <c r="B3040" s="1" t="str">
        <f>T("249900140822")</f>
        <v>249900140822</v>
      </c>
      <c r="C3040" s="1" t="str">
        <f>T("1941094532732944768")</f>
        <v>1941094532732944768</v>
      </c>
      <c r="AC3040" s="1" t="s">
        <v>344</v>
      </c>
      <c r="AD3040" s="1" t="s">
        <v>372</v>
      </c>
      <c r="AE3040" s="1" t="s">
        <v>373</v>
      </c>
      <c r="AF3040" s="1" t="s">
        <v>144</v>
      </c>
      <c r="AG3040" s="1">
        <v>21</v>
      </c>
      <c r="AO3040" s="2">
        <v>46283</v>
      </c>
      <c r="AP3040" s="1" t="s">
        <v>860</v>
      </c>
      <c r="AS3040" s="1" t="s">
        <v>71</v>
      </c>
      <c r="AU3040" s="1" t="s">
        <v>72</v>
      </c>
      <c r="AV3040" s="1" t="s">
        <v>73</v>
      </c>
      <c r="AX3040" s="1">
        <v>0</v>
      </c>
      <c r="BA3040" s="1">
        <v>9</v>
      </c>
      <c r="BB3040" s="1">
        <v>0</v>
      </c>
      <c r="BC3040" s="1">
        <v>0</v>
      </c>
      <c r="BE3040" s="1">
        <v>27558981</v>
      </c>
    </row>
    <row r="3041" spans="1:57" x14ac:dyDescent="0.25">
      <c r="A3041" s="1" t="str">
        <f>T("1947652164797797112")</f>
        <v>1947652164797797112</v>
      </c>
      <c r="B3041" s="1" t="str">
        <f>T("249918077320")</f>
        <v>249918077320</v>
      </c>
      <c r="C3041" s="1" t="str">
        <f>T("1941094532732945768")</f>
        <v>1941094532732945768</v>
      </c>
      <c r="AC3041" s="1" t="s">
        <v>344</v>
      </c>
      <c r="AD3041" s="1" t="s">
        <v>441</v>
      </c>
      <c r="AE3041" s="1" t="s">
        <v>530</v>
      </c>
      <c r="AF3041" s="1" t="s">
        <v>107</v>
      </c>
      <c r="AG3041" s="1">
        <v>60</v>
      </c>
      <c r="AO3041" s="2">
        <v>46283</v>
      </c>
      <c r="AP3041" s="1" t="s">
        <v>860</v>
      </c>
      <c r="AS3041" s="1" t="s">
        <v>71</v>
      </c>
      <c r="AU3041" s="1" t="s">
        <v>72</v>
      </c>
      <c r="AV3041" s="1" t="s">
        <v>73</v>
      </c>
      <c r="AX3041" s="1">
        <v>0</v>
      </c>
      <c r="BA3041" s="1">
        <v>9</v>
      </c>
      <c r="BB3041" s="1">
        <v>0</v>
      </c>
      <c r="BC3041" s="1">
        <v>0</v>
      </c>
      <c r="BE3041" s="1">
        <v>27558981</v>
      </c>
    </row>
    <row r="3042" spans="1:57" x14ac:dyDescent="0.25">
      <c r="A3042" s="1" t="str">
        <f>T("1947652164806185628")</f>
        <v>1947652164806185628</v>
      </c>
      <c r="B3042" s="1" t="str">
        <f>T("249965093187")</f>
        <v>249965093187</v>
      </c>
      <c r="C3042" s="1" t="str">
        <f>T("1941094532741336384")</f>
        <v>1941094532741336384</v>
      </c>
      <c r="AC3042" s="1" t="s">
        <v>344</v>
      </c>
      <c r="AD3042" s="1" t="s">
        <v>441</v>
      </c>
      <c r="AE3042" s="1" t="s">
        <v>530</v>
      </c>
      <c r="AF3042" s="1" t="s">
        <v>144</v>
      </c>
      <c r="AG3042" s="1">
        <v>45</v>
      </c>
      <c r="AO3042" s="2">
        <v>46283</v>
      </c>
      <c r="AP3042" s="1" t="s">
        <v>860</v>
      </c>
      <c r="AS3042" s="1" t="s">
        <v>71</v>
      </c>
      <c r="AU3042" s="1" t="s">
        <v>72</v>
      </c>
      <c r="AV3042" s="1" t="s">
        <v>437</v>
      </c>
      <c r="AX3042" s="1">
        <v>0</v>
      </c>
      <c r="BA3042" s="1">
        <v>9</v>
      </c>
      <c r="BB3042" s="1">
        <v>0</v>
      </c>
      <c r="BC3042" s="1">
        <v>0</v>
      </c>
      <c r="BE3042" s="1">
        <v>27558981</v>
      </c>
    </row>
    <row r="3043" spans="1:57" x14ac:dyDescent="0.25">
      <c r="A3043" s="1" t="str">
        <f>T("1947652164806186328")</f>
        <v>1947652164806186328</v>
      </c>
      <c r="B3043" s="1" t="str">
        <f>T("249967411310")</f>
        <v>249967411310</v>
      </c>
      <c r="C3043" s="1" t="str">
        <f>T("1941094532741337084")</f>
        <v>1941094532741337084</v>
      </c>
      <c r="AC3043" s="1" t="s">
        <v>344</v>
      </c>
      <c r="AD3043" s="1" t="s">
        <v>430</v>
      </c>
      <c r="AE3043" s="1" t="s">
        <v>530</v>
      </c>
      <c r="AF3043" s="1" t="s">
        <v>107</v>
      </c>
      <c r="AG3043" s="1">
        <v>35</v>
      </c>
      <c r="AO3043" s="2">
        <v>46283</v>
      </c>
      <c r="AP3043" s="1" t="s">
        <v>860</v>
      </c>
      <c r="AS3043" s="1" t="s">
        <v>71</v>
      </c>
      <c r="AU3043" s="1" t="s">
        <v>72</v>
      </c>
      <c r="AV3043" s="1" t="s">
        <v>73</v>
      </c>
      <c r="AX3043" s="1">
        <v>0</v>
      </c>
      <c r="BA3043" s="1">
        <v>9</v>
      </c>
      <c r="BB3043" s="1">
        <v>0</v>
      </c>
      <c r="BC3043" s="1">
        <v>0</v>
      </c>
      <c r="BE3043" s="1">
        <v>27558981</v>
      </c>
    </row>
    <row r="3044" spans="1:57" x14ac:dyDescent="0.25">
      <c r="A3044" s="1" t="str">
        <f>T("1947652164810380736")</f>
        <v>1947652164810380736</v>
      </c>
      <c r="B3044" s="1" t="str">
        <f>T("249968283476")</f>
        <v>249968283476</v>
      </c>
      <c r="C3044" s="1" t="str">
        <f>T("1941094532745527692")</f>
        <v>1941094532745527692</v>
      </c>
      <c r="AC3044" s="1" t="s">
        <v>344</v>
      </c>
      <c r="AD3044" s="1" t="s">
        <v>357</v>
      </c>
      <c r="AE3044" s="1" t="s">
        <v>817</v>
      </c>
      <c r="AF3044" s="1" t="s">
        <v>107</v>
      </c>
      <c r="AG3044" s="1">
        <v>53</v>
      </c>
      <c r="AO3044" s="2">
        <v>46283</v>
      </c>
      <c r="AP3044" s="1" t="s">
        <v>860</v>
      </c>
      <c r="AS3044" s="1" t="s">
        <v>71</v>
      </c>
      <c r="AU3044" s="1" t="s">
        <v>72</v>
      </c>
      <c r="AV3044" s="1" t="s">
        <v>73</v>
      </c>
      <c r="AX3044" s="1">
        <v>0</v>
      </c>
      <c r="BA3044" s="1">
        <v>9</v>
      </c>
      <c r="BB3044" s="1">
        <v>0</v>
      </c>
      <c r="BC3044" s="1">
        <v>0</v>
      </c>
      <c r="BE3044" s="1">
        <v>27558981</v>
      </c>
    </row>
    <row r="3045" spans="1:57" x14ac:dyDescent="0.25">
      <c r="A3045" s="1" t="str">
        <f>T("1947652164818769752")</f>
        <v>1947652164818769752</v>
      </c>
      <c r="B3045" s="1" t="str">
        <f>T("249960089839")</f>
        <v>249960089839</v>
      </c>
      <c r="C3045" s="1" t="str">
        <f>T("1941094532745528092")</f>
        <v>1941094532745528092</v>
      </c>
      <c r="AC3045" s="1" t="s">
        <v>344</v>
      </c>
      <c r="AD3045" s="1" t="s">
        <v>372</v>
      </c>
      <c r="AE3045" s="1" t="s">
        <v>813</v>
      </c>
      <c r="AF3045" s="1" t="s">
        <v>107</v>
      </c>
      <c r="AG3045" s="1">
        <v>65</v>
      </c>
      <c r="AO3045" s="2">
        <v>46283</v>
      </c>
      <c r="AP3045" s="1" t="s">
        <v>860</v>
      </c>
      <c r="AS3045" s="1" t="s">
        <v>71</v>
      </c>
      <c r="AU3045" s="1" t="s">
        <v>72</v>
      </c>
      <c r="AV3045" s="1" t="s">
        <v>437</v>
      </c>
      <c r="AX3045" s="1">
        <v>0</v>
      </c>
      <c r="BA3045" s="1">
        <v>9</v>
      </c>
      <c r="BB3045" s="1">
        <v>0</v>
      </c>
      <c r="BC3045" s="1">
        <v>0</v>
      </c>
      <c r="BE3045" s="1">
        <v>27558981</v>
      </c>
    </row>
    <row r="3046" spans="1:57" x14ac:dyDescent="0.25">
      <c r="A3046" s="1" t="str">
        <f>T("1947652164843934300")</f>
        <v>1947652164843934300</v>
      </c>
      <c r="B3046" s="1" t="str">
        <f>T("249961373727")</f>
        <v>249961373727</v>
      </c>
      <c r="C3046" s="1" t="str">
        <f>T("1941094532745528492")</f>
        <v>1941094532745528492</v>
      </c>
      <c r="AC3046" s="1" t="s">
        <v>344</v>
      </c>
      <c r="AD3046" s="1" t="s">
        <v>430</v>
      </c>
      <c r="AE3046" s="1" t="s">
        <v>530</v>
      </c>
      <c r="AF3046" s="1" t="s">
        <v>107</v>
      </c>
      <c r="AG3046" s="1">
        <v>18</v>
      </c>
      <c r="AO3046" s="2">
        <v>46283</v>
      </c>
      <c r="AP3046" s="1" t="s">
        <v>860</v>
      </c>
      <c r="AS3046" s="1" t="s">
        <v>71</v>
      </c>
      <c r="AU3046" s="1" t="s">
        <v>72</v>
      </c>
      <c r="AV3046" s="1" t="s">
        <v>73</v>
      </c>
      <c r="AX3046" s="1">
        <v>0</v>
      </c>
      <c r="BA3046" s="1">
        <v>9</v>
      </c>
      <c r="BB3046" s="1">
        <v>0</v>
      </c>
      <c r="BC3046" s="1">
        <v>0</v>
      </c>
      <c r="BE3046" s="1">
        <v>27558981</v>
      </c>
    </row>
    <row r="3047" spans="1:57" x14ac:dyDescent="0.25">
      <c r="A3047" s="1" t="str">
        <f>T("1947652164852324016")</f>
        <v>1947652164852324016</v>
      </c>
      <c r="B3047" s="1" t="str">
        <f>T("249915324446")</f>
        <v>249915324446</v>
      </c>
      <c r="C3047" s="1" t="str">
        <f>T("1941094532745528892")</f>
        <v>1941094532745528892</v>
      </c>
      <c r="AC3047" s="1" t="s">
        <v>344</v>
      </c>
      <c r="AD3047" s="1" t="s">
        <v>372</v>
      </c>
      <c r="AE3047" s="1" t="s">
        <v>820</v>
      </c>
      <c r="AF3047" s="1" t="s">
        <v>144</v>
      </c>
      <c r="AG3047" s="1">
        <v>40</v>
      </c>
      <c r="AO3047" s="2">
        <v>46283</v>
      </c>
      <c r="AP3047" s="1" t="s">
        <v>860</v>
      </c>
      <c r="AS3047" s="1" t="s">
        <v>71</v>
      </c>
      <c r="AU3047" s="1" t="s">
        <v>72</v>
      </c>
      <c r="AV3047" s="1" t="s">
        <v>73</v>
      </c>
      <c r="AX3047" s="1">
        <v>0</v>
      </c>
      <c r="BA3047" s="1">
        <v>9</v>
      </c>
      <c r="BB3047" s="1">
        <v>0</v>
      </c>
      <c r="BC3047" s="1">
        <v>0</v>
      </c>
      <c r="BE3047" s="1">
        <v>27558981</v>
      </c>
    </row>
    <row r="3048" spans="1:57" x14ac:dyDescent="0.25">
      <c r="A3048" s="1" t="str">
        <f>T("1947698896894104012")</f>
        <v>1947698896894104012</v>
      </c>
      <c r="B3048" s="1" t="str">
        <f>T("249117634187")</f>
        <v>249117634187</v>
      </c>
      <c r="C3048" s="1" t="str">
        <f>T("1941094532745529592")</f>
        <v>1941094532745529592</v>
      </c>
      <c r="AC3048" s="1" t="s">
        <v>344</v>
      </c>
      <c r="AD3048" s="1" t="s">
        <v>372</v>
      </c>
      <c r="AE3048" s="1" t="s">
        <v>820</v>
      </c>
      <c r="AF3048" s="1" t="s">
        <v>144</v>
      </c>
      <c r="AG3048" s="1">
        <v>30</v>
      </c>
      <c r="AO3048" s="2">
        <v>46283</v>
      </c>
      <c r="AP3048" s="1" t="s">
        <v>870</v>
      </c>
      <c r="AS3048" s="1" t="s">
        <v>71</v>
      </c>
      <c r="AU3048" s="1" t="s">
        <v>72</v>
      </c>
      <c r="AV3048" s="1" t="s">
        <v>115</v>
      </c>
      <c r="AX3048" s="1">
        <v>0</v>
      </c>
      <c r="BA3048" s="1">
        <v>9</v>
      </c>
      <c r="BB3048" s="1">
        <v>0</v>
      </c>
      <c r="BC3048" s="1">
        <v>0</v>
      </c>
      <c r="BE3048" s="1">
        <v>27558998</v>
      </c>
    </row>
    <row r="3049" spans="1:57" x14ac:dyDescent="0.25">
      <c r="A3049" s="1" t="str">
        <f>T("1947698896898301820")</f>
        <v>1947698896898301820</v>
      </c>
      <c r="B3049" s="1" t="str">
        <f>T("249912681534")</f>
        <v>249912681534</v>
      </c>
      <c r="C3049" s="1" t="str">
        <f>T("1941094532745529292")</f>
        <v>1941094532745529292</v>
      </c>
      <c r="AC3049" s="1" t="s">
        <v>344</v>
      </c>
      <c r="AD3049" s="1" t="s">
        <v>430</v>
      </c>
      <c r="AE3049" s="1" t="s">
        <v>530</v>
      </c>
      <c r="AF3049" s="1" t="s">
        <v>144</v>
      </c>
      <c r="AG3049" s="1">
        <v>45</v>
      </c>
      <c r="AO3049" s="2">
        <v>46283</v>
      </c>
      <c r="AP3049" s="1" t="s">
        <v>870</v>
      </c>
      <c r="AS3049" s="1" t="s">
        <v>71</v>
      </c>
      <c r="AU3049" s="1" t="s">
        <v>72</v>
      </c>
      <c r="AV3049" s="1" t="s">
        <v>437</v>
      </c>
      <c r="AX3049" s="1">
        <v>0</v>
      </c>
      <c r="BA3049" s="1">
        <v>9</v>
      </c>
      <c r="BB3049" s="1">
        <v>0</v>
      </c>
      <c r="BC3049" s="1">
        <v>0</v>
      </c>
      <c r="BE3049" s="1">
        <v>27558998</v>
      </c>
    </row>
    <row r="3050" spans="1:57" x14ac:dyDescent="0.25">
      <c r="A3050" s="1" t="str">
        <f>T("1947698897103819112")</f>
        <v>1947698897103819112</v>
      </c>
      <c r="B3050" s="1" t="str">
        <f>T("249961519218")</f>
        <v>249961519218</v>
      </c>
      <c r="C3050" s="1" t="str">
        <f>T("1941094532745529992")</f>
        <v>1941094532745529992</v>
      </c>
      <c r="AC3050" s="1" t="s">
        <v>344</v>
      </c>
      <c r="AD3050" s="1" t="s">
        <v>441</v>
      </c>
      <c r="AE3050" s="1" t="s">
        <v>530</v>
      </c>
      <c r="AF3050" s="1" t="s">
        <v>144</v>
      </c>
      <c r="AG3050" s="1">
        <v>35</v>
      </c>
      <c r="AO3050" s="2">
        <v>46283</v>
      </c>
      <c r="AP3050" s="1" t="s">
        <v>870</v>
      </c>
      <c r="AS3050" s="1" t="s">
        <v>71</v>
      </c>
      <c r="AU3050" s="1" t="s">
        <v>75</v>
      </c>
      <c r="AV3050" s="1" t="s">
        <v>590</v>
      </c>
      <c r="AX3050" s="1">
        <v>0</v>
      </c>
      <c r="BA3050" s="1">
        <v>6</v>
      </c>
      <c r="BB3050" s="1">
        <v>0</v>
      </c>
      <c r="BC3050" s="1">
        <v>0</v>
      </c>
      <c r="BE3050" s="1">
        <v>27558998</v>
      </c>
    </row>
    <row r="3051" spans="1:57" x14ac:dyDescent="0.25">
      <c r="A3051" s="1" t="str">
        <f>T("1947698897166736432")</f>
        <v>1947698897166736432</v>
      </c>
      <c r="B3051" s="1" t="str">
        <f>T("249967373292")</f>
        <v>249967373292</v>
      </c>
      <c r="C3051" s="1" t="str">
        <f>T("1941094532745530592")</f>
        <v>1941094532745530592</v>
      </c>
      <c r="AC3051" s="1" t="s">
        <v>344</v>
      </c>
      <c r="AD3051" s="1" t="s">
        <v>441</v>
      </c>
      <c r="AE3051" s="1" t="s">
        <v>530</v>
      </c>
      <c r="AF3051" s="1" t="s">
        <v>144</v>
      </c>
      <c r="AG3051" s="1">
        <v>35</v>
      </c>
      <c r="AO3051" s="2">
        <v>46283</v>
      </c>
      <c r="AP3051" s="1" t="s">
        <v>870</v>
      </c>
      <c r="AS3051" s="1" t="s">
        <v>71</v>
      </c>
      <c r="AU3051" s="1" t="s">
        <v>72</v>
      </c>
      <c r="AV3051" s="1" t="s">
        <v>437</v>
      </c>
      <c r="AX3051" s="1">
        <v>0</v>
      </c>
      <c r="BA3051" s="1">
        <v>9</v>
      </c>
      <c r="BB3051" s="1">
        <v>0</v>
      </c>
      <c r="BC3051" s="1">
        <v>0</v>
      </c>
      <c r="BE3051" s="1">
        <v>27558998</v>
      </c>
    </row>
    <row r="3052" spans="1:57" x14ac:dyDescent="0.25">
      <c r="A3052" s="1" t="str">
        <f>T("1947698897175124848")</f>
        <v>1947698897175124848</v>
      </c>
      <c r="B3052" s="1" t="str">
        <f>T("249914656002")</f>
        <v>249914656002</v>
      </c>
      <c r="C3052" s="1" t="str">
        <f>T("1941094532745530992")</f>
        <v>1941094532745530992</v>
      </c>
      <c r="AC3052" s="1" t="s">
        <v>344</v>
      </c>
      <c r="AD3052" s="1" t="s">
        <v>372</v>
      </c>
      <c r="AE3052" s="1" t="s">
        <v>813</v>
      </c>
      <c r="AF3052" s="1" t="s">
        <v>107</v>
      </c>
      <c r="AG3052" s="1">
        <v>40</v>
      </c>
      <c r="AO3052" s="2">
        <v>46283</v>
      </c>
      <c r="AP3052" s="1" t="s">
        <v>870</v>
      </c>
      <c r="AS3052" s="1" t="s">
        <v>71</v>
      </c>
      <c r="AU3052" s="1" t="s">
        <v>72</v>
      </c>
      <c r="AV3052" s="1" t="s">
        <v>437</v>
      </c>
      <c r="AX3052" s="1">
        <v>0</v>
      </c>
      <c r="BA3052" s="1">
        <v>9</v>
      </c>
      <c r="BB3052" s="1">
        <v>0</v>
      </c>
      <c r="BC3052" s="1">
        <v>0</v>
      </c>
      <c r="BE3052" s="1">
        <v>27558998</v>
      </c>
    </row>
    <row r="3053" spans="1:57" x14ac:dyDescent="0.25">
      <c r="A3053" s="1" t="str">
        <f>T("1947698897250621292")</f>
        <v>1947698897250621292</v>
      </c>
      <c r="B3053" s="1" t="str">
        <f>T("249908636713")</f>
        <v>249908636713</v>
      </c>
      <c r="C3053" s="1" t="str">
        <f>T("1941094532749721600")</f>
        <v>1941094532749721600</v>
      </c>
      <c r="AC3053" s="1" t="s">
        <v>344</v>
      </c>
      <c r="AD3053" s="1" t="s">
        <v>441</v>
      </c>
      <c r="AE3053" s="1" t="s">
        <v>530</v>
      </c>
      <c r="AF3053" s="1" t="s">
        <v>107</v>
      </c>
      <c r="AG3053" s="1">
        <v>22</v>
      </c>
      <c r="AO3053" s="2">
        <v>46283</v>
      </c>
      <c r="AP3053" s="1" t="s">
        <v>870</v>
      </c>
      <c r="AS3053" s="1" t="s">
        <v>71</v>
      </c>
      <c r="AU3053" s="1" t="s">
        <v>72</v>
      </c>
      <c r="AV3053" s="1" t="s">
        <v>437</v>
      </c>
      <c r="AX3053" s="1">
        <v>0</v>
      </c>
      <c r="BA3053" s="1">
        <v>9</v>
      </c>
      <c r="BB3053" s="1">
        <v>0</v>
      </c>
      <c r="BC3053" s="1">
        <v>0</v>
      </c>
      <c r="BE3053" s="1">
        <v>27558998</v>
      </c>
    </row>
    <row r="3054" spans="1:57" x14ac:dyDescent="0.25">
      <c r="A3054" s="1" t="str">
        <f>T("1947698897275786340")</f>
        <v>1947698897275786340</v>
      </c>
      <c r="B3054" s="1" t="str">
        <f>T("249919260376")</f>
        <v>249919260376</v>
      </c>
      <c r="C3054" s="1" t="str">
        <f>T("1941094532749722100")</f>
        <v>1941094532749722100</v>
      </c>
      <c r="AC3054" s="1" t="s">
        <v>344</v>
      </c>
      <c r="AD3054" s="1" t="s">
        <v>372</v>
      </c>
      <c r="AE3054" s="1" t="s">
        <v>373</v>
      </c>
      <c r="AF3054" s="1" t="s">
        <v>107</v>
      </c>
      <c r="AG3054" s="1">
        <v>49</v>
      </c>
      <c r="AO3054" s="2">
        <v>46283</v>
      </c>
      <c r="AP3054" s="1" t="s">
        <v>870</v>
      </c>
      <c r="AS3054" s="1" t="s">
        <v>71</v>
      </c>
      <c r="AU3054" s="1" t="s">
        <v>75</v>
      </c>
      <c r="AV3054" s="1" t="s">
        <v>590</v>
      </c>
      <c r="AX3054" s="1">
        <v>0</v>
      </c>
      <c r="BA3054" s="1">
        <v>5</v>
      </c>
      <c r="BB3054" s="1">
        <v>0</v>
      </c>
      <c r="BC3054" s="1">
        <v>0</v>
      </c>
      <c r="BE3054" s="1">
        <v>27558998</v>
      </c>
    </row>
    <row r="3055" spans="1:57" x14ac:dyDescent="0.25">
      <c r="A3055" s="1" t="str">
        <f>T("1947698897342897568")</f>
        <v>1947698897342897568</v>
      </c>
      <c r="B3055" s="1" t="str">
        <f>T("249963111480")</f>
        <v>249963111480</v>
      </c>
      <c r="C3055" s="1" t="str">
        <f>T("1941094532749722900")</f>
        <v>1941094532749722900</v>
      </c>
      <c r="AC3055" s="1" t="s">
        <v>344</v>
      </c>
      <c r="AD3055" s="1" t="s">
        <v>372</v>
      </c>
      <c r="AE3055" s="1" t="s">
        <v>813</v>
      </c>
      <c r="AF3055" s="1" t="s">
        <v>144</v>
      </c>
      <c r="AG3055" s="1">
        <v>40</v>
      </c>
      <c r="AO3055" s="2">
        <v>46283</v>
      </c>
      <c r="AP3055" s="1" t="s">
        <v>870</v>
      </c>
      <c r="AS3055" s="1" t="s">
        <v>71</v>
      </c>
      <c r="AU3055" s="1" t="s">
        <v>72</v>
      </c>
      <c r="AV3055" s="1" t="s">
        <v>437</v>
      </c>
      <c r="AX3055" s="1">
        <v>0</v>
      </c>
      <c r="BA3055" s="1">
        <v>9</v>
      </c>
      <c r="BB3055" s="1">
        <v>0</v>
      </c>
      <c r="BC3055" s="1">
        <v>0</v>
      </c>
      <c r="BE3055" s="1">
        <v>27558998</v>
      </c>
    </row>
    <row r="3056" spans="1:57" x14ac:dyDescent="0.25">
      <c r="A3056" s="1" t="str">
        <f>T("1947698897347090476")</f>
        <v>1947698897347090476</v>
      </c>
      <c r="B3056" s="1" t="str">
        <f>T("249901064420")</f>
        <v>249901064420</v>
      </c>
      <c r="C3056" s="1" t="str">
        <f>T("1941094532749722500")</f>
        <v>1941094532749722500</v>
      </c>
      <c r="AC3056" s="1" t="s">
        <v>344</v>
      </c>
      <c r="AD3056" s="1" t="s">
        <v>441</v>
      </c>
      <c r="AE3056" s="1" t="s">
        <v>530</v>
      </c>
      <c r="AF3056" s="1" t="s">
        <v>107</v>
      </c>
      <c r="AG3056" s="1">
        <v>40</v>
      </c>
      <c r="AO3056" s="2">
        <v>46283</v>
      </c>
      <c r="AP3056" s="1" t="s">
        <v>870</v>
      </c>
      <c r="AS3056" s="1" t="s">
        <v>71</v>
      </c>
      <c r="AU3056" s="1" t="s">
        <v>72</v>
      </c>
      <c r="AV3056" s="1" t="s">
        <v>437</v>
      </c>
      <c r="AX3056" s="1">
        <v>0</v>
      </c>
      <c r="BA3056" s="1">
        <v>9</v>
      </c>
      <c r="BB3056" s="1">
        <v>0</v>
      </c>
      <c r="BC3056" s="1">
        <v>0</v>
      </c>
      <c r="BE3056" s="1">
        <v>27558998</v>
      </c>
    </row>
    <row r="3057" spans="1:57" x14ac:dyDescent="0.25">
      <c r="A3057" s="1" t="str">
        <f>T("1947698897422586020")</f>
        <v>1947698897422586020</v>
      </c>
      <c r="B3057" s="1" t="str">
        <f>T("249927545008")</f>
        <v>249927545008</v>
      </c>
      <c r="C3057" s="1" t="str">
        <f>T("1941094532749723200")</f>
        <v>1941094532749723200</v>
      </c>
      <c r="AC3057" s="1" t="s">
        <v>344</v>
      </c>
      <c r="AD3057" s="1" t="s">
        <v>372</v>
      </c>
      <c r="AE3057" s="1" t="s">
        <v>818</v>
      </c>
      <c r="AF3057" s="1" t="s">
        <v>107</v>
      </c>
      <c r="AG3057" s="1">
        <v>55</v>
      </c>
      <c r="AO3057" s="2">
        <v>46283</v>
      </c>
      <c r="AP3057" s="1" t="s">
        <v>870</v>
      </c>
      <c r="AQ3057" s="2">
        <v>46283</v>
      </c>
      <c r="AR3057" s="1" t="s">
        <v>871</v>
      </c>
      <c r="AS3057" s="1" t="s">
        <v>71</v>
      </c>
      <c r="AU3057" s="1" t="s">
        <v>79</v>
      </c>
      <c r="AV3057" s="1" t="s">
        <v>80</v>
      </c>
      <c r="AW3057" s="1">
        <v>16.2</v>
      </c>
      <c r="AX3057" s="1">
        <v>0</v>
      </c>
      <c r="AZ3057" s="1" t="s">
        <v>81</v>
      </c>
      <c r="BA3057" s="1">
        <v>5</v>
      </c>
      <c r="BB3057" s="1">
        <v>0</v>
      </c>
      <c r="BC3057" s="1">
        <v>0</v>
      </c>
      <c r="BE3057" s="1">
        <v>27558998</v>
      </c>
    </row>
    <row r="3058" spans="1:57" x14ac:dyDescent="0.25">
      <c r="A3058" s="1" t="str">
        <f>T("1947698897422586320")</f>
        <v>1947698897422586320</v>
      </c>
      <c r="B3058" s="1" t="str">
        <f>T("249928868211")</f>
        <v>249928868211</v>
      </c>
      <c r="C3058" s="1" t="str">
        <f>T("1941094532749723500")</f>
        <v>1941094532749723500</v>
      </c>
      <c r="AA3058" s="1">
        <v>1</v>
      </c>
      <c r="AC3058" s="1" t="s">
        <v>344</v>
      </c>
      <c r="AD3058" s="1" t="s">
        <v>372</v>
      </c>
      <c r="AE3058" s="1" t="s">
        <v>814</v>
      </c>
      <c r="AF3058" s="1" t="s">
        <v>144</v>
      </c>
      <c r="AG3058" s="1">
        <v>30</v>
      </c>
      <c r="AO3058" s="2">
        <v>46283</v>
      </c>
      <c r="AP3058" s="1" t="s">
        <v>870</v>
      </c>
      <c r="AQ3058" s="2">
        <v>46283</v>
      </c>
      <c r="AR3058" s="1" t="s">
        <v>872</v>
      </c>
      <c r="AS3058" s="1" t="s">
        <v>71</v>
      </c>
      <c r="AU3058" s="1" t="s">
        <v>78</v>
      </c>
      <c r="AV3058" s="1" t="s">
        <v>80</v>
      </c>
      <c r="AW3058" s="1">
        <v>136.5</v>
      </c>
      <c r="AX3058" s="1">
        <v>0</v>
      </c>
      <c r="AZ3058" s="1" t="s">
        <v>81</v>
      </c>
      <c r="BA3058" s="1">
        <v>4</v>
      </c>
      <c r="BB3058" s="1">
        <v>0</v>
      </c>
      <c r="BC3058" s="1">
        <v>0</v>
      </c>
      <c r="BE3058" s="1">
        <v>27558998</v>
      </c>
    </row>
    <row r="3059" spans="1:57" x14ac:dyDescent="0.25">
      <c r="A3059" s="1" t="str">
        <f>T("1947698897489698048")</f>
        <v>1947698897489698048</v>
      </c>
      <c r="B3059" s="1" t="str">
        <f>T("249905496617")</f>
        <v>249905496617</v>
      </c>
      <c r="C3059" s="1" t="str">
        <f>T("1941094532749724300")</f>
        <v>1941094532749724300</v>
      </c>
      <c r="AC3059" s="1" t="s">
        <v>344</v>
      </c>
      <c r="AD3059" s="1" t="s">
        <v>372</v>
      </c>
      <c r="AE3059" s="1" t="s">
        <v>815</v>
      </c>
      <c r="AF3059" s="1" t="s">
        <v>107</v>
      </c>
      <c r="AG3059" s="1">
        <v>50</v>
      </c>
      <c r="AO3059" s="2">
        <v>46283</v>
      </c>
      <c r="AP3059" s="1" t="s">
        <v>870</v>
      </c>
      <c r="AS3059" s="1" t="s">
        <v>71</v>
      </c>
      <c r="AU3059" s="1" t="s">
        <v>72</v>
      </c>
      <c r="AV3059" s="1" t="s">
        <v>73</v>
      </c>
      <c r="AX3059" s="1">
        <v>0</v>
      </c>
      <c r="BA3059" s="1">
        <v>9</v>
      </c>
      <c r="BB3059" s="1">
        <v>0</v>
      </c>
      <c r="BC3059" s="1">
        <v>0</v>
      </c>
      <c r="BE3059" s="1">
        <v>27558998</v>
      </c>
    </row>
    <row r="3060" spans="1:57" x14ac:dyDescent="0.25">
      <c r="A3060" s="1" t="str">
        <f>T("1947698897493892356")</f>
        <v>1947698897493892356</v>
      </c>
      <c r="B3060" s="1" t="str">
        <f>T("24998471155")</f>
        <v>24998471155</v>
      </c>
      <c r="C3060" s="1" t="str">
        <f>T("1941094532749723900")</f>
        <v>1941094532749723900</v>
      </c>
      <c r="AC3060" s="1" t="s">
        <v>344</v>
      </c>
      <c r="AD3060" s="1" t="s">
        <v>357</v>
      </c>
      <c r="AE3060" s="1" t="s">
        <v>812</v>
      </c>
      <c r="AF3060" s="1" t="s">
        <v>107</v>
      </c>
      <c r="AG3060" s="1">
        <v>45</v>
      </c>
      <c r="AO3060" s="2">
        <v>46283</v>
      </c>
      <c r="AP3060" s="1" t="s">
        <v>870</v>
      </c>
      <c r="AS3060" s="1" t="s">
        <v>71</v>
      </c>
      <c r="AU3060" s="1" t="s">
        <v>72</v>
      </c>
      <c r="AV3060" s="1" t="s">
        <v>73</v>
      </c>
      <c r="AX3060" s="1">
        <v>0</v>
      </c>
      <c r="BA3060" s="1">
        <v>9</v>
      </c>
      <c r="BB3060" s="1">
        <v>0</v>
      </c>
      <c r="BC3060" s="1">
        <v>0</v>
      </c>
      <c r="BE3060" s="1">
        <v>27558998</v>
      </c>
    </row>
    <row r="3061" spans="1:57" x14ac:dyDescent="0.25">
      <c r="A3061" s="1" t="str">
        <f>T("1947698897565195192")</f>
        <v>1947698897565195192</v>
      </c>
      <c r="B3061" s="1" t="str">
        <f>T("249924401359")</f>
        <v>249924401359</v>
      </c>
      <c r="C3061" s="1" t="str">
        <f>T("1941094532749724700")</f>
        <v>1941094532749724700</v>
      </c>
      <c r="AC3061" s="1" t="s">
        <v>344</v>
      </c>
      <c r="AD3061" s="1" t="s">
        <v>372</v>
      </c>
      <c r="AE3061" s="1" t="s">
        <v>818</v>
      </c>
      <c r="AF3061" s="1" t="s">
        <v>144</v>
      </c>
      <c r="AG3061" s="1">
        <v>60</v>
      </c>
      <c r="AO3061" s="2">
        <v>46283</v>
      </c>
      <c r="AP3061" s="1" t="s">
        <v>870</v>
      </c>
      <c r="AS3061" s="1" t="s">
        <v>71</v>
      </c>
      <c r="AU3061" s="1" t="s">
        <v>72</v>
      </c>
      <c r="AV3061" s="1" t="s">
        <v>73</v>
      </c>
      <c r="AX3061" s="1">
        <v>0</v>
      </c>
      <c r="BA3061" s="1">
        <v>9</v>
      </c>
      <c r="BB3061" s="1">
        <v>0</v>
      </c>
      <c r="BC3061" s="1">
        <v>0</v>
      </c>
      <c r="BE3061" s="1">
        <v>27558998</v>
      </c>
    </row>
    <row r="3062" spans="1:57" x14ac:dyDescent="0.25">
      <c r="A3062" s="1" t="str">
        <f>T("1947698897569390500")</f>
        <v>1947698897569390500</v>
      </c>
      <c r="B3062" s="1" t="str">
        <f>T("249969483742")</f>
        <v>249969483742</v>
      </c>
      <c r="C3062" s="1" t="str">
        <f>T("1941094532749725200")</f>
        <v>1941094532749725200</v>
      </c>
      <c r="AC3062" s="1" t="s">
        <v>344</v>
      </c>
      <c r="AD3062" s="1" t="s">
        <v>441</v>
      </c>
      <c r="AE3062" s="1" t="s">
        <v>530</v>
      </c>
      <c r="AF3062" s="1" t="s">
        <v>107</v>
      </c>
      <c r="AG3062" s="1">
        <v>40</v>
      </c>
      <c r="AO3062" s="2">
        <v>46283</v>
      </c>
      <c r="AP3062" s="1" t="s">
        <v>870</v>
      </c>
      <c r="AS3062" s="1" t="s">
        <v>71</v>
      </c>
      <c r="AU3062" s="1" t="s">
        <v>72</v>
      </c>
      <c r="AV3062" s="1" t="s">
        <v>73</v>
      </c>
      <c r="AX3062" s="1">
        <v>0</v>
      </c>
      <c r="BA3062" s="1">
        <v>9</v>
      </c>
      <c r="BB3062" s="1">
        <v>0</v>
      </c>
      <c r="BC3062" s="1">
        <v>0</v>
      </c>
      <c r="BE3062" s="1">
        <v>27558998</v>
      </c>
    </row>
    <row r="3063" spans="1:57" x14ac:dyDescent="0.25">
      <c r="A3063" s="1" t="str">
        <f>T("1947698897623914504")</f>
        <v>1947698897623914504</v>
      </c>
      <c r="B3063" s="1" t="str">
        <f>T("249914788697")</f>
        <v>249914788697</v>
      </c>
      <c r="C3063" s="1" t="str">
        <f>T("1941094532753915908")</f>
        <v>1941094532753915908</v>
      </c>
      <c r="AC3063" s="1" t="s">
        <v>344</v>
      </c>
      <c r="AD3063" s="1" t="s">
        <v>441</v>
      </c>
      <c r="AE3063" s="1" t="s">
        <v>530</v>
      </c>
      <c r="AF3063" s="1" t="s">
        <v>107</v>
      </c>
      <c r="AG3063" s="1">
        <v>70</v>
      </c>
      <c r="AO3063" s="2">
        <v>46283</v>
      </c>
      <c r="AP3063" s="1" t="s">
        <v>870</v>
      </c>
      <c r="AS3063" s="1" t="s">
        <v>71</v>
      </c>
      <c r="AU3063" s="1" t="s">
        <v>72</v>
      </c>
      <c r="AV3063" s="1" t="s">
        <v>73</v>
      </c>
      <c r="AX3063" s="1">
        <v>0</v>
      </c>
      <c r="BA3063" s="1">
        <v>9</v>
      </c>
      <c r="BB3063" s="1">
        <v>0</v>
      </c>
      <c r="BC3063" s="1">
        <v>0</v>
      </c>
      <c r="BE3063" s="1">
        <v>27558998</v>
      </c>
    </row>
    <row r="3064" spans="1:57" x14ac:dyDescent="0.25">
      <c r="A3064" s="1" t="str">
        <f>T("1947698897632304620")</f>
        <v>1947698897632304620</v>
      </c>
      <c r="B3064" s="1" t="str">
        <f>T("249112824672")</f>
        <v>249112824672</v>
      </c>
      <c r="C3064" s="1" t="str">
        <f>T("1941094532753916308")</f>
        <v>1941094532753916308</v>
      </c>
      <c r="AC3064" s="1" t="s">
        <v>344</v>
      </c>
      <c r="AD3064" s="1" t="s">
        <v>372</v>
      </c>
      <c r="AE3064" s="1" t="s">
        <v>818</v>
      </c>
      <c r="AF3064" s="1" t="s">
        <v>107</v>
      </c>
      <c r="AG3064" s="1">
        <v>53</v>
      </c>
      <c r="AO3064" s="2">
        <v>46283</v>
      </c>
      <c r="AP3064" s="1" t="s">
        <v>870</v>
      </c>
      <c r="AQ3064" s="2">
        <v>46283</v>
      </c>
      <c r="AR3064" s="1" t="s">
        <v>873</v>
      </c>
      <c r="AS3064" s="1" t="s">
        <v>71</v>
      </c>
      <c r="AU3064" s="1" t="s">
        <v>79</v>
      </c>
      <c r="AV3064" s="1" t="s">
        <v>80</v>
      </c>
      <c r="AW3064" s="1">
        <v>18.059999999999999</v>
      </c>
      <c r="AX3064" s="1">
        <v>0</v>
      </c>
      <c r="AZ3064" s="1" t="s">
        <v>81</v>
      </c>
      <c r="BA3064" s="1">
        <v>1</v>
      </c>
      <c r="BB3064" s="1">
        <v>0</v>
      </c>
      <c r="BC3064" s="1">
        <v>0</v>
      </c>
      <c r="BE3064" s="1">
        <v>27558998</v>
      </c>
    </row>
    <row r="3065" spans="1:57" x14ac:dyDescent="0.25">
      <c r="A3065" s="1" t="str">
        <f>T("1947698897695216840")</f>
        <v>1947698897695216840</v>
      </c>
      <c r="B3065" s="1" t="str">
        <f>T("249902470058")</f>
        <v>249902470058</v>
      </c>
      <c r="C3065" s="1" t="str">
        <f>T("1941094532753916708")</f>
        <v>1941094532753916708</v>
      </c>
      <c r="AC3065" s="1" t="s">
        <v>344</v>
      </c>
      <c r="AD3065" s="1" t="s">
        <v>441</v>
      </c>
      <c r="AE3065" s="1" t="s">
        <v>530</v>
      </c>
      <c r="AF3065" s="1" t="s">
        <v>144</v>
      </c>
      <c r="AG3065" s="1">
        <v>70</v>
      </c>
      <c r="AO3065" s="2">
        <v>46283</v>
      </c>
      <c r="AP3065" s="1" t="s">
        <v>870</v>
      </c>
      <c r="AS3065" s="1" t="s">
        <v>71</v>
      </c>
      <c r="AU3065" s="1" t="s">
        <v>72</v>
      </c>
      <c r="AV3065" s="1" t="s">
        <v>437</v>
      </c>
      <c r="AX3065" s="1">
        <v>0</v>
      </c>
      <c r="BA3065" s="1">
        <v>9</v>
      </c>
      <c r="BB3065" s="1">
        <v>0</v>
      </c>
      <c r="BC3065" s="1">
        <v>0</v>
      </c>
      <c r="BE3065" s="1">
        <v>27558998</v>
      </c>
    </row>
    <row r="3066" spans="1:57" x14ac:dyDescent="0.25">
      <c r="A3066" s="1" t="str">
        <f>T("1947698897707799364")</f>
        <v>1947698897707799364</v>
      </c>
      <c r="B3066" s="1" t="str">
        <f>T("249119071595")</f>
        <v>249119071595</v>
      </c>
      <c r="C3066" s="1" t="str">
        <f>T("1941094532753917008")</f>
        <v>1941094532753917008</v>
      </c>
      <c r="AA3066" s="1">
        <v>1</v>
      </c>
      <c r="AC3066" s="1" t="s">
        <v>344</v>
      </c>
      <c r="AD3066" s="1" t="s">
        <v>372</v>
      </c>
      <c r="AE3066" s="1" t="s">
        <v>818</v>
      </c>
      <c r="AF3066" s="1" t="s">
        <v>107</v>
      </c>
      <c r="AG3066" s="1">
        <v>60</v>
      </c>
      <c r="AO3066" s="2">
        <v>46283</v>
      </c>
      <c r="AP3066" s="1" t="s">
        <v>870</v>
      </c>
      <c r="AQ3066" s="2">
        <v>46283</v>
      </c>
      <c r="AR3066" s="1" t="s">
        <v>874</v>
      </c>
      <c r="AS3066" s="1" t="s">
        <v>71</v>
      </c>
      <c r="AU3066" s="1" t="s">
        <v>78</v>
      </c>
      <c r="AV3066" s="1" t="s">
        <v>80</v>
      </c>
      <c r="AW3066" s="1">
        <v>135.18</v>
      </c>
      <c r="AX3066" s="1">
        <v>0</v>
      </c>
      <c r="AZ3066" s="1" t="s">
        <v>81</v>
      </c>
      <c r="BA3066" s="1">
        <v>4</v>
      </c>
      <c r="BB3066" s="1">
        <v>0</v>
      </c>
      <c r="BC3066" s="1">
        <v>0</v>
      </c>
      <c r="BE3066" s="1">
        <v>27558998</v>
      </c>
    </row>
    <row r="3067" spans="1:57" x14ac:dyDescent="0.25">
      <c r="A3067" s="1" t="str">
        <f>T("1947698897753937352")</f>
        <v>1947698897753937352</v>
      </c>
      <c r="B3067" s="1" t="str">
        <f>T("249901603520")</f>
        <v>249901603520</v>
      </c>
      <c r="C3067" s="1" t="str">
        <f>T("1941094532753917408")</f>
        <v>1941094532753917408</v>
      </c>
      <c r="AC3067" s="1" t="s">
        <v>344</v>
      </c>
      <c r="AD3067" s="1" t="s">
        <v>372</v>
      </c>
      <c r="AE3067" s="1" t="s">
        <v>820</v>
      </c>
      <c r="AF3067" s="1" t="s">
        <v>107</v>
      </c>
      <c r="AG3067" s="1">
        <v>33</v>
      </c>
      <c r="AO3067" s="2">
        <v>46283</v>
      </c>
      <c r="AP3067" s="1" t="s">
        <v>870</v>
      </c>
      <c r="AS3067" s="1" t="s">
        <v>71</v>
      </c>
      <c r="AU3067" s="1" t="s">
        <v>72</v>
      </c>
      <c r="AV3067" s="1" t="s">
        <v>437</v>
      </c>
      <c r="AX3067" s="1">
        <v>0</v>
      </c>
      <c r="BA3067" s="1">
        <v>9</v>
      </c>
      <c r="BB3067" s="1">
        <v>0</v>
      </c>
      <c r="BC3067" s="1">
        <v>0</v>
      </c>
      <c r="BE3067" s="1">
        <v>27558998</v>
      </c>
    </row>
    <row r="3068" spans="1:57" x14ac:dyDescent="0.25">
      <c r="A3068" s="1" t="str">
        <f>T("1947698897774910192")</f>
        <v>1947698897774910192</v>
      </c>
      <c r="B3068" s="1" t="str">
        <f>T("249965990648")</f>
        <v>249965990648</v>
      </c>
      <c r="C3068" s="1" t="str">
        <f>T("1941094532753917808")</f>
        <v>1941094532753917808</v>
      </c>
      <c r="AC3068" s="1" t="s">
        <v>344</v>
      </c>
      <c r="AD3068" s="1" t="s">
        <v>372</v>
      </c>
      <c r="AE3068" s="1" t="s">
        <v>373</v>
      </c>
      <c r="AF3068" s="1" t="s">
        <v>107</v>
      </c>
      <c r="AG3068" s="1">
        <v>37</v>
      </c>
      <c r="AO3068" s="2">
        <v>46283</v>
      </c>
      <c r="AP3068" s="1" t="s">
        <v>870</v>
      </c>
      <c r="AS3068" s="1" t="s">
        <v>71</v>
      </c>
      <c r="AU3068" s="1" t="s">
        <v>72</v>
      </c>
      <c r="AV3068" s="1" t="s">
        <v>73</v>
      </c>
      <c r="AX3068" s="1">
        <v>0</v>
      </c>
      <c r="BA3068" s="1">
        <v>9</v>
      </c>
      <c r="BB3068" s="1">
        <v>0</v>
      </c>
      <c r="BC3068" s="1">
        <v>0</v>
      </c>
      <c r="BE3068" s="1">
        <v>27558998</v>
      </c>
    </row>
    <row r="3069" spans="1:57" x14ac:dyDescent="0.25">
      <c r="A3069" s="1" t="str">
        <f>T("1947698897842018720")</f>
        <v>1947698897842018720</v>
      </c>
      <c r="B3069" s="1" t="str">
        <f>T("249966356004")</f>
        <v>249966356004</v>
      </c>
      <c r="C3069" s="1" t="str">
        <f>T("1941094532753918108")</f>
        <v>1941094532753918108</v>
      </c>
      <c r="AC3069" s="1" t="s">
        <v>344</v>
      </c>
      <c r="AD3069" s="1" t="s">
        <v>441</v>
      </c>
      <c r="AE3069" s="1" t="s">
        <v>530</v>
      </c>
      <c r="AF3069" s="1" t="s">
        <v>107</v>
      </c>
      <c r="AG3069" s="1">
        <v>35</v>
      </c>
      <c r="AO3069" s="2">
        <v>46283</v>
      </c>
      <c r="AP3069" s="1" t="s">
        <v>870</v>
      </c>
      <c r="AS3069" s="1" t="s">
        <v>71</v>
      </c>
      <c r="AU3069" s="1" t="s">
        <v>72</v>
      </c>
      <c r="AV3069" s="1" t="s">
        <v>437</v>
      </c>
      <c r="AX3069" s="1">
        <v>0</v>
      </c>
      <c r="BA3069" s="1">
        <v>9</v>
      </c>
      <c r="BB3069" s="1">
        <v>0</v>
      </c>
      <c r="BC3069" s="1">
        <v>0</v>
      </c>
      <c r="BE3069" s="1">
        <v>27558998</v>
      </c>
    </row>
    <row r="3070" spans="1:57" x14ac:dyDescent="0.25">
      <c r="A3070" s="1" t="str">
        <f>T("1947698897846210928")</f>
        <v>1947698897846210928</v>
      </c>
      <c r="B3070" s="1" t="str">
        <f>T("249901082317")</f>
        <v>249901082317</v>
      </c>
      <c r="C3070" s="1" t="str">
        <f>T("1941094532753918608")</f>
        <v>1941094532753918608</v>
      </c>
      <c r="AC3070" s="1" t="s">
        <v>344</v>
      </c>
      <c r="AD3070" s="1" t="s">
        <v>441</v>
      </c>
      <c r="AE3070" s="1" t="s">
        <v>530</v>
      </c>
      <c r="AF3070" s="1" t="s">
        <v>107</v>
      </c>
      <c r="AG3070" s="1">
        <v>35</v>
      </c>
      <c r="AO3070" s="2">
        <v>46283</v>
      </c>
      <c r="AP3070" s="1" t="s">
        <v>870</v>
      </c>
      <c r="AS3070" s="1" t="s">
        <v>71</v>
      </c>
      <c r="AU3070" s="1" t="s">
        <v>72</v>
      </c>
      <c r="AV3070" s="1" t="s">
        <v>437</v>
      </c>
      <c r="AX3070" s="1">
        <v>0</v>
      </c>
      <c r="BA3070" s="1">
        <v>9</v>
      </c>
      <c r="BB3070" s="1">
        <v>0</v>
      </c>
      <c r="BC3070" s="1">
        <v>0</v>
      </c>
      <c r="BE3070" s="1">
        <v>27558998</v>
      </c>
    </row>
    <row r="3071" spans="1:57" x14ac:dyDescent="0.25">
      <c r="A3071" s="1" t="str">
        <f>T("1947698897913321756")</f>
        <v>1947698897913321756</v>
      </c>
      <c r="B3071" s="1" t="str">
        <f>T("249967437845")</f>
        <v>249967437845</v>
      </c>
      <c r="C3071" s="1" t="str">
        <f>T("1941094532753919008")</f>
        <v>1941094532753919008</v>
      </c>
      <c r="AC3071" s="1" t="s">
        <v>344</v>
      </c>
      <c r="AD3071" s="1" t="s">
        <v>441</v>
      </c>
      <c r="AE3071" s="1" t="s">
        <v>530</v>
      </c>
      <c r="AF3071" s="1" t="s">
        <v>144</v>
      </c>
      <c r="AG3071" s="1">
        <v>25</v>
      </c>
      <c r="AO3071" s="2">
        <v>46283</v>
      </c>
      <c r="AP3071" s="1" t="s">
        <v>870</v>
      </c>
      <c r="AS3071" s="1" t="s">
        <v>71</v>
      </c>
      <c r="AU3071" s="1" t="s">
        <v>72</v>
      </c>
      <c r="AV3071" s="1" t="s">
        <v>437</v>
      </c>
      <c r="AX3071" s="1">
        <v>0</v>
      </c>
      <c r="BA3071" s="1">
        <v>9</v>
      </c>
      <c r="BB3071" s="1">
        <v>0</v>
      </c>
      <c r="BC3071" s="1">
        <v>0</v>
      </c>
      <c r="BE3071" s="1">
        <v>27558998</v>
      </c>
    </row>
    <row r="3072" spans="1:57" x14ac:dyDescent="0.25">
      <c r="A3072" s="1" t="str">
        <f>T("1947698897913322956")</f>
        <v>1947698897913322956</v>
      </c>
      <c r="B3072" s="1" t="str">
        <f>T("249919171764")</f>
        <v>249919171764</v>
      </c>
      <c r="C3072" s="1" t="str">
        <f>T("1941094532753919508")</f>
        <v>1941094532753919508</v>
      </c>
      <c r="AC3072" s="1" t="s">
        <v>344</v>
      </c>
      <c r="AD3072" s="1" t="s">
        <v>430</v>
      </c>
      <c r="AE3072" s="1" t="s">
        <v>530</v>
      </c>
      <c r="AF3072" s="1" t="s">
        <v>144</v>
      </c>
      <c r="AG3072" s="1">
        <v>42</v>
      </c>
      <c r="AO3072" s="2">
        <v>46283</v>
      </c>
      <c r="AP3072" s="1" t="s">
        <v>870</v>
      </c>
      <c r="AS3072" s="1" t="s">
        <v>71</v>
      </c>
      <c r="AU3072" s="1" t="s">
        <v>72</v>
      </c>
      <c r="AV3072" s="1" t="s">
        <v>73</v>
      </c>
      <c r="AX3072" s="1">
        <v>0</v>
      </c>
      <c r="BA3072" s="1">
        <v>9</v>
      </c>
      <c r="BB3072" s="1">
        <v>0</v>
      </c>
      <c r="BC3072" s="1">
        <v>0</v>
      </c>
      <c r="BE3072" s="1">
        <v>27558998</v>
      </c>
    </row>
    <row r="3073" spans="1:57" x14ac:dyDescent="0.25">
      <c r="A3073" s="1" t="str">
        <f>T("1947698897988819500")</f>
        <v>1947698897988819500</v>
      </c>
      <c r="B3073" s="1" t="str">
        <f>T("249904194495")</f>
        <v>249904194495</v>
      </c>
      <c r="C3073" s="1" t="str">
        <f>T("1941094532753919808")</f>
        <v>1941094532753919808</v>
      </c>
      <c r="AC3073" s="1" t="s">
        <v>344</v>
      </c>
      <c r="AD3073" s="1" t="s">
        <v>430</v>
      </c>
      <c r="AE3073" s="1" t="s">
        <v>530</v>
      </c>
      <c r="AF3073" s="1" t="s">
        <v>107</v>
      </c>
      <c r="AG3073" s="1">
        <v>22</v>
      </c>
      <c r="AO3073" s="2">
        <v>46283</v>
      </c>
      <c r="AP3073" s="1" t="s">
        <v>870</v>
      </c>
      <c r="AS3073" s="1" t="s">
        <v>71</v>
      </c>
      <c r="AU3073" s="1" t="s">
        <v>72</v>
      </c>
      <c r="AV3073" s="1" t="s">
        <v>73</v>
      </c>
      <c r="AX3073" s="1">
        <v>0</v>
      </c>
      <c r="BA3073" s="1">
        <v>9</v>
      </c>
      <c r="BB3073" s="1">
        <v>0</v>
      </c>
      <c r="BC3073" s="1">
        <v>0</v>
      </c>
      <c r="BE3073" s="1">
        <v>27558998</v>
      </c>
    </row>
    <row r="3074" spans="1:57" x14ac:dyDescent="0.25">
      <c r="A3074" s="1" t="str">
        <f>T("1947698897993011408")</f>
        <v>1947698897993011408</v>
      </c>
      <c r="B3074" s="1" t="str">
        <f>T("249966533892")</f>
        <v>249966533892</v>
      </c>
      <c r="C3074" s="1" t="str">
        <f>T("1941094532758110516")</f>
        <v>1941094532758110516</v>
      </c>
      <c r="AC3074" s="1" t="s">
        <v>344</v>
      </c>
      <c r="AD3074" s="1" t="s">
        <v>441</v>
      </c>
      <c r="AE3074" s="1" t="s">
        <v>530</v>
      </c>
      <c r="AF3074" s="1" t="s">
        <v>144</v>
      </c>
      <c r="AG3074" s="1">
        <v>45</v>
      </c>
      <c r="AO3074" s="2">
        <v>46283</v>
      </c>
      <c r="AP3074" s="1" t="s">
        <v>870</v>
      </c>
      <c r="AS3074" s="1" t="s">
        <v>71</v>
      </c>
      <c r="AU3074" s="1" t="s">
        <v>72</v>
      </c>
      <c r="AV3074" s="1" t="s">
        <v>437</v>
      </c>
      <c r="AX3074" s="1">
        <v>0</v>
      </c>
      <c r="BA3074" s="1">
        <v>9</v>
      </c>
      <c r="BB3074" s="1">
        <v>0</v>
      </c>
      <c r="BC3074" s="1">
        <v>0</v>
      </c>
      <c r="BE3074" s="1">
        <v>27558998</v>
      </c>
    </row>
    <row r="3075" spans="1:57" x14ac:dyDescent="0.25">
      <c r="A3075" s="1" t="str">
        <f>T("1947698898068512452")</f>
        <v>1947698898068512452</v>
      </c>
      <c r="B3075" s="1" t="str">
        <f>T("249112646515")</f>
        <v>249112646515</v>
      </c>
      <c r="C3075" s="1" t="str">
        <f>T("1941094532758110916")</f>
        <v>1941094532758110916</v>
      </c>
      <c r="AC3075" s="1" t="s">
        <v>344</v>
      </c>
      <c r="AD3075" s="1" t="s">
        <v>372</v>
      </c>
      <c r="AE3075" s="1" t="s">
        <v>820</v>
      </c>
      <c r="AF3075" s="1" t="s">
        <v>107</v>
      </c>
      <c r="AG3075" s="1">
        <v>40</v>
      </c>
      <c r="AO3075" s="2">
        <v>46283</v>
      </c>
      <c r="AP3075" s="1" t="s">
        <v>870</v>
      </c>
      <c r="AS3075" s="1" t="s">
        <v>71</v>
      </c>
      <c r="AU3075" s="1" t="s">
        <v>72</v>
      </c>
      <c r="AV3075" s="1" t="s">
        <v>73</v>
      </c>
      <c r="AX3075" s="1">
        <v>0</v>
      </c>
      <c r="BA3075" s="1">
        <v>9</v>
      </c>
      <c r="BB3075" s="1">
        <v>0</v>
      </c>
      <c r="BC3075" s="1">
        <v>0</v>
      </c>
      <c r="BE3075" s="1">
        <v>27558998</v>
      </c>
    </row>
    <row r="3076" spans="1:57" x14ac:dyDescent="0.25">
      <c r="A3076" s="1" t="str">
        <f>T("1947698898085288484")</f>
        <v>1947698898085288484</v>
      </c>
      <c r="B3076" s="1" t="str">
        <f>T("249921261678")</f>
        <v>249921261678</v>
      </c>
      <c r="C3076" s="1" t="str">
        <f>T("1941094532758111316")</f>
        <v>1941094532758111316</v>
      </c>
      <c r="M3076" s="1" t="s">
        <v>59</v>
      </c>
      <c r="O3076" s="1" t="s">
        <v>65</v>
      </c>
      <c r="P3076" s="1" t="s">
        <v>83</v>
      </c>
      <c r="Q3076" s="1" t="s">
        <v>101</v>
      </c>
      <c r="R3076" s="1" t="s">
        <v>93</v>
      </c>
      <c r="T3076" s="1" t="s">
        <v>119</v>
      </c>
      <c r="U3076" s="1" t="s">
        <v>60</v>
      </c>
      <c r="V3076" s="1" t="s">
        <v>102</v>
      </c>
      <c r="W3076" s="1" t="s">
        <v>67</v>
      </c>
      <c r="X3076" s="1" t="s">
        <v>66</v>
      </c>
      <c r="Y3076" s="1" t="s">
        <v>85</v>
      </c>
      <c r="AA3076" s="1">
        <v>1</v>
      </c>
      <c r="AB3076" s="1">
        <v>1</v>
      </c>
      <c r="AC3076" s="1" t="s">
        <v>344</v>
      </c>
      <c r="AD3076" s="1" t="s">
        <v>372</v>
      </c>
      <c r="AE3076" s="1" t="s">
        <v>820</v>
      </c>
      <c r="AF3076" s="1" t="s">
        <v>144</v>
      </c>
      <c r="AG3076" s="1">
        <v>27</v>
      </c>
      <c r="AO3076" s="2">
        <v>46283</v>
      </c>
      <c r="AP3076" s="1" t="s">
        <v>870</v>
      </c>
      <c r="AQ3076" s="2">
        <v>46283</v>
      </c>
      <c r="AR3076" s="1" t="s">
        <v>875</v>
      </c>
      <c r="AS3076" s="1" t="s">
        <v>71</v>
      </c>
      <c r="AU3076" s="1" t="s">
        <v>78</v>
      </c>
      <c r="AV3076" s="1" t="s">
        <v>80</v>
      </c>
      <c r="AW3076" s="1">
        <v>337.47899999999998</v>
      </c>
      <c r="AX3076" s="1">
        <v>0</v>
      </c>
      <c r="AZ3076" s="1" t="s">
        <v>81</v>
      </c>
      <c r="BA3076" s="1">
        <v>5</v>
      </c>
      <c r="BB3076" s="1">
        <v>0</v>
      </c>
      <c r="BC3076" s="1">
        <v>0</v>
      </c>
      <c r="BE3076" s="1">
        <v>27558998</v>
      </c>
    </row>
    <row r="3077" spans="1:57" x14ac:dyDescent="0.25">
      <c r="A3077" s="1" t="str">
        <f>T("1947698898135618280")</f>
        <v>1947698898135618280</v>
      </c>
      <c r="B3077" s="1" t="str">
        <f>T("249908977596")</f>
        <v>249908977596</v>
      </c>
      <c r="C3077" s="1" t="str">
        <f>T("1941094532758111616")</f>
        <v>1941094532758111616</v>
      </c>
      <c r="AC3077" s="1" t="s">
        <v>344</v>
      </c>
      <c r="AD3077" s="1" t="s">
        <v>441</v>
      </c>
      <c r="AE3077" s="1" t="s">
        <v>530</v>
      </c>
      <c r="AF3077" s="1" t="s">
        <v>144</v>
      </c>
      <c r="AG3077" s="1">
        <v>50</v>
      </c>
      <c r="AO3077" s="2">
        <v>46283</v>
      </c>
      <c r="AP3077" s="1" t="s">
        <v>870</v>
      </c>
      <c r="AS3077" s="1" t="s">
        <v>71</v>
      </c>
      <c r="AU3077" s="1" t="s">
        <v>72</v>
      </c>
      <c r="AV3077" s="1" t="s">
        <v>73</v>
      </c>
      <c r="AX3077" s="1">
        <v>0</v>
      </c>
      <c r="BA3077" s="1">
        <v>9</v>
      </c>
      <c r="BB3077" s="1">
        <v>0</v>
      </c>
      <c r="BC3077" s="1">
        <v>0</v>
      </c>
      <c r="BE3077" s="1">
        <v>27558998</v>
      </c>
    </row>
    <row r="3078" spans="1:57" x14ac:dyDescent="0.25">
      <c r="A3078" s="1" t="str">
        <f>T("1947698898152395312")</f>
        <v>1947698898152395312</v>
      </c>
      <c r="B3078" s="1" t="str">
        <f>T("249962916614")</f>
        <v>249962916614</v>
      </c>
      <c r="C3078" s="1" t="str">
        <f>T("1941094532758112016")</f>
        <v>1941094532758112016</v>
      </c>
      <c r="AC3078" s="1" t="s">
        <v>344</v>
      </c>
      <c r="AD3078" s="1" t="s">
        <v>430</v>
      </c>
      <c r="AE3078" s="1" t="s">
        <v>530</v>
      </c>
      <c r="AF3078" s="1" t="s">
        <v>107</v>
      </c>
      <c r="AG3078" s="1">
        <v>30</v>
      </c>
      <c r="AO3078" s="2">
        <v>46283</v>
      </c>
      <c r="AP3078" s="1" t="s">
        <v>870</v>
      </c>
      <c r="AS3078" s="1" t="s">
        <v>71</v>
      </c>
      <c r="AU3078" s="1" t="s">
        <v>72</v>
      </c>
      <c r="AV3078" s="1" t="s">
        <v>437</v>
      </c>
      <c r="AX3078" s="1">
        <v>0</v>
      </c>
      <c r="BA3078" s="1">
        <v>9</v>
      </c>
      <c r="BB3078" s="1">
        <v>0</v>
      </c>
      <c r="BC3078" s="1">
        <v>0</v>
      </c>
      <c r="BE3078" s="1">
        <v>27558998</v>
      </c>
    </row>
    <row r="3079" spans="1:57" x14ac:dyDescent="0.25">
      <c r="A3079" s="1" t="str">
        <f>T("1947698898198532200")</f>
        <v>1947698898198532200</v>
      </c>
      <c r="B3079" s="1" t="str">
        <f>T("249900421699")</f>
        <v>249900421699</v>
      </c>
      <c r="C3079" s="1" t="str">
        <f>T("1941094532758112416")</f>
        <v>1941094532758112416</v>
      </c>
      <c r="AC3079" s="1" t="s">
        <v>344</v>
      </c>
      <c r="AD3079" s="1" t="s">
        <v>441</v>
      </c>
      <c r="AE3079" s="1" t="s">
        <v>530</v>
      </c>
      <c r="AF3079" s="1" t="s">
        <v>144</v>
      </c>
      <c r="AG3079" s="1">
        <v>51</v>
      </c>
      <c r="AO3079" s="2">
        <v>46283</v>
      </c>
      <c r="AP3079" s="1" t="s">
        <v>870</v>
      </c>
      <c r="AS3079" s="1" t="s">
        <v>71</v>
      </c>
      <c r="AU3079" s="1" t="s">
        <v>72</v>
      </c>
      <c r="AV3079" s="1" t="s">
        <v>73</v>
      </c>
      <c r="AX3079" s="1">
        <v>0</v>
      </c>
      <c r="BA3079" s="1">
        <v>9</v>
      </c>
      <c r="BB3079" s="1">
        <v>0</v>
      </c>
      <c r="BC3079" s="1">
        <v>0</v>
      </c>
      <c r="BE3079" s="1">
        <v>27558998</v>
      </c>
    </row>
    <row r="3080" spans="1:57" x14ac:dyDescent="0.25">
      <c r="A3080" s="1" t="str">
        <f>T("1947698898211115424")</f>
        <v>1947698898211115424</v>
      </c>
      <c r="B3080" s="1" t="str">
        <f>T("249901372097")</f>
        <v>249901372097</v>
      </c>
      <c r="C3080" s="1" t="str">
        <f>T("1941094532762307724")</f>
        <v>1941094532762307724</v>
      </c>
      <c r="AC3080" s="1" t="s">
        <v>344</v>
      </c>
      <c r="AD3080" s="1" t="s">
        <v>430</v>
      </c>
      <c r="AE3080" s="1" t="s">
        <v>530</v>
      </c>
      <c r="AF3080" s="1" t="s">
        <v>107</v>
      </c>
      <c r="AG3080" s="1">
        <v>24</v>
      </c>
      <c r="AO3080" s="2">
        <v>46283</v>
      </c>
      <c r="AP3080" s="1" t="s">
        <v>870</v>
      </c>
      <c r="AS3080" s="1" t="s">
        <v>71</v>
      </c>
      <c r="AU3080" s="1" t="s">
        <v>72</v>
      </c>
      <c r="AV3080" s="1" t="s">
        <v>73</v>
      </c>
      <c r="AX3080" s="1">
        <v>0</v>
      </c>
      <c r="BA3080" s="1">
        <v>9</v>
      </c>
      <c r="BB3080" s="1">
        <v>0</v>
      </c>
      <c r="BC3080" s="1">
        <v>0</v>
      </c>
      <c r="BE3080" s="1">
        <v>27558998</v>
      </c>
    </row>
    <row r="3081" spans="1:57" x14ac:dyDescent="0.25">
      <c r="A3081" s="1" t="str">
        <f>T("1947698898278225252")</f>
        <v>1947698898278225252</v>
      </c>
      <c r="B3081" s="1" t="str">
        <f>T("249117360160")</f>
        <v>249117360160</v>
      </c>
      <c r="C3081" s="1" t="str">
        <f>T("1941094532762308224")</f>
        <v>1941094532762308224</v>
      </c>
      <c r="M3081" s="1" t="s">
        <v>59</v>
      </c>
      <c r="O3081" s="1" t="s">
        <v>65</v>
      </c>
      <c r="P3081" s="1" t="s">
        <v>83</v>
      </c>
      <c r="Q3081" s="1" t="s">
        <v>112</v>
      </c>
      <c r="R3081" s="1" t="s">
        <v>63</v>
      </c>
      <c r="AA3081" s="1">
        <v>1</v>
      </c>
      <c r="AC3081" s="1" t="s">
        <v>344</v>
      </c>
      <c r="AD3081" s="1" t="s">
        <v>441</v>
      </c>
      <c r="AE3081" s="1" t="s">
        <v>530</v>
      </c>
      <c r="AF3081" s="1" t="s">
        <v>107</v>
      </c>
      <c r="AG3081" s="1">
        <v>56</v>
      </c>
      <c r="AO3081" s="2">
        <v>46283</v>
      </c>
      <c r="AP3081" s="1" t="s">
        <v>870</v>
      </c>
      <c r="AQ3081" s="2">
        <v>46283</v>
      </c>
      <c r="AR3081" s="1" t="s">
        <v>876</v>
      </c>
      <c r="AS3081" s="1" t="s">
        <v>71</v>
      </c>
      <c r="AU3081" s="1" t="s">
        <v>79</v>
      </c>
      <c r="AV3081" s="1" t="s">
        <v>80</v>
      </c>
      <c r="AW3081" s="1">
        <v>131.30000000000001</v>
      </c>
      <c r="AX3081" s="1">
        <v>0</v>
      </c>
      <c r="AZ3081" s="1" t="s">
        <v>81</v>
      </c>
      <c r="BA3081" s="1">
        <v>4</v>
      </c>
      <c r="BB3081" s="1">
        <v>0</v>
      </c>
      <c r="BC3081" s="1">
        <v>0</v>
      </c>
      <c r="BE3081" s="1">
        <v>27558998</v>
      </c>
    </row>
    <row r="3082" spans="1:57" x14ac:dyDescent="0.25">
      <c r="A3082" s="1" t="str">
        <f>T("1947698898282419460")</f>
        <v>1947698898282419460</v>
      </c>
      <c r="B3082" s="1" t="str">
        <f>T("249910339496")</f>
        <v>249910339496</v>
      </c>
      <c r="C3082" s="1" t="str">
        <f>T("1941094532766498932")</f>
        <v>1941094532766498932</v>
      </c>
      <c r="AC3082" s="1" t="s">
        <v>344</v>
      </c>
      <c r="AD3082" s="1" t="s">
        <v>430</v>
      </c>
      <c r="AE3082" s="1" t="s">
        <v>530</v>
      </c>
      <c r="AF3082" s="1" t="s">
        <v>144</v>
      </c>
      <c r="AG3082" s="1">
        <v>66</v>
      </c>
      <c r="AO3082" s="2">
        <v>46283</v>
      </c>
      <c r="AP3082" s="1" t="s">
        <v>870</v>
      </c>
      <c r="AS3082" s="1" t="s">
        <v>71</v>
      </c>
      <c r="AU3082" s="1" t="s">
        <v>72</v>
      </c>
      <c r="AV3082" s="1" t="s">
        <v>73</v>
      </c>
      <c r="AX3082" s="1">
        <v>0</v>
      </c>
      <c r="BA3082" s="1">
        <v>9</v>
      </c>
      <c r="BB3082" s="1">
        <v>0</v>
      </c>
      <c r="BC3082" s="1">
        <v>0</v>
      </c>
      <c r="BE3082" s="1">
        <v>27558998</v>
      </c>
    </row>
    <row r="3083" spans="1:57" x14ac:dyDescent="0.25">
      <c r="A3083" s="1" t="str">
        <f>T("1947698898332752756")</f>
        <v>1947698898332752756</v>
      </c>
      <c r="B3083" s="1" t="str">
        <f>T("249905561229")</f>
        <v>249905561229</v>
      </c>
      <c r="C3083" s="1" t="str">
        <f>T("1941094532766499332")</f>
        <v>1941094532766499332</v>
      </c>
      <c r="AC3083" s="1" t="s">
        <v>344</v>
      </c>
      <c r="AD3083" s="1" t="s">
        <v>441</v>
      </c>
      <c r="AE3083" s="1" t="s">
        <v>530</v>
      </c>
      <c r="AF3083" s="1" t="s">
        <v>144</v>
      </c>
      <c r="AG3083" s="1">
        <v>37</v>
      </c>
      <c r="AO3083" s="2">
        <v>46283</v>
      </c>
      <c r="AP3083" s="1" t="s">
        <v>870</v>
      </c>
      <c r="AS3083" s="1" t="s">
        <v>71</v>
      </c>
      <c r="AU3083" s="1" t="s">
        <v>72</v>
      </c>
      <c r="AV3083" s="1" t="s">
        <v>73</v>
      </c>
      <c r="AX3083" s="1">
        <v>0</v>
      </c>
      <c r="BA3083" s="1">
        <v>9</v>
      </c>
      <c r="BB3083" s="1">
        <v>0</v>
      </c>
      <c r="BC3083" s="1">
        <v>0</v>
      </c>
      <c r="BE3083" s="1">
        <v>27558998</v>
      </c>
    </row>
    <row r="3084" spans="1:57" x14ac:dyDescent="0.25">
      <c r="A3084" s="1" t="str">
        <f>T("1947698898341139072")</f>
        <v>1947698898341139072</v>
      </c>
      <c r="B3084" s="1" t="str">
        <f>T("249967556917")</f>
        <v>249967556917</v>
      </c>
      <c r="C3084" s="1" t="str">
        <f>T("1941094532766499732")</f>
        <v>1941094532766499732</v>
      </c>
      <c r="AC3084" s="1" t="s">
        <v>344</v>
      </c>
      <c r="AD3084" s="1" t="s">
        <v>357</v>
      </c>
      <c r="AE3084" s="1" t="s">
        <v>817</v>
      </c>
      <c r="AF3084" s="1" t="s">
        <v>107</v>
      </c>
      <c r="AG3084" s="1">
        <v>47</v>
      </c>
      <c r="AO3084" s="2">
        <v>46283</v>
      </c>
      <c r="AP3084" s="1" t="s">
        <v>870</v>
      </c>
      <c r="AS3084" s="1" t="s">
        <v>71</v>
      </c>
      <c r="AU3084" s="1" t="s">
        <v>72</v>
      </c>
      <c r="AV3084" s="1" t="s">
        <v>73</v>
      </c>
      <c r="AX3084" s="1">
        <v>0</v>
      </c>
      <c r="BA3084" s="1">
        <v>9</v>
      </c>
      <c r="BB3084" s="1">
        <v>0</v>
      </c>
      <c r="BC3084" s="1">
        <v>0</v>
      </c>
      <c r="BE3084" s="1">
        <v>27558998</v>
      </c>
    </row>
    <row r="3085" spans="1:57" x14ac:dyDescent="0.25">
      <c r="A3085" s="1" t="str">
        <f>T("1947698898399862184")</f>
        <v>1947698898399862184</v>
      </c>
      <c r="B3085" s="1" t="str">
        <f>T("249911545346")</f>
        <v>249911545346</v>
      </c>
      <c r="C3085" s="1" t="str">
        <f>T("1941094532766500532")</f>
        <v>1941094532766500532</v>
      </c>
      <c r="AC3085" s="1" t="s">
        <v>344</v>
      </c>
      <c r="AD3085" s="1" t="s">
        <v>372</v>
      </c>
      <c r="AE3085" s="1" t="s">
        <v>815</v>
      </c>
      <c r="AF3085" s="1" t="s">
        <v>144</v>
      </c>
      <c r="AG3085" s="1">
        <v>32</v>
      </c>
      <c r="AO3085" s="2">
        <v>46283</v>
      </c>
      <c r="AP3085" s="1" t="s">
        <v>870</v>
      </c>
      <c r="AS3085" s="1" t="s">
        <v>71</v>
      </c>
      <c r="AU3085" s="1" t="s">
        <v>72</v>
      </c>
      <c r="AV3085" s="1" t="s">
        <v>437</v>
      </c>
      <c r="AX3085" s="1">
        <v>0</v>
      </c>
      <c r="BA3085" s="1">
        <v>9</v>
      </c>
      <c r="BB3085" s="1">
        <v>0</v>
      </c>
      <c r="BC3085" s="1">
        <v>0</v>
      </c>
      <c r="BE3085" s="1">
        <v>27558998</v>
      </c>
    </row>
    <row r="3086" spans="1:57" x14ac:dyDescent="0.25">
      <c r="A3086" s="1" t="str">
        <f>T("1947698898404055392")</f>
        <v>1947698898404055392</v>
      </c>
      <c r="B3086" s="1" t="str">
        <f>T("249910915165")</f>
        <v>249910915165</v>
      </c>
      <c r="C3086" s="1" t="str">
        <f>T("1941094532766500032")</f>
        <v>1941094532766500032</v>
      </c>
      <c r="AC3086" s="1" t="s">
        <v>344</v>
      </c>
      <c r="AD3086" s="1" t="s">
        <v>372</v>
      </c>
      <c r="AE3086" s="1" t="s">
        <v>818</v>
      </c>
      <c r="AF3086" s="1" t="s">
        <v>144</v>
      </c>
      <c r="AG3086" s="1">
        <v>58</v>
      </c>
      <c r="AO3086" s="2">
        <v>46283</v>
      </c>
      <c r="AP3086" s="1" t="s">
        <v>870</v>
      </c>
      <c r="AS3086" s="1" t="s">
        <v>71</v>
      </c>
      <c r="AU3086" s="1" t="s">
        <v>72</v>
      </c>
      <c r="AV3086" s="1" t="s">
        <v>73</v>
      </c>
      <c r="AX3086" s="1">
        <v>0</v>
      </c>
      <c r="BA3086" s="1">
        <v>9</v>
      </c>
      <c r="BB3086" s="1">
        <v>0</v>
      </c>
      <c r="BC3086" s="1">
        <v>0</v>
      </c>
      <c r="BE3086" s="1">
        <v>27558998</v>
      </c>
    </row>
    <row r="3087" spans="1:57" x14ac:dyDescent="0.25">
      <c r="A3087" s="1" t="str">
        <f>T("1947698898466968112")</f>
        <v>1947698898466968112</v>
      </c>
      <c r="B3087" s="1" t="str">
        <f>T("249960391177")</f>
        <v>249960391177</v>
      </c>
      <c r="C3087" s="1" t="str">
        <f>T("1941094532766501432")</f>
        <v>1941094532766501432</v>
      </c>
      <c r="AC3087" s="1" t="s">
        <v>344</v>
      </c>
      <c r="AD3087" s="1" t="s">
        <v>441</v>
      </c>
      <c r="AE3087" s="1" t="s">
        <v>530</v>
      </c>
      <c r="AF3087" s="1" t="s">
        <v>107</v>
      </c>
      <c r="AG3087" s="1">
        <v>53</v>
      </c>
      <c r="AO3087" s="2">
        <v>46283</v>
      </c>
      <c r="AP3087" s="1" t="s">
        <v>870</v>
      </c>
      <c r="AS3087" s="1" t="s">
        <v>71</v>
      </c>
      <c r="AU3087" s="1" t="s">
        <v>72</v>
      </c>
      <c r="AV3087" s="1" t="s">
        <v>437</v>
      </c>
      <c r="AX3087" s="1">
        <v>0</v>
      </c>
      <c r="BA3087" s="1">
        <v>9</v>
      </c>
      <c r="BB3087" s="1">
        <v>0</v>
      </c>
      <c r="BC3087" s="1">
        <v>0</v>
      </c>
      <c r="BE3087" s="1">
        <v>27558998</v>
      </c>
    </row>
    <row r="3088" spans="1:57" x14ac:dyDescent="0.25">
      <c r="A3088" s="1" t="str">
        <f>T("1947698898487941152")</f>
        <v>1947698898487941152</v>
      </c>
      <c r="B3088" s="1" t="str">
        <f>T("249913355693")</f>
        <v>249913355693</v>
      </c>
      <c r="C3088" s="1" t="str">
        <f>T("1941094532766501832")</f>
        <v>1941094532766501832</v>
      </c>
      <c r="AC3088" s="1" t="s">
        <v>344</v>
      </c>
      <c r="AD3088" s="1" t="s">
        <v>441</v>
      </c>
      <c r="AE3088" s="1" t="s">
        <v>530</v>
      </c>
      <c r="AF3088" s="1" t="s">
        <v>107</v>
      </c>
      <c r="AG3088" s="1">
        <v>50</v>
      </c>
      <c r="AO3088" s="2">
        <v>46283</v>
      </c>
      <c r="AP3088" s="1" t="s">
        <v>870</v>
      </c>
      <c r="AS3088" s="1" t="s">
        <v>71</v>
      </c>
      <c r="AU3088" s="1" t="s">
        <v>72</v>
      </c>
      <c r="AV3088" s="1" t="s">
        <v>73</v>
      </c>
      <c r="AX3088" s="1">
        <v>0</v>
      </c>
      <c r="BA3088" s="1">
        <v>9</v>
      </c>
      <c r="BB3088" s="1">
        <v>0</v>
      </c>
      <c r="BC3088" s="1">
        <v>0</v>
      </c>
      <c r="BE3088" s="1">
        <v>27558998</v>
      </c>
    </row>
    <row r="3089" spans="1:57" x14ac:dyDescent="0.25">
      <c r="A3089" s="1" t="str">
        <f>T("1947698898529883432")</f>
        <v>1947698898529883432</v>
      </c>
      <c r="B3089" s="1" t="str">
        <f>T("249909510128")</f>
        <v>249909510128</v>
      </c>
      <c r="C3089" s="1" t="str">
        <f>T("1941094532766502232")</f>
        <v>1941094532766502232</v>
      </c>
      <c r="AC3089" s="1" t="s">
        <v>344</v>
      </c>
      <c r="AD3089" s="1" t="s">
        <v>357</v>
      </c>
      <c r="AE3089" s="1" t="s">
        <v>812</v>
      </c>
      <c r="AF3089" s="1" t="s">
        <v>107</v>
      </c>
      <c r="AG3089" s="1">
        <v>45</v>
      </c>
      <c r="AO3089" s="2">
        <v>46283</v>
      </c>
      <c r="AP3089" s="1" t="s">
        <v>870</v>
      </c>
      <c r="AS3089" s="1" t="s">
        <v>71</v>
      </c>
      <c r="AU3089" s="1" t="s">
        <v>72</v>
      </c>
      <c r="AV3089" s="1" t="s">
        <v>437</v>
      </c>
      <c r="AX3089" s="1">
        <v>0</v>
      </c>
      <c r="BA3089" s="1">
        <v>9</v>
      </c>
      <c r="BB3089" s="1">
        <v>0</v>
      </c>
      <c r="BC3089" s="1">
        <v>0</v>
      </c>
      <c r="BE3089" s="1">
        <v>27558998</v>
      </c>
    </row>
    <row r="3090" spans="1:57" x14ac:dyDescent="0.25">
      <c r="A3090" s="1" t="str">
        <f>T("1947698898550854972")</f>
        <v>1947698898550854972</v>
      </c>
      <c r="B3090" s="1" t="str">
        <f>T("249904298974")</f>
        <v>249904298974</v>
      </c>
      <c r="C3090" s="1" t="str">
        <f>T("1941094532766502832")</f>
        <v>1941094532766502832</v>
      </c>
      <c r="AC3090" s="1" t="s">
        <v>344</v>
      </c>
      <c r="AD3090" s="1" t="s">
        <v>372</v>
      </c>
      <c r="AE3090" s="1" t="s">
        <v>814</v>
      </c>
      <c r="AF3090" s="1" t="s">
        <v>144</v>
      </c>
      <c r="AG3090" s="1">
        <v>45</v>
      </c>
      <c r="AO3090" s="2">
        <v>46283</v>
      </c>
      <c r="AP3090" s="1" t="s">
        <v>870</v>
      </c>
      <c r="AS3090" s="1" t="s">
        <v>71</v>
      </c>
      <c r="AU3090" s="1" t="s">
        <v>72</v>
      </c>
      <c r="AV3090" s="1" t="s">
        <v>73</v>
      </c>
      <c r="AX3090" s="1">
        <v>0</v>
      </c>
      <c r="BA3090" s="1">
        <v>9</v>
      </c>
      <c r="BB3090" s="1">
        <v>0</v>
      </c>
      <c r="BC3090" s="1">
        <v>0</v>
      </c>
      <c r="BE3090" s="1">
        <v>27558998</v>
      </c>
    </row>
    <row r="3091" spans="1:57" x14ac:dyDescent="0.25">
      <c r="A3091" s="1" t="str">
        <f>T("1947698898588606244")</f>
        <v>1947698898588606244</v>
      </c>
      <c r="B3091" s="1" t="str">
        <f>T("249905666926")</f>
        <v>249905666926</v>
      </c>
      <c r="C3091" s="1" t="str">
        <f>T("1941094532770693440")</f>
        <v>1941094532770693440</v>
      </c>
      <c r="AC3091" s="1" t="s">
        <v>344</v>
      </c>
      <c r="AD3091" s="1" t="s">
        <v>357</v>
      </c>
      <c r="AE3091" s="1" t="s">
        <v>812</v>
      </c>
      <c r="AF3091" s="1" t="s">
        <v>107</v>
      </c>
      <c r="AG3091" s="1">
        <v>32</v>
      </c>
      <c r="AO3091" s="2">
        <v>46283</v>
      </c>
      <c r="AP3091" s="1" t="s">
        <v>870</v>
      </c>
      <c r="AS3091" s="1" t="s">
        <v>71</v>
      </c>
      <c r="AU3091" s="1" t="s">
        <v>72</v>
      </c>
      <c r="AV3091" s="1" t="s">
        <v>73</v>
      </c>
      <c r="AX3091" s="1">
        <v>0</v>
      </c>
      <c r="BA3091" s="1">
        <v>9</v>
      </c>
      <c r="BB3091" s="1">
        <v>0</v>
      </c>
      <c r="BC3091" s="1">
        <v>0</v>
      </c>
      <c r="BE3091" s="1">
        <v>27558998</v>
      </c>
    </row>
    <row r="3092" spans="1:57" x14ac:dyDescent="0.25">
      <c r="A3092" s="1" t="str">
        <f>T("1947698898613768992")</f>
        <v>1947698898613768992</v>
      </c>
      <c r="B3092" s="1" t="str">
        <f>T("249967762478")</f>
        <v>249967762478</v>
      </c>
      <c r="C3092" s="1" t="str">
        <f>T("1941094532770693840")</f>
        <v>1941094532770693840</v>
      </c>
      <c r="AC3092" s="1" t="s">
        <v>344</v>
      </c>
      <c r="AD3092" s="1" t="s">
        <v>372</v>
      </c>
      <c r="AE3092" s="1" t="s">
        <v>813</v>
      </c>
      <c r="AF3092" s="1" t="s">
        <v>144</v>
      </c>
      <c r="AG3092" s="1">
        <v>60</v>
      </c>
      <c r="AO3092" s="2">
        <v>46283</v>
      </c>
      <c r="AP3092" s="1" t="s">
        <v>870</v>
      </c>
      <c r="AS3092" s="1" t="s">
        <v>71</v>
      </c>
      <c r="AU3092" s="1" t="s">
        <v>72</v>
      </c>
      <c r="AV3092" s="1" t="s">
        <v>437</v>
      </c>
      <c r="AX3092" s="1">
        <v>0</v>
      </c>
      <c r="BA3092" s="1">
        <v>9</v>
      </c>
      <c r="BB3092" s="1">
        <v>0</v>
      </c>
      <c r="BC3092" s="1">
        <v>0</v>
      </c>
      <c r="BE3092" s="1">
        <v>27558998</v>
      </c>
    </row>
    <row r="3093" spans="1:57" x14ac:dyDescent="0.25">
      <c r="A3093" s="1" t="str">
        <f>T("1947698898668297896")</f>
        <v>1947698898668297896</v>
      </c>
      <c r="B3093" s="1" t="str">
        <f>T("249910615293")</f>
        <v>249910615293</v>
      </c>
      <c r="C3093" s="1" t="str">
        <f>T("1941094532770694840")</f>
        <v>1941094532770694840</v>
      </c>
      <c r="AC3093" s="1" t="s">
        <v>344</v>
      </c>
      <c r="AD3093" s="1" t="s">
        <v>372</v>
      </c>
      <c r="AE3093" s="1" t="s">
        <v>815</v>
      </c>
      <c r="AF3093" s="1" t="s">
        <v>107</v>
      </c>
      <c r="AG3093" s="1">
        <v>37</v>
      </c>
      <c r="AO3093" s="2">
        <v>46283</v>
      </c>
      <c r="AP3093" s="1" t="s">
        <v>870</v>
      </c>
      <c r="AS3093" s="1" t="s">
        <v>71</v>
      </c>
      <c r="AU3093" s="1" t="s">
        <v>72</v>
      </c>
      <c r="AV3093" s="1" t="s">
        <v>437</v>
      </c>
      <c r="AX3093" s="1">
        <v>0</v>
      </c>
      <c r="BA3093" s="1">
        <v>9</v>
      </c>
      <c r="BB3093" s="1">
        <v>0</v>
      </c>
      <c r="BC3093" s="1">
        <v>0</v>
      </c>
      <c r="BE3093" s="1">
        <v>27558998</v>
      </c>
    </row>
    <row r="3094" spans="1:57" x14ac:dyDescent="0.25">
      <c r="A3094" s="1" t="str">
        <f>T("1947698898672491504")</f>
        <v>1947698898672491504</v>
      </c>
      <c r="B3094" s="1" t="str">
        <f>T("249916139466")</f>
        <v>249916139466</v>
      </c>
      <c r="C3094" s="1" t="str">
        <f>T("1941094532770694240")</f>
        <v>1941094532770694240</v>
      </c>
      <c r="AC3094" s="1" t="s">
        <v>344</v>
      </c>
      <c r="AD3094" s="1" t="s">
        <v>372</v>
      </c>
      <c r="AE3094" s="1" t="s">
        <v>813</v>
      </c>
      <c r="AF3094" s="1" t="s">
        <v>144</v>
      </c>
      <c r="AG3094" s="1">
        <v>45</v>
      </c>
      <c r="AO3094" s="2">
        <v>46283</v>
      </c>
      <c r="AP3094" s="1" t="s">
        <v>870</v>
      </c>
      <c r="AS3094" s="1" t="s">
        <v>71</v>
      </c>
      <c r="AU3094" s="1" t="s">
        <v>72</v>
      </c>
      <c r="AV3094" s="1" t="s">
        <v>437</v>
      </c>
      <c r="AX3094" s="1">
        <v>0</v>
      </c>
      <c r="BA3094" s="1">
        <v>9</v>
      </c>
      <c r="BB3094" s="1">
        <v>0</v>
      </c>
      <c r="BC3094" s="1">
        <v>0</v>
      </c>
      <c r="BE3094" s="1">
        <v>27558998</v>
      </c>
    </row>
    <row r="3095" spans="1:57" x14ac:dyDescent="0.25">
      <c r="A3095" s="1" t="str">
        <f>T("1947698898735405124")</f>
        <v>1947698898735405124</v>
      </c>
      <c r="B3095" s="1" t="str">
        <f>T("249119001205")</f>
        <v>249119001205</v>
      </c>
      <c r="C3095" s="1" t="str">
        <f>T("1941094532770695240")</f>
        <v>1941094532770695240</v>
      </c>
      <c r="AA3095" s="1">
        <v>1</v>
      </c>
      <c r="AC3095" s="1" t="s">
        <v>344</v>
      </c>
      <c r="AD3095" s="1" t="s">
        <v>430</v>
      </c>
      <c r="AE3095" s="1" t="s">
        <v>530</v>
      </c>
      <c r="AF3095" s="1" t="s">
        <v>144</v>
      </c>
      <c r="AG3095" s="1">
        <v>45</v>
      </c>
      <c r="AO3095" s="2">
        <v>46283</v>
      </c>
      <c r="AP3095" s="1" t="s">
        <v>870</v>
      </c>
      <c r="AQ3095" s="2">
        <v>46283</v>
      </c>
      <c r="AR3095" s="1" t="s">
        <v>877</v>
      </c>
      <c r="AS3095" s="1" t="s">
        <v>71</v>
      </c>
      <c r="AU3095" s="1" t="s">
        <v>78</v>
      </c>
      <c r="AV3095" s="1" t="s">
        <v>80</v>
      </c>
      <c r="AW3095" s="1">
        <v>50.56</v>
      </c>
      <c r="AX3095" s="1">
        <v>0</v>
      </c>
      <c r="AZ3095" s="1" t="s">
        <v>81</v>
      </c>
      <c r="BA3095" s="1">
        <v>1</v>
      </c>
      <c r="BB3095" s="1">
        <v>0</v>
      </c>
      <c r="BC3095" s="1">
        <v>0</v>
      </c>
      <c r="BE3095" s="1">
        <v>27558998</v>
      </c>
    </row>
    <row r="3096" spans="1:57" x14ac:dyDescent="0.25">
      <c r="A3096" s="1" t="str">
        <f>T("1947698898743792440")</f>
        <v>1947698898743792440</v>
      </c>
      <c r="B3096" s="1" t="str">
        <f>T("249906440554")</f>
        <v>249906440554</v>
      </c>
      <c r="C3096" s="1" t="str">
        <f>T("1941094532770695740")</f>
        <v>1941094532770695740</v>
      </c>
      <c r="AC3096" s="1" t="s">
        <v>344</v>
      </c>
      <c r="AD3096" s="1" t="s">
        <v>372</v>
      </c>
      <c r="AE3096" s="1" t="s">
        <v>813</v>
      </c>
      <c r="AF3096" s="1" t="s">
        <v>144</v>
      </c>
      <c r="AG3096" s="1">
        <v>56</v>
      </c>
      <c r="AO3096" s="2">
        <v>46283</v>
      </c>
      <c r="AP3096" s="1" t="s">
        <v>870</v>
      </c>
      <c r="AS3096" s="1" t="s">
        <v>71</v>
      </c>
      <c r="AU3096" s="1" t="s">
        <v>72</v>
      </c>
      <c r="AV3096" s="1" t="s">
        <v>73</v>
      </c>
      <c r="AX3096" s="1">
        <v>0</v>
      </c>
      <c r="BA3096" s="1">
        <v>9</v>
      </c>
      <c r="BB3096" s="1">
        <v>0</v>
      </c>
      <c r="BC3096" s="1">
        <v>0</v>
      </c>
      <c r="BE3096" s="1">
        <v>27558998</v>
      </c>
    </row>
    <row r="3097" spans="1:57" x14ac:dyDescent="0.25">
      <c r="A3097" s="1" t="str">
        <f>T("1947698898798318544")</f>
        <v>1947698898798318544</v>
      </c>
      <c r="B3097" s="1" t="str">
        <f>T("249903147941")</f>
        <v>249903147941</v>
      </c>
      <c r="C3097" s="1" t="str">
        <f>T("1941094532770696340")</f>
        <v>1941094532770696340</v>
      </c>
      <c r="AC3097" s="1" t="s">
        <v>344</v>
      </c>
      <c r="AD3097" s="1" t="s">
        <v>372</v>
      </c>
      <c r="AE3097" s="1" t="s">
        <v>813</v>
      </c>
      <c r="AF3097" s="1" t="s">
        <v>107</v>
      </c>
      <c r="AG3097" s="1">
        <v>45</v>
      </c>
      <c r="AO3097" s="2">
        <v>46283</v>
      </c>
      <c r="AP3097" s="1" t="s">
        <v>870</v>
      </c>
      <c r="AS3097" s="1" t="s">
        <v>71</v>
      </c>
      <c r="AU3097" s="1" t="s">
        <v>72</v>
      </c>
      <c r="AV3097" s="1" t="s">
        <v>437</v>
      </c>
      <c r="AX3097" s="1">
        <v>0</v>
      </c>
      <c r="BA3097" s="1">
        <v>9</v>
      </c>
      <c r="BB3097" s="1">
        <v>0</v>
      </c>
      <c r="BC3097" s="1">
        <v>0</v>
      </c>
      <c r="BE3097" s="1">
        <v>27558998</v>
      </c>
    </row>
    <row r="3098" spans="1:57" x14ac:dyDescent="0.25">
      <c r="A3098" s="1" t="str">
        <f>T("1947698898802514452")</f>
        <v>1947698898802514452</v>
      </c>
      <c r="B3098" s="1" t="str">
        <f>T("249918431613")</f>
        <v>249918431613</v>
      </c>
      <c r="C3098" s="1" t="str">
        <f>T("1941094532770696740")</f>
        <v>1941094532770696740</v>
      </c>
      <c r="AC3098" s="1" t="s">
        <v>344</v>
      </c>
      <c r="AD3098" s="1" t="s">
        <v>372</v>
      </c>
      <c r="AE3098" s="1" t="s">
        <v>373</v>
      </c>
      <c r="AF3098" s="1" t="s">
        <v>107</v>
      </c>
      <c r="AG3098" s="1">
        <v>55</v>
      </c>
      <c r="AO3098" s="2">
        <v>46283</v>
      </c>
      <c r="AP3098" s="1" t="s">
        <v>870</v>
      </c>
      <c r="AS3098" s="1" t="s">
        <v>71</v>
      </c>
      <c r="AU3098" s="1" t="s">
        <v>72</v>
      </c>
      <c r="AV3098" s="1" t="s">
        <v>437</v>
      </c>
      <c r="AX3098" s="1">
        <v>0</v>
      </c>
      <c r="BA3098" s="1">
        <v>9</v>
      </c>
      <c r="BB3098" s="1">
        <v>0</v>
      </c>
      <c r="BC3098" s="1">
        <v>0</v>
      </c>
      <c r="BE3098" s="1">
        <v>27558998</v>
      </c>
    </row>
    <row r="3099" spans="1:57" x14ac:dyDescent="0.25">
      <c r="A3099" s="1" t="str">
        <f>T("1947698898882205404")</f>
        <v>1947698898882205404</v>
      </c>
      <c r="B3099" s="1" t="str">
        <f>T("249914195945")</f>
        <v>249914195945</v>
      </c>
      <c r="C3099" s="1" t="str">
        <f>T("1941094532779084956")</f>
        <v>1941094532779084956</v>
      </c>
      <c r="AC3099" s="1" t="s">
        <v>344</v>
      </c>
      <c r="AD3099" s="1" t="s">
        <v>372</v>
      </c>
      <c r="AE3099" s="1" t="s">
        <v>813</v>
      </c>
      <c r="AF3099" s="1" t="s">
        <v>107</v>
      </c>
      <c r="AG3099" s="1">
        <v>80</v>
      </c>
      <c r="AO3099" s="2">
        <v>46283</v>
      </c>
      <c r="AP3099" s="1" t="s">
        <v>870</v>
      </c>
      <c r="AS3099" s="1" t="s">
        <v>71</v>
      </c>
      <c r="AU3099" s="1" t="s">
        <v>72</v>
      </c>
      <c r="AV3099" s="1" t="s">
        <v>73</v>
      </c>
      <c r="AX3099" s="1">
        <v>0</v>
      </c>
      <c r="BA3099" s="1">
        <v>9</v>
      </c>
      <c r="BB3099" s="1">
        <v>0</v>
      </c>
      <c r="BC3099" s="1">
        <v>0</v>
      </c>
      <c r="BE3099" s="1">
        <v>27558998</v>
      </c>
    </row>
    <row r="3100" spans="1:57" x14ac:dyDescent="0.25">
      <c r="A3100" s="1" t="str">
        <f>T("1947698898886399112")</f>
        <v>1947698898886399112</v>
      </c>
      <c r="B3100" s="1" t="str">
        <f>T("249963605592")</f>
        <v>249963605592</v>
      </c>
      <c r="C3100" s="1" t="str">
        <f>T("1941094532779085556")</f>
        <v>1941094532779085556</v>
      </c>
      <c r="AC3100" s="1" t="s">
        <v>344</v>
      </c>
      <c r="AD3100" s="1" t="s">
        <v>441</v>
      </c>
      <c r="AE3100" s="1" t="s">
        <v>530</v>
      </c>
      <c r="AF3100" s="1" t="s">
        <v>107</v>
      </c>
      <c r="AG3100" s="1">
        <v>49</v>
      </c>
      <c r="AO3100" s="2">
        <v>46283</v>
      </c>
      <c r="AP3100" s="1" t="s">
        <v>870</v>
      </c>
      <c r="AS3100" s="1" t="s">
        <v>71</v>
      </c>
      <c r="AU3100" s="1" t="s">
        <v>72</v>
      </c>
      <c r="AV3100" s="1" t="s">
        <v>73</v>
      </c>
      <c r="AX3100" s="1">
        <v>0</v>
      </c>
      <c r="BA3100" s="1">
        <v>9</v>
      </c>
      <c r="BB3100" s="1">
        <v>0</v>
      </c>
      <c r="BC3100" s="1">
        <v>0</v>
      </c>
      <c r="BE3100" s="1">
        <v>27558998</v>
      </c>
    </row>
    <row r="3101" spans="1:57" x14ac:dyDescent="0.25">
      <c r="A3101" s="1" t="str">
        <f>T("1947698898949314832")</f>
        <v>1947698898949314832</v>
      </c>
      <c r="B3101" s="1" t="str">
        <f>T("249905097525")</f>
        <v>249905097525</v>
      </c>
      <c r="C3101" s="1" t="str">
        <f>T("1941094532783276264")</f>
        <v>1941094532783276264</v>
      </c>
      <c r="AC3101" s="1" t="s">
        <v>344</v>
      </c>
      <c r="AD3101" s="1" t="s">
        <v>430</v>
      </c>
      <c r="AE3101" s="1" t="s">
        <v>530</v>
      </c>
      <c r="AF3101" s="1" t="s">
        <v>107</v>
      </c>
      <c r="AG3101" s="1">
        <v>21</v>
      </c>
      <c r="AO3101" s="2">
        <v>46283</v>
      </c>
      <c r="AP3101" s="1" t="s">
        <v>870</v>
      </c>
      <c r="AS3101" s="1" t="s">
        <v>71</v>
      </c>
      <c r="AU3101" s="1" t="s">
        <v>72</v>
      </c>
      <c r="AV3101" s="1" t="s">
        <v>73</v>
      </c>
      <c r="AX3101" s="1">
        <v>0</v>
      </c>
      <c r="BA3101" s="1">
        <v>9</v>
      </c>
      <c r="BB3101" s="1">
        <v>0</v>
      </c>
      <c r="BC3101" s="1">
        <v>0</v>
      </c>
      <c r="BE3101" s="1">
        <v>27558998</v>
      </c>
    </row>
    <row r="3102" spans="1:57" x14ac:dyDescent="0.25">
      <c r="A3102" s="1" t="str">
        <f>T("1947698898961896156")</f>
        <v>1947698898961896156</v>
      </c>
      <c r="B3102" s="1" t="str">
        <f>T("249965832649")</f>
        <v>249965832649</v>
      </c>
      <c r="C3102" s="1" t="str">
        <f>T("1941094532783276564")</f>
        <v>1941094532783276564</v>
      </c>
      <c r="AC3102" s="1" t="s">
        <v>344</v>
      </c>
      <c r="AD3102" s="1" t="s">
        <v>430</v>
      </c>
      <c r="AE3102" s="1" t="s">
        <v>530</v>
      </c>
      <c r="AF3102" s="1" t="s">
        <v>144</v>
      </c>
      <c r="AG3102" s="1">
        <v>60</v>
      </c>
      <c r="AO3102" s="2">
        <v>46283</v>
      </c>
      <c r="AP3102" s="1" t="s">
        <v>870</v>
      </c>
      <c r="AS3102" s="1" t="s">
        <v>71</v>
      </c>
      <c r="AU3102" s="1" t="s">
        <v>72</v>
      </c>
      <c r="AV3102" s="1" t="s">
        <v>73</v>
      </c>
      <c r="AX3102" s="1">
        <v>0</v>
      </c>
      <c r="BA3102" s="1">
        <v>9</v>
      </c>
      <c r="BB3102" s="1">
        <v>0</v>
      </c>
      <c r="BC3102" s="1">
        <v>0</v>
      </c>
      <c r="BE3102" s="1">
        <v>27558998</v>
      </c>
    </row>
    <row r="3103" spans="1:57" x14ac:dyDescent="0.25">
      <c r="A3103" s="1" t="str">
        <f>T("1947698899012229252")</f>
        <v>1947698899012229252</v>
      </c>
      <c r="B3103" s="1" t="str">
        <f>T("249905930240")</f>
        <v>249905930240</v>
      </c>
      <c r="C3103" s="1" t="str">
        <f>T("1941094532783276864")</f>
        <v>1941094532783276864</v>
      </c>
      <c r="AC3103" s="1" t="s">
        <v>344</v>
      </c>
      <c r="AD3103" s="1" t="s">
        <v>441</v>
      </c>
      <c r="AE3103" s="1" t="s">
        <v>530</v>
      </c>
      <c r="AF3103" s="1" t="s">
        <v>107</v>
      </c>
      <c r="AG3103" s="1">
        <v>55</v>
      </c>
      <c r="AO3103" s="2">
        <v>46283</v>
      </c>
      <c r="AP3103" s="1" t="s">
        <v>870</v>
      </c>
      <c r="AS3103" s="1" t="s">
        <v>71</v>
      </c>
      <c r="AU3103" s="1" t="s">
        <v>72</v>
      </c>
      <c r="AV3103" s="1" t="s">
        <v>73</v>
      </c>
      <c r="AX3103" s="1">
        <v>0</v>
      </c>
      <c r="BA3103" s="1">
        <v>9</v>
      </c>
      <c r="BB3103" s="1">
        <v>0</v>
      </c>
      <c r="BC3103" s="1">
        <v>0</v>
      </c>
      <c r="BE3103" s="1">
        <v>27558998</v>
      </c>
    </row>
    <row r="3104" spans="1:57" x14ac:dyDescent="0.25">
      <c r="A3104" s="1" t="str">
        <f>T("1947698899037393300")</f>
        <v>1947698899037393300</v>
      </c>
      <c r="B3104" s="1" t="str">
        <f>T("249127260635")</f>
        <v>249127260635</v>
      </c>
      <c r="C3104" s="1" t="str">
        <f>T("1941094532783277164")</f>
        <v>1941094532783277164</v>
      </c>
      <c r="AA3104" s="1">
        <v>1</v>
      </c>
      <c r="AC3104" s="1" t="s">
        <v>344</v>
      </c>
      <c r="AD3104" s="1" t="s">
        <v>372</v>
      </c>
      <c r="AE3104" s="1" t="s">
        <v>820</v>
      </c>
      <c r="AF3104" s="1" t="s">
        <v>144</v>
      </c>
      <c r="AG3104" s="1">
        <v>24</v>
      </c>
      <c r="AO3104" s="2">
        <v>46283</v>
      </c>
      <c r="AP3104" s="1" t="s">
        <v>870</v>
      </c>
      <c r="AQ3104" s="2">
        <v>46283</v>
      </c>
      <c r="AR3104" s="1" t="s">
        <v>878</v>
      </c>
      <c r="AS3104" s="1" t="s">
        <v>71</v>
      </c>
      <c r="AU3104" s="1" t="s">
        <v>79</v>
      </c>
      <c r="AV3104" s="1" t="s">
        <v>80</v>
      </c>
      <c r="AW3104" s="1">
        <v>126.44</v>
      </c>
      <c r="AX3104" s="1">
        <v>0</v>
      </c>
      <c r="AZ3104" s="1" t="s">
        <v>81</v>
      </c>
      <c r="BA3104" s="1">
        <v>1</v>
      </c>
      <c r="BB3104" s="1">
        <v>0</v>
      </c>
      <c r="BC3104" s="1">
        <v>0</v>
      </c>
      <c r="BE3104" s="1">
        <v>27558998</v>
      </c>
    </row>
    <row r="3105" spans="1:57" x14ac:dyDescent="0.25">
      <c r="A3105" s="1" t="str">
        <f>T("1947698899070947964")</f>
        <v>1947698899070947964</v>
      </c>
      <c r="B3105" s="1" t="str">
        <f>T("249999573348")</f>
        <v>249999573348</v>
      </c>
      <c r="C3105" s="1" t="str">
        <f>T("1941094532783277464")</f>
        <v>1941094532783277464</v>
      </c>
      <c r="AC3105" s="1" t="s">
        <v>344</v>
      </c>
      <c r="AD3105" s="1" t="s">
        <v>372</v>
      </c>
      <c r="AE3105" s="1" t="s">
        <v>815</v>
      </c>
      <c r="AF3105" s="1" t="s">
        <v>107</v>
      </c>
      <c r="AG3105" s="1">
        <v>55</v>
      </c>
      <c r="AO3105" s="2">
        <v>46283</v>
      </c>
      <c r="AP3105" s="1" t="s">
        <v>870</v>
      </c>
      <c r="AS3105" s="1" t="s">
        <v>71</v>
      </c>
      <c r="AU3105" s="1" t="s">
        <v>72</v>
      </c>
      <c r="AV3105" s="1" t="s">
        <v>73</v>
      </c>
      <c r="AX3105" s="1">
        <v>0</v>
      </c>
      <c r="BA3105" s="1">
        <v>9</v>
      </c>
      <c r="BB3105" s="1">
        <v>0</v>
      </c>
      <c r="BC3105" s="1">
        <v>0</v>
      </c>
      <c r="BE3105" s="1">
        <v>27558998</v>
      </c>
    </row>
    <row r="3106" spans="1:57" x14ac:dyDescent="0.25">
      <c r="A3106" s="1" t="str">
        <f>T("1947698899104503928")</f>
        <v>1947698899104503928</v>
      </c>
      <c r="B3106" s="1" t="str">
        <f>T("249918707323")</f>
        <v>249918707323</v>
      </c>
      <c r="C3106" s="1" t="str">
        <f>T("1941094532783277864")</f>
        <v>1941094532783277864</v>
      </c>
      <c r="AC3106" s="1" t="s">
        <v>344</v>
      </c>
      <c r="AD3106" s="1" t="s">
        <v>430</v>
      </c>
      <c r="AE3106" s="1" t="s">
        <v>530</v>
      </c>
      <c r="AF3106" s="1" t="s">
        <v>107</v>
      </c>
      <c r="AG3106" s="1">
        <v>39</v>
      </c>
      <c r="AO3106" s="2">
        <v>46283</v>
      </c>
      <c r="AP3106" s="1" t="s">
        <v>870</v>
      </c>
      <c r="AS3106" s="1" t="s">
        <v>71</v>
      </c>
      <c r="AU3106" s="1" t="s">
        <v>72</v>
      </c>
      <c r="AV3106" s="1" t="s">
        <v>437</v>
      </c>
      <c r="AX3106" s="1">
        <v>0</v>
      </c>
      <c r="BA3106" s="1">
        <v>9</v>
      </c>
      <c r="BB3106" s="1">
        <v>0</v>
      </c>
      <c r="BC3106" s="1">
        <v>0</v>
      </c>
      <c r="BE3106" s="1">
        <v>27558998</v>
      </c>
    </row>
    <row r="3107" spans="1:57" x14ac:dyDescent="0.25">
      <c r="A3107" s="1" t="str">
        <f>T("1947698899121282860")</f>
        <v>1947698899121282860</v>
      </c>
      <c r="B3107" s="1" t="str">
        <f>T("249917570613")</f>
        <v>249917570613</v>
      </c>
      <c r="C3107" s="1" t="str">
        <f>T("1941094532783278164")</f>
        <v>1941094532783278164</v>
      </c>
      <c r="AC3107" s="1" t="s">
        <v>344</v>
      </c>
      <c r="AD3107" s="1" t="s">
        <v>430</v>
      </c>
      <c r="AE3107" s="1" t="s">
        <v>530</v>
      </c>
      <c r="AF3107" s="1" t="s">
        <v>107</v>
      </c>
      <c r="AG3107" s="1">
        <v>55</v>
      </c>
      <c r="AO3107" s="2">
        <v>46283</v>
      </c>
      <c r="AP3107" s="1" t="s">
        <v>870</v>
      </c>
      <c r="AS3107" s="1" t="s">
        <v>71</v>
      </c>
      <c r="AU3107" s="1" t="s">
        <v>72</v>
      </c>
      <c r="AV3107" s="1" t="s">
        <v>437</v>
      </c>
      <c r="AX3107" s="1">
        <v>0</v>
      </c>
      <c r="BA3107" s="1">
        <v>9</v>
      </c>
      <c r="BB3107" s="1">
        <v>0</v>
      </c>
      <c r="BC3107" s="1">
        <v>0</v>
      </c>
      <c r="BE3107" s="1">
        <v>27558998</v>
      </c>
    </row>
    <row r="3108" spans="1:57" x14ac:dyDescent="0.25">
      <c r="A3108" s="1" t="str">
        <f>T("1947698899150642616")</f>
        <v>1947698899150642616</v>
      </c>
      <c r="B3108" s="1" t="str">
        <f>T("249919571249")</f>
        <v>249919571249</v>
      </c>
      <c r="C3108" s="1" t="str">
        <f>T("1941094532783278564")</f>
        <v>1941094532783278564</v>
      </c>
      <c r="AC3108" s="1" t="s">
        <v>344</v>
      </c>
      <c r="AD3108" s="1" t="s">
        <v>357</v>
      </c>
      <c r="AE3108" s="1" t="s">
        <v>812</v>
      </c>
      <c r="AF3108" s="1" t="s">
        <v>107</v>
      </c>
      <c r="AG3108" s="1">
        <v>55</v>
      </c>
      <c r="AO3108" s="2">
        <v>46283</v>
      </c>
      <c r="AP3108" s="1" t="s">
        <v>870</v>
      </c>
      <c r="AS3108" s="1" t="s">
        <v>71</v>
      </c>
      <c r="AU3108" s="1" t="s">
        <v>72</v>
      </c>
      <c r="AV3108" s="1" t="s">
        <v>437</v>
      </c>
      <c r="AX3108" s="1">
        <v>0</v>
      </c>
      <c r="BA3108" s="1">
        <v>9</v>
      </c>
      <c r="BB3108" s="1">
        <v>0</v>
      </c>
      <c r="BC3108" s="1">
        <v>0</v>
      </c>
      <c r="BE3108" s="1">
        <v>27558998</v>
      </c>
    </row>
    <row r="3109" spans="1:57" x14ac:dyDescent="0.25">
      <c r="A3109" s="1" t="str">
        <f>T("1947698899188389188")</f>
        <v>1947698899188389188</v>
      </c>
      <c r="B3109" s="1" t="str">
        <f>T("249968784359")</f>
        <v>249968784359</v>
      </c>
      <c r="C3109" s="1" t="str">
        <f>T("1941094532783278964")</f>
        <v>1941094532783278964</v>
      </c>
      <c r="AC3109" s="1" t="s">
        <v>344</v>
      </c>
      <c r="AD3109" s="1" t="s">
        <v>372</v>
      </c>
      <c r="AE3109" s="1" t="s">
        <v>815</v>
      </c>
      <c r="AF3109" s="1" t="s">
        <v>107</v>
      </c>
      <c r="AG3109" s="1">
        <v>30</v>
      </c>
      <c r="AO3109" s="2">
        <v>46283</v>
      </c>
      <c r="AP3109" s="1" t="s">
        <v>870</v>
      </c>
      <c r="AS3109" s="1" t="s">
        <v>71</v>
      </c>
      <c r="AU3109" s="1" t="s">
        <v>72</v>
      </c>
      <c r="AV3109" s="1" t="s">
        <v>437</v>
      </c>
      <c r="AX3109" s="1">
        <v>0</v>
      </c>
      <c r="BA3109" s="1">
        <v>9</v>
      </c>
      <c r="BB3109" s="1">
        <v>0</v>
      </c>
      <c r="BC3109" s="1">
        <v>0</v>
      </c>
      <c r="BE3109" s="1">
        <v>27558998</v>
      </c>
    </row>
    <row r="3110" spans="1:57" x14ac:dyDescent="0.25">
      <c r="A3110" s="1" t="str">
        <f>T("1947698899200972912")</f>
        <v>1947698899200972912</v>
      </c>
      <c r="B3110" s="1" t="str">
        <f>T("249910415569")</f>
        <v>249910415569</v>
      </c>
      <c r="C3110" s="1" t="str">
        <f>T("1941094532783279464")</f>
        <v>1941094532783279464</v>
      </c>
      <c r="AC3110" s="1" t="s">
        <v>344</v>
      </c>
      <c r="AD3110" s="1" t="s">
        <v>441</v>
      </c>
      <c r="AE3110" s="1" t="s">
        <v>530</v>
      </c>
      <c r="AF3110" s="1" t="s">
        <v>107</v>
      </c>
      <c r="AG3110" s="1">
        <v>44</v>
      </c>
      <c r="AO3110" s="2">
        <v>46283</v>
      </c>
      <c r="AP3110" s="1" t="s">
        <v>870</v>
      </c>
      <c r="AS3110" s="1" t="s">
        <v>71</v>
      </c>
      <c r="AU3110" s="1" t="s">
        <v>72</v>
      </c>
      <c r="AV3110" s="1" t="s">
        <v>73</v>
      </c>
      <c r="AX3110" s="1">
        <v>0</v>
      </c>
      <c r="BA3110" s="1">
        <v>9</v>
      </c>
      <c r="BB3110" s="1">
        <v>0</v>
      </c>
      <c r="BC3110" s="1">
        <v>0</v>
      </c>
      <c r="BE3110" s="1">
        <v>27558998</v>
      </c>
    </row>
    <row r="3111" spans="1:57" x14ac:dyDescent="0.25">
      <c r="A3111" s="1" t="str">
        <f>T("1947698899247110000")</f>
        <v>1947698899247110000</v>
      </c>
      <c r="B3111" s="1" t="str">
        <f>T("249914428836")</f>
        <v>249914428836</v>
      </c>
      <c r="C3111" s="1" t="str">
        <f>T("1941094532787470372")</f>
        <v>1941094532787470372</v>
      </c>
      <c r="AC3111" s="1" t="s">
        <v>344</v>
      </c>
      <c r="AD3111" s="1" t="s">
        <v>430</v>
      </c>
      <c r="AE3111" s="1" t="s">
        <v>530</v>
      </c>
      <c r="AF3111" s="1" t="s">
        <v>107</v>
      </c>
      <c r="AG3111" s="1">
        <v>35</v>
      </c>
      <c r="AO3111" s="2">
        <v>46283</v>
      </c>
      <c r="AP3111" s="1" t="s">
        <v>870</v>
      </c>
      <c r="AS3111" s="1" t="s">
        <v>71</v>
      </c>
      <c r="AU3111" s="1" t="s">
        <v>72</v>
      </c>
      <c r="AV3111" s="1" t="s">
        <v>437</v>
      </c>
      <c r="AX3111" s="1">
        <v>0</v>
      </c>
      <c r="BA3111" s="1">
        <v>9</v>
      </c>
      <c r="BB3111" s="1">
        <v>0</v>
      </c>
      <c r="BC3111" s="1">
        <v>0</v>
      </c>
      <c r="BE3111" s="1">
        <v>27558998</v>
      </c>
    </row>
    <row r="3112" spans="1:57" x14ac:dyDescent="0.25">
      <c r="A3112" s="1" t="str">
        <f>T("1947698899259692124")</f>
        <v>1947698899259692124</v>
      </c>
      <c r="B3112" s="1" t="str">
        <f>T("249919356427")</f>
        <v>249919356427</v>
      </c>
      <c r="C3112" s="1" t="str">
        <f>T("1941094532787470772")</f>
        <v>1941094532787470772</v>
      </c>
      <c r="AC3112" s="1" t="s">
        <v>344</v>
      </c>
      <c r="AD3112" s="1" t="s">
        <v>357</v>
      </c>
      <c r="AE3112" s="1" t="s">
        <v>817</v>
      </c>
      <c r="AF3112" s="1" t="s">
        <v>107</v>
      </c>
      <c r="AG3112" s="1">
        <v>54</v>
      </c>
      <c r="AO3112" s="2">
        <v>46283</v>
      </c>
      <c r="AP3112" s="1" t="s">
        <v>870</v>
      </c>
      <c r="AS3112" s="1" t="s">
        <v>71</v>
      </c>
      <c r="AU3112" s="1" t="s">
        <v>72</v>
      </c>
      <c r="AV3112" s="1" t="s">
        <v>73</v>
      </c>
      <c r="AX3112" s="1">
        <v>0</v>
      </c>
      <c r="BA3112" s="1">
        <v>9</v>
      </c>
      <c r="BB3112" s="1">
        <v>0</v>
      </c>
      <c r="BC3112" s="1">
        <v>0</v>
      </c>
      <c r="BE3112" s="1">
        <v>27558998</v>
      </c>
    </row>
    <row r="3113" spans="1:57" x14ac:dyDescent="0.25">
      <c r="A3113" s="1" t="str">
        <f>T("1947698899297441496")</f>
        <v>1947698899297441496</v>
      </c>
      <c r="B3113" s="1" t="str">
        <f>T("249988007750")</f>
        <v>249988007750</v>
      </c>
      <c r="C3113" s="1" t="str">
        <f>T("1941094532791667880")</f>
        <v>1941094532791667880</v>
      </c>
      <c r="AC3113" s="1" t="s">
        <v>344</v>
      </c>
      <c r="AD3113" s="1" t="s">
        <v>372</v>
      </c>
      <c r="AE3113" s="1" t="s">
        <v>814</v>
      </c>
      <c r="AF3113" s="1" t="s">
        <v>144</v>
      </c>
      <c r="AG3113" s="1">
        <v>42</v>
      </c>
      <c r="AO3113" s="2">
        <v>46283</v>
      </c>
      <c r="AP3113" s="1" t="s">
        <v>870</v>
      </c>
      <c r="AS3113" s="1" t="s">
        <v>71</v>
      </c>
      <c r="AU3113" s="1" t="s">
        <v>72</v>
      </c>
      <c r="AV3113" s="1" t="s">
        <v>73</v>
      </c>
      <c r="AX3113" s="1">
        <v>0</v>
      </c>
      <c r="BA3113" s="1">
        <v>9</v>
      </c>
      <c r="BB3113" s="1">
        <v>0</v>
      </c>
      <c r="BC3113" s="1">
        <v>0</v>
      </c>
      <c r="BE3113" s="1">
        <v>27558998</v>
      </c>
    </row>
    <row r="3114" spans="1:57" x14ac:dyDescent="0.25">
      <c r="A3114" s="1" t="str">
        <f>T("1947698899330996860")</f>
        <v>1947698899330996860</v>
      </c>
      <c r="B3114" s="1" t="str">
        <f>T("249915414852")</f>
        <v>249915414852</v>
      </c>
      <c r="C3114" s="1" t="str">
        <f>T("1941094532791668280")</f>
        <v>1941094532791668280</v>
      </c>
      <c r="AC3114" s="1" t="s">
        <v>344</v>
      </c>
      <c r="AD3114" s="1" t="s">
        <v>441</v>
      </c>
      <c r="AE3114" s="1" t="s">
        <v>530</v>
      </c>
      <c r="AF3114" s="1" t="s">
        <v>107</v>
      </c>
      <c r="AG3114" s="1">
        <v>57</v>
      </c>
      <c r="AO3114" s="2">
        <v>46283</v>
      </c>
      <c r="AP3114" s="1" t="s">
        <v>870</v>
      </c>
      <c r="AS3114" s="1" t="s">
        <v>71</v>
      </c>
      <c r="AU3114" s="1" t="s">
        <v>72</v>
      </c>
      <c r="AV3114" s="1" t="s">
        <v>73</v>
      </c>
      <c r="AX3114" s="1">
        <v>0</v>
      </c>
      <c r="BA3114" s="1">
        <v>9</v>
      </c>
      <c r="BB3114" s="1">
        <v>0</v>
      </c>
      <c r="BC3114" s="1">
        <v>0</v>
      </c>
      <c r="BE3114" s="1">
        <v>27558998</v>
      </c>
    </row>
    <row r="3115" spans="1:57" x14ac:dyDescent="0.25">
      <c r="A3115" s="1" t="str">
        <f>T("1947698899372937840")</f>
        <v>1947698899372937840</v>
      </c>
      <c r="B3115" s="1" t="str">
        <f>T("249919017832")</f>
        <v>249919017832</v>
      </c>
      <c r="C3115" s="1" t="str">
        <f>T("1941094532795859088")</f>
        <v>1941094532795859088</v>
      </c>
      <c r="AC3115" s="1" t="s">
        <v>344</v>
      </c>
      <c r="AD3115" s="1" t="s">
        <v>372</v>
      </c>
      <c r="AE3115" s="1" t="s">
        <v>818</v>
      </c>
      <c r="AF3115" s="1" t="s">
        <v>107</v>
      </c>
      <c r="AG3115" s="1">
        <v>65</v>
      </c>
      <c r="AO3115" s="2">
        <v>46283</v>
      </c>
      <c r="AP3115" s="1" t="s">
        <v>870</v>
      </c>
      <c r="AS3115" s="1" t="s">
        <v>71</v>
      </c>
      <c r="AU3115" s="1" t="s">
        <v>72</v>
      </c>
      <c r="AV3115" s="1" t="s">
        <v>73</v>
      </c>
      <c r="AX3115" s="1">
        <v>0</v>
      </c>
      <c r="BA3115" s="1">
        <v>9</v>
      </c>
      <c r="BB3115" s="1">
        <v>0</v>
      </c>
      <c r="BC3115" s="1">
        <v>0</v>
      </c>
      <c r="BE3115" s="1">
        <v>27558998</v>
      </c>
    </row>
    <row r="3116" spans="1:57" x14ac:dyDescent="0.25">
      <c r="A3116" s="1" t="str">
        <f>T("1947698899414882820")</f>
        <v>1947698899414882820</v>
      </c>
      <c r="B3116" s="1" t="str">
        <f>T("249192678963")</f>
        <v>249192678963</v>
      </c>
      <c r="C3116" s="1" t="str">
        <f>T("1941094532795859488")</f>
        <v>1941094532795859488</v>
      </c>
      <c r="AC3116" s="1" t="s">
        <v>344</v>
      </c>
      <c r="AD3116" s="1" t="s">
        <v>372</v>
      </c>
      <c r="AE3116" s="1" t="s">
        <v>815</v>
      </c>
      <c r="AF3116" s="1" t="s">
        <v>107</v>
      </c>
      <c r="AG3116" s="1">
        <v>57</v>
      </c>
      <c r="AO3116" s="2">
        <v>46283</v>
      </c>
      <c r="AP3116" s="1" t="s">
        <v>870</v>
      </c>
      <c r="AS3116" s="1" t="s">
        <v>71</v>
      </c>
      <c r="AU3116" s="1" t="s">
        <v>72</v>
      </c>
      <c r="AV3116" s="1" t="s">
        <v>73</v>
      </c>
      <c r="AX3116" s="1">
        <v>0</v>
      </c>
      <c r="BA3116" s="1">
        <v>9</v>
      </c>
      <c r="BB3116" s="1">
        <v>0</v>
      </c>
      <c r="BC3116" s="1">
        <v>0</v>
      </c>
      <c r="BE3116" s="1">
        <v>27558998</v>
      </c>
    </row>
    <row r="3117" spans="1:57" x14ac:dyDescent="0.25">
      <c r="A3117" s="1" t="str">
        <f>T("1947698899444241876")</f>
        <v>1947698899444241876</v>
      </c>
      <c r="B3117" s="1" t="str">
        <f>T("249913827968")</f>
        <v>249913827968</v>
      </c>
      <c r="C3117" s="1" t="str">
        <f>T("1941094532795859888")</f>
        <v>1941094532795859888</v>
      </c>
      <c r="AC3117" s="1" t="s">
        <v>344</v>
      </c>
      <c r="AD3117" s="1" t="s">
        <v>441</v>
      </c>
      <c r="AE3117" s="1" t="s">
        <v>530</v>
      </c>
      <c r="AF3117" s="1" t="s">
        <v>107</v>
      </c>
      <c r="AG3117" s="1">
        <v>37</v>
      </c>
      <c r="AO3117" s="2">
        <v>46283</v>
      </c>
      <c r="AP3117" s="1" t="s">
        <v>870</v>
      </c>
      <c r="AS3117" s="1" t="s">
        <v>71</v>
      </c>
      <c r="AU3117" s="1" t="s">
        <v>72</v>
      </c>
      <c r="AV3117" s="1" t="s">
        <v>437</v>
      </c>
      <c r="AX3117" s="1">
        <v>0</v>
      </c>
      <c r="BA3117" s="1">
        <v>9</v>
      </c>
      <c r="BB3117" s="1">
        <v>0</v>
      </c>
      <c r="BC3117" s="1">
        <v>0</v>
      </c>
      <c r="BE3117" s="1">
        <v>27558998</v>
      </c>
    </row>
    <row r="3118" spans="1:57" x14ac:dyDescent="0.25">
      <c r="A3118" s="1" t="str">
        <f>T("1947698899498770380")</f>
        <v>1947698899498770380</v>
      </c>
      <c r="B3118" s="1" t="str">
        <f>T("24992575452")</f>
        <v>24992575452</v>
      </c>
      <c r="C3118" s="1" t="str">
        <f>T("1941094532795860288")</f>
        <v>1941094532795860288</v>
      </c>
      <c r="AC3118" s="1" t="s">
        <v>344</v>
      </c>
      <c r="AD3118" s="1" t="s">
        <v>372</v>
      </c>
      <c r="AE3118" s="1" t="s">
        <v>815</v>
      </c>
      <c r="AF3118" s="1" t="s">
        <v>144</v>
      </c>
      <c r="AG3118" s="1">
        <v>37</v>
      </c>
      <c r="AO3118" s="2">
        <v>46283</v>
      </c>
      <c r="AP3118" s="1" t="s">
        <v>870</v>
      </c>
      <c r="AS3118" s="1" t="s">
        <v>71</v>
      </c>
      <c r="AU3118" s="1" t="s">
        <v>72</v>
      </c>
      <c r="AV3118" s="1" t="s">
        <v>73</v>
      </c>
      <c r="AX3118" s="1">
        <v>0</v>
      </c>
      <c r="BA3118" s="1">
        <v>9</v>
      </c>
      <c r="BB3118" s="1">
        <v>0</v>
      </c>
      <c r="BC3118" s="1">
        <v>0</v>
      </c>
      <c r="BE3118" s="1">
        <v>27558998</v>
      </c>
    </row>
    <row r="3119" spans="1:57" x14ac:dyDescent="0.25">
      <c r="A3119" s="1" t="str">
        <f>T("1947698899502960988")</f>
        <v>1947698899502960988</v>
      </c>
      <c r="B3119" s="1" t="str">
        <f>T("249915323555")</f>
        <v>249915323555</v>
      </c>
      <c r="C3119" s="1" t="str">
        <f>T("1941094532795860688")</f>
        <v>1941094532795860688</v>
      </c>
      <c r="AC3119" s="1" t="s">
        <v>344</v>
      </c>
      <c r="AD3119" s="1" t="s">
        <v>430</v>
      </c>
      <c r="AE3119" s="1" t="s">
        <v>530</v>
      </c>
      <c r="AF3119" s="1" t="s">
        <v>107</v>
      </c>
      <c r="AG3119" s="1">
        <v>42</v>
      </c>
      <c r="AO3119" s="2">
        <v>46283</v>
      </c>
      <c r="AP3119" s="1" t="s">
        <v>870</v>
      </c>
      <c r="AS3119" s="1" t="s">
        <v>71</v>
      </c>
      <c r="AU3119" s="1" t="s">
        <v>72</v>
      </c>
      <c r="AV3119" s="1" t="s">
        <v>73</v>
      </c>
      <c r="AX3119" s="1">
        <v>0</v>
      </c>
      <c r="BA3119" s="1">
        <v>9</v>
      </c>
      <c r="BB3119" s="1">
        <v>0</v>
      </c>
      <c r="BC3119" s="1">
        <v>0</v>
      </c>
      <c r="BE3119" s="1">
        <v>27558998</v>
      </c>
    </row>
    <row r="3120" spans="1:57" x14ac:dyDescent="0.25">
      <c r="A3120" s="1" t="str">
        <f>T("1947698899561683800")</f>
        <v>1947698899561683800</v>
      </c>
      <c r="B3120" s="1" t="str">
        <f>T("249923432717")</f>
        <v>249923432717</v>
      </c>
      <c r="C3120" s="1" t="str">
        <f>T("1941094532795861088")</f>
        <v>1941094532795861088</v>
      </c>
      <c r="M3120" s="1" t="s">
        <v>59</v>
      </c>
      <c r="O3120" s="1" t="s">
        <v>65</v>
      </c>
      <c r="P3120" s="1" t="s">
        <v>61</v>
      </c>
      <c r="Q3120" s="1" t="s">
        <v>101</v>
      </c>
      <c r="R3120" s="1" t="s">
        <v>93</v>
      </c>
      <c r="T3120" s="1" t="s">
        <v>95</v>
      </c>
      <c r="U3120" s="1" t="s">
        <v>60</v>
      </c>
      <c r="V3120" s="1" t="s">
        <v>68</v>
      </c>
      <c r="W3120" s="1" t="s">
        <v>67</v>
      </c>
      <c r="X3120" s="1" t="s">
        <v>66</v>
      </c>
      <c r="Y3120" s="1" t="s">
        <v>69</v>
      </c>
      <c r="AA3120" s="1">
        <v>1</v>
      </c>
      <c r="AB3120" s="1">
        <v>1</v>
      </c>
      <c r="AC3120" s="1" t="s">
        <v>344</v>
      </c>
      <c r="AD3120" s="1" t="s">
        <v>372</v>
      </c>
      <c r="AE3120" s="1" t="s">
        <v>818</v>
      </c>
      <c r="AF3120" s="1" t="s">
        <v>107</v>
      </c>
      <c r="AG3120" s="1">
        <v>50</v>
      </c>
      <c r="AO3120" s="2">
        <v>46283</v>
      </c>
      <c r="AP3120" s="1" t="s">
        <v>870</v>
      </c>
      <c r="AQ3120" s="2">
        <v>46283</v>
      </c>
      <c r="AR3120" s="1" t="s">
        <v>879</v>
      </c>
      <c r="AS3120" s="1" t="s">
        <v>71</v>
      </c>
      <c r="AU3120" s="1" t="s">
        <v>78</v>
      </c>
      <c r="AV3120" s="1" t="s">
        <v>80</v>
      </c>
      <c r="AW3120" s="1">
        <v>245.92</v>
      </c>
      <c r="AX3120" s="1">
        <v>0</v>
      </c>
      <c r="AZ3120" s="1" t="s">
        <v>81</v>
      </c>
      <c r="BA3120" s="1">
        <v>4</v>
      </c>
      <c r="BB3120" s="1">
        <v>0</v>
      </c>
      <c r="BC3120" s="1">
        <v>0</v>
      </c>
      <c r="BE3120" s="1">
        <v>27558998</v>
      </c>
    </row>
    <row r="3121" spans="1:57" x14ac:dyDescent="0.25">
      <c r="A3121" s="1" t="str">
        <f>T("1947698899574267024")</f>
        <v>1947698899574267024</v>
      </c>
      <c r="B3121" s="1" t="str">
        <f>T("249967952933")</f>
        <v>249967952933</v>
      </c>
      <c r="C3121" s="1" t="str">
        <f>T("1941094532795861588")</f>
        <v>1941094532795861588</v>
      </c>
      <c r="AC3121" s="1" t="s">
        <v>344</v>
      </c>
      <c r="AD3121" s="1" t="s">
        <v>441</v>
      </c>
      <c r="AE3121" s="1" t="s">
        <v>530</v>
      </c>
      <c r="AF3121" s="1" t="s">
        <v>107</v>
      </c>
      <c r="AG3121" s="1">
        <v>25</v>
      </c>
      <c r="AO3121" s="2">
        <v>46283</v>
      </c>
      <c r="AP3121" s="1" t="s">
        <v>870</v>
      </c>
      <c r="AS3121" s="1" t="s">
        <v>71</v>
      </c>
      <c r="AU3121" s="1" t="s">
        <v>72</v>
      </c>
      <c r="AV3121" s="1" t="s">
        <v>437</v>
      </c>
      <c r="AX3121" s="1">
        <v>0</v>
      </c>
      <c r="BA3121" s="1">
        <v>9</v>
      </c>
      <c r="BB3121" s="1">
        <v>0</v>
      </c>
      <c r="BC3121" s="1">
        <v>0</v>
      </c>
      <c r="BE3121" s="1">
        <v>27558998</v>
      </c>
    </row>
    <row r="3122" spans="1:57" x14ac:dyDescent="0.25">
      <c r="A3122" s="1" t="str">
        <f>T("1947698899616209704")</f>
        <v>1947698899616209704</v>
      </c>
      <c r="B3122" s="1" t="str">
        <f>T("249915871417")</f>
        <v>249915871417</v>
      </c>
      <c r="C3122" s="1" t="str">
        <f>T("1941094532795861988")</f>
        <v>1941094532795861988</v>
      </c>
      <c r="AC3122" s="1" t="s">
        <v>344</v>
      </c>
      <c r="AD3122" s="1" t="s">
        <v>372</v>
      </c>
      <c r="AE3122" s="1" t="s">
        <v>813</v>
      </c>
      <c r="AF3122" s="1" t="s">
        <v>144</v>
      </c>
      <c r="AG3122" s="1">
        <v>40</v>
      </c>
      <c r="AO3122" s="2">
        <v>46283</v>
      </c>
      <c r="AP3122" s="1" t="s">
        <v>870</v>
      </c>
      <c r="AS3122" s="1" t="s">
        <v>71</v>
      </c>
      <c r="AU3122" s="1" t="s">
        <v>72</v>
      </c>
      <c r="AV3122" s="1" t="s">
        <v>437</v>
      </c>
      <c r="AX3122" s="1">
        <v>0</v>
      </c>
      <c r="BA3122" s="1">
        <v>9</v>
      </c>
      <c r="BB3122" s="1">
        <v>0</v>
      </c>
      <c r="BC3122" s="1">
        <v>0</v>
      </c>
      <c r="BE3122" s="1">
        <v>27558998</v>
      </c>
    </row>
    <row r="3123" spans="1:57" x14ac:dyDescent="0.25">
      <c r="A3123" s="1" t="str">
        <f>T("1947698899649762668")</f>
        <v>1947698899649762668</v>
      </c>
      <c r="B3123" s="1" t="str">
        <f>T("249901742610")</f>
        <v>249901742610</v>
      </c>
      <c r="C3123" s="1" t="str">
        <f>T("1941094532795862588")</f>
        <v>1941094532795862588</v>
      </c>
      <c r="AC3123" s="1" t="s">
        <v>344</v>
      </c>
      <c r="AD3123" s="1" t="s">
        <v>441</v>
      </c>
      <c r="AE3123" s="1" t="s">
        <v>530</v>
      </c>
      <c r="AF3123" s="1" t="s">
        <v>144</v>
      </c>
      <c r="AG3123" s="1">
        <v>55</v>
      </c>
      <c r="AO3123" s="2">
        <v>46283</v>
      </c>
      <c r="AP3123" s="1" t="s">
        <v>870</v>
      </c>
      <c r="AS3123" s="1" t="s">
        <v>71</v>
      </c>
      <c r="AU3123" s="1" t="s">
        <v>72</v>
      </c>
      <c r="AV3123" s="1" t="s">
        <v>437</v>
      </c>
      <c r="AX3123" s="1">
        <v>0</v>
      </c>
      <c r="BA3123" s="1">
        <v>9</v>
      </c>
      <c r="BB3123" s="1">
        <v>0</v>
      </c>
      <c r="BC3123" s="1">
        <v>0</v>
      </c>
      <c r="BE3123" s="1">
        <v>27558998</v>
      </c>
    </row>
    <row r="3124" spans="1:57" x14ac:dyDescent="0.25">
      <c r="A3124" s="1" t="str">
        <f>T("1947698899687512540")</f>
        <v>1947698899687512540</v>
      </c>
      <c r="B3124" s="1" t="str">
        <f>T("249922843271")</f>
        <v>249922843271</v>
      </c>
      <c r="C3124" s="1" t="str">
        <f>T("1941094532800053396")</f>
        <v>1941094532800053396</v>
      </c>
      <c r="AC3124" s="1" t="s">
        <v>344</v>
      </c>
      <c r="AD3124" s="1" t="s">
        <v>372</v>
      </c>
      <c r="AE3124" s="1" t="s">
        <v>820</v>
      </c>
      <c r="AF3124" s="1" t="s">
        <v>107</v>
      </c>
      <c r="AG3124" s="1">
        <v>70</v>
      </c>
      <c r="AO3124" s="2">
        <v>46283</v>
      </c>
      <c r="AP3124" s="1" t="s">
        <v>870</v>
      </c>
      <c r="AS3124" s="1" t="s">
        <v>71</v>
      </c>
      <c r="AU3124" s="1" t="s">
        <v>72</v>
      </c>
      <c r="AV3124" s="1" t="s">
        <v>437</v>
      </c>
      <c r="AX3124" s="1">
        <v>0</v>
      </c>
      <c r="BA3124" s="1">
        <v>9</v>
      </c>
      <c r="BB3124" s="1">
        <v>0</v>
      </c>
      <c r="BC3124" s="1">
        <v>0</v>
      </c>
      <c r="BE3124" s="1">
        <v>27558998</v>
      </c>
    </row>
    <row r="3125" spans="1:57" x14ac:dyDescent="0.25">
      <c r="A3125" s="1" t="str">
        <f>T("1947698899721064604")</f>
        <v>1947698899721064604</v>
      </c>
      <c r="B3125" s="1" t="str">
        <f>T("249968419441")</f>
        <v>249968419441</v>
      </c>
      <c r="C3125" s="1" t="str">
        <f>T("1941094532800053896")</f>
        <v>1941094532800053896</v>
      </c>
      <c r="AC3125" s="1" t="s">
        <v>344</v>
      </c>
      <c r="AD3125" s="1" t="s">
        <v>441</v>
      </c>
      <c r="AE3125" s="1" t="s">
        <v>530</v>
      </c>
      <c r="AF3125" s="1" t="s">
        <v>107</v>
      </c>
      <c r="AG3125" s="1">
        <v>30</v>
      </c>
      <c r="AO3125" s="2">
        <v>46283</v>
      </c>
      <c r="AP3125" s="1" t="s">
        <v>870</v>
      </c>
      <c r="AS3125" s="1" t="s">
        <v>71</v>
      </c>
      <c r="AU3125" s="1" t="s">
        <v>72</v>
      </c>
      <c r="AV3125" s="1" t="s">
        <v>73</v>
      </c>
      <c r="AX3125" s="1">
        <v>0</v>
      </c>
      <c r="BA3125" s="1">
        <v>9</v>
      </c>
      <c r="BB3125" s="1">
        <v>0</v>
      </c>
      <c r="BC3125" s="1">
        <v>0</v>
      </c>
      <c r="BE3125" s="1">
        <v>27558998</v>
      </c>
    </row>
    <row r="3126" spans="1:57" x14ac:dyDescent="0.25">
      <c r="A3126" s="1" t="str">
        <f>T("1947698899750427060")</f>
        <v>1947698899750427060</v>
      </c>
      <c r="B3126" s="1" t="str">
        <f>T("249912724176")</f>
        <v>249912724176</v>
      </c>
      <c r="C3126" s="1" t="str">
        <f>T("1941094532800056496")</f>
        <v>1941094532800056496</v>
      </c>
      <c r="AC3126" s="1" t="s">
        <v>344</v>
      </c>
      <c r="AD3126" s="1" t="s">
        <v>441</v>
      </c>
      <c r="AE3126" s="1" t="s">
        <v>530</v>
      </c>
      <c r="AF3126" s="1" t="s">
        <v>144</v>
      </c>
      <c r="AG3126" s="1">
        <v>42</v>
      </c>
      <c r="AO3126" s="2">
        <v>46283</v>
      </c>
      <c r="AP3126" s="1" t="s">
        <v>870</v>
      </c>
      <c r="AS3126" s="1" t="s">
        <v>71</v>
      </c>
      <c r="AU3126" s="1" t="s">
        <v>72</v>
      </c>
      <c r="AV3126" s="1" t="s">
        <v>437</v>
      </c>
      <c r="AX3126" s="1">
        <v>0</v>
      </c>
      <c r="BA3126" s="1">
        <v>9</v>
      </c>
      <c r="BB3126" s="1">
        <v>0</v>
      </c>
      <c r="BC3126" s="1">
        <v>0</v>
      </c>
      <c r="BE3126" s="1">
        <v>27558998</v>
      </c>
    </row>
    <row r="3127" spans="1:57" x14ac:dyDescent="0.25">
      <c r="A3127" s="1" t="str">
        <f>T("1947698899788176632")</f>
        <v>1947698899788176632</v>
      </c>
      <c r="B3127" s="1" t="str">
        <f>T("249907863225")</f>
        <v>249907863225</v>
      </c>
      <c r="C3127" s="1" t="str">
        <f>T("1941094532800056996")</f>
        <v>1941094532800056996</v>
      </c>
      <c r="AC3127" s="1" t="s">
        <v>344</v>
      </c>
      <c r="AD3127" s="1" t="s">
        <v>372</v>
      </c>
      <c r="AE3127" s="1" t="s">
        <v>814</v>
      </c>
      <c r="AF3127" s="1" t="s">
        <v>144</v>
      </c>
      <c r="AG3127" s="1">
        <v>41</v>
      </c>
      <c r="AO3127" s="2">
        <v>46283</v>
      </c>
      <c r="AP3127" s="1" t="s">
        <v>870</v>
      </c>
      <c r="AS3127" s="1" t="s">
        <v>71</v>
      </c>
      <c r="AU3127" s="1" t="s">
        <v>75</v>
      </c>
      <c r="AV3127" s="1" t="s">
        <v>590</v>
      </c>
      <c r="AX3127" s="1">
        <v>0</v>
      </c>
      <c r="BA3127" s="1">
        <v>5</v>
      </c>
      <c r="BB3127" s="1">
        <v>0</v>
      </c>
      <c r="BC3127" s="1">
        <v>0</v>
      </c>
      <c r="BE3127" s="1">
        <v>27558998</v>
      </c>
    </row>
    <row r="3128" spans="1:57" x14ac:dyDescent="0.25">
      <c r="A3128" s="1" t="str">
        <f>T("1947698899809147072")</f>
        <v>1947698899809147072</v>
      </c>
      <c r="B3128" s="1" t="str">
        <f>T("249914658828")</f>
        <v>249914658828</v>
      </c>
      <c r="C3128" s="1" t="str">
        <f>T("1941094532804247704")</f>
        <v>1941094532804247704</v>
      </c>
      <c r="AC3128" s="1" t="s">
        <v>344</v>
      </c>
      <c r="AD3128" s="1" t="s">
        <v>441</v>
      </c>
      <c r="AE3128" s="1" t="s">
        <v>530</v>
      </c>
      <c r="AF3128" s="1" t="s">
        <v>107</v>
      </c>
      <c r="AG3128" s="1">
        <v>41</v>
      </c>
      <c r="AO3128" s="2">
        <v>46283</v>
      </c>
      <c r="AP3128" s="1" t="s">
        <v>870</v>
      </c>
      <c r="AS3128" s="1" t="s">
        <v>71</v>
      </c>
      <c r="AU3128" s="1" t="s">
        <v>72</v>
      </c>
      <c r="AV3128" s="1" t="s">
        <v>73</v>
      </c>
      <c r="AX3128" s="1">
        <v>0</v>
      </c>
      <c r="BA3128" s="1">
        <v>9</v>
      </c>
      <c r="BB3128" s="1">
        <v>0</v>
      </c>
      <c r="BC3128" s="1">
        <v>0</v>
      </c>
      <c r="BE3128" s="1">
        <v>27558998</v>
      </c>
    </row>
    <row r="3129" spans="1:57" x14ac:dyDescent="0.25">
      <c r="A3129" s="1" t="str">
        <f>T("1947698899859478968")</f>
        <v>1947698899859478968</v>
      </c>
      <c r="B3129" s="1" t="str">
        <f>T("249648213770")</f>
        <v>249648213770</v>
      </c>
      <c r="C3129" s="1" t="str">
        <f>T("1941094532804248404")</f>
        <v>1941094532804248404</v>
      </c>
      <c r="AC3129" s="1" t="s">
        <v>344</v>
      </c>
      <c r="AD3129" s="1" t="s">
        <v>372</v>
      </c>
      <c r="AE3129" s="1" t="s">
        <v>814</v>
      </c>
      <c r="AF3129" s="1" t="s">
        <v>144</v>
      </c>
      <c r="AG3129" s="1">
        <v>57</v>
      </c>
      <c r="AO3129" s="2">
        <v>46283</v>
      </c>
      <c r="AP3129" s="1" t="s">
        <v>870</v>
      </c>
      <c r="AS3129" s="1" t="s">
        <v>71</v>
      </c>
      <c r="AU3129" s="1" t="s">
        <v>72</v>
      </c>
      <c r="AV3129" s="1" t="s">
        <v>73</v>
      </c>
      <c r="AX3129" s="1">
        <v>0</v>
      </c>
      <c r="BA3129" s="1">
        <v>9</v>
      </c>
      <c r="BB3129" s="1">
        <v>0</v>
      </c>
      <c r="BC3129" s="1">
        <v>0</v>
      </c>
      <c r="BE3129" s="1">
        <v>27558998</v>
      </c>
    </row>
    <row r="3130" spans="1:57" x14ac:dyDescent="0.25">
      <c r="A3130" s="1" t="str">
        <f>T("1947698899859479568")</f>
        <v>1947698899859479568</v>
      </c>
      <c r="B3130" s="1" t="str">
        <f>T("249962555244")</f>
        <v>249962555244</v>
      </c>
      <c r="C3130" s="1" t="str">
        <f>T("1941094532804248004")</f>
        <v>1941094532804248004</v>
      </c>
      <c r="AC3130" s="1" t="s">
        <v>344</v>
      </c>
      <c r="AD3130" s="1" t="s">
        <v>441</v>
      </c>
      <c r="AE3130" s="1" t="s">
        <v>530</v>
      </c>
      <c r="AF3130" s="1" t="s">
        <v>107</v>
      </c>
      <c r="AG3130" s="1">
        <v>40</v>
      </c>
      <c r="AO3130" s="2">
        <v>46283</v>
      </c>
      <c r="AP3130" s="1" t="s">
        <v>870</v>
      </c>
      <c r="AS3130" s="1" t="s">
        <v>71</v>
      </c>
      <c r="AU3130" s="1" t="s">
        <v>72</v>
      </c>
      <c r="AV3130" s="1" t="s">
        <v>73</v>
      </c>
      <c r="AX3130" s="1">
        <v>0</v>
      </c>
      <c r="BA3130" s="1">
        <v>9</v>
      </c>
      <c r="BB3130" s="1">
        <v>0</v>
      </c>
      <c r="BC3130" s="1">
        <v>0</v>
      </c>
      <c r="BE3130" s="1">
        <v>27558998</v>
      </c>
    </row>
    <row r="3131" spans="1:57" x14ac:dyDescent="0.25">
      <c r="A3131" s="1" t="str">
        <f>T("1947698899926586496")</f>
        <v>1947698899926586496</v>
      </c>
      <c r="B3131" s="1" t="str">
        <f>T("249909921476")</f>
        <v>249909921476</v>
      </c>
      <c r="C3131" s="1" t="str">
        <f>T("1941094532804249304")</f>
        <v>1941094532804249304</v>
      </c>
      <c r="AC3131" s="1" t="s">
        <v>344</v>
      </c>
      <c r="AD3131" s="1" t="s">
        <v>372</v>
      </c>
      <c r="AE3131" s="1" t="s">
        <v>815</v>
      </c>
      <c r="AF3131" s="1" t="s">
        <v>107</v>
      </c>
      <c r="AG3131" s="1">
        <v>46</v>
      </c>
      <c r="AO3131" s="2">
        <v>46283</v>
      </c>
      <c r="AP3131" s="1" t="s">
        <v>870</v>
      </c>
      <c r="AS3131" s="1" t="s">
        <v>71</v>
      </c>
      <c r="AU3131" s="1" t="s">
        <v>72</v>
      </c>
      <c r="AV3131" s="1" t="s">
        <v>437</v>
      </c>
      <c r="AX3131" s="1">
        <v>0</v>
      </c>
      <c r="BA3131" s="1">
        <v>9</v>
      </c>
      <c r="BB3131" s="1">
        <v>0</v>
      </c>
      <c r="BC3131" s="1">
        <v>0</v>
      </c>
      <c r="BE3131" s="1">
        <v>27558998</v>
      </c>
    </row>
    <row r="3132" spans="1:57" x14ac:dyDescent="0.25">
      <c r="A3132" s="1" t="str">
        <f>T("1947698899934975512")</f>
        <v>1947698899934975512</v>
      </c>
      <c r="B3132" s="1" t="str">
        <f>T("249901008965")</f>
        <v>249901008965</v>
      </c>
      <c r="C3132" s="1" t="str">
        <f>T("1941094532804248904")</f>
        <v>1941094532804248904</v>
      </c>
      <c r="AC3132" s="1" t="s">
        <v>344</v>
      </c>
      <c r="AD3132" s="1" t="s">
        <v>430</v>
      </c>
      <c r="AE3132" s="1" t="s">
        <v>530</v>
      </c>
      <c r="AF3132" s="1" t="s">
        <v>107</v>
      </c>
      <c r="AG3132" s="1">
        <v>26</v>
      </c>
      <c r="AO3132" s="2">
        <v>46283</v>
      </c>
      <c r="AP3132" s="1" t="s">
        <v>870</v>
      </c>
      <c r="AS3132" s="1" t="s">
        <v>71</v>
      </c>
      <c r="AU3132" s="1" t="s">
        <v>72</v>
      </c>
      <c r="AV3132" s="1" t="s">
        <v>437</v>
      </c>
      <c r="AX3132" s="1">
        <v>0</v>
      </c>
      <c r="BA3132" s="1">
        <v>9</v>
      </c>
      <c r="BB3132" s="1">
        <v>0</v>
      </c>
      <c r="BC3132" s="1">
        <v>0</v>
      </c>
      <c r="BE3132" s="1">
        <v>27558998</v>
      </c>
    </row>
    <row r="3133" spans="1:57" x14ac:dyDescent="0.25">
      <c r="A3133" s="1" t="str">
        <f>T("1947698899985309108")</f>
        <v>1947698899985309108</v>
      </c>
      <c r="B3133" s="1" t="str">
        <f>T("249965398878")</f>
        <v>249965398878</v>
      </c>
      <c r="C3133" s="1" t="str">
        <f>T("1941094532804249704")</f>
        <v>1941094532804249704</v>
      </c>
      <c r="AC3133" s="1" t="s">
        <v>344</v>
      </c>
      <c r="AD3133" s="1" t="s">
        <v>372</v>
      </c>
      <c r="AE3133" s="1" t="s">
        <v>813</v>
      </c>
      <c r="AF3133" s="1" t="s">
        <v>107</v>
      </c>
      <c r="AG3133" s="1">
        <v>40</v>
      </c>
      <c r="AO3133" s="2">
        <v>46283</v>
      </c>
      <c r="AP3133" s="1" t="s">
        <v>870</v>
      </c>
      <c r="AS3133" s="1" t="s">
        <v>71</v>
      </c>
      <c r="AU3133" s="1" t="s">
        <v>72</v>
      </c>
      <c r="AV3133" s="1" t="s">
        <v>73</v>
      </c>
      <c r="AX3133" s="1">
        <v>0</v>
      </c>
      <c r="BA3133" s="1">
        <v>9</v>
      </c>
      <c r="BB3133" s="1">
        <v>0</v>
      </c>
      <c r="BC3133" s="1">
        <v>0</v>
      </c>
      <c r="BE3133" s="1">
        <v>27558998</v>
      </c>
    </row>
    <row r="3134" spans="1:57" x14ac:dyDescent="0.25">
      <c r="A3134" s="1" t="str">
        <f>T("1947698899997891032")</f>
        <v>1947698899997891032</v>
      </c>
      <c r="B3134" s="1" t="str">
        <f>T("249920502492")</f>
        <v>249920502492</v>
      </c>
      <c r="C3134" s="1" t="str">
        <f>T("1941094532804250104")</f>
        <v>1941094532804250104</v>
      </c>
      <c r="AC3134" s="1" t="s">
        <v>344</v>
      </c>
      <c r="AD3134" s="1" t="s">
        <v>372</v>
      </c>
      <c r="AE3134" s="1" t="s">
        <v>820</v>
      </c>
      <c r="AF3134" s="1" t="s">
        <v>107</v>
      </c>
      <c r="AG3134" s="1">
        <v>25</v>
      </c>
      <c r="AO3134" s="2">
        <v>46283</v>
      </c>
      <c r="AP3134" s="1" t="s">
        <v>870</v>
      </c>
      <c r="AS3134" s="1" t="s">
        <v>71</v>
      </c>
      <c r="AU3134" s="1" t="s">
        <v>72</v>
      </c>
      <c r="AV3134" s="1" t="s">
        <v>73</v>
      </c>
      <c r="AX3134" s="1">
        <v>0</v>
      </c>
      <c r="BA3134" s="1">
        <v>9</v>
      </c>
      <c r="BB3134" s="1">
        <v>0</v>
      </c>
      <c r="BC3134" s="1">
        <v>0</v>
      </c>
      <c r="BE3134" s="1">
        <v>27558998</v>
      </c>
    </row>
    <row r="3135" spans="1:57" x14ac:dyDescent="0.25">
      <c r="A3135" s="1" t="str">
        <f>T("1947698900060803752")</f>
        <v>1947698900060803752</v>
      </c>
      <c r="B3135" s="1" t="str">
        <f>T("249967157757")</f>
        <v>249967157757</v>
      </c>
      <c r="C3135" s="1" t="str">
        <f>T("1941094532804250604")</f>
        <v>1941094532804250604</v>
      </c>
      <c r="AC3135" s="1" t="s">
        <v>344</v>
      </c>
      <c r="AD3135" s="1" t="s">
        <v>441</v>
      </c>
      <c r="AE3135" s="1" t="s">
        <v>530</v>
      </c>
      <c r="AF3135" s="1" t="s">
        <v>107</v>
      </c>
      <c r="AG3135" s="1">
        <v>30</v>
      </c>
      <c r="AO3135" s="2">
        <v>46283</v>
      </c>
      <c r="AP3135" s="1" t="s">
        <v>870</v>
      </c>
      <c r="AS3135" s="1" t="s">
        <v>71</v>
      </c>
      <c r="AU3135" s="1" t="s">
        <v>72</v>
      </c>
      <c r="AV3135" s="1" t="s">
        <v>73</v>
      </c>
      <c r="AX3135" s="1">
        <v>0</v>
      </c>
      <c r="BA3135" s="1">
        <v>9</v>
      </c>
      <c r="BB3135" s="1">
        <v>0</v>
      </c>
      <c r="BC3135" s="1">
        <v>0</v>
      </c>
      <c r="BE3135" s="1">
        <v>27558998</v>
      </c>
    </row>
    <row r="3136" spans="1:57" x14ac:dyDescent="0.25">
      <c r="A3136" s="1" t="str">
        <f>T("1947698900064997460")</f>
        <v>1947698900064997460</v>
      </c>
      <c r="B3136" s="1" t="str">
        <f>T("249968936684")</f>
        <v>249968936684</v>
      </c>
      <c r="C3136" s="1" t="str">
        <f>T("1941094532816833828")</f>
        <v>1941094532816833828</v>
      </c>
      <c r="AC3136" s="1" t="s">
        <v>344</v>
      </c>
      <c r="AD3136" s="1" t="s">
        <v>372</v>
      </c>
      <c r="AE3136" s="1" t="s">
        <v>818</v>
      </c>
      <c r="AF3136" s="1" t="s">
        <v>144</v>
      </c>
      <c r="AG3136" s="1">
        <v>65</v>
      </c>
      <c r="AO3136" s="2">
        <v>46283</v>
      </c>
      <c r="AP3136" s="1" t="s">
        <v>870</v>
      </c>
      <c r="AS3136" s="1" t="s">
        <v>71</v>
      </c>
      <c r="AU3136" s="1" t="s">
        <v>72</v>
      </c>
      <c r="AV3136" s="1" t="s">
        <v>73</v>
      </c>
      <c r="AX3136" s="1">
        <v>0</v>
      </c>
      <c r="BA3136" s="1">
        <v>9</v>
      </c>
      <c r="BB3136" s="1">
        <v>0</v>
      </c>
      <c r="BC3136" s="1">
        <v>0</v>
      </c>
      <c r="BE3136" s="1">
        <v>27558998</v>
      </c>
    </row>
    <row r="3137" spans="1:57" x14ac:dyDescent="0.25">
      <c r="A3137" s="1" t="str">
        <f>T("1947698900119524464")</f>
        <v>1947698900119524464</v>
      </c>
      <c r="B3137" s="1" t="str">
        <f>T("249907091704")</f>
        <v>249907091704</v>
      </c>
      <c r="C3137" s="1" t="str">
        <f>T("1941094532821025436")</f>
        <v>1941094532821025436</v>
      </c>
      <c r="AC3137" s="1" t="s">
        <v>344</v>
      </c>
      <c r="AD3137" s="1" t="s">
        <v>430</v>
      </c>
      <c r="AE3137" s="1" t="s">
        <v>530</v>
      </c>
      <c r="AF3137" s="1" t="s">
        <v>107</v>
      </c>
      <c r="AG3137" s="1">
        <v>20</v>
      </c>
      <c r="AO3137" s="2">
        <v>46283</v>
      </c>
      <c r="AP3137" s="1" t="s">
        <v>870</v>
      </c>
      <c r="AS3137" s="1" t="s">
        <v>71</v>
      </c>
      <c r="AU3137" s="1" t="s">
        <v>72</v>
      </c>
      <c r="AV3137" s="1" t="s">
        <v>73</v>
      </c>
      <c r="AX3137" s="1">
        <v>0</v>
      </c>
      <c r="BA3137" s="1">
        <v>9</v>
      </c>
      <c r="BB3137" s="1">
        <v>0</v>
      </c>
      <c r="BC3137" s="1">
        <v>0</v>
      </c>
      <c r="BE3137" s="1">
        <v>27558998</v>
      </c>
    </row>
    <row r="3138" spans="1:57" x14ac:dyDescent="0.25">
      <c r="A3138" s="1" t="str">
        <f>T("1947698900119526664")</f>
        <v>1947698900119526664</v>
      </c>
      <c r="B3138" s="1" t="str">
        <f>T("249909164967")</f>
        <v>249909164967</v>
      </c>
      <c r="C3138" s="1" t="str">
        <f>T("1941094532821025936")</f>
        <v>1941094532821025936</v>
      </c>
      <c r="AC3138" s="1" t="s">
        <v>344</v>
      </c>
      <c r="AD3138" s="1" t="s">
        <v>372</v>
      </c>
      <c r="AE3138" s="1" t="s">
        <v>815</v>
      </c>
      <c r="AF3138" s="1" t="s">
        <v>144</v>
      </c>
      <c r="AG3138" s="1">
        <v>42</v>
      </c>
      <c r="AO3138" s="2">
        <v>46283</v>
      </c>
      <c r="AP3138" s="1" t="s">
        <v>870</v>
      </c>
      <c r="AS3138" s="1" t="s">
        <v>71</v>
      </c>
      <c r="AU3138" s="1" t="s">
        <v>72</v>
      </c>
      <c r="AV3138" s="1" t="s">
        <v>73</v>
      </c>
      <c r="AX3138" s="1">
        <v>0</v>
      </c>
      <c r="BA3138" s="1">
        <v>9</v>
      </c>
      <c r="BB3138" s="1">
        <v>0</v>
      </c>
      <c r="BC3138" s="1">
        <v>0</v>
      </c>
      <c r="BE3138" s="1">
        <v>27558998</v>
      </c>
    </row>
    <row r="3139" spans="1:57" x14ac:dyDescent="0.25">
      <c r="A3139" s="1" t="str">
        <f>T("1947698900174051368")</f>
        <v>1947698900174051368</v>
      </c>
      <c r="B3139" s="1" t="str">
        <f>T("249909686810")</f>
        <v>249909686810</v>
      </c>
      <c r="C3139" s="1" t="str">
        <f>T("1941094532821026336")</f>
        <v>1941094532821026336</v>
      </c>
      <c r="AC3139" s="1" t="s">
        <v>344</v>
      </c>
      <c r="AD3139" s="1" t="s">
        <v>372</v>
      </c>
      <c r="AE3139" s="1" t="s">
        <v>814</v>
      </c>
      <c r="AF3139" s="1" t="s">
        <v>144</v>
      </c>
      <c r="AG3139" s="1">
        <v>45</v>
      </c>
      <c r="AO3139" s="2">
        <v>46283</v>
      </c>
      <c r="AP3139" s="1" t="s">
        <v>870</v>
      </c>
      <c r="AS3139" s="1" t="s">
        <v>71</v>
      </c>
      <c r="AU3139" s="1" t="s">
        <v>72</v>
      </c>
      <c r="AV3139" s="1" t="s">
        <v>73</v>
      </c>
      <c r="AX3139" s="1">
        <v>0</v>
      </c>
      <c r="BA3139" s="1">
        <v>9</v>
      </c>
      <c r="BB3139" s="1">
        <v>0</v>
      </c>
      <c r="BC3139" s="1">
        <v>0</v>
      </c>
      <c r="BE3139" s="1">
        <v>27558998</v>
      </c>
    </row>
    <row r="3140" spans="1:57" x14ac:dyDescent="0.25">
      <c r="A3140" s="1" t="str">
        <f>T("1947698900190827300")</f>
        <v>1947698900190827300</v>
      </c>
      <c r="B3140" s="1" t="str">
        <f>T("249969370860")</f>
        <v>249969370860</v>
      </c>
      <c r="C3140" s="1" t="str">
        <f>T("1941094532821026736")</f>
        <v>1941094532821026736</v>
      </c>
      <c r="AC3140" s="1" t="s">
        <v>344</v>
      </c>
      <c r="AD3140" s="1" t="s">
        <v>372</v>
      </c>
      <c r="AE3140" s="1" t="s">
        <v>815</v>
      </c>
      <c r="AF3140" s="1" t="s">
        <v>144</v>
      </c>
      <c r="AG3140" s="1">
        <v>78</v>
      </c>
      <c r="AO3140" s="2">
        <v>46283</v>
      </c>
      <c r="AP3140" s="1" t="s">
        <v>870</v>
      </c>
      <c r="AS3140" s="1" t="s">
        <v>71</v>
      </c>
      <c r="AU3140" s="1" t="s">
        <v>72</v>
      </c>
      <c r="AV3140" s="1" t="s">
        <v>437</v>
      </c>
      <c r="AX3140" s="1">
        <v>0</v>
      </c>
      <c r="BA3140" s="1">
        <v>9</v>
      </c>
      <c r="BB3140" s="1">
        <v>0</v>
      </c>
      <c r="BC3140" s="1">
        <v>0</v>
      </c>
      <c r="BE3140" s="1">
        <v>27558998</v>
      </c>
    </row>
    <row r="3141" spans="1:57" x14ac:dyDescent="0.25">
      <c r="A3141" s="1" t="str">
        <f>T("1947698900228577072")</f>
        <v>1947698900228577072</v>
      </c>
      <c r="B3141" s="1" t="str">
        <f>T("249916381199")</f>
        <v>249916381199</v>
      </c>
      <c r="C3141" s="1" t="str">
        <f>T("1941094532821027136")</f>
        <v>1941094532821027136</v>
      </c>
      <c r="AC3141" s="1" t="s">
        <v>344</v>
      </c>
      <c r="AD3141" s="1" t="s">
        <v>441</v>
      </c>
      <c r="AE3141" s="1" t="s">
        <v>530</v>
      </c>
      <c r="AF3141" s="1" t="s">
        <v>107</v>
      </c>
      <c r="AG3141" s="1">
        <v>50</v>
      </c>
      <c r="AO3141" s="2">
        <v>46283</v>
      </c>
      <c r="AP3141" s="1" t="s">
        <v>870</v>
      </c>
      <c r="AS3141" s="1" t="s">
        <v>71</v>
      </c>
      <c r="AU3141" s="1" t="s">
        <v>72</v>
      </c>
      <c r="AV3141" s="1" t="s">
        <v>437</v>
      </c>
      <c r="AX3141" s="1">
        <v>0</v>
      </c>
      <c r="BA3141" s="1">
        <v>9</v>
      </c>
      <c r="BB3141" s="1">
        <v>0</v>
      </c>
      <c r="BC3141" s="1">
        <v>0</v>
      </c>
      <c r="BE3141" s="1">
        <v>27558998</v>
      </c>
    </row>
    <row r="3142" spans="1:57" x14ac:dyDescent="0.25">
      <c r="A3142" s="1" t="str">
        <f>T("1947698900245355704")</f>
        <v>1947698900245355704</v>
      </c>
      <c r="B3142" s="1" t="str">
        <f>T("249900235548")</f>
        <v>249900235548</v>
      </c>
      <c r="C3142" s="1" t="str">
        <f>T("1941094532821027536")</f>
        <v>1941094532821027536</v>
      </c>
      <c r="AC3142" s="1" t="s">
        <v>344</v>
      </c>
      <c r="AD3142" s="1" t="s">
        <v>372</v>
      </c>
      <c r="AE3142" s="1" t="s">
        <v>820</v>
      </c>
      <c r="AF3142" s="1" t="s">
        <v>107</v>
      </c>
      <c r="AG3142" s="1">
        <v>45</v>
      </c>
      <c r="AO3142" s="2">
        <v>46283</v>
      </c>
      <c r="AP3142" s="1" t="s">
        <v>870</v>
      </c>
      <c r="AS3142" s="1" t="s">
        <v>71</v>
      </c>
      <c r="AU3142" s="1" t="s">
        <v>72</v>
      </c>
      <c r="AV3142" s="1" t="s">
        <v>437</v>
      </c>
      <c r="AX3142" s="1">
        <v>0</v>
      </c>
      <c r="BA3142" s="1">
        <v>9</v>
      </c>
      <c r="BB3142" s="1">
        <v>0</v>
      </c>
      <c r="BC3142" s="1">
        <v>0</v>
      </c>
      <c r="BE3142" s="1">
        <v>27558998</v>
      </c>
    </row>
    <row r="3143" spans="1:57" x14ac:dyDescent="0.25">
      <c r="A3143" s="1" t="str">
        <f>T("1947698900283101276")</f>
        <v>1947698900283101276</v>
      </c>
      <c r="B3143" s="1" t="str">
        <f>T("249990730094")</f>
        <v>249990730094</v>
      </c>
      <c r="C3143" s="1" t="str">
        <f>T("1941094532821027836")</f>
        <v>1941094532821027836</v>
      </c>
      <c r="AA3143" s="1">
        <v>1</v>
      </c>
      <c r="AC3143" s="1" t="s">
        <v>344</v>
      </c>
      <c r="AD3143" s="1" t="s">
        <v>372</v>
      </c>
      <c r="AE3143" s="1" t="s">
        <v>814</v>
      </c>
      <c r="AF3143" s="1" t="s">
        <v>144</v>
      </c>
      <c r="AG3143" s="1">
        <v>77</v>
      </c>
      <c r="AO3143" s="2">
        <v>46283</v>
      </c>
      <c r="AP3143" s="1" t="s">
        <v>870</v>
      </c>
      <c r="AQ3143" s="2">
        <v>46283</v>
      </c>
      <c r="AR3143" s="1" t="s">
        <v>880</v>
      </c>
      <c r="AS3143" s="1" t="s">
        <v>71</v>
      </c>
      <c r="AU3143" s="1" t="s">
        <v>79</v>
      </c>
      <c r="AV3143" s="1" t="s">
        <v>80</v>
      </c>
      <c r="AW3143" s="1">
        <v>77.680000000000007</v>
      </c>
      <c r="AX3143" s="1">
        <v>0</v>
      </c>
      <c r="AZ3143" s="1" t="s">
        <v>81</v>
      </c>
      <c r="BA3143" s="1">
        <v>1</v>
      </c>
      <c r="BB3143" s="1">
        <v>0</v>
      </c>
      <c r="BC3143" s="1">
        <v>0</v>
      </c>
      <c r="BE3143" s="1">
        <v>27558998</v>
      </c>
    </row>
    <row r="3144" spans="1:57" x14ac:dyDescent="0.25">
      <c r="A3144" s="1" t="str">
        <f>T("1947698900329239064")</f>
        <v>1947698900329239064</v>
      </c>
      <c r="B3144" s="1" t="str">
        <f>T("249919356071")</f>
        <v>249919356071</v>
      </c>
      <c r="C3144" s="1" t="str">
        <f>T("1941094532821028336")</f>
        <v>1941094532821028336</v>
      </c>
      <c r="AC3144" s="1" t="s">
        <v>344</v>
      </c>
      <c r="AD3144" s="1" t="s">
        <v>430</v>
      </c>
      <c r="AE3144" s="1" t="s">
        <v>530</v>
      </c>
      <c r="AF3144" s="1" t="s">
        <v>144</v>
      </c>
      <c r="AG3144" s="1">
        <v>28</v>
      </c>
      <c r="AO3144" s="2">
        <v>46283</v>
      </c>
      <c r="AP3144" s="1" t="s">
        <v>870</v>
      </c>
      <c r="AS3144" s="1" t="s">
        <v>71</v>
      </c>
      <c r="AU3144" s="1" t="s">
        <v>72</v>
      </c>
      <c r="AV3144" s="1" t="s">
        <v>437</v>
      </c>
      <c r="AX3144" s="1">
        <v>0</v>
      </c>
      <c r="BA3144" s="1">
        <v>9</v>
      </c>
      <c r="BB3144" s="1">
        <v>0</v>
      </c>
      <c r="BC3144" s="1">
        <v>0</v>
      </c>
      <c r="BE3144" s="1">
        <v>27558998</v>
      </c>
    </row>
    <row r="3145" spans="1:57" x14ac:dyDescent="0.25">
      <c r="A3145" s="1" t="str">
        <f>T("1947698900358601820")</f>
        <v>1947698900358601820</v>
      </c>
      <c r="B3145" s="1" t="str">
        <f>T("249916635682")</f>
        <v>249916635682</v>
      </c>
      <c r="C3145" s="1" t="str">
        <f>T("1941094532821028836")</f>
        <v>1941094532821028836</v>
      </c>
      <c r="AC3145" s="1" t="s">
        <v>344</v>
      </c>
      <c r="AD3145" s="1" t="s">
        <v>430</v>
      </c>
      <c r="AE3145" s="1" t="s">
        <v>530</v>
      </c>
      <c r="AF3145" s="1" t="s">
        <v>144</v>
      </c>
      <c r="AG3145" s="1">
        <v>32</v>
      </c>
      <c r="AO3145" s="2">
        <v>46283</v>
      </c>
      <c r="AP3145" s="1" t="s">
        <v>870</v>
      </c>
      <c r="AS3145" s="1" t="s">
        <v>71</v>
      </c>
      <c r="AU3145" s="1" t="s">
        <v>72</v>
      </c>
      <c r="AV3145" s="1" t="s">
        <v>437</v>
      </c>
      <c r="AX3145" s="1">
        <v>0</v>
      </c>
      <c r="BA3145" s="1">
        <v>9</v>
      </c>
      <c r="BB3145" s="1">
        <v>0</v>
      </c>
      <c r="BC3145" s="1">
        <v>0</v>
      </c>
      <c r="BE3145" s="1">
        <v>27558998</v>
      </c>
    </row>
    <row r="3146" spans="1:57" x14ac:dyDescent="0.25">
      <c r="A3146" s="1" t="str">
        <f>T("1947698900387959876")</f>
        <v>1947698900387959876</v>
      </c>
      <c r="B3146" s="1" t="str">
        <f>T("249962277225")</f>
        <v>249962277225</v>
      </c>
      <c r="C3146" s="1" t="str">
        <f>T("1941094532825219344")</f>
        <v>1941094532825219344</v>
      </c>
      <c r="AC3146" s="1" t="s">
        <v>344</v>
      </c>
      <c r="AD3146" s="1" t="s">
        <v>441</v>
      </c>
      <c r="AE3146" s="1" t="s">
        <v>530</v>
      </c>
      <c r="AF3146" s="1" t="s">
        <v>107</v>
      </c>
      <c r="AG3146" s="1">
        <v>70</v>
      </c>
      <c r="AO3146" s="2">
        <v>46283</v>
      </c>
      <c r="AP3146" s="1" t="s">
        <v>870</v>
      </c>
      <c r="AS3146" s="1" t="s">
        <v>71</v>
      </c>
      <c r="AU3146" s="1" t="s">
        <v>72</v>
      </c>
      <c r="AV3146" s="1" t="s">
        <v>437</v>
      </c>
      <c r="AX3146" s="1">
        <v>0</v>
      </c>
      <c r="BA3146" s="1">
        <v>9</v>
      </c>
      <c r="BB3146" s="1">
        <v>0</v>
      </c>
      <c r="BC3146" s="1">
        <v>0</v>
      </c>
      <c r="BE3146" s="1">
        <v>27558998</v>
      </c>
    </row>
    <row r="3147" spans="1:57" x14ac:dyDescent="0.25">
      <c r="A3147" s="1" t="str">
        <f>T("1947698900417321332")</f>
        <v>1947698900417321332</v>
      </c>
      <c r="B3147" s="1" t="str">
        <f>T("249990956564")</f>
        <v>249990956564</v>
      </c>
      <c r="C3147" s="1" t="str">
        <f>T("1941094532825219744")</f>
        <v>1941094532825219744</v>
      </c>
      <c r="AC3147" s="1" t="s">
        <v>344</v>
      </c>
      <c r="AD3147" s="1" t="s">
        <v>372</v>
      </c>
      <c r="AE3147" s="1" t="s">
        <v>820</v>
      </c>
      <c r="AF3147" s="1" t="s">
        <v>144</v>
      </c>
      <c r="AG3147" s="1">
        <v>35</v>
      </c>
      <c r="AO3147" s="2">
        <v>46283</v>
      </c>
      <c r="AP3147" s="1" t="s">
        <v>870</v>
      </c>
      <c r="AS3147" s="1" t="s">
        <v>71</v>
      </c>
      <c r="AU3147" s="1" t="s">
        <v>72</v>
      </c>
      <c r="AV3147" s="1" t="s">
        <v>73</v>
      </c>
      <c r="AX3147" s="1">
        <v>0</v>
      </c>
      <c r="BA3147" s="1">
        <v>9</v>
      </c>
      <c r="BB3147" s="1">
        <v>0</v>
      </c>
      <c r="BC3147" s="1">
        <v>0</v>
      </c>
      <c r="BE3147" s="1">
        <v>27558998</v>
      </c>
    </row>
    <row r="3148" spans="1:57" x14ac:dyDescent="0.25">
      <c r="A3148" s="1" t="str">
        <f>T("1947729094880467000")</f>
        <v>1947729094880467000</v>
      </c>
      <c r="B3148" s="1" t="str">
        <f>T("249967045874")</f>
        <v>249967045874</v>
      </c>
      <c r="C3148" s="1" t="str">
        <f>T("1941094532825220344")</f>
        <v>1941094532825220344</v>
      </c>
      <c r="AC3148" s="1" t="s">
        <v>344</v>
      </c>
      <c r="AD3148" s="1" t="s">
        <v>441</v>
      </c>
      <c r="AE3148" s="1" t="s">
        <v>530</v>
      </c>
      <c r="AF3148" s="1" t="s">
        <v>107</v>
      </c>
      <c r="AG3148" s="1">
        <v>29</v>
      </c>
      <c r="AO3148" s="2">
        <v>46283</v>
      </c>
      <c r="AP3148" s="1" t="s">
        <v>226</v>
      </c>
      <c r="AS3148" s="1" t="s">
        <v>71</v>
      </c>
      <c r="AU3148" s="1" t="s">
        <v>72</v>
      </c>
      <c r="AV3148" s="1" t="s">
        <v>73</v>
      </c>
      <c r="AX3148" s="1">
        <v>0</v>
      </c>
      <c r="BA3148" s="1">
        <v>9</v>
      </c>
      <c r="BB3148" s="1">
        <v>0</v>
      </c>
      <c r="BC3148" s="1">
        <v>0</v>
      </c>
      <c r="BE3148" s="1">
        <v>27559010</v>
      </c>
    </row>
    <row r="3149" spans="1:57" x14ac:dyDescent="0.25">
      <c r="A3149" s="1" t="str">
        <f>T("1947729094880467001")</f>
        <v>1947729094880467001</v>
      </c>
      <c r="B3149" s="1" t="str">
        <f>T("249909553393")</f>
        <v>249909553393</v>
      </c>
      <c r="C3149" s="1" t="str">
        <f>T("1941094532825220044")</f>
        <v>1941094532825220044</v>
      </c>
      <c r="AC3149" s="1" t="s">
        <v>344</v>
      </c>
      <c r="AD3149" s="1" t="s">
        <v>430</v>
      </c>
      <c r="AE3149" s="1" t="s">
        <v>530</v>
      </c>
      <c r="AF3149" s="1" t="s">
        <v>144</v>
      </c>
      <c r="AG3149" s="1">
        <v>22</v>
      </c>
      <c r="AO3149" s="2">
        <v>46283</v>
      </c>
      <c r="AP3149" s="1" t="s">
        <v>226</v>
      </c>
      <c r="AS3149" s="1" t="s">
        <v>71</v>
      </c>
      <c r="AU3149" s="1" t="s">
        <v>72</v>
      </c>
      <c r="AV3149" s="1" t="s">
        <v>126</v>
      </c>
      <c r="AX3149" s="1">
        <v>0</v>
      </c>
      <c r="BA3149" s="1">
        <v>9</v>
      </c>
      <c r="BB3149" s="1">
        <v>0</v>
      </c>
      <c r="BC3149" s="1">
        <v>0</v>
      </c>
      <c r="BE3149" s="1">
        <v>27559010</v>
      </c>
    </row>
    <row r="3150" spans="1:57" x14ac:dyDescent="0.25">
      <c r="A3150" s="1" t="str">
        <f>T("1947729095044046012")</f>
        <v>1947729095044046012</v>
      </c>
      <c r="B3150" s="1" t="str">
        <f>T("249919279519")</f>
        <v>249919279519</v>
      </c>
      <c r="C3150" s="1" t="str">
        <f>T("1941094532825220844")</f>
        <v>1941094532825220844</v>
      </c>
      <c r="AC3150" s="1" t="s">
        <v>344</v>
      </c>
      <c r="AD3150" s="1" t="s">
        <v>441</v>
      </c>
      <c r="AE3150" s="1" t="s">
        <v>530</v>
      </c>
      <c r="AF3150" s="1" t="s">
        <v>144</v>
      </c>
      <c r="AG3150" s="1">
        <v>65</v>
      </c>
      <c r="AO3150" s="2">
        <v>46283</v>
      </c>
      <c r="AP3150" s="1" t="s">
        <v>226</v>
      </c>
      <c r="AS3150" s="1" t="s">
        <v>71</v>
      </c>
      <c r="AU3150" s="1" t="s">
        <v>72</v>
      </c>
      <c r="AV3150" s="1" t="s">
        <v>126</v>
      </c>
      <c r="AX3150" s="1">
        <v>0</v>
      </c>
      <c r="BA3150" s="1">
        <v>9</v>
      </c>
      <c r="BB3150" s="1">
        <v>0</v>
      </c>
      <c r="BC3150" s="1">
        <v>0</v>
      </c>
      <c r="BE3150" s="1">
        <v>27559010</v>
      </c>
    </row>
    <row r="3151" spans="1:57" x14ac:dyDescent="0.25">
      <c r="A3151" s="1" t="str">
        <f>T("1947729095111153440")</f>
        <v>1947729095111153440</v>
      </c>
      <c r="B3151" s="1" t="str">
        <f>T("249915633226")</f>
        <v>249915633226</v>
      </c>
      <c r="C3151" s="1" t="str">
        <f>T("1941094532825221144")</f>
        <v>1941094532825221144</v>
      </c>
      <c r="AC3151" s="1" t="s">
        <v>344</v>
      </c>
      <c r="AD3151" s="1" t="s">
        <v>441</v>
      </c>
      <c r="AE3151" s="1" t="s">
        <v>530</v>
      </c>
      <c r="AF3151" s="1" t="s">
        <v>107</v>
      </c>
      <c r="AG3151" s="1">
        <v>50</v>
      </c>
      <c r="AO3151" s="2">
        <v>46283</v>
      </c>
      <c r="AP3151" s="1" t="s">
        <v>226</v>
      </c>
      <c r="AS3151" s="1" t="s">
        <v>71</v>
      </c>
      <c r="AU3151" s="1" t="s">
        <v>72</v>
      </c>
      <c r="AV3151" s="1" t="s">
        <v>126</v>
      </c>
      <c r="AX3151" s="1">
        <v>0</v>
      </c>
      <c r="BA3151" s="1">
        <v>9</v>
      </c>
      <c r="BB3151" s="1">
        <v>0</v>
      </c>
      <c r="BC3151" s="1">
        <v>0</v>
      </c>
      <c r="BE3151" s="1">
        <v>27559010</v>
      </c>
    </row>
    <row r="3152" spans="1:57" x14ac:dyDescent="0.25">
      <c r="A3152" s="1" t="str">
        <f>T("1947729095123736264")</f>
        <v>1947729095123736264</v>
      </c>
      <c r="B3152" s="1" t="str">
        <f>T("249909464626")</f>
        <v>249909464626</v>
      </c>
      <c r="C3152" s="1" t="str">
        <f>T("1941094532825221444")</f>
        <v>1941094532825221444</v>
      </c>
      <c r="AC3152" s="1" t="s">
        <v>344</v>
      </c>
      <c r="AD3152" s="1" t="s">
        <v>372</v>
      </c>
      <c r="AE3152" s="1" t="s">
        <v>820</v>
      </c>
      <c r="AF3152" s="1" t="s">
        <v>144</v>
      </c>
      <c r="AG3152" s="1">
        <v>30</v>
      </c>
      <c r="AO3152" s="2">
        <v>46283</v>
      </c>
      <c r="AP3152" s="1" t="s">
        <v>226</v>
      </c>
      <c r="AS3152" s="1" t="s">
        <v>71</v>
      </c>
      <c r="AU3152" s="1" t="s">
        <v>72</v>
      </c>
      <c r="AV3152" s="1" t="s">
        <v>437</v>
      </c>
      <c r="AX3152" s="1">
        <v>0</v>
      </c>
      <c r="BA3152" s="1">
        <v>9</v>
      </c>
      <c r="BB3152" s="1">
        <v>0</v>
      </c>
      <c r="BC3152" s="1">
        <v>0</v>
      </c>
      <c r="BE3152" s="1">
        <v>27559010</v>
      </c>
    </row>
    <row r="3153" spans="1:57" x14ac:dyDescent="0.25">
      <c r="A3153" s="1" t="str">
        <f>T("1947729095174068960")</f>
        <v>1947729095174068960</v>
      </c>
      <c r="B3153" s="1" t="str">
        <f>T("249900873039")</f>
        <v>249900873039</v>
      </c>
      <c r="C3153" s="1" t="str">
        <f>T("1941094532825221844")</f>
        <v>1941094532825221844</v>
      </c>
      <c r="AC3153" s="1" t="s">
        <v>344</v>
      </c>
      <c r="AD3153" s="1" t="s">
        <v>430</v>
      </c>
      <c r="AE3153" s="1" t="s">
        <v>530</v>
      </c>
      <c r="AF3153" s="1" t="s">
        <v>144</v>
      </c>
      <c r="AG3153" s="1">
        <v>41</v>
      </c>
      <c r="AO3153" s="2">
        <v>46283</v>
      </c>
      <c r="AP3153" s="1" t="s">
        <v>226</v>
      </c>
      <c r="AS3153" s="1" t="s">
        <v>71</v>
      </c>
      <c r="AU3153" s="1" t="s">
        <v>72</v>
      </c>
      <c r="AV3153" s="1" t="s">
        <v>73</v>
      </c>
      <c r="AX3153" s="1">
        <v>0</v>
      </c>
      <c r="BA3153" s="1">
        <v>9</v>
      </c>
      <c r="BB3153" s="1">
        <v>0</v>
      </c>
      <c r="BC3153" s="1">
        <v>0</v>
      </c>
      <c r="BE3153" s="1">
        <v>27559010</v>
      </c>
    </row>
    <row r="3154" spans="1:57" x14ac:dyDescent="0.25">
      <c r="A3154" s="1" t="str">
        <f>T("1947729095190846792")</f>
        <v>1947729095190846792</v>
      </c>
      <c r="B3154" s="1" t="str">
        <f>T("249906631016")</f>
        <v>249906631016</v>
      </c>
      <c r="C3154" s="1" t="str">
        <f>T("1941094532825222144")</f>
        <v>1941094532825222144</v>
      </c>
      <c r="AC3154" s="1" t="s">
        <v>344</v>
      </c>
      <c r="AD3154" s="1" t="s">
        <v>372</v>
      </c>
      <c r="AE3154" s="1" t="s">
        <v>813</v>
      </c>
      <c r="AF3154" s="1" t="s">
        <v>144</v>
      </c>
      <c r="AG3154" s="1">
        <v>22</v>
      </c>
      <c r="AO3154" s="2">
        <v>46283</v>
      </c>
      <c r="AP3154" s="1" t="s">
        <v>226</v>
      </c>
      <c r="AS3154" s="1" t="s">
        <v>71</v>
      </c>
      <c r="AU3154" s="1" t="s">
        <v>72</v>
      </c>
      <c r="AV3154" s="1" t="s">
        <v>126</v>
      </c>
      <c r="AX3154" s="1">
        <v>0</v>
      </c>
      <c r="BA3154" s="1">
        <v>9</v>
      </c>
      <c r="BB3154" s="1">
        <v>0</v>
      </c>
      <c r="BC3154" s="1">
        <v>0</v>
      </c>
      <c r="BE3154" s="1">
        <v>27559010</v>
      </c>
    </row>
    <row r="3155" spans="1:57" x14ac:dyDescent="0.25">
      <c r="A3155" s="1" t="str">
        <f>T("1947729095236983780")</f>
        <v>1947729095236983780</v>
      </c>
      <c r="B3155" s="1" t="str">
        <f>T("249916516394")</f>
        <v>249916516394</v>
      </c>
      <c r="C3155" s="1" t="str">
        <f>T("1941094532825222544")</f>
        <v>1941094532825222544</v>
      </c>
      <c r="AC3155" s="1" t="s">
        <v>344</v>
      </c>
      <c r="AD3155" s="1" t="s">
        <v>441</v>
      </c>
      <c r="AE3155" s="1" t="s">
        <v>530</v>
      </c>
      <c r="AF3155" s="1" t="s">
        <v>107</v>
      </c>
      <c r="AG3155" s="1">
        <v>33</v>
      </c>
      <c r="AO3155" s="2">
        <v>46283</v>
      </c>
      <c r="AP3155" s="1" t="s">
        <v>226</v>
      </c>
      <c r="AS3155" s="1" t="s">
        <v>71</v>
      </c>
      <c r="AU3155" s="1" t="s">
        <v>72</v>
      </c>
      <c r="AV3155" s="1" t="s">
        <v>437</v>
      </c>
      <c r="AX3155" s="1">
        <v>0</v>
      </c>
      <c r="BA3155" s="1">
        <v>9</v>
      </c>
      <c r="BB3155" s="1">
        <v>0</v>
      </c>
      <c r="BC3155" s="1">
        <v>0</v>
      </c>
      <c r="BE3155" s="1">
        <v>27559010</v>
      </c>
    </row>
    <row r="3156" spans="1:57" x14ac:dyDescent="0.25">
      <c r="A3156" s="1" t="str">
        <f>T("1947729095270535444")</f>
        <v>1947729095270535444</v>
      </c>
      <c r="B3156" s="1" t="str">
        <f>T("249903932255")</f>
        <v>249903932255</v>
      </c>
      <c r="C3156" s="1" t="str">
        <f>T("1941094532825223144")</f>
        <v>1941094532825223144</v>
      </c>
      <c r="AC3156" s="1" t="s">
        <v>344</v>
      </c>
      <c r="AD3156" s="1" t="s">
        <v>372</v>
      </c>
      <c r="AE3156" s="1" t="s">
        <v>373</v>
      </c>
      <c r="AF3156" s="1" t="s">
        <v>107</v>
      </c>
      <c r="AG3156" s="1">
        <v>66</v>
      </c>
      <c r="AO3156" s="2">
        <v>46283</v>
      </c>
      <c r="AP3156" s="1" t="s">
        <v>226</v>
      </c>
      <c r="AS3156" s="1" t="s">
        <v>71</v>
      </c>
      <c r="AU3156" s="1" t="s">
        <v>72</v>
      </c>
      <c r="AV3156" s="1" t="s">
        <v>73</v>
      </c>
      <c r="AX3156" s="1">
        <v>0</v>
      </c>
      <c r="BA3156" s="1">
        <v>9</v>
      </c>
      <c r="BB3156" s="1">
        <v>0</v>
      </c>
      <c r="BC3156" s="1">
        <v>0</v>
      </c>
      <c r="BE3156" s="1">
        <v>27559010</v>
      </c>
    </row>
    <row r="3157" spans="1:57" x14ac:dyDescent="0.25">
      <c r="A3157" s="1" t="str">
        <f>T("1947729095312479724")</f>
        <v>1947729095312479724</v>
      </c>
      <c r="B3157" s="1" t="str">
        <f>T("249919614687")</f>
        <v>249919614687</v>
      </c>
      <c r="C3157" s="1" t="str">
        <f>T("1941094532829413752")</f>
        <v>1941094532829413752</v>
      </c>
      <c r="AC3157" s="1" t="s">
        <v>344</v>
      </c>
      <c r="AD3157" s="1" t="s">
        <v>372</v>
      </c>
      <c r="AE3157" s="1" t="s">
        <v>813</v>
      </c>
      <c r="AF3157" s="1" t="s">
        <v>107</v>
      </c>
      <c r="AG3157" s="1">
        <v>55</v>
      </c>
      <c r="AO3157" s="2">
        <v>46283</v>
      </c>
      <c r="AP3157" s="1" t="s">
        <v>226</v>
      </c>
      <c r="AS3157" s="1" t="s">
        <v>71</v>
      </c>
      <c r="AU3157" s="1" t="s">
        <v>72</v>
      </c>
      <c r="AV3157" s="1" t="s">
        <v>437</v>
      </c>
      <c r="AX3157" s="1">
        <v>0</v>
      </c>
      <c r="BA3157" s="1">
        <v>9</v>
      </c>
      <c r="BB3157" s="1">
        <v>0</v>
      </c>
      <c r="BC3157" s="1">
        <v>0</v>
      </c>
      <c r="BE3157" s="1">
        <v>27559010</v>
      </c>
    </row>
    <row r="3158" spans="1:57" x14ac:dyDescent="0.25">
      <c r="A3158" s="1" t="str">
        <f>T("1947729095358617812")</f>
        <v>1947729095358617812</v>
      </c>
      <c r="B3158" s="1" t="str">
        <f>T("249915269681")</f>
        <v>249915269681</v>
      </c>
      <c r="C3158" s="1" t="str">
        <f>T("1941094532829414052")</f>
        <v>1941094532829414052</v>
      </c>
      <c r="AC3158" s="1" t="s">
        <v>344</v>
      </c>
      <c r="AD3158" s="1" t="s">
        <v>372</v>
      </c>
      <c r="AE3158" s="1" t="s">
        <v>813</v>
      </c>
      <c r="AF3158" s="1" t="s">
        <v>107</v>
      </c>
      <c r="AG3158" s="1">
        <v>27</v>
      </c>
      <c r="AO3158" s="2">
        <v>46283</v>
      </c>
      <c r="AP3158" s="1" t="s">
        <v>226</v>
      </c>
      <c r="AS3158" s="1" t="s">
        <v>71</v>
      </c>
      <c r="AU3158" s="1" t="s">
        <v>72</v>
      </c>
      <c r="AV3158" s="1" t="s">
        <v>73</v>
      </c>
      <c r="AX3158" s="1">
        <v>0</v>
      </c>
      <c r="BA3158" s="1">
        <v>9</v>
      </c>
      <c r="BB3158" s="1">
        <v>0</v>
      </c>
      <c r="BC3158" s="1">
        <v>0</v>
      </c>
      <c r="BE3158" s="1">
        <v>27559010</v>
      </c>
    </row>
    <row r="3159" spans="1:57" x14ac:dyDescent="0.25">
      <c r="A3159" s="1" t="str">
        <f>T("1947729095413144616")</f>
        <v>1947729095413144616</v>
      </c>
      <c r="B3159" s="1" t="str">
        <f>T("249913605513")</f>
        <v>249913605513</v>
      </c>
      <c r="C3159" s="1" t="str">
        <f>T("1941094532829414752")</f>
        <v>1941094532829414752</v>
      </c>
      <c r="AC3159" s="1" t="s">
        <v>344</v>
      </c>
      <c r="AD3159" s="1" t="s">
        <v>357</v>
      </c>
      <c r="AE3159" s="1" t="s">
        <v>812</v>
      </c>
      <c r="AF3159" s="1" t="s">
        <v>107</v>
      </c>
      <c r="AG3159" s="1">
        <v>41</v>
      </c>
      <c r="AO3159" s="2">
        <v>46283</v>
      </c>
      <c r="AP3159" s="1" t="s">
        <v>226</v>
      </c>
      <c r="AS3159" s="1" t="s">
        <v>71</v>
      </c>
      <c r="AU3159" s="1" t="s">
        <v>72</v>
      </c>
      <c r="AV3159" s="1" t="s">
        <v>126</v>
      </c>
      <c r="AX3159" s="1">
        <v>0</v>
      </c>
      <c r="BA3159" s="1">
        <v>9</v>
      </c>
      <c r="BB3159" s="1">
        <v>0</v>
      </c>
      <c r="BC3159" s="1">
        <v>0</v>
      </c>
      <c r="BE3159" s="1">
        <v>27559010</v>
      </c>
    </row>
    <row r="3160" spans="1:57" x14ac:dyDescent="0.25">
      <c r="A3160" s="1" t="str">
        <f>T("1947729095429919348")</f>
        <v>1947729095429919348</v>
      </c>
      <c r="B3160" s="1" t="str">
        <f>T("249909582196")</f>
        <v>249909582196</v>
      </c>
      <c r="C3160" s="1" t="str">
        <f>T("1941094532829414352")</f>
        <v>1941094532829414352</v>
      </c>
      <c r="AC3160" s="1" t="s">
        <v>344</v>
      </c>
      <c r="AD3160" s="1" t="s">
        <v>372</v>
      </c>
      <c r="AE3160" s="1" t="s">
        <v>820</v>
      </c>
      <c r="AF3160" s="1" t="s">
        <v>107</v>
      </c>
      <c r="AG3160" s="1">
        <v>60</v>
      </c>
      <c r="AO3160" s="2">
        <v>46283</v>
      </c>
      <c r="AP3160" s="1" t="s">
        <v>226</v>
      </c>
      <c r="AS3160" s="1" t="s">
        <v>71</v>
      </c>
      <c r="AU3160" s="1" t="s">
        <v>72</v>
      </c>
      <c r="AV3160" s="1" t="s">
        <v>437</v>
      </c>
      <c r="AX3160" s="1">
        <v>0</v>
      </c>
      <c r="BA3160" s="1">
        <v>9</v>
      </c>
      <c r="BB3160" s="1">
        <v>0</v>
      </c>
      <c r="BC3160" s="1">
        <v>0</v>
      </c>
      <c r="BE3160" s="1">
        <v>27559010</v>
      </c>
    </row>
    <row r="3161" spans="1:57" x14ac:dyDescent="0.25">
      <c r="A3161" s="1" t="str">
        <f>T("1947729095492834368")</f>
        <v>1947729095492834368</v>
      </c>
      <c r="B3161" s="1" t="str">
        <f>T("249960589483")</f>
        <v>249960589483</v>
      </c>
      <c r="C3161" s="1" t="str">
        <f>T("1941094532829415052")</f>
        <v>1941094532829415052</v>
      </c>
      <c r="AC3161" s="1" t="s">
        <v>344</v>
      </c>
      <c r="AD3161" s="1" t="s">
        <v>441</v>
      </c>
      <c r="AE3161" s="1" t="s">
        <v>530</v>
      </c>
      <c r="AF3161" s="1" t="s">
        <v>107</v>
      </c>
      <c r="AG3161" s="1">
        <v>35</v>
      </c>
      <c r="AO3161" s="2">
        <v>46283</v>
      </c>
      <c r="AP3161" s="1" t="s">
        <v>226</v>
      </c>
      <c r="AS3161" s="1" t="s">
        <v>71</v>
      </c>
      <c r="AU3161" s="1" t="s">
        <v>72</v>
      </c>
      <c r="AV3161" s="1" t="s">
        <v>126</v>
      </c>
      <c r="AX3161" s="1">
        <v>0</v>
      </c>
      <c r="BA3161" s="1">
        <v>9</v>
      </c>
      <c r="BB3161" s="1">
        <v>0</v>
      </c>
      <c r="BC3161" s="1">
        <v>0</v>
      </c>
      <c r="BE3161" s="1">
        <v>27559010</v>
      </c>
    </row>
    <row r="3162" spans="1:57" x14ac:dyDescent="0.25">
      <c r="A3162" s="1" t="str">
        <f>T("1947729095606080184")</f>
        <v>1947729095606080184</v>
      </c>
      <c r="B3162" s="1" t="str">
        <f>T("249913707219")</f>
        <v>249913707219</v>
      </c>
      <c r="C3162" s="1" t="str">
        <f>T("1941094532829415352")</f>
        <v>1941094532829415352</v>
      </c>
      <c r="AC3162" s="1" t="s">
        <v>344</v>
      </c>
      <c r="AD3162" s="1" t="s">
        <v>441</v>
      </c>
      <c r="AE3162" s="1" t="s">
        <v>530</v>
      </c>
      <c r="AF3162" s="1" t="s">
        <v>107</v>
      </c>
      <c r="AG3162" s="1">
        <v>45</v>
      </c>
      <c r="AO3162" s="2">
        <v>46283</v>
      </c>
      <c r="AP3162" s="1" t="s">
        <v>226</v>
      </c>
      <c r="AS3162" s="1" t="s">
        <v>71</v>
      </c>
      <c r="AU3162" s="1" t="s">
        <v>72</v>
      </c>
      <c r="AV3162" s="1" t="s">
        <v>126</v>
      </c>
      <c r="AX3162" s="1">
        <v>0</v>
      </c>
      <c r="BA3162" s="1">
        <v>9</v>
      </c>
      <c r="BB3162" s="1">
        <v>0</v>
      </c>
      <c r="BC3162" s="1">
        <v>0</v>
      </c>
      <c r="BE3162" s="1">
        <v>27559010</v>
      </c>
    </row>
    <row r="3163" spans="1:57" x14ac:dyDescent="0.25">
      <c r="A3163" s="1" t="str">
        <f>T("1947729095706744276")</f>
        <v>1947729095706744276</v>
      </c>
      <c r="B3163" s="1" t="str">
        <f>T("249915834114")</f>
        <v>249915834114</v>
      </c>
      <c r="C3163" s="1" t="str">
        <f>T("1941094532829415852")</f>
        <v>1941094532829415852</v>
      </c>
      <c r="AC3163" s="1" t="s">
        <v>344</v>
      </c>
      <c r="AD3163" s="1" t="s">
        <v>430</v>
      </c>
      <c r="AE3163" s="1" t="s">
        <v>530</v>
      </c>
      <c r="AF3163" s="1" t="s">
        <v>107</v>
      </c>
      <c r="AG3163" s="1">
        <v>22</v>
      </c>
      <c r="AO3163" s="2">
        <v>46283</v>
      </c>
      <c r="AP3163" s="1" t="s">
        <v>226</v>
      </c>
      <c r="AS3163" s="1" t="s">
        <v>71</v>
      </c>
      <c r="AU3163" s="1" t="s">
        <v>72</v>
      </c>
      <c r="AV3163" s="1" t="s">
        <v>126</v>
      </c>
      <c r="AX3163" s="1">
        <v>0</v>
      </c>
      <c r="BA3163" s="1">
        <v>9</v>
      </c>
      <c r="BB3163" s="1">
        <v>0</v>
      </c>
      <c r="BC3163" s="1">
        <v>0</v>
      </c>
      <c r="BE3163" s="1">
        <v>27559010</v>
      </c>
    </row>
    <row r="3164" spans="1:57" x14ac:dyDescent="0.25">
      <c r="A3164" s="1" t="str">
        <f>T("1947729095887100120")</f>
        <v>1947729095887100120</v>
      </c>
      <c r="B3164" s="1" t="str">
        <f>T("249901142799")</f>
        <v>249901142799</v>
      </c>
      <c r="C3164" s="1" t="str">
        <f>T("1941094532829416652")</f>
        <v>1941094532829416652</v>
      </c>
      <c r="AC3164" s="1" t="s">
        <v>344</v>
      </c>
      <c r="AD3164" s="1" t="s">
        <v>441</v>
      </c>
      <c r="AE3164" s="1" t="s">
        <v>530</v>
      </c>
      <c r="AF3164" s="1" t="s">
        <v>107</v>
      </c>
      <c r="AG3164" s="1">
        <v>30</v>
      </c>
      <c r="AO3164" s="2">
        <v>46283</v>
      </c>
      <c r="AP3164" s="1" t="s">
        <v>226</v>
      </c>
      <c r="AS3164" s="1" t="s">
        <v>71</v>
      </c>
      <c r="AU3164" s="1" t="s">
        <v>72</v>
      </c>
      <c r="AV3164" s="1" t="s">
        <v>437</v>
      </c>
      <c r="AX3164" s="1">
        <v>0</v>
      </c>
      <c r="BA3164" s="1">
        <v>9</v>
      </c>
      <c r="BB3164" s="1">
        <v>0</v>
      </c>
      <c r="BC3164" s="1">
        <v>0</v>
      </c>
      <c r="BE3164" s="1">
        <v>27559010</v>
      </c>
    </row>
    <row r="3165" spans="1:57" x14ac:dyDescent="0.25">
      <c r="A3165" s="1" t="str">
        <f>T("1947729095899681044")</f>
        <v>1947729095899681044</v>
      </c>
      <c r="B3165" s="1" t="str">
        <f>T("249967648181")</f>
        <v>249967648181</v>
      </c>
      <c r="C3165" s="1" t="str">
        <f>T("1941094532829416252")</f>
        <v>1941094532829416252</v>
      </c>
      <c r="AC3165" s="1" t="s">
        <v>344</v>
      </c>
      <c r="AD3165" s="1" t="s">
        <v>430</v>
      </c>
      <c r="AE3165" s="1" t="s">
        <v>530</v>
      </c>
      <c r="AF3165" s="1" t="s">
        <v>144</v>
      </c>
      <c r="AG3165" s="1">
        <v>25</v>
      </c>
      <c r="AO3165" s="2">
        <v>46283</v>
      </c>
      <c r="AP3165" s="1" t="s">
        <v>226</v>
      </c>
      <c r="AS3165" s="1" t="s">
        <v>71</v>
      </c>
      <c r="AU3165" s="1" t="s">
        <v>72</v>
      </c>
      <c r="AV3165" s="1" t="s">
        <v>73</v>
      </c>
      <c r="AX3165" s="1">
        <v>0</v>
      </c>
      <c r="BA3165" s="1">
        <v>9</v>
      </c>
      <c r="BB3165" s="1">
        <v>0</v>
      </c>
      <c r="BC3165" s="1">
        <v>0</v>
      </c>
      <c r="BE3165" s="1">
        <v>27559010</v>
      </c>
    </row>
    <row r="3166" spans="1:57" x14ac:dyDescent="0.25">
      <c r="A3166" s="1" t="str">
        <f>T("1947729096038094308")</f>
        <v>1947729096038094308</v>
      </c>
      <c r="B3166" s="1" t="str">
        <f>T("249914272058")</f>
        <v>249914272058</v>
      </c>
      <c r="C3166" s="1" t="str">
        <f>T("1941094532829416952")</f>
        <v>1941094532829416952</v>
      </c>
      <c r="AC3166" s="1" t="s">
        <v>344</v>
      </c>
      <c r="AD3166" s="1" t="s">
        <v>441</v>
      </c>
      <c r="AE3166" s="1" t="s">
        <v>530</v>
      </c>
      <c r="AF3166" s="1" t="s">
        <v>144</v>
      </c>
      <c r="AG3166" s="1">
        <v>50</v>
      </c>
      <c r="AO3166" s="2">
        <v>46283</v>
      </c>
      <c r="AP3166" s="1" t="s">
        <v>226</v>
      </c>
      <c r="AS3166" s="1" t="s">
        <v>71</v>
      </c>
      <c r="AU3166" s="1" t="s">
        <v>72</v>
      </c>
      <c r="AV3166" s="1" t="s">
        <v>437</v>
      </c>
      <c r="AX3166" s="1">
        <v>0</v>
      </c>
      <c r="BA3166" s="1">
        <v>9</v>
      </c>
      <c r="BB3166" s="1">
        <v>0</v>
      </c>
      <c r="BC3166" s="1">
        <v>0</v>
      </c>
      <c r="BE3166" s="1">
        <v>27559010</v>
      </c>
    </row>
    <row r="3167" spans="1:57" x14ac:dyDescent="0.25">
      <c r="A3167" s="1" t="str">
        <f>T("1947729096109398844")</f>
        <v>1947729096109398844</v>
      </c>
      <c r="B3167" s="1" t="str">
        <f>T("249902248584")</f>
        <v>249902248584</v>
      </c>
      <c r="C3167" s="1" t="str">
        <f>T("1941094532829417252")</f>
        <v>1941094532829417252</v>
      </c>
      <c r="AC3167" s="1" t="s">
        <v>344</v>
      </c>
      <c r="AD3167" s="1" t="s">
        <v>372</v>
      </c>
      <c r="AE3167" s="1" t="s">
        <v>827</v>
      </c>
      <c r="AF3167" s="1" t="s">
        <v>107</v>
      </c>
      <c r="AG3167" s="1">
        <v>38</v>
      </c>
      <c r="AO3167" s="2">
        <v>46283</v>
      </c>
      <c r="AP3167" s="1" t="s">
        <v>226</v>
      </c>
      <c r="AS3167" s="1" t="s">
        <v>71</v>
      </c>
      <c r="AU3167" s="1" t="s">
        <v>72</v>
      </c>
      <c r="AV3167" s="1" t="s">
        <v>126</v>
      </c>
      <c r="AX3167" s="1">
        <v>0</v>
      </c>
      <c r="BA3167" s="1">
        <v>9</v>
      </c>
      <c r="BB3167" s="1">
        <v>0</v>
      </c>
      <c r="BC3167" s="1">
        <v>0</v>
      </c>
      <c r="BE3167" s="1">
        <v>27559010</v>
      </c>
    </row>
    <row r="3168" spans="1:57" x14ac:dyDescent="0.25">
      <c r="A3168" s="1" t="str">
        <f>T("1947729096331696568")</f>
        <v>1947729096331696568</v>
      </c>
      <c r="B3168" s="1" t="str">
        <f>T("249902321030")</f>
        <v>249902321030</v>
      </c>
      <c r="C3168" s="1" t="str">
        <f>T("1941094532833608060")</f>
        <v>1941094532833608060</v>
      </c>
      <c r="AC3168" s="1" t="s">
        <v>344</v>
      </c>
      <c r="AD3168" s="1" t="s">
        <v>430</v>
      </c>
      <c r="AE3168" s="1" t="s">
        <v>530</v>
      </c>
      <c r="AF3168" s="1" t="s">
        <v>144</v>
      </c>
      <c r="AG3168" s="1">
        <v>45</v>
      </c>
      <c r="AO3168" s="2">
        <v>46283</v>
      </c>
      <c r="AP3168" s="1" t="s">
        <v>226</v>
      </c>
      <c r="AS3168" s="1" t="s">
        <v>71</v>
      </c>
      <c r="AU3168" s="1" t="s">
        <v>72</v>
      </c>
      <c r="AV3168" s="1" t="s">
        <v>126</v>
      </c>
      <c r="AX3168" s="1">
        <v>0</v>
      </c>
      <c r="BA3168" s="1">
        <v>9</v>
      </c>
      <c r="BB3168" s="1">
        <v>0</v>
      </c>
      <c r="BC3168" s="1">
        <v>0</v>
      </c>
      <c r="BE3168" s="1">
        <v>27559010</v>
      </c>
    </row>
    <row r="3169" spans="1:57" x14ac:dyDescent="0.25">
      <c r="A3169" s="1" t="str">
        <f>T("1947729096482692356")</f>
        <v>1947729096482692356</v>
      </c>
      <c r="B3169" s="1" t="str">
        <f>T("249907637841")</f>
        <v>249907637841</v>
      </c>
      <c r="C3169" s="1" t="str">
        <f>T("1941094532833608860")</f>
        <v>1941094532833608860</v>
      </c>
      <c r="AC3169" s="1" t="s">
        <v>344</v>
      </c>
      <c r="AD3169" s="1" t="s">
        <v>357</v>
      </c>
      <c r="AE3169" s="1" t="s">
        <v>812</v>
      </c>
      <c r="AF3169" s="1" t="s">
        <v>107</v>
      </c>
      <c r="AG3169" s="1">
        <v>42</v>
      </c>
      <c r="AO3169" s="2">
        <v>46283</v>
      </c>
      <c r="AP3169" s="1" t="s">
        <v>226</v>
      </c>
      <c r="AS3169" s="1" t="s">
        <v>71</v>
      </c>
      <c r="AU3169" s="1" t="s">
        <v>72</v>
      </c>
      <c r="AV3169" s="1" t="s">
        <v>437</v>
      </c>
      <c r="AX3169" s="1">
        <v>0</v>
      </c>
      <c r="BA3169" s="1">
        <v>9</v>
      </c>
      <c r="BB3169" s="1">
        <v>0</v>
      </c>
      <c r="BC3169" s="1">
        <v>0</v>
      </c>
      <c r="BE3169" s="1">
        <v>27559010</v>
      </c>
    </row>
    <row r="3170" spans="1:57" x14ac:dyDescent="0.25">
      <c r="A3170" s="1" t="str">
        <f>T("1947729096545604276")</f>
        <v>1947729096545604276</v>
      </c>
      <c r="B3170" s="1" t="str">
        <f>T("249906546076")</f>
        <v>249906546076</v>
      </c>
      <c r="C3170" s="1" t="str">
        <f>T("1941094532833609160")</f>
        <v>1941094532833609160</v>
      </c>
      <c r="AC3170" s="1" t="s">
        <v>344</v>
      </c>
      <c r="AD3170" s="1" t="s">
        <v>430</v>
      </c>
      <c r="AE3170" s="1" t="s">
        <v>530</v>
      </c>
      <c r="AF3170" s="1" t="s">
        <v>107</v>
      </c>
      <c r="AG3170" s="1">
        <v>22</v>
      </c>
      <c r="AO3170" s="2">
        <v>46283</v>
      </c>
      <c r="AP3170" s="1" t="s">
        <v>226</v>
      </c>
      <c r="AS3170" s="1" t="s">
        <v>71</v>
      </c>
      <c r="AU3170" s="1" t="s">
        <v>72</v>
      </c>
      <c r="AV3170" s="1" t="s">
        <v>126</v>
      </c>
      <c r="AX3170" s="1">
        <v>0</v>
      </c>
      <c r="BA3170" s="1">
        <v>9</v>
      </c>
      <c r="BB3170" s="1">
        <v>0</v>
      </c>
      <c r="BC3170" s="1">
        <v>0</v>
      </c>
      <c r="BE3170" s="1">
        <v>27559010</v>
      </c>
    </row>
    <row r="3171" spans="1:57" x14ac:dyDescent="0.25">
      <c r="A3171" s="1" t="str">
        <f>T("1947729096616910012")</f>
        <v>1947729096616910012</v>
      </c>
      <c r="B3171" s="1" t="str">
        <f>T("249113339594")</f>
        <v>249113339594</v>
      </c>
      <c r="C3171" s="1" t="str">
        <f>T("1941094532833608560")</f>
        <v>1941094532833608560</v>
      </c>
      <c r="AC3171" s="1" t="s">
        <v>344</v>
      </c>
      <c r="AD3171" s="1" t="s">
        <v>430</v>
      </c>
      <c r="AE3171" s="1" t="s">
        <v>530</v>
      </c>
      <c r="AF3171" s="1" t="s">
        <v>107</v>
      </c>
      <c r="AG3171" s="1">
        <v>26</v>
      </c>
      <c r="AO3171" s="2">
        <v>46283</v>
      </c>
      <c r="AP3171" s="1" t="s">
        <v>226</v>
      </c>
      <c r="AS3171" s="1" t="s">
        <v>71</v>
      </c>
      <c r="AU3171" s="1" t="s">
        <v>72</v>
      </c>
      <c r="AV3171" s="1" t="s">
        <v>126</v>
      </c>
      <c r="AX3171" s="1">
        <v>0</v>
      </c>
      <c r="BA3171" s="1">
        <v>9</v>
      </c>
      <c r="BB3171" s="1">
        <v>0</v>
      </c>
      <c r="BC3171" s="1">
        <v>0</v>
      </c>
      <c r="BE3171" s="1">
        <v>27559010</v>
      </c>
    </row>
    <row r="3172" spans="1:57" x14ac:dyDescent="0.25">
      <c r="A3172" s="1" t="str">
        <f>T("1947729096646270268")</f>
        <v>1947729096646270268</v>
      </c>
      <c r="B3172" s="1" t="str">
        <f>T("249125904666")</f>
        <v>249125904666</v>
      </c>
      <c r="C3172" s="1" t="str">
        <f>T("1941094532833609560")</f>
        <v>1941094532833609560</v>
      </c>
      <c r="AC3172" s="1" t="s">
        <v>344</v>
      </c>
      <c r="AD3172" s="1" t="s">
        <v>372</v>
      </c>
      <c r="AE3172" s="1" t="s">
        <v>818</v>
      </c>
      <c r="AF3172" s="1" t="s">
        <v>144</v>
      </c>
      <c r="AG3172" s="1">
        <v>43</v>
      </c>
      <c r="AO3172" s="2">
        <v>46283</v>
      </c>
      <c r="AP3172" s="1" t="s">
        <v>226</v>
      </c>
      <c r="AS3172" s="1" t="s">
        <v>71</v>
      </c>
      <c r="AU3172" s="1" t="s">
        <v>72</v>
      </c>
      <c r="AV3172" s="1" t="s">
        <v>73</v>
      </c>
      <c r="AX3172" s="1">
        <v>0</v>
      </c>
      <c r="BA3172" s="1">
        <v>9</v>
      </c>
      <c r="BB3172" s="1">
        <v>0</v>
      </c>
      <c r="BC3172" s="1">
        <v>0</v>
      </c>
      <c r="BE3172" s="1">
        <v>27559010</v>
      </c>
    </row>
    <row r="3173" spans="1:57" x14ac:dyDescent="0.25">
      <c r="A3173" s="1" t="str">
        <f>T("1947729096755320776")</f>
        <v>1947729096755320776</v>
      </c>
      <c r="B3173" s="1" t="str">
        <f>T("249960106098")</f>
        <v>249960106098</v>
      </c>
      <c r="C3173" s="1" t="str">
        <f>T("1941094532833609860")</f>
        <v>1941094532833609860</v>
      </c>
      <c r="AC3173" s="1" t="s">
        <v>344</v>
      </c>
      <c r="AD3173" s="1" t="s">
        <v>372</v>
      </c>
      <c r="AE3173" s="1" t="s">
        <v>814</v>
      </c>
      <c r="AF3173" s="1" t="s">
        <v>144</v>
      </c>
      <c r="AG3173" s="1">
        <v>55</v>
      </c>
      <c r="AO3173" s="2">
        <v>46283</v>
      </c>
      <c r="AP3173" s="1" t="s">
        <v>226</v>
      </c>
      <c r="AS3173" s="1" t="s">
        <v>71</v>
      </c>
      <c r="AU3173" s="1" t="s">
        <v>72</v>
      </c>
      <c r="AV3173" s="1" t="s">
        <v>126</v>
      </c>
      <c r="AX3173" s="1">
        <v>0</v>
      </c>
      <c r="BA3173" s="1">
        <v>9</v>
      </c>
      <c r="BB3173" s="1">
        <v>0</v>
      </c>
      <c r="BC3173" s="1">
        <v>0</v>
      </c>
      <c r="BE3173" s="1">
        <v>27559010</v>
      </c>
    </row>
    <row r="3174" spans="1:57" x14ac:dyDescent="0.25">
      <c r="A3174" s="1" t="str">
        <f>T("1947729096994395232")</f>
        <v>1947729096994395232</v>
      </c>
      <c r="B3174" s="1" t="str">
        <f>T("249913494838")</f>
        <v>249913494838</v>
      </c>
      <c r="C3174" s="1" t="str">
        <f>T("1941094532833610160")</f>
        <v>1941094532833610160</v>
      </c>
      <c r="AC3174" s="1" t="s">
        <v>344</v>
      </c>
      <c r="AD3174" s="1" t="s">
        <v>372</v>
      </c>
      <c r="AE3174" s="1" t="s">
        <v>373</v>
      </c>
      <c r="AF3174" s="1" t="s">
        <v>144</v>
      </c>
      <c r="AG3174" s="1">
        <v>45</v>
      </c>
      <c r="AO3174" s="2">
        <v>46283</v>
      </c>
      <c r="AP3174" s="1" t="s">
        <v>226</v>
      </c>
      <c r="AS3174" s="1" t="s">
        <v>71</v>
      </c>
      <c r="AU3174" s="1" t="s">
        <v>72</v>
      </c>
      <c r="AV3174" s="1" t="s">
        <v>437</v>
      </c>
      <c r="AX3174" s="1">
        <v>0</v>
      </c>
      <c r="BA3174" s="1">
        <v>9</v>
      </c>
      <c r="BB3174" s="1">
        <v>0</v>
      </c>
      <c r="BC3174" s="1">
        <v>0</v>
      </c>
      <c r="BE3174" s="1">
        <v>27559010</v>
      </c>
    </row>
    <row r="3175" spans="1:57" x14ac:dyDescent="0.25">
      <c r="A3175" s="1" t="str">
        <f>T("1947729097006979956")</f>
        <v>1947729097006979956</v>
      </c>
      <c r="B3175" s="1" t="str">
        <f>T("249964000894")</f>
        <v>249964000894</v>
      </c>
      <c r="C3175" s="1" t="str">
        <f>T("1941094532833610460")</f>
        <v>1941094532833610460</v>
      </c>
      <c r="AC3175" s="1" t="s">
        <v>344</v>
      </c>
      <c r="AD3175" s="1" t="s">
        <v>441</v>
      </c>
      <c r="AE3175" s="1" t="s">
        <v>530</v>
      </c>
      <c r="AF3175" s="1" t="s">
        <v>144</v>
      </c>
      <c r="AG3175" s="1">
        <v>58</v>
      </c>
      <c r="AO3175" s="2">
        <v>46283</v>
      </c>
      <c r="AP3175" s="1" t="s">
        <v>226</v>
      </c>
      <c r="AS3175" s="1" t="s">
        <v>71</v>
      </c>
      <c r="AU3175" s="1" t="s">
        <v>72</v>
      </c>
      <c r="AV3175" s="1" t="s">
        <v>126</v>
      </c>
      <c r="AX3175" s="1">
        <v>0</v>
      </c>
      <c r="BA3175" s="1">
        <v>9</v>
      </c>
      <c r="BB3175" s="1">
        <v>0</v>
      </c>
      <c r="BC3175" s="1">
        <v>0</v>
      </c>
      <c r="BE3175" s="1">
        <v>27559010</v>
      </c>
    </row>
    <row r="3176" spans="1:57" x14ac:dyDescent="0.25">
      <c r="A3176" s="1" t="str">
        <f>T("1947729097036337812")</f>
        <v>1947729097036337812</v>
      </c>
      <c r="B3176" s="1" t="str">
        <f>T("249968512950")</f>
        <v>249968512950</v>
      </c>
      <c r="C3176" s="1" t="str">
        <f>T("1941094532833610960")</f>
        <v>1941094532833610960</v>
      </c>
      <c r="AC3176" s="1" t="s">
        <v>344</v>
      </c>
      <c r="AD3176" s="1" t="s">
        <v>372</v>
      </c>
      <c r="AE3176" s="1" t="s">
        <v>373</v>
      </c>
      <c r="AF3176" s="1" t="s">
        <v>107</v>
      </c>
      <c r="AG3176" s="1">
        <v>70</v>
      </c>
      <c r="AO3176" s="2">
        <v>46283</v>
      </c>
      <c r="AP3176" s="1" t="s">
        <v>226</v>
      </c>
      <c r="AS3176" s="1" t="s">
        <v>71</v>
      </c>
      <c r="AU3176" s="1" t="s">
        <v>75</v>
      </c>
      <c r="AV3176" s="1" t="s">
        <v>590</v>
      </c>
      <c r="AX3176" s="1">
        <v>0</v>
      </c>
      <c r="BA3176" s="1">
        <v>3</v>
      </c>
      <c r="BB3176" s="1">
        <v>0</v>
      </c>
      <c r="BC3176" s="1">
        <v>0</v>
      </c>
      <c r="BE3176" s="1">
        <v>27559010</v>
      </c>
    </row>
    <row r="3177" spans="1:57" x14ac:dyDescent="0.25">
      <c r="A3177" s="1" t="str">
        <f>T("1947729097057310952")</f>
        <v>1947729097057310952</v>
      </c>
      <c r="B3177" s="1" t="str">
        <f>T("249123492646")</f>
        <v>249123492646</v>
      </c>
      <c r="C3177" s="1" t="str">
        <f>T("1941094532833611460")</f>
        <v>1941094532833611460</v>
      </c>
      <c r="AC3177" s="1" t="s">
        <v>344</v>
      </c>
      <c r="AD3177" s="1" t="s">
        <v>372</v>
      </c>
      <c r="AE3177" s="1" t="s">
        <v>818</v>
      </c>
      <c r="AF3177" s="1" t="s">
        <v>107</v>
      </c>
      <c r="AG3177" s="1">
        <v>60</v>
      </c>
      <c r="AO3177" s="2">
        <v>46283</v>
      </c>
      <c r="AP3177" s="1" t="s">
        <v>226</v>
      </c>
      <c r="AS3177" s="1" t="s">
        <v>71</v>
      </c>
      <c r="AU3177" s="1" t="s">
        <v>72</v>
      </c>
      <c r="AV3177" s="1" t="s">
        <v>126</v>
      </c>
      <c r="AX3177" s="1">
        <v>0</v>
      </c>
      <c r="BA3177" s="1">
        <v>9</v>
      </c>
      <c r="BB3177" s="1">
        <v>0</v>
      </c>
      <c r="BC3177" s="1">
        <v>0</v>
      </c>
      <c r="BE3177" s="1">
        <v>27559010</v>
      </c>
    </row>
    <row r="3178" spans="1:57" x14ac:dyDescent="0.25">
      <c r="A3178" s="1" t="str">
        <f>T("1947729097065700868")</f>
        <v>1947729097065700868</v>
      </c>
      <c r="B3178" s="1" t="str">
        <f>T("249917526489")</f>
        <v>249917526489</v>
      </c>
      <c r="C3178" s="1" t="str">
        <f>T("1941094532837802068")</f>
        <v>1941094532837802068</v>
      </c>
      <c r="AC3178" s="1" t="s">
        <v>344</v>
      </c>
      <c r="AD3178" s="1" t="s">
        <v>357</v>
      </c>
      <c r="AE3178" s="1" t="s">
        <v>812</v>
      </c>
      <c r="AF3178" s="1" t="s">
        <v>107</v>
      </c>
      <c r="AG3178" s="1">
        <v>38</v>
      </c>
      <c r="AO3178" s="2">
        <v>46283</v>
      </c>
      <c r="AP3178" s="1" t="s">
        <v>226</v>
      </c>
      <c r="AS3178" s="1" t="s">
        <v>71</v>
      </c>
      <c r="AU3178" s="1" t="s">
        <v>72</v>
      </c>
      <c r="AV3178" s="1" t="s">
        <v>73</v>
      </c>
      <c r="AX3178" s="1">
        <v>0</v>
      </c>
      <c r="BA3178" s="1">
        <v>9</v>
      </c>
      <c r="BB3178" s="1">
        <v>0</v>
      </c>
      <c r="BC3178" s="1">
        <v>0</v>
      </c>
      <c r="BE3178" s="1">
        <v>27559010</v>
      </c>
    </row>
    <row r="3179" spans="1:57" x14ac:dyDescent="0.25">
      <c r="A3179" s="1" t="str">
        <f>T("1947729097107644048")</f>
        <v>1947729097107644048</v>
      </c>
      <c r="B3179" s="1" t="str">
        <f>T("249904563669")</f>
        <v>249904563669</v>
      </c>
      <c r="C3179" s="1" t="str">
        <f>T("1941094532837802468")</f>
        <v>1941094532837802468</v>
      </c>
      <c r="AC3179" s="1" t="s">
        <v>344</v>
      </c>
      <c r="AD3179" s="1" t="s">
        <v>441</v>
      </c>
      <c r="AE3179" s="1" t="s">
        <v>530</v>
      </c>
      <c r="AF3179" s="1" t="s">
        <v>107</v>
      </c>
      <c r="AG3179" s="1">
        <v>70</v>
      </c>
      <c r="AO3179" s="2">
        <v>46283</v>
      </c>
      <c r="AP3179" s="1" t="s">
        <v>226</v>
      </c>
      <c r="AS3179" s="1" t="s">
        <v>71</v>
      </c>
      <c r="AU3179" s="1" t="s">
        <v>72</v>
      </c>
      <c r="AV3179" s="1" t="s">
        <v>126</v>
      </c>
      <c r="AX3179" s="1">
        <v>0</v>
      </c>
      <c r="BA3179" s="1">
        <v>9</v>
      </c>
      <c r="BB3179" s="1">
        <v>0</v>
      </c>
      <c r="BC3179" s="1">
        <v>0</v>
      </c>
      <c r="BE3179" s="1">
        <v>27559010</v>
      </c>
    </row>
    <row r="3180" spans="1:57" x14ac:dyDescent="0.25">
      <c r="A3180" s="1" t="str">
        <f>T("1947729097120225972")</f>
        <v>1947729097120225972</v>
      </c>
      <c r="B3180" s="1" t="str">
        <f>T("249961536593")</f>
        <v>249961536593</v>
      </c>
      <c r="C3180" s="1" t="str">
        <f>T("1941094532837802868")</f>
        <v>1941094532837802868</v>
      </c>
      <c r="AC3180" s="1" t="s">
        <v>344</v>
      </c>
      <c r="AD3180" s="1" t="s">
        <v>441</v>
      </c>
      <c r="AE3180" s="1" t="s">
        <v>530</v>
      </c>
      <c r="AF3180" s="1" t="s">
        <v>107</v>
      </c>
      <c r="AG3180" s="1">
        <v>49</v>
      </c>
      <c r="AO3180" s="2">
        <v>46283</v>
      </c>
      <c r="AP3180" s="1" t="s">
        <v>226</v>
      </c>
      <c r="AS3180" s="1" t="s">
        <v>71</v>
      </c>
      <c r="AU3180" s="1" t="s">
        <v>72</v>
      </c>
      <c r="AV3180" s="1" t="s">
        <v>126</v>
      </c>
      <c r="AX3180" s="1">
        <v>0</v>
      </c>
      <c r="BA3180" s="1">
        <v>9</v>
      </c>
      <c r="BB3180" s="1">
        <v>0</v>
      </c>
      <c r="BC3180" s="1">
        <v>0</v>
      </c>
      <c r="BE3180" s="1">
        <v>27559010</v>
      </c>
    </row>
    <row r="3181" spans="1:57" x14ac:dyDescent="0.25">
      <c r="A3181" s="1" t="str">
        <f>T("1947729097124420380")</f>
        <v>1947729097124420380</v>
      </c>
      <c r="B3181" s="1" t="str">
        <f>T("249901366493")</f>
        <v>249901366493</v>
      </c>
      <c r="C3181" s="1" t="str">
        <f>T("1941094532837803168")</f>
        <v>1941094532837803168</v>
      </c>
      <c r="AC3181" s="1" t="s">
        <v>344</v>
      </c>
      <c r="AD3181" s="1" t="s">
        <v>441</v>
      </c>
      <c r="AE3181" s="1" t="s">
        <v>530</v>
      </c>
      <c r="AF3181" s="1" t="s">
        <v>144</v>
      </c>
      <c r="AG3181" s="1">
        <v>55</v>
      </c>
      <c r="AO3181" s="2">
        <v>46283</v>
      </c>
      <c r="AP3181" s="1" t="s">
        <v>226</v>
      </c>
      <c r="AS3181" s="1" t="s">
        <v>71</v>
      </c>
      <c r="AU3181" s="1" t="s">
        <v>72</v>
      </c>
      <c r="AV3181" s="1" t="s">
        <v>73</v>
      </c>
      <c r="AX3181" s="1">
        <v>0</v>
      </c>
      <c r="BA3181" s="1">
        <v>9</v>
      </c>
      <c r="BB3181" s="1">
        <v>0</v>
      </c>
      <c r="BC3181" s="1">
        <v>0</v>
      </c>
      <c r="BE3181" s="1">
        <v>27559010</v>
      </c>
    </row>
    <row r="3182" spans="1:57" x14ac:dyDescent="0.25">
      <c r="A3182" s="1" t="str">
        <f>T("1947729097153779936")</f>
        <v>1947729097153779936</v>
      </c>
      <c r="B3182" s="1" t="str">
        <f>T("249910650569")</f>
        <v>249910650569</v>
      </c>
      <c r="C3182" s="1" t="str">
        <f>T("1941094532837803568")</f>
        <v>1941094532837803568</v>
      </c>
      <c r="AC3182" s="1" t="s">
        <v>344</v>
      </c>
      <c r="AD3182" s="1" t="s">
        <v>357</v>
      </c>
      <c r="AE3182" s="1" t="s">
        <v>817</v>
      </c>
      <c r="AF3182" s="1" t="s">
        <v>107</v>
      </c>
      <c r="AG3182" s="1">
        <v>46</v>
      </c>
      <c r="AO3182" s="2">
        <v>46283</v>
      </c>
      <c r="AP3182" s="1" t="s">
        <v>226</v>
      </c>
      <c r="AS3182" s="1" t="s">
        <v>71</v>
      </c>
      <c r="AU3182" s="1" t="s">
        <v>72</v>
      </c>
      <c r="AV3182" s="1" t="s">
        <v>437</v>
      </c>
      <c r="AX3182" s="1">
        <v>0</v>
      </c>
      <c r="BA3182" s="1">
        <v>9</v>
      </c>
      <c r="BB3182" s="1">
        <v>0</v>
      </c>
      <c r="BC3182" s="1">
        <v>0</v>
      </c>
      <c r="BE3182" s="1">
        <v>27559010</v>
      </c>
    </row>
    <row r="3183" spans="1:57" x14ac:dyDescent="0.25">
      <c r="A3183" s="1" t="str">
        <f>T("1947729097174752876")</f>
        <v>1947729097174752876</v>
      </c>
      <c r="B3183" s="1" t="str">
        <f>T("249967204829")</f>
        <v>249967204829</v>
      </c>
      <c r="C3183" s="1" t="str">
        <f>T("1941094532837803868")</f>
        <v>1941094532837803868</v>
      </c>
      <c r="AC3183" s="1" t="s">
        <v>344</v>
      </c>
      <c r="AD3183" s="1" t="s">
        <v>372</v>
      </c>
      <c r="AE3183" s="1" t="s">
        <v>820</v>
      </c>
      <c r="AF3183" s="1" t="s">
        <v>107</v>
      </c>
      <c r="AG3183" s="1">
        <v>19</v>
      </c>
      <c r="AO3183" s="2">
        <v>46283</v>
      </c>
      <c r="AP3183" s="1" t="s">
        <v>226</v>
      </c>
      <c r="AS3183" s="1" t="s">
        <v>71</v>
      </c>
      <c r="AU3183" s="1" t="s">
        <v>72</v>
      </c>
      <c r="AV3183" s="1" t="s">
        <v>126</v>
      </c>
      <c r="AX3183" s="1">
        <v>0</v>
      </c>
      <c r="BA3183" s="1">
        <v>9</v>
      </c>
      <c r="BB3183" s="1">
        <v>0</v>
      </c>
      <c r="BC3183" s="1">
        <v>0</v>
      </c>
      <c r="BE3183" s="1">
        <v>27559010</v>
      </c>
    </row>
    <row r="3184" spans="1:57" x14ac:dyDescent="0.25">
      <c r="A3184" s="1" t="str">
        <f>T("1947729097199917624")</f>
        <v>1947729097199917624</v>
      </c>
      <c r="B3184" s="1" t="str">
        <f>T("249905252940")</f>
        <v>249905252940</v>
      </c>
      <c r="C3184" s="1" t="str">
        <f>T("1941094532837804368")</f>
        <v>1941094532837804368</v>
      </c>
      <c r="AC3184" s="1" t="s">
        <v>344</v>
      </c>
      <c r="AD3184" s="1" t="s">
        <v>441</v>
      </c>
      <c r="AE3184" s="1" t="s">
        <v>530</v>
      </c>
      <c r="AF3184" s="1" t="s">
        <v>107</v>
      </c>
      <c r="AG3184" s="1">
        <v>30</v>
      </c>
      <c r="AO3184" s="2">
        <v>46283</v>
      </c>
      <c r="AP3184" s="1" t="s">
        <v>226</v>
      </c>
      <c r="AS3184" s="1" t="s">
        <v>71</v>
      </c>
      <c r="AU3184" s="1" t="s">
        <v>72</v>
      </c>
      <c r="AV3184" s="1" t="s">
        <v>437</v>
      </c>
      <c r="AX3184" s="1">
        <v>0</v>
      </c>
      <c r="BA3184" s="1">
        <v>9</v>
      </c>
      <c r="BB3184" s="1">
        <v>0</v>
      </c>
      <c r="BC3184" s="1">
        <v>0</v>
      </c>
      <c r="BE3184" s="1">
        <v>27559010</v>
      </c>
    </row>
    <row r="3185" spans="1:57" x14ac:dyDescent="0.25">
      <c r="A3185" s="1" t="str">
        <f>T("1947729097300580616")</f>
        <v>1947729097300580616</v>
      </c>
      <c r="B3185" s="1" t="str">
        <f>T("249910659401")</f>
        <v>249910659401</v>
      </c>
      <c r="C3185" s="1" t="str">
        <f>T("1941094532837804768")</f>
        <v>1941094532837804768</v>
      </c>
      <c r="AC3185" s="1" t="s">
        <v>344</v>
      </c>
      <c r="AD3185" s="1" t="s">
        <v>441</v>
      </c>
      <c r="AE3185" s="1" t="s">
        <v>530</v>
      </c>
      <c r="AF3185" s="1" t="s">
        <v>107</v>
      </c>
      <c r="AG3185" s="1">
        <v>40</v>
      </c>
      <c r="AO3185" s="2">
        <v>46283</v>
      </c>
      <c r="AP3185" s="1" t="s">
        <v>226</v>
      </c>
      <c r="AS3185" s="1" t="s">
        <v>71</v>
      </c>
      <c r="AU3185" s="1" t="s">
        <v>72</v>
      </c>
      <c r="AV3185" s="1" t="s">
        <v>73</v>
      </c>
      <c r="AX3185" s="1">
        <v>0</v>
      </c>
      <c r="BA3185" s="1">
        <v>9</v>
      </c>
      <c r="BB3185" s="1">
        <v>0</v>
      </c>
      <c r="BC3185" s="1">
        <v>0</v>
      </c>
      <c r="BE3185" s="1">
        <v>27559010</v>
      </c>
    </row>
    <row r="3186" spans="1:57" x14ac:dyDescent="0.25">
      <c r="A3186" s="1" t="str">
        <f>T("1947729097342521396")</f>
        <v>1947729097342521396</v>
      </c>
      <c r="B3186" s="1" t="str">
        <f>T("249907363155")</f>
        <v>249907363155</v>
      </c>
      <c r="C3186" s="1" t="str">
        <f>T("1941094532837805168")</f>
        <v>1941094532837805168</v>
      </c>
      <c r="AC3186" s="1" t="s">
        <v>344</v>
      </c>
      <c r="AD3186" s="1" t="s">
        <v>441</v>
      </c>
      <c r="AE3186" s="1" t="s">
        <v>530</v>
      </c>
      <c r="AF3186" s="1" t="s">
        <v>107</v>
      </c>
      <c r="AG3186" s="1">
        <v>41</v>
      </c>
      <c r="AO3186" s="2">
        <v>46283</v>
      </c>
      <c r="AP3186" s="1" t="s">
        <v>226</v>
      </c>
      <c r="AS3186" s="1" t="s">
        <v>71</v>
      </c>
      <c r="AU3186" s="1" t="s">
        <v>72</v>
      </c>
      <c r="AV3186" s="1" t="s">
        <v>73</v>
      </c>
      <c r="AX3186" s="1">
        <v>0</v>
      </c>
      <c r="BA3186" s="1">
        <v>9</v>
      </c>
      <c r="BB3186" s="1">
        <v>0</v>
      </c>
      <c r="BC3186" s="1">
        <v>0</v>
      </c>
      <c r="BE3186" s="1">
        <v>27559010</v>
      </c>
    </row>
    <row r="3187" spans="1:57" x14ac:dyDescent="0.25">
      <c r="A3187" s="1" t="str">
        <f>T("1947729097359299828")</f>
        <v>1947729097359299828</v>
      </c>
      <c r="B3187" s="1" t="str">
        <f>T("249906423973")</f>
        <v>249906423973</v>
      </c>
      <c r="C3187" s="1" t="str">
        <f>T("1941094532867162124")</f>
        <v>1941094532867162124</v>
      </c>
      <c r="AC3187" s="1" t="s">
        <v>344</v>
      </c>
      <c r="AD3187" s="1" t="s">
        <v>441</v>
      </c>
      <c r="AE3187" s="1" t="s">
        <v>530</v>
      </c>
      <c r="AF3187" s="1" t="s">
        <v>107</v>
      </c>
      <c r="AG3187" s="1">
        <v>30</v>
      </c>
      <c r="AO3187" s="2">
        <v>46283</v>
      </c>
      <c r="AP3187" s="1" t="s">
        <v>226</v>
      </c>
      <c r="AS3187" s="1" t="s">
        <v>71</v>
      </c>
      <c r="AU3187" s="1" t="s">
        <v>72</v>
      </c>
      <c r="AV3187" s="1" t="s">
        <v>73</v>
      </c>
      <c r="AX3187" s="1">
        <v>0</v>
      </c>
      <c r="BA3187" s="1">
        <v>9</v>
      </c>
      <c r="BB3187" s="1">
        <v>0</v>
      </c>
      <c r="BC3187" s="1">
        <v>0</v>
      </c>
      <c r="BE3187" s="1">
        <v>27559010</v>
      </c>
    </row>
    <row r="3188" spans="1:57" x14ac:dyDescent="0.25">
      <c r="A3188" s="1" t="str">
        <f>T("1947729097376077360")</f>
        <v>1947729097376077360</v>
      </c>
      <c r="B3188" s="1" t="str">
        <f>T("249914971748")</f>
        <v>249914971748</v>
      </c>
      <c r="C3188" s="1" t="str">
        <f>T("1941094532867163924")</f>
        <v>1941094532867163924</v>
      </c>
      <c r="AC3188" s="1" t="s">
        <v>344</v>
      </c>
      <c r="AD3188" s="1" t="s">
        <v>372</v>
      </c>
      <c r="AE3188" s="1" t="s">
        <v>813</v>
      </c>
      <c r="AF3188" s="1" t="s">
        <v>144</v>
      </c>
      <c r="AG3188" s="1">
        <v>32</v>
      </c>
      <c r="AO3188" s="2">
        <v>46283</v>
      </c>
      <c r="AP3188" s="1" t="s">
        <v>226</v>
      </c>
      <c r="AS3188" s="1" t="s">
        <v>71</v>
      </c>
      <c r="AU3188" s="1" t="s">
        <v>72</v>
      </c>
      <c r="AV3188" s="1" t="s">
        <v>437</v>
      </c>
      <c r="AX3188" s="1">
        <v>0</v>
      </c>
      <c r="BA3188" s="1">
        <v>9</v>
      </c>
      <c r="BB3188" s="1">
        <v>0</v>
      </c>
      <c r="BC3188" s="1">
        <v>0</v>
      </c>
      <c r="BE3188" s="1">
        <v>27559010</v>
      </c>
    </row>
    <row r="3189" spans="1:57" x14ac:dyDescent="0.25">
      <c r="A3189" s="1" t="str">
        <f>T("1947729097380270868")</f>
        <v>1947729097380270868</v>
      </c>
      <c r="B3189" s="1" t="str">
        <f>T("249968931315")</f>
        <v>249968931315</v>
      </c>
      <c r="C3189" s="1" t="str">
        <f>T("1941094532867164324")</f>
        <v>1941094532867164324</v>
      </c>
      <c r="AC3189" s="1" t="s">
        <v>344</v>
      </c>
      <c r="AD3189" s="1" t="s">
        <v>372</v>
      </c>
      <c r="AE3189" s="1" t="s">
        <v>373</v>
      </c>
      <c r="AF3189" s="1" t="s">
        <v>107</v>
      </c>
      <c r="AG3189" s="1">
        <v>28</v>
      </c>
      <c r="AO3189" s="2">
        <v>46283</v>
      </c>
      <c r="AP3189" s="1" t="s">
        <v>226</v>
      </c>
      <c r="AS3189" s="1" t="s">
        <v>71</v>
      </c>
      <c r="AU3189" s="1" t="s">
        <v>72</v>
      </c>
      <c r="AV3189" s="1" t="s">
        <v>73</v>
      </c>
      <c r="AX3189" s="1">
        <v>0</v>
      </c>
      <c r="BA3189" s="1">
        <v>9</v>
      </c>
      <c r="BB3189" s="1">
        <v>0</v>
      </c>
      <c r="BC3189" s="1">
        <v>0</v>
      </c>
      <c r="BE3189" s="1">
        <v>27559010</v>
      </c>
    </row>
    <row r="3190" spans="1:57" x14ac:dyDescent="0.25">
      <c r="A3190" s="1" t="str">
        <f>T("1947729097418022740")</f>
        <v>1947729097418022740</v>
      </c>
      <c r="B3190" s="1" t="str">
        <f>T("249117777975")</f>
        <v>249117777975</v>
      </c>
      <c r="C3190" s="1" t="str">
        <f>T("1941094532871357332")</f>
        <v>1941094532871357332</v>
      </c>
      <c r="AA3190" s="1">
        <v>1</v>
      </c>
      <c r="AC3190" s="1" t="s">
        <v>344</v>
      </c>
      <c r="AD3190" s="1" t="s">
        <v>430</v>
      </c>
      <c r="AE3190" s="1" t="s">
        <v>530</v>
      </c>
      <c r="AF3190" s="1" t="s">
        <v>107</v>
      </c>
      <c r="AG3190" s="1">
        <v>20</v>
      </c>
      <c r="AO3190" s="2">
        <v>46283</v>
      </c>
      <c r="AP3190" s="1" t="s">
        <v>226</v>
      </c>
      <c r="AQ3190" s="2">
        <v>46283</v>
      </c>
      <c r="AR3190" s="1" t="s">
        <v>881</v>
      </c>
      <c r="AS3190" s="1" t="s">
        <v>71</v>
      </c>
      <c r="AU3190" s="1" t="s">
        <v>79</v>
      </c>
      <c r="AV3190" s="1" t="s">
        <v>80</v>
      </c>
      <c r="AW3190" s="1">
        <v>49.92</v>
      </c>
      <c r="AX3190" s="1">
        <v>0</v>
      </c>
      <c r="AZ3190" s="1" t="s">
        <v>81</v>
      </c>
      <c r="BA3190" s="1">
        <v>1</v>
      </c>
      <c r="BB3190" s="1">
        <v>0</v>
      </c>
      <c r="BC3190" s="1">
        <v>0</v>
      </c>
      <c r="BE3190" s="1">
        <v>27559010</v>
      </c>
    </row>
    <row r="3191" spans="1:57" x14ac:dyDescent="0.25">
      <c r="A3191" s="1" t="str">
        <f>T("1947729097426411456")</f>
        <v>1947729097426411456</v>
      </c>
      <c r="B3191" s="1" t="str">
        <f>T("249905086379")</f>
        <v>249905086379</v>
      </c>
      <c r="C3191" s="1" t="str">
        <f>T("1941094532871357832")</f>
        <v>1941094532871357832</v>
      </c>
      <c r="AC3191" s="1" t="s">
        <v>344</v>
      </c>
      <c r="AD3191" s="1" t="s">
        <v>441</v>
      </c>
      <c r="AE3191" s="1" t="s">
        <v>530</v>
      </c>
      <c r="AF3191" s="1" t="s">
        <v>107</v>
      </c>
      <c r="AG3191" s="1">
        <v>40</v>
      </c>
      <c r="AO3191" s="2">
        <v>46283</v>
      </c>
      <c r="AP3191" s="1" t="s">
        <v>226</v>
      </c>
      <c r="AS3191" s="1" t="s">
        <v>71</v>
      </c>
      <c r="AU3191" s="1" t="s">
        <v>72</v>
      </c>
      <c r="AV3191" s="1" t="s">
        <v>437</v>
      </c>
      <c r="AX3191" s="1">
        <v>0</v>
      </c>
      <c r="BA3191" s="1">
        <v>9</v>
      </c>
      <c r="BB3191" s="1">
        <v>0</v>
      </c>
      <c r="BC3191" s="1">
        <v>0</v>
      </c>
      <c r="BE3191" s="1">
        <v>27559010</v>
      </c>
    </row>
    <row r="3192" spans="1:57" x14ac:dyDescent="0.25">
      <c r="A3192" s="1" t="str">
        <f>T("1947729097472546244")</f>
        <v>1947729097472546244</v>
      </c>
      <c r="B3192" s="1" t="str">
        <f>T("249926501621")</f>
        <v>249926501621</v>
      </c>
      <c r="C3192" s="1" t="str">
        <f>T("1941094532871358432")</f>
        <v>1941094532871358432</v>
      </c>
      <c r="AC3192" s="1" t="s">
        <v>344</v>
      </c>
      <c r="AD3192" s="1" t="s">
        <v>372</v>
      </c>
      <c r="AE3192" s="1" t="s">
        <v>820</v>
      </c>
      <c r="AF3192" s="1" t="s">
        <v>107</v>
      </c>
      <c r="AG3192" s="1">
        <v>30</v>
      </c>
      <c r="AO3192" s="2">
        <v>46283</v>
      </c>
      <c r="AP3192" s="1" t="s">
        <v>226</v>
      </c>
      <c r="AQ3192" s="2">
        <v>46284</v>
      </c>
      <c r="AR3192" s="1" t="s">
        <v>882</v>
      </c>
      <c r="AS3192" s="1" t="s">
        <v>71</v>
      </c>
      <c r="AU3192" s="1" t="s">
        <v>79</v>
      </c>
      <c r="AV3192" s="1" t="s">
        <v>80</v>
      </c>
      <c r="AW3192" s="1">
        <v>12.58</v>
      </c>
      <c r="AX3192" s="1">
        <v>0</v>
      </c>
      <c r="AZ3192" s="1" t="s">
        <v>81</v>
      </c>
      <c r="BA3192" s="1">
        <v>7</v>
      </c>
      <c r="BB3192" s="1">
        <v>0</v>
      </c>
      <c r="BC3192" s="1">
        <v>0</v>
      </c>
      <c r="BE3192" s="1">
        <v>27559010</v>
      </c>
    </row>
    <row r="3193" spans="1:57" x14ac:dyDescent="0.25">
      <c r="A3193" s="1" t="str">
        <f>T("1947729097501908200")</f>
        <v>1947729097501908200</v>
      </c>
      <c r="B3193" s="1" t="str">
        <f>T("249911460084")</f>
        <v>249911460084</v>
      </c>
      <c r="C3193" s="1" t="str">
        <f>T("1941094532871358932")</f>
        <v>1941094532871358932</v>
      </c>
      <c r="AC3193" s="1" t="s">
        <v>344</v>
      </c>
      <c r="AD3193" s="1" t="s">
        <v>372</v>
      </c>
      <c r="AE3193" s="1" t="s">
        <v>813</v>
      </c>
      <c r="AF3193" s="1" t="s">
        <v>144</v>
      </c>
      <c r="AG3193" s="1">
        <v>35</v>
      </c>
      <c r="AO3193" s="2">
        <v>46283</v>
      </c>
      <c r="AP3193" s="1" t="s">
        <v>226</v>
      </c>
      <c r="AS3193" s="1" t="s">
        <v>71</v>
      </c>
      <c r="AU3193" s="1" t="s">
        <v>72</v>
      </c>
      <c r="AV3193" s="1" t="s">
        <v>437</v>
      </c>
      <c r="AX3193" s="1">
        <v>0</v>
      </c>
      <c r="BA3193" s="1">
        <v>9</v>
      </c>
      <c r="BB3193" s="1">
        <v>0</v>
      </c>
      <c r="BC3193" s="1">
        <v>0</v>
      </c>
      <c r="BE3193" s="1">
        <v>27559010</v>
      </c>
    </row>
    <row r="3194" spans="1:57" x14ac:dyDescent="0.25">
      <c r="A3194" s="1" t="str">
        <f>T("1947729097543850680")</f>
        <v>1947729097543850680</v>
      </c>
      <c r="B3194" s="1" t="str">
        <f>T("249919368791")</f>
        <v>249919368791</v>
      </c>
      <c r="C3194" s="1" t="str">
        <f>T("1941094532871359632")</f>
        <v>1941094532871359632</v>
      </c>
      <c r="AC3194" s="1" t="s">
        <v>344</v>
      </c>
      <c r="AD3194" s="1" t="s">
        <v>441</v>
      </c>
      <c r="AE3194" s="1" t="s">
        <v>530</v>
      </c>
      <c r="AF3194" s="1" t="s">
        <v>107</v>
      </c>
      <c r="AG3194" s="1">
        <v>35</v>
      </c>
      <c r="AO3194" s="2">
        <v>46283</v>
      </c>
      <c r="AP3194" s="1" t="s">
        <v>226</v>
      </c>
      <c r="AS3194" s="1" t="s">
        <v>71</v>
      </c>
      <c r="AU3194" s="1" t="s">
        <v>72</v>
      </c>
      <c r="AV3194" s="1" t="s">
        <v>73</v>
      </c>
      <c r="AX3194" s="1">
        <v>0</v>
      </c>
      <c r="BA3194" s="1">
        <v>9</v>
      </c>
      <c r="BB3194" s="1">
        <v>0</v>
      </c>
      <c r="BC3194" s="1">
        <v>0</v>
      </c>
      <c r="BE3194" s="1">
        <v>27559010</v>
      </c>
    </row>
    <row r="3195" spans="1:57" x14ac:dyDescent="0.25">
      <c r="A3195" s="1" t="str">
        <f>T("1947729097543851180")</f>
        <v>1947729097543851180</v>
      </c>
      <c r="B3195" s="1" t="str">
        <f>T("249916926389")</f>
        <v>249916926389</v>
      </c>
      <c r="C3195" s="1" t="str">
        <f>T("1941094532883942656")</f>
        <v>1941094532883942656</v>
      </c>
      <c r="AC3195" s="1" t="s">
        <v>344</v>
      </c>
      <c r="AD3195" s="1" t="s">
        <v>430</v>
      </c>
      <c r="AE3195" s="1" t="s">
        <v>530</v>
      </c>
      <c r="AF3195" s="1" t="s">
        <v>107</v>
      </c>
      <c r="AG3195" s="1">
        <v>75</v>
      </c>
      <c r="AO3195" s="2">
        <v>46283</v>
      </c>
      <c r="AP3195" s="1" t="s">
        <v>226</v>
      </c>
      <c r="AS3195" s="1" t="s">
        <v>71</v>
      </c>
      <c r="AU3195" s="1" t="s">
        <v>72</v>
      </c>
      <c r="AV3195" s="1" t="s">
        <v>73</v>
      </c>
      <c r="AX3195" s="1">
        <v>0</v>
      </c>
      <c r="BA3195" s="1">
        <v>9</v>
      </c>
      <c r="BB3195" s="1">
        <v>0</v>
      </c>
      <c r="BC3195" s="1">
        <v>0</v>
      </c>
      <c r="BE3195" s="1">
        <v>27559010</v>
      </c>
    </row>
    <row r="3196" spans="1:57" x14ac:dyDescent="0.25">
      <c r="A3196" s="1" t="str">
        <f>T("1947729097585791560")</f>
        <v>1947729097585791560</v>
      </c>
      <c r="B3196" s="1" t="str">
        <f>T("249902398816")</f>
        <v>249902398816</v>
      </c>
      <c r="C3196" s="1" t="str">
        <f>T("1941094532888133864")</f>
        <v>1941094532888133864</v>
      </c>
      <c r="AC3196" s="1" t="s">
        <v>344</v>
      </c>
      <c r="AD3196" s="1" t="s">
        <v>430</v>
      </c>
      <c r="AE3196" s="1" t="s">
        <v>530</v>
      </c>
      <c r="AF3196" s="1" t="s">
        <v>144</v>
      </c>
      <c r="AG3196" s="1">
        <v>43</v>
      </c>
      <c r="AO3196" s="2">
        <v>46283</v>
      </c>
      <c r="AP3196" s="1" t="s">
        <v>226</v>
      </c>
      <c r="AS3196" s="1" t="s">
        <v>71</v>
      </c>
      <c r="AU3196" s="1" t="s">
        <v>72</v>
      </c>
      <c r="AV3196" s="1" t="s">
        <v>437</v>
      </c>
      <c r="AX3196" s="1">
        <v>0</v>
      </c>
      <c r="BA3196" s="1">
        <v>9</v>
      </c>
      <c r="BB3196" s="1">
        <v>0</v>
      </c>
      <c r="BC3196" s="1">
        <v>0</v>
      </c>
      <c r="BE3196" s="1">
        <v>27559010</v>
      </c>
    </row>
    <row r="3197" spans="1:57" x14ac:dyDescent="0.25">
      <c r="A3197" s="1" t="str">
        <f>T("1947729097615154616")</f>
        <v>1947729097615154616</v>
      </c>
      <c r="B3197" s="1" t="str">
        <f>T("249927374295")</f>
        <v>249927374295</v>
      </c>
      <c r="C3197" s="1" t="str">
        <f>T("1941094532888134364")</f>
        <v>1941094532888134364</v>
      </c>
      <c r="AC3197" s="1" t="s">
        <v>344</v>
      </c>
      <c r="AD3197" s="1" t="s">
        <v>430</v>
      </c>
      <c r="AE3197" s="1" t="s">
        <v>530</v>
      </c>
      <c r="AF3197" s="1" t="s">
        <v>107</v>
      </c>
      <c r="AG3197" s="1">
        <v>28</v>
      </c>
      <c r="AO3197" s="2">
        <v>46283</v>
      </c>
      <c r="AP3197" s="1" t="s">
        <v>226</v>
      </c>
      <c r="AS3197" s="1" t="s">
        <v>71</v>
      </c>
      <c r="AU3197" s="1" t="s">
        <v>72</v>
      </c>
      <c r="AV3197" s="1" t="s">
        <v>73</v>
      </c>
      <c r="AX3197" s="1">
        <v>0</v>
      </c>
      <c r="BA3197" s="1">
        <v>9</v>
      </c>
      <c r="BB3197" s="1">
        <v>0</v>
      </c>
      <c r="BC3197" s="1">
        <v>0</v>
      </c>
      <c r="BE3197" s="1">
        <v>27559010</v>
      </c>
    </row>
    <row r="3198" spans="1:57" x14ac:dyDescent="0.25">
      <c r="A3198" s="1" t="str">
        <f>T("1947729097619348024")</f>
        <v>1947729097619348024</v>
      </c>
      <c r="B3198" s="1" t="str">
        <f>T("249111823697")</f>
        <v>249111823697</v>
      </c>
      <c r="C3198" s="1" t="str">
        <f>T("1941094532888134764")</f>
        <v>1941094532888134764</v>
      </c>
      <c r="AA3198" s="1">
        <v>1</v>
      </c>
      <c r="AC3198" s="1" t="s">
        <v>344</v>
      </c>
      <c r="AD3198" s="1" t="s">
        <v>441</v>
      </c>
      <c r="AE3198" s="1" t="s">
        <v>530</v>
      </c>
      <c r="AF3198" s="1" t="s">
        <v>107</v>
      </c>
      <c r="AG3198" s="1">
        <v>86</v>
      </c>
      <c r="AO3198" s="2">
        <v>46283</v>
      </c>
      <c r="AP3198" s="1" t="s">
        <v>226</v>
      </c>
      <c r="AQ3198" s="2">
        <v>46283</v>
      </c>
      <c r="AR3198" s="1" t="s">
        <v>418</v>
      </c>
      <c r="AS3198" s="1" t="s">
        <v>71</v>
      </c>
      <c r="AU3198" s="1" t="s">
        <v>79</v>
      </c>
      <c r="AV3198" s="1" t="s">
        <v>80</v>
      </c>
      <c r="AW3198" s="1">
        <v>63</v>
      </c>
      <c r="AX3198" s="1">
        <v>0</v>
      </c>
      <c r="AZ3198" s="1" t="s">
        <v>81</v>
      </c>
      <c r="BA3198" s="1">
        <v>1</v>
      </c>
      <c r="BB3198" s="1">
        <v>0</v>
      </c>
      <c r="BC3198" s="1">
        <v>0</v>
      </c>
      <c r="BE3198" s="1">
        <v>27559010</v>
      </c>
    </row>
    <row r="3199" spans="1:57" x14ac:dyDescent="0.25">
      <c r="A3199" s="1" t="str">
        <f>T("1947729097627736640")</f>
        <v>1947729097627736640</v>
      </c>
      <c r="B3199" s="1" t="str">
        <f>T("249966145340")</f>
        <v>249966145340</v>
      </c>
      <c r="C3199" s="1" t="str">
        <f>T("1941094532888135264")</f>
        <v>1941094532888135264</v>
      </c>
      <c r="AC3199" s="1" t="s">
        <v>344</v>
      </c>
      <c r="AD3199" s="1" t="s">
        <v>441</v>
      </c>
      <c r="AE3199" s="1" t="s">
        <v>530</v>
      </c>
      <c r="AF3199" s="1" t="s">
        <v>107</v>
      </c>
      <c r="AG3199" s="1">
        <v>34</v>
      </c>
      <c r="AO3199" s="2">
        <v>46283</v>
      </c>
      <c r="AP3199" s="1" t="s">
        <v>226</v>
      </c>
      <c r="AS3199" s="1" t="s">
        <v>71</v>
      </c>
      <c r="AU3199" s="1" t="s">
        <v>72</v>
      </c>
      <c r="AV3199" s="1" t="s">
        <v>73</v>
      </c>
      <c r="AX3199" s="1">
        <v>0</v>
      </c>
      <c r="BA3199" s="1">
        <v>9</v>
      </c>
      <c r="BB3199" s="1">
        <v>0</v>
      </c>
      <c r="BC3199" s="1">
        <v>0</v>
      </c>
      <c r="BE3199" s="1">
        <v>27559010</v>
      </c>
    </row>
    <row r="3200" spans="1:57" x14ac:dyDescent="0.25">
      <c r="A3200" s="1" t="str">
        <f>T("1947729097665483212")</f>
        <v>1947729097665483212</v>
      </c>
      <c r="B3200" s="1" t="str">
        <f>T("249904453885")</f>
        <v>249904453885</v>
      </c>
      <c r="C3200" s="1" t="str">
        <f>T("1941094532888135664")</f>
        <v>1941094532888135664</v>
      </c>
      <c r="AC3200" s="1" t="s">
        <v>344</v>
      </c>
      <c r="AD3200" s="1" t="s">
        <v>441</v>
      </c>
      <c r="AE3200" s="1" t="s">
        <v>530</v>
      </c>
      <c r="AF3200" s="1" t="s">
        <v>107</v>
      </c>
      <c r="AG3200" s="1">
        <v>30</v>
      </c>
      <c r="AO3200" s="2">
        <v>46283</v>
      </c>
      <c r="AP3200" s="1" t="s">
        <v>226</v>
      </c>
      <c r="AS3200" s="1" t="s">
        <v>71</v>
      </c>
      <c r="AU3200" s="1" t="s">
        <v>72</v>
      </c>
      <c r="AV3200" s="1" t="s">
        <v>437</v>
      </c>
      <c r="AX3200" s="1">
        <v>0</v>
      </c>
      <c r="BA3200" s="1">
        <v>9</v>
      </c>
      <c r="BB3200" s="1">
        <v>0</v>
      </c>
      <c r="BC3200" s="1">
        <v>0</v>
      </c>
      <c r="BE3200" s="1">
        <v>27559010</v>
      </c>
    </row>
    <row r="3201" spans="1:57" x14ac:dyDescent="0.25">
      <c r="A3201" s="1" t="str">
        <f>T("1947729097707427192")</f>
        <v>1947729097707427192</v>
      </c>
      <c r="B3201" s="1" t="str">
        <f>T("249969700794")</f>
        <v>249969700794</v>
      </c>
      <c r="C3201" s="1" t="str">
        <f>T("1941094532888136064")</f>
        <v>1941094532888136064</v>
      </c>
      <c r="AC3201" s="1" t="s">
        <v>344</v>
      </c>
      <c r="AD3201" s="1" t="s">
        <v>372</v>
      </c>
      <c r="AE3201" s="1" t="s">
        <v>373</v>
      </c>
      <c r="AF3201" s="1" t="s">
        <v>107</v>
      </c>
      <c r="AG3201" s="1">
        <v>25</v>
      </c>
      <c r="AO3201" s="2">
        <v>46283</v>
      </c>
      <c r="AP3201" s="1" t="s">
        <v>226</v>
      </c>
      <c r="AS3201" s="1" t="s">
        <v>71</v>
      </c>
      <c r="AU3201" s="1" t="s">
        <v>72</v>
      </c>
      <c r="AV3201" s="1" t="s">
        <v>437</v>
      </c>
      <c r="AX3201" s="1">
        <v>0</v>
      </c>
      <c r="BA3201" s="1">
        <v>9</v>
      </c>
      <c r="BB3201" s="1">
        <v>0</v>
      </c>
      <c r="BC3201" s="1">
        <v>0</v>
      </c>
      <c r="BE3201" s="1">
        <v>27559010</v>
      </c>
    </row>
    <row r="3202" spans="1:57" x14ac:dyDescent="0.25">
      <c r="A3202" s="1" t="str">
        <f>T("1947729097736787748")</f>
        <v>1947729097736787748</v>
      </c>
      <c r="B3202" s="1" t="str">
        <f>T("249961753840")</f>
        <v>249961753840</v>
      </c>
      <c r="C3202" s="1" t="str">
        <f>T("1941094532888137064")</f>
        <v>1941094532888137064</v>
      </c>
      <c r="AC3202" s="1" t="s">
        <v>344</v>
      </c>
      <c r="AD3202" s="1" t="s">
        <v>441</v>
      </c>
      <c r="AE3202" s="1" t="s">
        <v>530</v>
      </c>
      <c r="AF3202" s="1" t="s">
        <v>107</v>
      </c>
      <c r="AG3202" s="1">
        <v>54</v>
      </c>
      <c r="AO3202" s="2">
        <v>46283</v>
      </c>
      <c r="AP3202" s="1" t="s">
        <v>226</v>
      </c>
      <c r="AS3202" s="1" t="s">
        <v>71</v>
      </c>
      <c r="AU3202" s="1" t="s">
        <v>72</v>
      </c>
      <c r="AV3202" s="1" t="s">
        <v>437</v>
      </c>
      <c r="AX3202" s="1">
        <v>0</v>
      </c>
      <c r="BA3202" s="1">
        <v>9</v>
      </c>
      <c r="BB3202" s="1">
        <v>0</v>
      </c>
      <c r="BC3202" s="1">
        <v>0</v>
      </c>
      <c r="BE3202" s="1">
        <v>27559010</v>
      </c>
    </row>
    <row r="3203" spans="1:57" x14ac:dyDescent="0.25">
      <c r="A3203" s="1" t="str">
        <f>T("1947729097753564180")</f>
        <v>1947729097753564180</v>
      </c>
      <c r="B3203" s="1" t="str">
        <f>T("249910074109")</f>
        <v>249910074109</v>
      </c>
      <c r="C3203" s="1" t="str">
        <f>T("1941094532888136464")</f>
        <v>1941094532888136464</v>
      </c>
      <c r="AC3203" s="1" t="s">
        <v>344</v>
      </c>
      <c r="AD3203" s="1" t="s">
        <v>430</v>
      </c>
      <c r="AE3203" s="1" t="s">
        <v>530</v>
      </c>
      <c r="AF3203" s="1" t="s">
        <v>144</v>
      </c>
      <c r="AG3203" s="1">
        <v>34</v>
      </c>
      <c r="AO3203" s="2">
        <v>46283</v>
      </c>
      <c r="AP3203" s="1" t="s">
        <v>226</v>
      </c>
      <c r="AS3203" s="1" t="s">
        <v>71</v>
      </c>
      <c r="AU3203" s="1" t="s">
        <v>72</v>
      </c>
      <c r="AV3203" s="1" t="s">
        <v>73</v>
      </c>
      <c r="AX3203" s="1">
        <v>0</v>
      </c>
      <c r="BA3203" s="1">
        <v>9</v>
      </c>
      <c r="BB3203" s="1">
        <v>0</v>
      </c>
      <c r="BC3203" s="1">
        <v>0</v>
      </c>
      <c r="BE3203" s="1">
        <v>27559010</v>
      </c>
    </row>
    <row r="3204" spans="1:57" x14ac:dyDescent="0.25">
      <c r="A3204" s="1" t="str">
        <f>T("1947729097766146704")</f>
        <v>1947729097766146704</v>
      </c>
      <c r="B3204" s="1" t="str">
        <f>T("249925515251")</f>
        <v>249925515251</v>
      </c>
      <c r="C3204" s="1" t="str">
        <f>T("1941094532888137564")</f>
        <v>1941094532888137564</v>
      </c>
      <c r="AA3204" s="1">
        <v>1</v>
      </c>
      <c r="AC3204" s="1" t="s">
        <v>344</v>
      </c>
      <c r="AD3204" s="1" t="s">
        <v>372</v>
      </c>
      <c r="AE3204" s="1" t="s">
        <v>814</v>
      </c>
      <c r="AF3204" s="1" t="s">
        <v>144</v>
      </c>
      <c r="AG3204" s="1">
        <v>35</v>
      </c>
      <c r="AO3204" s="2">
        <v>46283</v>
      </c>
      <c r="AP3204" s="1" t="s">
        <v>226</v>
      </c>
      <c r="AQ3204" s="2">
        <v>46283</v>
      </c>
      <c r="AR3204" s="1" t="s">
        <v>418</v>
      </c>
      <c r="AS3204" s="1" t="s">
        <v>71</v>
      </c>
      <c r="AU3204" s="1" t="s">
        <v>78</v>
      </c>
      <c r="AV3204" s="1" t="s">
        <v>80</v>
      </c>
      <c r="AW3204" s="1">
        <v>135.08000000000001</v>
      </c>
      <c r="AX3204" s="1">
        <v>0</v>
      </c>
      <c r="AZ3204" s="1" t="s">
        <v>81</v>
      </c>
      <c r="BA3204" s="1">
        <v>1</v>
      </c>
      <c r="BB3204" s="1">
        <v>0</v>
      </c>
      <c r="BC3204" s="1">
        <v>0</v>
      </c>
      <c r="BE3204" s="1">
        <v>27559010</v>
      </c>
    </row>
    <row r="3205" spans="1:57" x14ac:dyDescent="0.25">
      <c r="A3205" s="1" t="str">
        <f>T("1947729097799702368")</f>
        <v>1947729097799702368</v>
      </c>
      <c r="B3205" s="1" t="str">
        <f>T("249905877179")</f>
        <v>249905877179</v>
      </c>
      <c r="C3205" s="1" t="str">
        <f>T("1941094532892328172")</f>
        <v>1941094532892328172</v>
      </c>
      <c r="AC3205" s="1" t="s">
        <v>344</v>
      </c>
      <c r="AD3205" s="1" t="s">
        <v>372</v>
      </c>
      <c r="AE3205" s="1" t="s">
        <v>820</v>
      </c>
      <c r="AF3205" s="1" t="s">
        <v>107</v>
      </c>
      <c r="AG3205" s="1">
        <v>20</v>
      </c>
      <c r="AO3205" s="2">
        <v>46283</v>
      </c>
      <c r="AP3205" s="1" t="s">
        <v>226</v>
      </c>
      <c r="AS3205" s="1" t="s">
        <v>71</v>
      </c>
      <c r="AU3205" s="1" t="s">
        <v>72</v>
      </c>
      <c r="AV3205" s="1" t="s">
        <v>437</v>
      </c>
      <c r="AX3205" s="1">
        <v>0</v>
      </c>
      <c r="BA3205" s="1">
        <v>9</v>
      </c>
      <c r="BB3205" s="1">
        <v>0</v>
      </c>
      <c r="BC3205" s="1">
        <v>0</v>
      </c>
      <c r="BE3205" s="1">
        <v>27559010</v>
      </c>
    </row>
    <row r="3206" spans="1:57" x14ac:dyDescent="0.25">
      <c r="A3206" s="1" t="str">
        <f>T("1947729097837449740")</f>
        <v>1947729097837449740</v>
      </c>
      <c r="B3206" s="1" t="str">
        <f>T("249968822481")</f>
        <v>249968822481</v>
      </c>
      <c r="C3206" s="1" t="str">
        <f>T("1941094532892328672")</f>
        <v>1941094532892328672</v>
      </c>
      <c r="AC3206" s="1" t="s">
        <v>344</v>
      </c>
      <c r="AD3206" s="1" t="s">
        <v>372</v>
      </c>
      <c r="AE3206" s="1" t="s">
        <v>815</v>
      </c>
      <c r="AF3206" s="1" t="s">
        <v>144</v>
      </c>
      <c r="AG3206" s="1">
        <v>45</v>
      </c>
      <c r="AO3206" s="2">
        <v>46283</v>
      </c>
      <c r="AP3206" s="1" t="s">
        <v>226</v>
      </c>
      <c r="AS3206" s="1" t="s">
        <v>71</v>
      </c>
      <c r="AU3206" s="1" t="s">
        <v>72</v>
      </c>
      <c r="AV3206" s="1" t="s">
        <v>73</v>
      </c>
      <c r="AX3206" s="1">
        <v>0</v>
      </c>
      <c r="BA3206" s="1">
        <v>9</v>
      </c>
      <c r="BB3206" s="1">
        <v>0</v>
      </c>
      <c r="BC3206" s="1">
        <v>0</v>
      </c>
      <c r="BE3206" s="1">
        <v>27559010</v>
      </c>
    </row>
    <row r="3207" spans="1:57" x14ac:dyDescent="0.25">
      <c r="A3207" s="1" t="str">
        <f>T("1947729097845840156")</f>
        <v>1947729097845840156</v>
      </c>
      <c r="B3207" s="1" t="str">
        <f>T("249966665233")</f>
        <v>249966665233</v>
      </c>
      <c r="C3207" s="1" t="str">
        <f>T("1941094532892328972")</f>
        <v>1941094532892328972</v>
      </c>
      <c r="AC3207" s="1" t="s">
        <v>344</v>
      </c>
      <c r="AD3207" s="1" t="s">
        <v>430</v>
      </c>
      <c r="AE3207" s="1" t="s">
        <v>530</v>
      </c>
      <c r="AF3207" s="1" t="s">
        <v>144</v>
      </c>
      <c r="AG3207" s="1">
        <v>24</v>
      </c>
      <c r="AO3207" s="2">
        <v>46283</v>
      </c>
      <c r="AP3207" s="1" t="s">
        <v>226</v>
      </c>
      <c r="AS3207" s="1" t="s">
        <v>71</v>
      </c>
      <c r="AU3207" s="1" t="s">
        <v>72</v>
      </c>
      <c r="AV3207" s="1" t="s">
        <v>73</v>
      </c>
      <c r="AX3207" s="1">
        <v>0</v>
      </c>
      <c r="BA3207" s="1">
        <v>9</v>
      </c>
      <c r="BB3207" s="1">
        <v>0</v>
      </c>
      <c r="BC3207" s="1">
        <v>0</v>
      </c>
      <c r="BE3207" s="1">
        <v>27559010</v>
      </c>
    </row>
    <row r="3208" spans="1:57" x14ac:dyDescent="0.25">
      <c r="A3208" s="1" t="str">
        <f>T("1947729097879393620")</f>
        <v>1947729097879393620</v>
      </c>
      <c r="B3208" s="1" t="str">
        <f>T("249911169816")</f>
        <v>249911169816</v>
      </c>
      <c r="C3208" s="1" t="str">
        <f>T("1941094532892329372")</f>
        <v>1941094532892329372</v>
      </c>
      <c r="AC3208" s="1" t="s">
        <v>344</v>
      </c>
      <c r="AD3208" s="1" t="s">
        <v>372</v>
      </c>
      <c r="AE3208" s="1" t="s">
        <v>814</v>
      </c>
      <c r="AF3208" s="1" t="s">
        <v>107</v>
      </c>
      <c r="AG3208" s="1">
        <v>58</v>
      </c>
      <c r="AO3208" s="2">
        <v>46283</v>
      </c>
      <c r="AP3208" s="1" t="s">
        <v>226</v>
      </c>
      <c r="AS3208" s="1" t="s">
        <v>71</v>
      </c>
      <c r="AU3208" s="1" t="s">
        <v>72</v>
      </c>
      <c r="AV3208" s="1" t="s">
        <v>437</v>
      </c>
      <c r="AX3208" s="1">
        <v>0</v>
      </c>
      <c r="BA3208" s="1">
        <v>9</v>
      </c>
      <c r="BB3208" s="1">
        <v>0</v>
      </c>
      <c r="BC3208" s="1">
        <v>0</v>
      </c>
      <c r="BE3208" s="1">
        <v>27559010</v>
      </c>
    </row>
    <row r="3209" spans="1:57" x14ac:dyDescent="0.25">
      <c r="A3209" s="1" t="str">
        <f>T("1947729097921336300")</f>
        <v>1947729097921336300</v>
      </c>
      <c r="B3209" s="1" t="str">
        <f>T("249964804617")</f>
        <v>249964804617</v>
      </c>
      <c r="C3209" s="1" t="str">
        <f>T("1941094532892329872")</f>
        <v>1941094532892329872</v>
      </c>
      <c r="AC3209" s="1" t="s">
        <v>344</v>
      </c>
      <c r="AD3209" s="1" t="s">
        <v>441</v>
      </c>
      <c r="AE3209" s="1" t="s">
        <v>530</v>
      </c>
      <c r="AF3209" s="1" t="s">
        <v>107</v>
      </c>
      <c r="AG3209" s="1">
        <v>56</v>
      </c>
      <c r="AO3209" s="2">
        <v>46283</v>
      </c>
      <c r="AP3209" s="1" t="s">
        <v>226</v>
      </c>
      <c r="AS3209" s="1" t="s">
        <v>71</v>
      </c>
      <c r="AU3209" s="1" t="s">
        <v>72</v>
      </c>
      <c r="AV3209" s="1" t="s">
        <v>73</v>
      </c>
      <c r="AX3209" s="1">
        <v>0</v>
      </c>
      <c r="BA3209" s="1">
        <v>9</v>
      </c>
      <c r="BB3209" s="1">
        <v>0</v>
      </c>
      <c r="BC3209" s="1">
        <v>0</v>
      </c>
      <c r="BE3209" s="1">
        <v>27559010</v>
      </c>
    </row>
    <row r="3210" spans="1:57" x14ac:dyDescent="0.25">
      <c r="A3210" s="1" t="str">
        <f>T("1947729097929726516")</f>
        <v>1947729097929726516</v>
      </c>
      <c r="B3210" s="1" t="str">
        <f>T("249914506590")</f>
        <v>249914506590</v>
      </c>
      <c r="C3210" s="1" t="str">
        <f>T("1941094532892330272")</f>
        <v>1941094532892330272</v>
      </c>
      <c r="AC3210" s="1" t="s">
        <v>344</v>
      </c>
      <c r="AD3210" s="1" t="s">
        <v>372</v>
      </c>
      <c r="AE3210" s="1" t="s">
        <v>813</v>
      </c>
      <c r="AF3210" s="1" t="s">
        <v>144</v>
      </c>
      <c r="AG3210" s="1">
        <v>30</v>
      </c>
      <c r="AO3210" s="2">
        <v>46283</v>
      </c>
      <c r="AP3210" s="1" t="s">
        <v>226</v>
      </c>
      <c r="AS3210" s="1" t="s">
        <v>71</v>
      </c>
      <c r="AU3210" s="1" t="s">
        <v>72</v>
      </c>
      <c r="AV3210" s="1" t="s">
        <v>437</v>
      </c>
      <c r="AX3210" s="1">
        <v>0</v>
      </c>
      <c r="BA3210" s="1">
        <v>9</v>
      </c>
      <c r="BB3210" s="1">
        <v>0</v>
      </c>
      <c r="BC3210" s="1">
        <v>0</v>
      </c>
      <c r="BE3210" s="1">
        <v>27559010</v>
      </c>
    </row>
    <row r="3211" spans="1:57" x14ac:dyDescent="0.25">
      <c r="A3211" s="1" t="str">
        <f>T("1947729098261076348")</f>
        <v>1947729098261076348</v>
      </c>
      <c r="B3211" s="1" t="str">
        <f>T("249125125159")</f>
        <v>249125125159</v>
      </c>
      <c r="C3211" s="1" t="str">
        <f>T("1941094532892330672")</f>
        <v>1941094532892330672</v>
      </c>
      <c r="AA3211" s="1">
        <v>1</v>
      </c>
      <c r="AC3211" s="1" t="s">
        <v>344</v>
      </c>
      <c r="AD3211" s="1" t="s">
        <v>372</v>
      </c>
      <c r="AE3211" s="1" t="s">
        <v>820</v>
      </c>
      <c r="AF3211" s="1" t="s">
        <v>107</v>
      </c>
      <c r="AG3211" s="1">
        <v>63</v>
      </c>
      <c r="AO3211" s="2">
        <v>46283</v>
      </c>
      <c r="AP3211" s="1" t="s">
        <v>226</v>
      </c>
      <c r="AQ3211" s="2">
        <v>46284</v>
      </c>
      <c r="AR3211" s="1" t="s">
        <v>576</v>
      </c>
      <c r="AS3211" s="1" t="s">
        <v>71</v>
      </c>
      <c r="AU3211" s="1" t="s">
        <v>79</v>
      </c>
      <c r="AV3211" s="1" t="s">
        <v>80</v>
      </c>
      <c r="AW3211" s="1">
        <v>92.78</v>
      </c>
      <c r="AX3211" s="1">
        <v>0</v>
      </c>
      <c r="AZ3211" s="1" t="s">
        <v>81</v>
      </c>
      <c r="BA3211" s="1">
        <v>4</v>
      </c>
      <c r="BB3211" s="1">
        <v>0</v>
      </c>
      <c r="BC3211" s="1">
        <v>0</v>
      </c>
      <c r="BE3211" s="1">
        <v>27559010</v>
      </c>
    </row>
    <row r="3212" spans="1:57" x14ac:dyDescent="0.25">
      <c r="A3212" s="1" t="str">
        <f>T("1947729098277852780")</f>
        <v>1947729098277852780</v>
      </c>
      <c r="B3212" s="1" t="str">
        <f>T("249908316386")</f>
        <v>249908316386</v>
      </c>
      <c r="C3212" s="1" t="str">
        <f>T("1941094532892331172")</f>
        <v>1941094532892331172</v>
      </c>
      <c r="AC3212" s="1" t="s">
        <v>344</v>
      </c>
      <c r="AD3212" s="1" t="s">
        <v>441</v>
      </c>
      <c r="AE3212" s="1" t="s">
        <v>530</v>
      </c>
      <c r="AF3212" s="1" t="s">
        <v>107</v>
      </c>
      <c r="AG3212" s="1">
        <v>55</v>
      </c>
      <c r="AO3212" s="2">
        <v>46283</v>
      </c>
      <c r="AP3212" s="1" t="s">
        <v>226</v>
      </c>
      <c r="AS3212" s="1" t="s">
        <v>71</v>
      </c>
      <c r="AU3212" s="1" t="s">
        <v>72</v>
      </c>
      <c r="AV3212" s="1" t="s">
        <v>73</v>
      </c>
      <c r="AX3212" s="1">
        <v>0</v>
      </c>
      <c r="BA3212" s="1">
        <v>9</v>
      </c>
      <c r="BB3212" s="1">
        <v>0</v>
      </c>
      <c r="BC3212" s="1">
        <v>0</v>
      </c>
      <c r="BE3212" s="1">
        <v>27559010</v>
      </c>
    </row>
    <row r="3213" spans="1:57" x14ac:dyDescent="0.25">
      <c r="A3213" s="1" t="str">
        <f>T("1947729098307212736")</f>
        <v>1947729098307212736</v>
      </c>
      <c r="B3213" s="1" t="str">
        <f>T("249913787098")</f>
        <v>249913787098</v>
      </c>
      <c r="C3213" s="1" t="str">
        <f>T("1941094532892331672")</f>
        <v>1941094532892331672</v>
      </c>
      <c r="AC3213" s="1" t="s">
        <v>344</v>
      </c>
      <c r="AD3213" s="1" t="s">
        <v>430</v>
      </c>
      <c r="AE3213" s="1" t="s">
        <v>530</v>
      </c>
      <c r="AF3213" s="1" t="s">
        <v>144</v>
      </c>
      <c r="AG3213" s="1">
        <v>75</v>
      </c>
      <c r="AO3213" s="2">
        <v>46283</v>
      </c>
      <c r="AP3213" s="1" t="s">
        <v>226</v>
      </c>
      <c r="AS3213" s="1" t="s">
        <v>71</v>
      </c>
      <c r="AU3213" s="1" t="s">
        <v>72</v>
      </c>
      <c r="AV3213" s="1" t="s">
        <v>437</v>
      </c>
      <c r="AX3213" s="1">
        <v>0</v>
      </c>
      <c r="BA3213" s="1">
        <v>9</v>
      </c>
      <c r="BB3213" s="1">
        <v>0</v>
      </c>
      <c r="BC3213" s="1">
        <v>0</v>
      </c>
      <c r="BE3213" s="1">
        <v>27559010</v>
      </c>
    </row>
    <row r="3214" spans="1:57" x14ac:dyDescent="0.25">
      <c r="A3214" s="1" t="str">
        <f>T("1947729098361740640")</f>
        <v>1947729098361740640</v>
      </c>
      <c r="B3214" s="1" t="str">
        <f>T("249925725780")</f>
        <v>249925725780</v>
      </c>
      <c r="C3214" s="1" t="str">
        <f>T("1941094532896522480")</f>
        <v>1941094532896522480</v>
      </c>
      <c r="M3214" s="1" t="s">
        <v>133</v>
      </c>
      <c r="N3214" s="1" t="s">
        <v>60</v>
      </c>
      <c r="O3214" s="1" t="s">
        <v>65</v>
      </c>
      <c r="P3214" s="1" t="s">
        <v>61</v>
      </c>
      <c r="Q3214" s="1" t="s">
        <v>101</v>
      </c>
      <c r="R3214" s="1" t="s">
        <v>93</v>
      </c>
      <c r="T3214" s="1" t="s">
        <v>95</v>
      </c>
      <c r="U3214" s="1" t="s">
        <v>60</v>
      </c>
      <c r="V3214" s="1" t="s">
        <v>68</v>
      </c>
      <c r="W3214" s="1" t="s">
        <v>60</v>
      </c>
      <c r="X3214" s="1" t="s">
        <v>68</v>
      </c>
      <c r="Y3214" s="1" t="s">
        <v>69</v>
      </c>
      <c r="AA3214" s="1">
        <v>1</v>
      </c>
      <c r="AB3214" s="1">
        <v>1</v>
      </c>
      <c r="AC3214" s="1" t="s">
        <v>344</v>
      </c>
      <c r="AD3214" s="1" t="s">
        <v>372</v>
      </c>
      <c r="AE3214" s="1" t="s">
        <v>814</v>
      </c>
      <c r="AF3214" s="1" t="s">
        <v>144</v>
      </c>
      <c r="AG3214" s="1">
        <v>35</v>
      </c>
      <c r="AO3214" s="2">
        <v>46283</v>
      </c>
      <c r="AP3214" s="1" t="s">
        <v>226</v>
      </c>
      <c r="AQ3214" s="2">
        <v>46283</v>
      </c>
      <c r="AR3214" s="1" t="s">
        <v>883</v>
      </c>
      <c r="AS3214" s="1" t="s">
        <v>71</v>
      </c>
      <c r="AU3214" s="1" t="s">
        <v>78</v>
      </c>
      <c r="AV3214" s="1" t="s">
        <v>80</v>
      </c>
      <c r="AW3214" s="1">
        <v>256.52</v>
      </c>
      <c r="AX3214" s="1">
        <v>0</v>
      </c>
      <c r="AZ3214" s="1" t="s">
        <v>81</v>
      </c>
      <c r="BA3214" s="1">
        <v>1</v>
      </c>
      <c r="BB3214" s="1">
        <v>0</v>
      </c>
      <c r="BC3214" s="1">
        <v>0</v>
      </c>
      <c r="BE3214" s="1">
        <v>27559010</v>
      </c>
    </row>
    <row r="3215" spans="1:57" x14ac:dyDescent="0.25">
      <c r="A3215" s="1" t="str">
        <f>T("1947729098365934548")</f>
        <v>1947729098365934548</v>
      </c>
      <c r="B3215" s="1" t="str">
        <f>T("249906340930")</f>
        <v>249906340930</v>
      </c>
      <c r="C3215" s="1" t="str">
        <f>T("1941094532896523580")</f>
        <v>1941094532896523580</v>
      </c>
      <c r="AC3215" s="1" t="s">
        <v>344</v>
      </c>
      <c r="AD3215" s="1" t="s">
        <v>441</v>
      </c>
      <c r="AE3215" s="1" t="s">
        <v>530</v>
      </c>
      <c r="AF3215" s="1" t="s">
        <v>144</v>
      </c>
      <c r="AG3215" s="1">
        <v>25</v>
      </c>
      <c r="AO3215" s="2">
        <v>46283</v>
      </c>
      <c r="AP3215" s="1" t="s">
        <v>226</v>
      </c>
      <c r="AS3215" s="1" t="s">
        <v>71</v>
      </c>
      <c r="AU3215" s="1" t="s">
        <v>72</v>
      </c>
      <c r="AV3215" s="1" t="s">
        <v>437</v>
      </c>
      <c r="AX3215" s="1">
        <v>0</v>
      </c>
      <c r="BA3215" s="1">
        <v>9</v>
      </c>
      <c r="BB3215" s="1">
        <v>0</v>
      </c>
      <c r="BC3215" s="1">
        <v>0</v>
      </c>
      <c r="BE3215" s="1">
        <v>27559010</v>
      </c>
    </row>
    <row r="3216" spans="1:57" x14ac:dyDescent="0.25">
      <c r="A3216" s="1" t="str">
        <f>T("1947729098370127856")</f>
        <v>1947729098370127856</v>
      </c>
      <c r="B3216" s="1" t="str">
        <f>T("249965251044")</f>
        <v>249965251044</v>
      </c>
      <c r="C3216" s="1" t="str">
        <f>T("1941094532896523080")</f>
        <v>1941094532896523080</v>
      </c>
      <c r="AC3216" s="1" t="s">
        <v>344</v>
      </c>
      <c r="AD3216" s="1" t="s">
        <v>372</v>
      </c>
      <c r="AE3216" s="1" t="s">
        <v>815</v>
      </c>
      <c r="AF3216" s="1" t="s">
        <v>144</v>
      </c>
      <c r="AG3216" s="1">
        <v>38</v>
      </c>
      <c r="AO3216" s="2">
        <v>46283</v>
      </c>
      <c r="AP3216" s="1" t="s">
        <v>226</v>
      </c>
      <c r="AS3216" s="1" t="s">
        <v>71</v>
      </c>
      <c r="AU3216" s="1" t="s">
        <v>72</v>
      </c>
      <c r="AV3216" s="1" t="s">
        <v>437</v>
      </c>
      <c r="AX3216" s="1">
        <v>0</v>
      </c>
      <c r="BA3216" s="1">
        <v>9</v>
      </c>
      <c r="BB3216" s="1">
        <v>0</v>
      </c>
      <c r="BC3216" s="1">
        <v>0</v>
      </c>
      <c r="BE3216" s="1">
        <v>27559010</v>
      </c>
    </row>
    <row r="3217" spans="1:57" x14ac:dyDescent="0.25">
      <c r="A3217" s="1" t="str">
        <f>T("1947729098433042476")</f>
        <v>1947729098433042476</v>
      </c>
      <c r="B3217" s="1" t="str">
        <f>T("249917538554")</f>
        <v>249917538554</v>
      </c>
      <c r="C3217" s="1" t="str">
        <f>T("1941094532896523980")</f>
        <v>1941094532896523980</v>
      </c>
      <c r="AC3217" s="1" t="s">
        <v>344</v>
      </c>
      <c r="AD3217" s="1" t="s">
        <v>441</v>
      </c>
      <c r="AE3217" s="1" t="s">
        <v>530</v>
      </c>
      <c r="AF3217" s="1" t="s">
        <v>107</v>
      </c>
      <c r="AG3217" s="1">
        <v>35</v>
      </c>
      <c r="AO3217" s="2">
        <v>46283</v>
      </c>
      <c r="AP3217" s="1" t="s">
        <v>226</v>
      </c>
      <c r="AS3217" s="1" t="s">
        <v>71</v>
      </c>
      <c r="AU3217" s="1" t="s">
        <v>72</v>
      </c>
      <c r="AV3217" s="1" t="s">
        <v>73</v>
      </c>
      <c r="AX3217" s="1">
        <v>0</v>
      </c>
      <c r="BA3217" s="1">
        <v>9</v>
      </c>
      <c r="BB3217" s="1">
        <v>0</v>
      </c>
      <c r="BC3217" s="1">
        <v>0</v>
      </c>
      <c r="BE3217" s="1">
        <v>27559010</v>
      </c>
    </row>
    <row r="3218" spans="1:57" x14ac:dyDescent="0.25">
      <c r="A3218" s="1" t="str">
        <f>T("1947729098458209224")</f>
        <v>1947729098458209224</v>
      </c>
      <c r="B3218" s="1" t="str">
        <f>T("249915551056")</f>
        <v>249915551056</v>
      </c>
      <c r="C3218" s="1" t="str">
        <f>T("1941094532896524380")</f>
        <v>1941094532896524380</v>
      </c>
      <c r="AC3218" s="1" t="s">
        <v>344</v>
      </c>
      <c r="AD3218" s="1" t="s">
        <v>441</v>
      </c>
      <c r="AE3218" s="1" t="s">
        <v>530</v>
      </c>
      <c r="AF3218" s="1" t="s">
        <v>107</v>
      </c>
      <c r="AG3218" s="1">
        <v>47</v>
      </c>
      <c r="AO3218" s="2">
        <v>46283</v>
      </c>
      <c r="AP3218" s="1" t="s">
        <v>226</v>
      </c>
      <c r="AS3218" s="1" t="s">
        <v>71</v>
      </c>
      <c r="AU3218" s="1" t="s">
        <v>72</v>
      </c>
      <c r="AV3218" s="1" t="s">
        <v>73</v>
      </c>
      <c r="AX3218" s="1">
        <v>0</v>
      </c>
      <c r="BA3218" s="1">
        <v>9</v>
      </c>
      <c r="BB3218" s="1">
        <v>0</v>
      </c>
      <c r="BC3218" s="1">
        <v>0</v>
      </c>
      <c r="BE3218" s="1">
        <v>27559010</v>
      </c>
    </row>
    <row r="3219" spans="1:57" x14ac:dyDescent="0.25">
      <c r="A3219" s="1" t="str">
        <f>T("1947729098462401532")</f>
        <v>1947729098462401532</v>
      </c>
      <c r="B3219" s="1" t="str">
        <f>T("249915521631")</f>
        <v>249915521631</v>
      </c>
      <c r="C3219" s="1" t="str">
        <f>T("1941094532896524780")</f>
        <v>1941094532896524780</v>
      </c>
      <c r="AC3219" s="1" t="s">
        <v>344</v>
      </c>
      <c r="AD3219" s="1" t="s">
        <v>441</v>
      </c>
      <c r="AE3219" s="1" t="s">
        <v>530</v>
      </c>
      <c r="AF3219" s="1" t="s">
        <v>107</v>
      </c>
      <c r="AG3219" s="1">
        <v>36</v>
      </c>
      <c r="AO3219" s="2">
        <v>46283</v>
      </c>
      <c r="AP3219" s="1" t="s">
        <v>226</v>
      </c>
      <c r="AS3219" s="1" t="s">
        <v>71</v>
      </c>
      <c r="AU3219" s="1" t="s">
        <v>72</v>
      </c>
      <c r="AV3219" s="1" t="s">
        <v>73</v>
      </c>
      <c r="AX3219" s="1">
        <v>0</v>
      </c>
      <c r="BA3219" s="1">
        <v>9</v>
      </c>
      <c r="BB3219" s="1">
        <v>0</v>
      </c>
      <c r="BC3219" s="1">
        <v>0</v>
      </c>
      <c r="BE3219" s="1">
        <v>27559010</v>
      </c>
    </row>
    <row r="3220" spans="1:57" x14ac:dyDescent="0.25">
      <c r="A3220" s="1" t="str">
        <f>T("1947729098504347312")</f>
        <v>1947729098504347312</v>
      </c>
      <c r="B3220" s="1" t="str">
        <f>T("249909585637")</f>
        <v>249909585637</v>
      </c>
      <c r="C3220" s="1" t="str">
        <f>T("1941094532896525580")</f>
        <v>1941094532896525580</v>
      </c>
      <c r="AC3220" s="1" t="s">
        <v>344</v>
      </c>
      <c r="AD3220" s="1" t="s">
        <v>430</v>
      </c>
      <c r="AE3220" s="1" t="s">
        <v>530</v>
      </c>
      <c r="AF3220" s="1" t="s">
        <v>107</v>
      </c>
      <c r="AG3220" s="1">
        <v>34</v>
      </c>
      <c r="AO3220" s="2">
        <v>46283</v>
      </c>
      <c r="AP3220" s="1" t="s">
        <v>226</v>
      </c>
      <c r="AS3220" s="1" t="s">
        <v>71</v>
      </c>
      <c r="AU3220" s="1" t="s">
        <v>72</v>
      </c>
      <c r="AV3220" s="1" t="s">
        <v>437</v>
      </c>
      <c r="AX3220" s="1">
        <v>0</v>
      </c>
      <c r="BA3220" s="1">
        <v>9</v>
      </c>
      <c r="BB3220" s="1">
        <v>0</v>
      </c>
      <c r="BC3220" s="1">
        <v>0</v>
      </c>
      <c r="BE3220" s="1">
        <v>27559010</v>
      </c>
    </row>
    <row r="3221" spans="1:57" x14ac:dyDescent="0.25">
      <c r="A3221" s="1" t="str">
        <f>T("1947729098508540820")</f>
        <v>1947729098508540820</v>
      </c>
      <c r="B3221" s="1" t="str">
        <f>T("249122237014")</f>
        <v>249122237014</v>
      </c>
      <c r="C3221" s="1" t="str">
        <f>T("1941094532896525980")</f>
        <v>1941094532896525980</v>
      </c>
      <c r="AC3221" s="1" t="s">
        <v>344</v>
      </c>
      <c r="AD3221" s="1" t="s">
        <v>430</v>
      </c>
      <c r="AE3221" s="1" t="s">
        <v>530</v>
      </c>
      <c r="AF3221" s="1" t="s">
        <v>107</v>
      </c>
      <c r="AG3221" s="1">
        <v>30</v>
      </c>
      <c r="AO3221" s="2">
        <v>46283</v>
      </c>
      <c r="AP3221" s="1" t="s">
        <v>226</v>
      </c>
      <c r="AS3221" s="1" t="s">
        <v>71</v>
      </c>
      <c r="AU3221" s="1" t="s">
        <v>72</v>
      </c>
      <c r="AV3221" s="1" t="s">
        <v>73</v>
      </c>
      <c r="AX3221" s="1">
        <v>0</v>
      </c>
      <c r="BA3221" s="1">
        <v>9</v>
      </c>
      <c r="BB3221" s="1">
        <v>0</v>
      </c>
      <c r="BC3221" s="1">
        <v>0</v>
      </c>
      <c r="BE3221" s="1">
        <v>27559010</v>
      </c>
    </row>
    <row r="3222" spans="1:57" x14ac:dyDescent="0.25">
      <c r="A3222" s="1" t="str">
        <f>T("1947729098533707768")</f>
        <v>1947729098533707768</v>
      </c>
      <c r="B3222" s="1" t="str">
        <f>T("249909225160")</f>
        <v>249909225160</v>
      </c>
      <c r="C3222" s="1" t="str">
        <f>T("1941094532900716688")</f>
        <v>1941094532900716688</v>
      </c>
      <c r="AC3222" s="1" t="s">
        <v>344</v>
      </c>
      <c r="AD3222" s="1" t="s">
        <v>441</v>
      </c>
      <c r="AE3222" s="1" t="s">
        <v>530</v>
      </c>
      <c r="AF3222" s="1" t="s">
        <v>144</v>
      </c>
      <c r="AG3222" s="1">
        <v>30</v>
      </c>
      <c r="AO3222" s="2">
        <v>46283</v>
      </c>
      <c r="AP3222" s="1" t="s">
        <v>226</v>
      </c>
      <c r="AS3222" s="1" t="s">
        <v>71</v>
      </c>
      <c r="AU3222" s="1" t="s">
        <v>72</v>
      </c>
      <c r="AV3222" s="1" t="s">
        <v>126</v>
      </c>
      <c r="AX3222" s="1">
        <v>0</v>
      </c>
      <c r="BA3222" s="1">
        <v>9</v>
      </c>
      <c r="BB3222" s="1">
        <v>0</v>
      </c>
      <c r="BC3222" s="1">
        <v>0</v>
      </c>
      <c r="BE3222" s="1">
        <v>27559010</v>
      </c>
    </row>
    <row r="3223" spans="1:57" x14ac:dyDescent="0.25">
      <c r="A3223" s="1" t="str">
        <f>T("1947729098579842856")</f>
        <v>1947729098579842856</v>
      </c>
      <c r="B3223" s="1" t="str">
        <f>T("249913062398")</f>
        <v>249913062398</v>
      </c>
      <c r="C3223" s="1" t="str">
        <f>T("1941094532900717088")</f>
        <v>1941094532900717088</v>
      </c>
      <c r="AC3223" s="1" t="s">
        <v>344</v>
      </c>
      <c r="AD3223" s="1" t="s">
        <v>430</v>
      </c>
      <c r="AE3223" s="1" t="s">
        <v>530</v>
      </c>
      <c r="AF3223" s="1" t="s">
        <v>107</v>
      </c>
      <c r="AG3223" s="1">
        <v>30</v>
      </c>
      <c r="AO3223" s="2">
        <v>46283</v>
      </c>
      <c r="AP3223" s="1" t="s">
        <v>226</v>
      </c>
      <c r="AS3223" s="1" t="s">
        <v>71</v>
      </c>
      <c r="AU3223" s="1" t="s">
        <v>72</v>
      </c>
      <c r="AV3223" s="1" t="s">
        <v>73</v>
      </c>
      <c r="AX3223" s="1">
        <v>0</v>
      </c>
      <c r="BA3223" s="1">
        <v>9</v>
      </c>
      <c r="BB3223" s="1">
        <v>0</v>
      </c>
      <c r="BC3223" s="1">
        <v>0</v>
      </c>
      <c r="BE3223" s="1">
        <v>27559010</v>
      </c>
    </row>
    <row r="3224" spans="1:57" x14ac:dyDescent="0.25">
      <c r="A3224" s="1" t="str">
        <f>T("1947729098600815996")</f>
        <v>1947729098600815996</v>
      </c>
      <c r="B3224" s="1" t="str">
        <f>T("249912896912")</f>
        <v>249912896912</v>
      </c>
      <c r="C3224" s="1" t="str">
        <f>T("1941094532900717488")</f>
        <v>1941094532900717488</v>
      </c>
      <c r="AC3224" s="1" t="s">
        <v>344</v>
      </c>
      <c r="AD3224" s="1" t="s">
        <v>430</v>
      </c>
      <c r="AE3224" s="1" t="s">
        <v>530</v>
      </c>
      <c r="AF3224" s="1" t="s">
        <v>107</v>
      </c>
      <c r="AG3224" s="1">
        <v>66</v>
      </c>
      <c r="AO3224" s="2">
        <v>46283</v>
      </c>
      <c r="AP3224" s="1" t="s">
        <v>226</v>
      </c>
      <c r="AS3224" s="1" t="s">
        <v>71</v>
      </c>
      <c r="AU3224" s="1" t="s">
        <v>72</v>
      </c>
      <c r="AV3224" s="1" t="s">
        <v>126</v>
      </c>
      <c r="AX3224" s="1">
        <v>0</v>
      </c>
      <c r="BA3224" s="1">
        <v>9</v>
      </c>
      <c r="BB3224" s="1">
        <v>0</v>
      </c>
      <c r="BC3224" s="1">
        <v>0</v>
      </c>
      <c r="BE3224" s="1">
        <v>27559010</v>
      </c>
    </row>
    <row r="3225" spans="1:57" x14ac:dyDescent="0.25">
      <c r="A3225" s="1" t="str">
        <f>T("1947729098605010804")</f>
        <v>1947729098605010804</v>
      </c>
      <c r="B3225" s="1" t="str">
        <f>T("249909467545")</f>
        <v>249909467545</v>
      </c>
      <c r="C3225" s="1" t="str">
        <f>T("1941094532900717988")</f>
        <v>1941094532900717988</v>
      </c>
      <c r="AC3225" s="1" t="s">
        <v>344</v>
      </c>
      <c r="AD3225" s="1" t="s">
        <v>372</v>
      </c>
      <c r="AE3225" s="1" t="s">
        <v>818</v>
      </c>
      <c r="AF3225" s="1" t="s">
        <v>107</v>
      </c>
      <c r="AG3225" s="1">
        <v>52</v>
      </c>
      <c r="AO3225" s="2">
        <v>46283</v>
      </c>
      <c r="AP3225" s="1" t="s">
        <v>226</v>
      </c>
      <c r="AS3225" s="1" t="s">
        <v>71</v>
      </c>
      <c r="AU3225" s="1" t="s">
        <v>75</v>
      </c>
      <c r="AV3225" s="1" t="s">
        <v>590</v>
      </c>
      <c r="AX3225" s="1">
        <v>0</v>
      </c>
      <c r="BA3225" s="1">
        <v>1</v>
      </c>
      <c r="BB3225" s="1">
        <v>0</v>
      </c>
      <c r="BC3225" s="1">
        <v>0</v>
      </c>
      <c r="BE3225" s="1">
        <v>27559010</v>
      </c>
    </row>
    <row r="3226" spans="1:57" x14ac:dyDescent="0.25">
      <c r="A3226" s="1" t="str">
        <f>T("1947729098705670496")</f>
        <v>1947729098705670496</v>
      </c>
      <c r="B3226" s="1" t="str">
        <f>T("249918284689")</f>
        <v>249918284689</v>
      </c>
      <c r="C3226" s="1" t="str">
        <f>T("1941094532900718488")</f>
        <v>1941094532900718488</v>
      </c>
      <c r="AC3226" s="1" t="s">
        <v>344</v>
      </c>
      <c r="AD3226" s="1" t="s">
        <v>430</v>
      </c>
      <c r="AE3226" s="1" t="s">
        <v>530</v>
      </c>
      <c r="AF3226" s="1" t="s">
        <v>107</v>
      </c>
      <c r="AG3226" s="1">
        <v>38</v>
      </c>
      <c r="AO3226" s="2">
        <v>46283</v>
      </c>
      <c r="AP3226" s="1" t="s">
        <v>226</v>
      </c>
      <c r="AS3226" s="1" t="s">
        <v>71</v>
      </c>
      <c r="AU3226" s="1" t="s">
        <v>72</v>
      </c>
      <c r="AV3226" s="1" t="s">
        <v>437</v>
      </c>
      <c r="AX3226" s="1">
        <v>0</v>
      </c>
      <c r="BA3226" s="1">
        <v>9</v>
      </c>
      <c r="BB3226" s="1">
        <v>0</v>
      </c>
      <c r="BC3226" s="1">
        <v>0</v>
      </c>
      <c r="BE3226" s="1">
        <v>27559010</v>
      </c>
    </row>
    <row r="3227" spans="1:57" x14ac:dyDescent="0.25">
      <c r="A3227" s="1" t="str">
        <f>T("1947729098709867404")</f>
        <v>1947729098709867404</v>
      </c>
      <c r="B3227" s="1" t="str">
        <f>T("249968089683")</f>
        <v>249968089683</v>
      </c>
      <c r="C3227" s="1" t="str">
        <f>T("1941094532900719088")</f>
        <v>1941094532900719088</v>
      </c>
      <c r="AC3227" s="1" t="s">
        <v>344</v>
      </c>
      <c r="AD3227" s="1" t="s">
        <v>372</v>
      </c>
      <c r="AE3227" s="1" t="s">
        <v>813</v>
      </c>
      <c r="AF3227" s="1" t="s">
        <v>107</v>
      </c>
      <c r="AG3227" s="1">
        <v>35</v>
      </c>
      <c r="AO3227" s="2">
        <v>46283</v>
      </c>
      <c r="AP3227" s="1" t="s">
        <v>226</v>
      </c>
      <c r="AS3227" s="1" t="s">
        <v>71</v>
      </c>
      <c r="AU3227" s="1" t="s">
        <v>72</v>
      </c>
      <c r="AV3227" s="1" t="s">
        <v>437</v>
      </c>
      <c r="AX3227" s="1">
        <v>0</v>
      </c>
      <c r="BA3227" s="1">
        <v>9</v>
      </c>
      <c r="BB3227" s="1">
        <v>0</v>
      </c>
      <c r="BC3227" s="1">
        <v>0</v>
      </c>
      <c r="BE3227" s="1">
        <v>27559010</v>
      </c>
    </row>
    <row r="3228" spans="1:57" x14ac:dyDescent="0.25">
      <c r="A3228" s="1" t="str">
        <f>T("1947729098714061912")</f>
        <v>1947729098714061912</v>
      </c>
      <c r="B3228" s="1" t="str">
        <f>T("249909474510")</f>
        <v>249909474510</v>
      </c>
      <c r="C3228" s="1" t="str">
        <f>T("1941094532900719588")</f>
        <v>1941094532900719588</v>
      </c>
      <c r="AC3228" s="1" t="s">
        <v>344</v>
      </c>
      <c r="AD3228" s="1" t="s">
        <v>372</v>
      </c>
      <c r="AE3228" s="1" t="s">
        <v>813</v>
      </c>
      <c r="AF3228" s="1" t="s">
        <v>107</v>
      </c>
      <c r="AG3228" s="1">
        <v>45</v>
      </c>
      <c r="AO3228" s="2">
        <v>46283</v>
      </c>
      <c r="AP3228" s="1" t="s">
        <v>226</v>
      </c>
      <c r="AS3228" s="1" t="s">
        <v>71</v>
      </c>
      <c r="AU3228" s="1" t="s">
        <v>72</v>
      </c>
      <c r="AV3228" s="1" t="s">
        <v>73</v>
      </c>
      <c r="AX3228" s="1">
        <v>0</v>
      </c>
      <c r="BA3228" s="1">
        <v>9</v>
      </c>
      <c r="BB3228" s="1">
        <v>0</v>
      </c>
      <c r="BC3228" s="1">
        <v>0</v>
      </c>
      <c r="BE3228" s="1">
        <v>27559010</v>
      </c>
    </row>
    <row r="3229" spans="1:57" x14ac:dyDescent="0.25">
      <c r="A3229" s="1" t="str">
        <f>T("1947729098806334788")</f>
        <v>1947729098806334788</v>
      </c>
      <c r="B3229" s="1" t="str">
        <f>T("249911671904")</f>
        <v>249911671904</v>
      </c>
      <c r="C3229" s="1" t="str">
        <f>T("1941094532900720588")</f>
        <v>1941094532900720588</v>
      </c>
      <c r="AC3229" s="1" t="s">
        <v>344</v>
      </c>
      <c r="AD3229" s="1" t="s">
        <v>372</v>
      </c>
      <c r="AE3229" s="1" t="s">
        <v>373</v>
      </c>
      <c r="AF3229" s="1" t="s">
        <v>144</v>
      </c>
      <c r="AG3229" s="1">
        <v>35</v>
      </c>
      <c r="AO3229" s="2">
        <v>46283</v>
      </c>
      <c r="AP3229" s="1" t="s">
        <v>226</v>
      </c>
      <c r="AS3229" s="1" t="s">
        <v>71</v>
      </c>
      <c r="AU3229" s="1" t="s">
        <v>72</v>
      </c>
      <c r="AV3229" s="1" t="s">
        <v>437</v>
      </c>
      <c r="AX3229" s="1">
        <v>0</v>
      </c>
      <c r="BA3229" s="1">
        <v>9</v>
      </c>
      <c r="BB3229" s="1">
        <v>0</v>
      </c>
      <c r="BC3229" s="1">
        <v>0</v>
      </c>
      <c r="BE3229" s="1">
        <v>27559010</v>
      </c>
    </row>
    <row r="3230" spans="1:57" x14ac:dyDescent="0.25">
      <c r="A3230" s="1" t="str">
        <f>T("1947729098806335188")</f>
        <v>1947729098806335188</v>
      </c>
      <c r="B3230" s="1" t="str">
        <f>T("249966509912")</f>
        <v>249966509912</v>
      </c>
      <c r="C3230" s="1" t="str">
        <f>T("1941094532900720088")</f>
        <v>1941094532900720088</v>
      </c>
      <c r="AC3230" s="1" t="s">
        <v>344</v>
      </c>
      <c r="AD3230" s="1" t="s">
        <v>441</v>
      </c>
      <c r="AE3230" s="1" t="s">
        <v>530</v>
      </c>
      <c r="AF3230" s="1" t="s">
        <v>107</v>
      </c>
      <c r="AG3230" s="1">
        <v>32</v>
      </c>
      <c r="AO3230" s="2">
        <v>46283</v>
      </c>
      <c r="AP3230" s="1" t="s">
        <v>226</v>
      </c>
      <c r="AS3230" s="1" t="s">
        <v>71</v>
      </c>
      <c r="AU3230" s="1" t="s">
        <v>72</v>
      </c>
      <c r="AV3230" s="1" t="s">
        <v>126</v>
      </c>
      <c r="AX3230" s="1">
        <v>0</v>
      </c>
      <c r="BA3230" s="1">
        <v>9</v>
      </c>
      <c r="BB3230" s="1">
        <v>0</v>
      </c>
      <c r="BC3230" s="1">
        <v>0</v>
      </c>
      <c r="BE3230" s="1">
        <v>27559010</v>
      </c>
    </row>
    <row r="3231" spans="1:57" x14ac:dyDescent="0.25">
      <c r="A3231" s="1" t="str">
        <f>T("1947729098814722404")</f>
        <v>1947729098814722404</v>
      </c>
      <c r="B3231" s="1" t="str">
        <f>T("249929377409")</f>
        <v>249929377409</v>
      </c>
      <c r="C3231" s="1" t="str">
        <f>T("1941094532904911296")</f>
        <v>1941094532904911296</v>
      </c>
      <c r="AC3231" s="1" t="s">
        <v>344</v>
      </c>
      <c r="AD3231" s="1" t="s">
        <v>372</v>
      </c>
      <c r="AE3231" s="1" t="s">
        <v>815</v>
      </c>
      <c r="AF3231" s="1" t="s">
        <v>107</v>
      </c>
      <c r="AG3231" s="1">
        <v>67</v>
      </c>
      <c r="AO3231" s="2">
        <v>46283</v>
      </c>
      <c r="AP3231" s="1" t="s">
        <v>226</v>
      </c>
      <c r="AS3231" s="1" t="s">
        <v>71</v>
      </c>
      <c r="AU3231" s="1" t="s">
        <v>72</v>
      </c>
      <c r="AV3231" s="1" t="s">
        <v>131</v>
      </c>
      <c r="AX3231" s="1">
        <v>0</v>
      </c>
      <c r="BA3231" s="1">
        <v>9</v>
      </c>
      <c r="BB3231" s="1">
        <v>0</v>
      </c>
      <c r="BC3231" s="1">
        <v>0</v>
      </c>
      <c r="BE3231" s="1">
        <v>27559010</v>
      </c>
    </row>
    <row r="3232" spans="1:57" x14ac:dyDescent="0.25">
      <c r="A3232" s="1" t="str">
        <f>T("1947729098869248808")</f>
        <v>1947729098869248808</v>
      </c>
      <c r="B3232" s="1" t="str">
        <f>T("249902544985")</f>
        <v>249902544985</v>
      </c>
      <c r="C3232" s="1" t="str">
        <f>T("1941094532909105404")</f>
        <v>1941094532909105404</v>
      </c>
      <c r="AC3232" s="1" t="s">
        <v>344</v>
      </c>
      <c r="AD3232" s="1" t="s">
        <v>357</v>
      </c>
      <c r="AE3232" s="1" t="s">
        <v>812</v>
      </c>
      <c r="AF3232" s="1" t="s">
        <v>107</v>
      </c>
      <c r="AG3232" s="1">
        <v>29</v>
      </c>
      <c r="AO3232" s="2">
        <v>46283</v>
      </c>
      <c r="AP3232" s="1" t="s">
        <v>226</v>
      </c>
      <c r="AS3232" s="1" t="s">
        <v>71</v>
      </c>
      <c r="AU3232" s="1" t="s">
        <v>72</v>
      </c>
      <c r="AV3232" s="1" t="s">
        <v>73</v>
      </c>
      <c r="AX3232" s="1">
        <v>0</v>
      </c>
      <c r="BA3232" s="1">
        <v>9</v>
      </c>
      <c r="BB3232" s="1">
        <v>0</v>
      </c>
      <c r="BC3232" s="1">
        <v>0</v>
      </c>
      <c r="BE3232" s="1">
        <v>27559010</v>
      </c>
    </row>
    <row r="3233" spans="1:57" x14ac:dyDescent="0.25">
      <c r="A3233" s="1" t="str">
        <f>T("1947729098906997680")</f>
        <v>1947729098906997680</v>
      </c>
      <c r="B3233" s="1" t="str">
        <f>T("249917103938")</f>
        <v>249917103938</v>
      </c>
      <c r="C3233" s="1" t="str">
        <f>T("1941094532909106004")</f>
        <v>1941094532909106004</v>
      </c>
      <c r="AC3233" s="1" t="s">
        <v>344</v>
      </c>
      <c r="AD3233" s="1" t="s">
        <v>372</v>
      </c>
      <c r="AE3233" s="1" t="s">
        <v>818</v>
      </c>
      <c r="AF3233" s="1" t="s">
        <v>144</v>
      </c>
      <c r="AG3233" s="1">
        <v>60</v>
      </c>
      <c r="AO3233" s="2">
        <v>46283</v>
      </c>
      <c r="AP3233" s="1" t="s">
        <v>226</v>
      </c>
      <c r="AS3233" s="1" t="s">
        <v>71</v>
      </c>
      <c r="AU3233" s="1" t="s">
        <v>72</v>
      </c>
      <c r="AV3233" s="1" t="s">
        <v>126</v>
      </c>
      <c r="AX3233" s="1">
        <v>0</v>
      </c>
      <c r="BA3233" s="1">
        <v>9</v>
      </c>
      <c r="BB3233" s="1">
        <v>0</v>
      </c>
      <c r="BC3233" s="1">
        <v>0</v>
      </c>
      <c r="BE3233" s="1">
        <v>27559010</v>
      </c>
    </row>
    <row r="3234" spans="1:57" x14ac:dyDescent="0.25">
      <c r="A3234" s="1" t="str">
        <f>T("1947729098906999180")</f>
        <v>1947729098906999180</v>
      </c>
      <c r="B3234" s="1" t="str">
        <f>T("249913152067")</f>
        <v>249913152067</v>
      </c>
      <c r="C3234" s="1" t="str">
        <f>T("1941094532909106504")</f>
        <v>1941094532909106504</v>
      </c>
      <c r="AC3234" s="1" t="s">
        <v>344</v>
      </c>
      <c r="AD3234" s="1" t="s">
        <v>372</v>
      </c>
      <c r="AE3234" s="1" t="s">
        <v>818</v>
      </c>
      <c r="AF3234" s="1" t="s">
        <v>144</v>
      </c>
      <c r="AG3234" s="1">
        <v>45</v>
      </c>
      <c r="AO3234" s="2">
        <v>46283</v>
      </c>
      <c r="AP3234" s="1" t="s">
        <v>226</v>
      </c>
      <c r="AS3234" s="1" t="s">
        <v>71</v>
      </c>
      <c r="AU3234" s="1" t="s">
        <v>72</v>
      </c>
      <c r="AV3234" s="1" t="s">
        <v>437</v>
      </c>
      <c r="AX3234" s="1">
        <v>0</v>
      </c>
      <c r="BA3234" s="1">
        <v>9</v>
      </c>
      <c r="BB3234" s="1">
        <v>0</v>
      </c>
      <c r="BC3234" s="1">
        <v>0</v>
      </c>
      <c r="BE3234" s="1">
        <v>27559010</v>
      </c>
    </row>
    <row r="3235" spans="1:57" x14ac:dyDescent="0.25">
      <c r="A3235" s="1" t="str">
        <f>T("1947729098965718292")</f>
        <v>1947729098965718292</v>
      </c>
      <c r="B3235" s="1" t="str">
        <f>T("249960332946")</f>
        <v>249960332946</v>
      </c>
      <c r="C3235" s="1" t="str">
        <f>T("1941094532909107004")</f>
        <v>1941094532909107004</v>
      </c>
      <c r="AC3235" s="1" t="s">
        <v>344</v>
      </c>
      <c r="AD3235" s="1" t="s">
        <v>430</v>
      </c>
      <c r="AE3235" s="1" t="s">
        <v>530</v>
      </c>
      <c r="AF3235" s="1" t="s">
        <v>144</v>
      </c>
      <c r="AG3235" s="1">
        <v>24</v>
      </c>
      <c r="AO3235" s="2">
        <v>46283</v>
      </c>
      <c r="AP3235" s="1" t="s">
        <v>226</v>
      </c>
      <c r="AS3235" s="1" t="s">
        <v>71</v>
      </c>
      <c r="AU3235" s="1" t="s">
        <v>72</v>
      </c>
      <c r="AV3235" s="1" t="s">
        <v>126</v>
      </c>
      <c r="AX3235" s="1">
        <v>0</v>
      </c>
      <c r="BA3235" s="1">
        <v>9</v>
      </c>
      <c r="BB3235" s="1">
        <v>0</v>
      </c>
      <c r="BC3235" s="1">
        <v>0</v>
      </c>
      <c r="BE3235" s="1">
        <v>27559010</v>
      </c>
    </row>
    <row r="3236" spans="1:57" x14ac:dyDescent="0.25">
      <c r="A3236" s="1" t="str">
        <f>T("1947729098978303516")</f>
        <v>1947729098978303516</v>
      </c>
      <c r="B3236" s="1" t="str">
        <f>T("249902118305")</f>
        <v>249902118305</v>
      </c>
      <c r="C3236" s="1" t="str">
        <f>T("1941094532913300312")</f>
        <v>1941094532913300312</v>
      </c>
      <c r="AC3236" s="1" t="s">
        <v>344</v>
      </c>
      <c r="AD3236" s="1" t="s">
        <v>430</v>
      </c>
      <c r="AE3236" s="1" t="s">
        <v>530</v>
      </c>
      <c r="AF3236" s="1" t="s">
        <v>144</v>
      </c>
      <c r="AG3236" s="1">
        <v>47</v>
      </c>
      <c r="AO3236" s="2">
        <v>46283</v>
      </c>
      <c r="AP3236" s="1" t="s">
        <v>226</v>
      </c>
      <c r="AS3236" s="1" t="s">
        <v>71</v>
      </c>
      <c r="AU3236" s="1" t="s">
        <v>72</v>
      </c>
      <c r="AV3236" s="1" t="s">
        <v>73</v>
      </c>
      <c r="AX3236" s="1">
        <v>0</v>
      </c>
      <c r="BA3236" s="1">
        <v>9</v>
      </c>
      <c r="BB3236" s="1">
        <v>0</v>
      </c>
      <c r="BC3236" s="1">
        <v>0</v>
      </c>
      <c r="BE3236" s="1">
        <v>27559010</v>
      </c>
    </row>
    <row r="3237" spans="1:57" x14ac:dyDescent="0.25">
      <c r="A3237" s="1" t="str">
        <f>T("1947729098978303816")</f>
        <v>1947729098978303816</v>
      </c>
      <c r="B3237" s="1" t="str">
        <f>T("249919940717")</f>
        <v>249919940717</v>
      </c>
      <c r="C3237" s="1" t="str">
        <f>T("1941094532921691428")</f>
        <v>1941094532921691428</v>
      </c>
      <c r="AC3237" s="1" t="s">
        <v>344</v>
      </c>
      <c r="AD3237" s="1" t="s">
        <v>441</v>
      </c>
      <c r="AE3237" s="1" t="s">
        <v>530</v>
      </c>
      <c r="AF3237" s="1" t="s">
        <v>144</v>
      </c>
      <c r="AG3237" s="1">
        <v>45</v>
      </c>
      <c r="AO3237" s="2">
        <v>46283</v>
      </c>
      <c r="AP3237" s="1" t="s">
        <v>226</v>
      </c>
      <c r="AS3237" s="1" t="s">
        <v>71</v>
      </c>
      <c r="AU3237" s="1" t="s">
        <v>72</v>
      </c>
      <c r="AV3237" s="1" t="s">
        <v>126</v>
      </c>
      <c r="AX3237" s="1">
        <v>0</v>
      </c>
      <c r="BA3237" s="1">
        <v>9</v>
      </c>
      <c r="BB3237" s="1">
        <v>0</v>
      </c>
      <c r="BC3237" s="1">
        <v>0</v>
      </c>
      <c r="BE3237" s="1">
        <v>27559010</v>
      </c>
    </row>
    <row r="3238" spans="1:57" x14ac:dyDescent="0.25">
      <c r="A3238" s="1" t="str">
        <f>T("1947729099074769600")</f>
        <v>1947729099074769600</v>
      </c>
      <c r="B3238" s="1" t="str">
        <f>T("249125693593")</f>
        <v>249125693593</v>
      </c>
      <c r="C3238" s="1" t="str">
        <f>T("1941094532921692128")</f>
        <v>1941094532921692128</v>
      </c>
      <c r="AC3238" s="1" t="s">
        <v>344</v>
      </c>
      <c r="AD3238" s="1" t="s">
        <v>441</v>
      </c>
      <c r="AE3238" s="1" t="s">
        <v>530</v>
      </c>
      <c r="AF3238" s="1" t="s">
        <v>144</v>
      </c>
      <c r="AG3238" s="1">
        <v>30</v>
      </c>
      <c r="AO3238" s="2">
        <v>46283</v>
      </c>
      <c r="AP3238" s="1" t="s">
        <v>226</v>
      </c>
      <c r="AQ3238" s="2">
        <v>46283</v>
      </c>
      <c r="AR3238" s="1" t="s">
        <v>389</v>
      </c>
      <c r="AS3238" s="1" t="s">
        <v>71</v>
      </c>
      <c r="AU3238" s="1" t="s">
        <v>79</v>
      </c>
      <c r="AV3238" s="1" t="s">
        <v>80</v>
      </c>
      <c r="AW3238" s="1">
        <v>28.74</v>
      </c>
      <c r="AX3238" s="1">
        <v>0</v>
      </c>
      <c r="AZ3238" s="1" t="s">
        <v>81</v>
      </c>
      <c r="BA3238" s="1">
        <v>1</v>
      </c>
      <c r="BB3238" s="1">
        <v>0</v>
      </c>
      <c r="BC3238" s="1">
        <v>0</v>
      </c>
      <c r="BE3238" s="1">
        <v>27559010</v>
      </c>
    </row>
    <row r="3239" spans="1:57" x14ac:dyDescent="0.25">
      <c r="A3239" s="1" t="str">
        <f>T("1947729099099935448")</f>
        <v>1947729099099935448</v>
      </c>
      <c r="B3239" s="1" t="str">
        <f>T("249964174177")</f>
        <v>249964174177</v>
      </c>
      <c r="C3239" s="1" t="str">
        <f>T("1941094532925882836")</f>
        <v>1941094532925882836</v>
      </c>
      <c r="AC3239" s="1" t="s">
        <v>344</v>
      </c>
      <c r="AD3239" s="1" t="s">
        <v>441</v>
      </c>
      <c r="AE3239" s="1" t="s">
        <v>530</v>
      </c>
      <c r="AF3239" s="1" t="s">
        <v>107</v>
      </c>
      <c r="AG3239" s="1">
        <v>30</v>
      </c>
      <c r="AO3239" s="2">
        <v>46283</v>
      </c>
      <c r="AP3239" s="1" t="s">
        <v>226</v>
      </c>
      <c r="AS3239" s="1" t="s">
        <v>71</v>
      </c>
      <c r="AU3239" s="1" t="s">
        <v>72</v>
      </c>
      <c r="AV3239" s="1" t="s">
        <v>437</v>
      </c>
      <c r="AX3239" s="1">
        <v>0</v>
      </c>
      <c r="BA3239" s="1">
        <v>9</v>
      </c>
      <c r="BB3239" s="1">
        <v>0</v>
      </c>
      <c r="BC3239" s="1">
        <v>0</v>
      </c>
      <c r="BE3239" s="1">
        <v>27559010</v>
      </c>
    </row>
    <row r="3240" spans="1:57" x14ac:dyDescent="0.25">
      <c r="A3240" s="1" t="str">
        <f>T("1947729099108327164")</f>
        <v>1947729099108327164</v>
      </c>
      <c r="B3240" s="1" t="str">
        <f>T("249906082563")</f>
        <v>249906082563</v>
      </c>
      <c r="C3240" s="1" t="str">
        <f>T("1941094532925883236")</f>
        <v>1941094532925883236</v>
      </c>
      <c r="AC3240" s="1" t="s">
        <v>344</v>
      </c>
      <c r="AD3240" s="1" t="s">
        <v>441</v>
      </c>
      <c r="AE3240" s="1" t="s">
        <v>530</v>
      </c>
      <c r="AF3240" s="1" t="s">
        <v>144</v>
      </c>
      <c r="AG3240" s="1">
        <v>45</v>
      </c>
      <c r="AO3240" s="2">
        <v>46283</v>
      </c>
      <c r="AP3240" s="1" t="s">
        <v>226</v>
      </c>
      <c r="AS3240" s="1" t="s">
        <v>71</v>
      </c>
      <c r="AU3240" s="1" t="s">
        <v>72</v>
      </c>
      <c r="AV3240" s="1" t="s">
        <v>126</v>
      </c>
      <c r="AX3240" s="1">
        <v>0</v>
      </c>
      <c r="BA3240" s="1">
        <v>9</v>
      </c>
      <c r="BB3240" s="1">
        <v>0</v>
      </c>
      <c r="BC3240" s="1">
        <v>0</v>
      </c>
      <c r="BE3240" s="1">
        <v>27559010</v>
      </c>
    </row>
    <row r="3241" spans="1:57" x14ac:dyDescent="0.25">
      <c r="A3241" s="1" t="str">
        <f>T("1947729099175432492")</f>
        <v>1947729099175432492</v>
      </c>
      <c r="B3241" s="1" t="str">
        <f>T("249917870685")</f>
        <v>249917870685</v>
      </c>
      <c r="C3241" s="1" t="str">
        <f>T("1941094532925884036")</f>
        <v>1941094532925884036</v>
      </c>
      <c r="AC3241" s="1" t="s">
        <v>344</v>
      </c>
      <c r="AD3241" s="1" t="s">
        <v>856</v>
      </c>
      <c r="AE3241" s="1" t="s">
        <v>857</v>
      </c>
      <c r="AF3241" s="1" t="s">
        <v>107</v>
      </c>
      <c r="AG3241" s="1">
        <v>45</v>
      </c>
      <c r="AO3241" s="2">
        <v>46283</v>
      </c>
      <c r="AP3241" s="1" t="s">
        <v>226</v>
      </c>
      <c r="AS3241" s="1" t="s">
        <v>71</v>
      </c>
      <c r="AU3241" s="1" t="s">
        <v>72</v>
      </c>
      <c r="AV3241" s="1" t="s">
        <v>73</v>
      </c>
      <c r="AX3241" s="1">
        <v>0</v>
      </c>
      <c r="BA3241" s="1">
        <v>9</v>
      </c>
      <c r="BB3241" s="1">
        <v>0</v>
      </c>
      <c r="BC3241" s="1">
        <v>0</v>
      </c>
      <c r="BE3241" s="1">
        <v>27559010</v>
      </c>
    </row>
    <row r="3242" spans="1:57" x14ac:dyDescent="0.25">
      <c r="A3242" s="1" t="str">
        <f>T("1947729099183821008")</f>
        <v>1947729099183821008</v>
      </c>
      <c r="B3242" s="1" t="str">
        <f>T("249965225535")</f>
        <v>249965225535</v>
      </c>
      <c r="C3242" s="1" t="str">
        <f>T("1941094532925884536")</f>
        <v>1941094532925884536</v>
      </c>
      <c r="AC3242" s="1" t="s">
        <v>344</v>
      </c>
      <c r="AD3242" s="1" t="s">
        <v>372</v>
      </c>
      <c r="AE3242" s="1" t="s">
        <v>815</v>
      </c>
      <c r="AF3242" s="1" t="s">
        <v>144</v>
      </c>
      <c r="AG3242" s="1">
        <v>50</v>
      </c>
      <c r="AO3242" s="2">
        <v>46283</v>
      </c>
      <c r="AP3242" s="1" t="s">
        <v>226</v>
      </c>
      <c r="AS3242" s="1" t="s">
        <v>71</v>
      </c>
      <c r="AU3242" s="1" t="s">
        <v>75</v>
      </c>
      <c r="AV3242" s="1" t="s">
        <v>590</v>
      </c>
      <c r="AX3242" s="1">
        <v>0</v>
      </c>
      <c r="BA3242" s="1">
        <v>1</v>
      </c>
      <c r="BB3242" s="1">
        <v>0</v>
      </c>
      <c r="BC3242" s="1">
        <v>0</v>
      </c>
      <c r="BE3242" s="1">
        <v>27559010</v>
      </c>
    </row>
    <row r="3243" spans="1:57" x14ac:dyDescent="0.25">
      <c r="A3243" s="1" t="str">
        <f>T("1947729099192209824")</f>
        <v>1947729099192209824</v>
      </c>
      <c r="B3243" s="1" t="str">
        <f>T("249914022830")</f>
        <v>249914022830</v>
      </c>
      <c r="C3243" s="1" t="str">
        <f>T("1941094532925884936")</f>
        <v>1941094532925884936</v>
      </c>
      <c r="AC3243" s="1" t="s">
        <v>344</v>
      </c>
      <c r="AD3243" s="1" t="s">
        <v>441</v>
      </c>
      <c r="AE3243" s="1" t="s">
        <v>530</v>
      </c>
      <c r="AF3243" s="1" t="s">
        <v>107</v>
      </c>
      <c r="AG3243" s="1">
        <v>56</v>
      </c>
      <c r="AO3243" s="2">
        <v>46283</v>
      </c>
      <c r="AP3243" s="1" t="s">
        <v>226</v>
      </c>
      <c r="AS3243" s="1" t="s">
        <v>71</v>
      </c>
      <c r="AU3243" s="1" t="s">
        <v>72</v>
      </c>
      <c r="AV3243" s="1" t="s">
        <v>437</v>
      </c>
      <c r="AX3243" s="1">
        <v>0</v>
      </c>
      <c r="BA3243" s="1">
        <v>9</v>
      </c>
      <c r="BB3243" s="1">
        <v>0</v>
      </c>
      <c r="BC3243" s="1">
        <v>0</v>
      </c>
      <c r="BE3243" s="1">
        <v>27559010</v>
      </c>
    </row>
    <row r="3244" spans="1:57" x14ac:dyDescent="0.25">
      <c r="A3244" s="1" t="str">
        <f>T("1947729099229961396")</f>
        <v>1947729099229961396</v>
      </c>
      <c r="B3244" s="1" t="str">
        <f>T("249117723001")</f>
        <v>249117723001</v>
      </c>
      <c r="C3244" s="1" t="str">
        <f>T("1941094532925885436")</f>
        <v>1941094532925885436</v>
      </c>
      <c r="AA3244" s="1">
        <v>1</v>
      </c>
      <c r="AC3244" s="1" t="s">
        <v>344</v>
      </c>
      <c r="AD3244" s="1" t="s">
        <v>372</v>
      </c>
      <c r="AE3244" s="1" t="s">
        <v>818</v>
      </c>
      <c r="AF3244" s="1" t="s">
        <v>144</v>
      </c>
      <c r="AG3244" s="1">
        <v>38</v>
      </c>
      <c r="AO3244" s="2">
        <v>46283</v>
      </c>
      <c r="AP3244" s="1" t="s">
        <v>226</v>
      </c>
      <c r="AQ3244" s="2">
        <v>46283</v>
      </c>
      <c r="AR3244" s="1" t="s">
        <v>884</v>
      </c>
      <c r="AS3244" s="1" t="s">
        <v>71</v>
      </c>
      <c r="AU3244" s="1" t="s">
        <v>79</v>
      </c>
      <c r="AV3244" s="1" t="s">
        <v>80</v>
      </c>
      <c r="AW3244" s="1">
        <v>38.619999999999997</v>
      </c>
      <c r="AX3244" s="1">
        <v>0</v>
      </c>
      <c r="AZ3244" s="1" t="s">
        <v>81</v>
      </c>
      <c r="BA3244" s="1">
        <v>1</v>
      </c>
      <c r="BB3244" s="1">
        <v>0</v>
      </c>
      <c r="BC3244" s="1">
        <v>0</v>
      </c>
      <c r="BE3244" s="1">
        <v>27559010</v>
      </c>
    </row>
    <row r="3245" spans="1:57" x14ac:dyDescent="0.25">
      <c r="A3245" s="1" t="str">
        <f>T("1947729099234152504")</f>
        <v>1947729099234152504</v>
      </c>
      <c r="B3245" s="1" t="str">
        <f>T("249967562427")</f>
        <v>249967562427</v>
      </c>
      <c r="C3245" s="1" t="str">
        <f>T("1941094532925885936")</f>
        <v>1941094532925885936</v>
      </c>
      <c r="AC3245" s="1" t="s">
        <v>344</v>
      </c>
      <c r="AD3245" s="1" t="s">
        <v>372</v>
      </c>
      <c r="AE3245" s="1" t="s">
        <v>815</v>
      </c>
      <c r="AF3245" s="1" t="s">
        <v>144</v>
      </c>
      <c r="AG3245" s="1">
        <v>39</v>
      </c>
      <c r="AO3245" s="2">
        <v>46283</v>
      </c>
      <c r="AP3245" s="1" t="s">
        <v>226</v>
      </c>
      <c r="AS3245" s="1" t="s">
        <v>71</v>
      </c>
      <c r="AU3245" s="1" t="s">
        <v>72</v>
      </c>
      <c r="AV3245" s="1" t="s">
        <v>126</v>
      </c>
      <c r="AX3245" s="1">
        <v>0</v>
      </c>
      <c r="BA3245" s="1">
        <v>9</v>
      </c>
      <c r="BB3245" s="1">
        <v>0</v>
      </c>
      <c r="BC3245" s="1">
        <v>0</v>
      </c>
      <c r="BE3245" s="1">
        <v>27559010</v>
      </c>
    </row>
    <row r="3246" spans="1:57" x14ac:dyDescent="0.25">
      <c r="A3246" s="1" t="str">
        <f>T("1947729099246735928")</f>
        <v>1947729099246735928</v>
      </c>
      <c r="B3246" s="1" t="str">
        <f>T("249916263536")</f>
        <v>249916263536</v>
      </c>
      <c r="C3246" s="1" t="str">
        <f>T("1941094532930076744")</f>
        <v>1941094532930076744</v>
      </c>
      <c r="AC3246" s="1" t="s">
        <v>344</v>
      </c>
      <c r="AD3246" s="1" t="s">
        <v>430</v>
      </c>
      <c r="AE3246" s="1" t="s">
        <v>530</v>
      </c>
      <c r="AF3246" s="1" t="s">
        <v>144</v>
      </c>
      <c r="AG3246" s="1">
        <v>27</v>
      </c>
      <c r="AO3246" s="2">
        <v>46283</v>
      </c>
      <c r="AP3246" s="1" t="s">
        <v>226</v>
      </c>
      <c r="AS3246" s="1" t="s">
        <v>71</v>
      </c>
      <c r="AU3246" s="1" t="s">
        <v>72</v>
      </c>
      <c r="AV3246" s="1" t="s">
        <v>73</v>
      </c>
      <c r="AX3246" s="1">
        <v>0</v>
      </c>
      <c r="BA3246" s="1">
        <v>9</v>
      </c>
      <c r="BB3246" s="1">
        <v>0</v>
      </c>
      <c r="BC3246" s="1">
        <v>0</v>
      </c>
      <c r="BE3246" s="1">
        <v>27559010</v>
      </c>
    </row>
    <row r="3247" spans="1:57" x14ac:dyDescent="0.25">
      <c r="A3247" s="1" t="str">
        <f>T("1947729099255125444")</f>
        <v>1947729099255125444</v>
      </c>
      <c r="B3247" s="1" t="str">
        <f>T("249911653353")</f>
        <v>249911653353</v>
      </c>
      <c r="C3247" s="1" t="str">
        <f>T("1941094532930077244")</f>
        <v>1941094532930077244</v>
      </c>
      <c r="AC3247" s="1" t="s">
        <v>344</v>
      </c>
      <c r="AD3247" s="1" t="s">
        <v>441</v>
      </c>
      <c r="AE3247" s="1" t="s">
        <v>530</v>
      </c>
      <c r="AF3247" s="1" t="s">
        <v>107</v>
      </c>
      <c r="AG3247" s="1">
        <v>46</v>
      </c>
      <c r="AO3247" s="2">
        <v>46283</v>
      </c>
      <c r="AP3247" s="1" t="s">
        <v>226</v>
      </c>
      <c r="AS3247" s="1" t="s">
        <v>71</v>
      </c>
      <c r="AU3247" s="1" t="s">
        <v>72</v>
      </c>
      <c r="AV3247" s="1" t="s">
        <v>73</v>
      </c>
      <c r="AX3247" s="1">
        <v>0</v>
      </c>
      <c r="BA3247" s="1">
        <v>9</v>
      </c>
      <c r="BB3247" s="1">
        <v>0</v>
      </c>
      <c r="BC3247" s="1">
        <v>0</v>
      </c>
      <c r="BE3247" s="1">
        <v>27559010</v>
      </c>
    </row>
    <row r="3248" spans="1:57" x14ac:dyDescent="0.25">
      <c r="A3248" s="1" t="str">
        <f>T("1948675838153793488")</f>
        <v>1948675838153793488</v>
      </c>
      <c r="B3248" s="1" t="str">
        <f>T("249918929220")</f>
        <v>249918929220</v>
      </c>
      <c r="C3248" s="1" t="str">
        <f>T("1941094470745327636")</f>
        <v>1941094470745327636</v>
      </c>
      <c r="AC3248" s="1" t="s">
        <v>104</v>
      </c>
      <c r="AD3248" s="1" t="s">
        <v>141</v>
      </c>
      <c r="AE3248" s="1" t="s">
        <v>481</v>
      </c>
      <c r="AF3248" s="1" t="s">
        <v>107</v>
      </c>
      <c r="AO3248" s="2">
        <v>46286</v>
      </c>
      <c r="AP3248" s="1" t="s">
        <v>885</v>
      </c>
      <c r="AS3248" s="1" t="s">
        <v>71</v>
      </c>
      <c r="AU3248" s="1" t="s">
        <v>72</v>
      </c>
      <c r="AV3248" s="1" t="s">
        <v>73</v>
      </c>
      <c r="AX3248" s="1">
        <v>0</v>
      </c>
      <c r="BA3248" s="1">
        <v>9</v>
      </c>
      <c r="BB3248" s="1">
        <v>0</v>
      </c>
      <c r="BC3248" s="1">
        <v>0</v>
      </c>
      <c r="BE3248" s="1">
        <v>27627651</v>
      </c>
    </row>
    <row r="3249" spans="1:57" x14ac:dyDescent="0.25">
      <c r="A3249" s="1" t="str">
        <f>T("1948675838355118972")</f>
        <v>1948675838355118972</v>
      </c>
      <c r="B3249" s="1" t="str">
        <f>T("249129257562")</f>
        <v>249129257562</v>
      </c>
      <c r="C3249" s="1" t="str">
        <f>T("1941094470745328036")</f>
        <v>1941094470745328036</v>
      </c>
      <c r="AC3249" s="1" t="s">
        <v>104</v>
      </c>
      <c r="AD3249" s="1" t="s">
        <v>141</v>
      </c>
      <c r="AE3249" s="1" t="s">
        <v>481</v>
      </c>
      <c r="AF3249" s="1" t="s">
        <v>107</v>
      </c>
      <c r="AO3249" s="2">
        <v>46286</v>
      </c>
      <c r="AP3249" s="1" t="s">
        <v>885</v>
      </c>
      <c r="AS3249" s="1" t="s">
        <v>71</v>
      </c>
      <c r="AU3249" s="1" t="s">
        <v>72</v>
      </c>
      <c r="AV3249" s="1" t="s">
        <v>73</v>
      </c>
      <c r="AX3249" s="1">
        <v>0</v>
      </c>
      <c r="BA3249" s="1">
        <v>9</v>
      </c>
      <c r="BB3249" s="1">
        <v>0</v>
      </c>
      <c r="BC3249" s="1">
        <v>0</v>
      </c>
      <c r="BE3249" s="1">
        <v>27627651</v>
      </c>
    </row>
    <row r="3250" spans="1:57" x14ac:dyDescent="0.25">
      <c r="A3250" s="1" t="str">
        <f>T("1948675838434808124")</f>
        <v>1948675838434808124</v>
      </c>
      <c r="B3250" s="1" t="str">
        <f>T("249913487244")</f>
        <v>249913487244</v>
      </c>
      <c r="C3250" s="1" t="str">
        <f>T("1941094470745328836")</f>
        <v>1941094470745328836</v>
      </c>
      <c r="AC3250" s="1" t="s">
        <v>104</v>
      </c>
      <c r="AD3250" s="1" t="s">
        <v>141</v>
      </c>
      <c r="AE3250" s="1" t="s">
        <v>487</v>
      </c>
      <c r="AF3250" s="1" t="s">
        <v>107</v>
      </c>
      <c r="AO3250" s="2">
        <v>46286</v>
      </c>
      <c r="AP3250" s="1" t="s">
        <v>885</v>
      </c>
      <c r="AS3250" s="1" t="s">
        <v>71</v>
      </c>
      <c r="AU3250" s="1" t="s">
        <v>72</v>
      </c>
      <c r="AV3250" s="1" t="s">
        <v>437</v>
      </c>
      <c r="AX3250" s="1">
        <v>0</v>
      </c>
      <c r="BA3250" s="1">
        <v>9</v>
      </c>
      <c r="BB3250" s="1">
        <v>0</v>
      </c>
      <c r="BC3250" s="1">
        <v>0</v>
      </c>
      <c r="BE3250" s="1">
        <v>27627651</v>
      </c>
    </row>
    <row r="3251" spans="1:57" x14ac:dyDescent="0.25">
      <c r="A3251" s="1" t="str">
        <f>T("1948675838514502976")</f>
        <v>1948675838514502976</v>
      </c>
      <c r="B3251" s="1" t="str">
        <f>T("249128938938")</f>
        <v>249128938938</v>
      </c>
      <c r="C3251" s="1" t="str">
        <f>T("1941094470745329236")</f>
        <v>1941094470745329236</v>
      </c>
      <c r="AC3251" s="1" t="s">
        <v>104</v>
      </c>
      <c r="AD3251" s="1" t="s">
        <v>141</v>
      </c>
      <c r="AE3251" s="1" t="s">
        <v>487</v>
      </c>
      <c r="AF3251" s="1" t="s">
        <v>107</v>
      </c>
      <c r="AO3251" s="2">
        <v>46286</v>
      </c>
      <c r="AP3251" s="1" t="s">
        <v>885</v>
      </c>
      <c r="AS3251" s="1" t="s">
        <v>71</v>
      </c>
      <c r="AU3251" s="1" t="s">
        <v>72</v>
      </c>
      <c r="AV3251" s="1" t="s">
        <v>73</v>
      </c>
      <c r="AX3251" s="1">
        <v>0</v>
      </c>
      <c r="BA3251" s="1">
        <v>9</v>
      </c>
      <c r="BB3251" s="1">
        <v>0</v>
      </c>
      <c r="BC3251" s="1">
        <v>0</v>
      </c>
      <c r="BE3251" s="1">
        <v>27627651</v>
      </c>
    </row>
    <row r="3252" spans="1:57" x14ac:dyDescent="0.25">
      <c r="A3252" s="1" t="str">
        <f>T("1948675838594192328")</f>
        <v>1948675838594192328</v>
      </c>
      <c r="B3252" s="1" t="str">
        <f>T("249122769491")</f>
        <v>249122769491</v>
      </c>
      <c r="C3252" s="1" t="str">
        <f>T("1941094470749521244")</f>
        <v>1941094470749521244</v>
      </c>
      <c r="AC3252" s="1" t="s">
        <v>104</v>
      </c>
      <c r="AD3252" s="1" t="s">
        <v>151</v>
      </c>
      <c r="AE3252" s="1" t="s">
        <v>491</v>
      </c>
      <c r="AF3252" s="1" t="s">
        <v>107</v>
      </c>
      <c r="AO3252" s="2">
        <v>46286</v>
      </c>
      <c r="AP3252" s="1" t="s">
        <v>885</v>
      </c>
      <c r="AS3252" s="1" t="s">
        <v>71</v>
      </c>
      <c r="AU3252" s="1" t="s">
        <v>72</v>
      </c>
      <c r="AV3252" s="1" t="s">
        <v>126</v>
      </c>
      <c r="AX3252" s="1">
        <v>0</v>
      </c>
      <c r="BA3252" s="1">
        <v>9</v>
      </c>
      <c r="BB3252" s="1">
        <v>0</v>
      </c>
      <c r="BC3252" s="1">
        <v>0</v>
      </c>
      <c r="BE3252" s="1">
        <v>27627651</v>
      </c>
    </row>
    <row r="3253" spans="1:57" x14ac:dyDescent="0.25">
      <c r="A3253" s="1" t="str">
        <f>T("1948675838665497464")</f>
        <v>1948675838665497464</v>
      </c>
      <c r="B3253" s="1" t="str">
        <f>T("24911790098")</f>
        <v>24911790098</v>
      </c>
      <c r="C3253" s="1" t="str">
        <f>T("1941094470749522644")</f>
        <v>1941094470749522644</v>
      </c>
      <c r="AC3253" s="1" t="s">
        <v>104</v>
      </c>
      <c r="AD3253" s="1" t="s">
        <v>151</v>
      </c>
      <c r="AE3253" s="1" t="s">
        <v>491</v>
      </c>
      <c r="AF3253" s="1" t="s">
        <v>107</v>
      </c>
      <c r="AO3253" s="2">
        <v>46286</v>
      </c>
      <c r="AP3253" s="1" t="s">
        <v>885</v>
      </c>
      <c r="AS3253" s="1" t="s">
        <v>71</v>
      </c>
      <c r="AU3253" s="1" t="s">
        <v>72</v>
      </c>
      <c r="AV3253" s="1" t="s">
        <v>73</v>
      </c>
      <c r="AX3253" s="1">
        <v>0</v>
      </c>
      <c r="BA3253" s="1">
        <v>9</v>
      </c>
      <c r="BB3253" s="1">
        <v>0</v>
      </c>
      <c r="BC3253" s="1">
        <v>0</v>
      </c>
      <c r="BE3253" s="1">
        <v>27627651</v>
      </c>
    </row>
    <row r="3254" spans="1:57" x14ac:dyDescent="0.25">
      <c r="A3254" s="1" t="str">
        <f>T("1948675838728411084")</f>
        <v>1948675838728411084</v>
      </c>
      <c r="B3254" s="1" t="str">
        <f>T("249118882564")</f>
        <v>249118882564</v>
      </c>
      <c r="C3254" s="1" t="str">
        <f>T("1941094470749523944")</f>
        <v>1941094470749523944</v>
      </c>
      <c r="AC3254" s="1" t="s">
        <v>104</v>
      </c>
      <c r="AD3254" s="1" t="s">
        <v>151</v>
      </c>
      <c r="AE3254" s="1" t="s">
        <v>491</v>
      </c>
      <c r="AF3254" s="1" t="s">
        <v>107</v>
      </c>
      <c r="AO3254" s="2">
        <v>46286</v>
      </c>
      <c r="AP3254" s="1" t="s">
        <v>885</v>
      </c>
      <c r="AS3254" s="1" t="s">
        <v>71</v>
      </c>
      <c r="AU3254" s="1" t="s">
        <v>72</v>
      </c>
      <c r="AV3254" s="1" t="s">
        <v>73</v>
      </c>
      <c r="AX3254" s="1">
        <v>0</v>
      </c>
      <c r="BA3254" s="1">
        <v>9</v>
      </c>
      <c r="BB3254" s="1">
        <v>0</v>
      </c>
      <c r="BC3254" s="1">
        <v>0</v>
      </c>
      <c r="BE3254" s="1">
        <v>27627651</v>
      </c>
    </row>
    <row r="3255" spans="1:57" x14ac:dyDescent="0.25">
      <c r="A3255" s="1" t="str">
        <f>T("1948675838799714420")</f>
        <v>1948675838799714420</v>
      </c>
      <c r="B3255" s="1" t="str">
        <f>T("249904366898")</f>
        <v>249904366898</v>
      </c>
      <c r="C3255" s="1" t="str">
        <f>T("1941094470753714552")</f>
        <v>1941094470753714552</v>
      </c>
      <c r="AC3255" s="1" t="s">
        <v>104</v>
      </c>
      <c r="AD3255" s="1" t="s">
        <v>151</v>
      </c>
      <c r="AE3255" s="1" t="s">
        <v>496</v>
      </c>
      <c r="AF3255" s="1" t="s">
        <v>107</v>
      </c>
      <c r="AO3255" s="2">
        <v>46286</v>
      </c>
      <c r="AP3255" s="1" t="s">
        <v>885</v>
      </c>
      <c r="AS3255" s="1" t="s">
        <v>71</v>
      </c>
      <c r="AU3255" s="1" t="s">
        <v>72</v>
      </c>
      <c r="AV3255" s="1" t="s">
        <v>437</v>
      </c>
      <c r="AX3255" s="1">
        <v>0</v>
      </c>
      <c r="BA3255" s="1">
        <v>9</v>
      </c>
      <c r="BB3255" s="1">
        <v>0</v>
      </c>
      <c r="BC3255" s="1">
        <v>0</v>
      </c>
      <c r="BE3255" s="1">
        <v>27627651</v>
      </c>
    </row>
    <row r="3256" spans="1:57" x14ac:dyDescent="0.25">
      <c r="A3256" s="1" t="str">
        <f>T("1948675838858433532")</f>
        <v>1948675838858433532</v>
      </c>
      <c r="B3256" s="1" t="str">
        <f>T("249996798105")</f>
        <v>249996798105</v>
      </c>
      <c r="C3256" s="1" t="str">
        <f>T("1941094470753714952")</f>
        <v>1941094470753714952</v>
      </c>
      <c r="AC3256" s="1" t="s">
        <v>104</v>
      </c>
      <c r="AD3256" s="1" t="s">
        <v>151</v>
      </c>
      <c r="AE3256" s="1" t="s">
        <v>496</v>
      </c>
      <c r="AF3256" s="1" t="s">
        <v>107</v>
      </c>
      <c r="AO3256" s="2">
        <v>46286</v>
      </c>
      <c r="AP3256" s="1" t="s">
        <v>885</v>
      </c>
      <c r="AS3256" s="1" t="s">
        <v>71</v>
      </c>
      <c r="AU3256" s="1" t="s">
        <v>72</v>
      </c>
      <c r="AV3256" s="1" t="s">
        <v>73</v>
      </c>
      <c r="AX3256" s="1">
        <v>0</v>
      </c>
      <c r="BA3256" s="1">
        <v>9</v>
      </c>
      <c r="BB3256" s="1">
        <v>0</v>
      </c>
      <c r="BC3256" s="1">
        <v>0</v>
      </c>
      <c r="BE3256" s="1">
        <v>27627651</v>
      </c>
    </row>
    <row r="3257" spans="1:57" x14ac:dyDescent="0.25">
      <c r="A3257" s="1" t="str">
        <f>T("1948675838917154144")</f>
        <v>1948675838917154144</v>
      </c>
      <c r="B3257" s="1" t="str">
        <f>T("249915003453")</f>
        <v>249915003453</v>
      </c>
      <c r="C3257" s="1" t="str">
        <f>T("1941094470762103168")</f>
        <v>1941094470762103168</v>
      </c>
      <c r="AC3257" s="1" t="s">
        <v>104</v>
      </c>
      <c r="AD3257" s="1" t="s">
        <v>151</v>
      </c>
      <c r="AE3257" s="1" t="s">
        <v>498</v>
      </c>
      <c r="AF3257" s="1" t="s">
        <v>107</v>
      </c>
      <c r="AO3257" s="2">
        <v>46286</v>
      </c>
      <c r="AP3257" s="1" t="s">
        <v>885</v>
      </c>
      <c r="AS3257" s="1" t="s">
        <v>71</v>
      </c>
      <c r="AU3257" s="1" t="s">
        <v>72</v>
      </c>
      <c r="AV3257" s="1" t="s">
        <v>73</v>
      </c>
      <c r="AX3257" s="1">
        <v>0</v>
      </c>
      <c r="BA3257" s="1">
        <v>9</v>
      </c>
      <c r="BB3257" s="1">
        <v>0</v>
      </c>
      <c r="BC3257" s="1">
        <v>0</v>
      </c>
      <c r="BE3257" s="1">
        <v>27627651</v>
      </c>
    </row>
    <row r="3258" spans="1:57" x14ac:dyDescent="0.25">
      <c r="A3258" s="1" t="str">
        <f>T("1948675838992653888")</f>
        <v>1948675838992653888</v>
      </c>
      <c r="B3258" s="1" t="str">
        <f>T("249915084473")</f>
        <v>249915084473</v>
      </c>
      <c r="C3258" s="1" t="str">
        <f>T("1941094470766298876")</f>
        <v>1941094470766298876</v>
      </c>
      <c r="AC3258" s="1" t="s">
        <v>344</v>
      </c>
      <c r="AD3258" s="1" t="s">
        <v>501</v>
      </c>
      <c r="AE3258" s="1" t="s">
        <v>502</v>
      </c>
      <c r="AF3258" s="1" t="s">
        <v>503</v>
      </c>
      <c r="AG3258" s="1" t="s">
        <v>313</v>
      </c>
      <c r="AO3258" s="2">
        <v>46286</v>
      </c>
      <c r="AP3258" s="1" t="s">
        <v>885</v>
      </c>
      <c r="AS3258" s="1" t="s">
        <v>71</v>
      </c>
      <c r="AU3258" s="1" t="s">
        <v>72</v>
      </c>
      <c r="AV3258" s="1" t="s">
        <v>126</v>
      </c>
      <c r="AX3258" s="1">
        <v>0</v>
      </c>
      <c r="BA3258" s="1">
        <v>9</v>
      </c>
      <c r="BB3258" s="1">
        <v>0</v>
      </c>
      <c r="BC3258" s="1">
        <v>0</v>
      </c>
      <c r="BE3258" s="1">
        <v>27627651</v>
      </c>
    </row>
    <row r="3259" spans="1:57" x14ac:dyDescent="0.25">
      <c r="A3259" s="1" t="str">
        <f>T("1948675839063955624")</f>
        <v>1948675839063955624</v>
      </c>
      <c r="B3259" s="1" t="str">
        <f>T("249914722344")</f>
        <v>249914722344</v>
      </c>
      <c r="C3259" s="1" t="str">
        <f>T("1941094470766299276")</f>
        <v>1941094470766299276</v>
      </c>
      <c r="AC3259" s="1" t="s">
        <v>344</v>
      </c>
      <c r="AD3259" s="1" t="s">
        <v>501</v>
      </c>
      <c r="AE3259" s="1" t="s">
        <v>502</v>
      </c>
      <c r="AF3259" s="1" t="s">
        <v>503</v>
      </c>
      <c r="AG3259" s="1" t="s">
        <v>313</v>
      </c>
      <c r="AO3259" s="2">
        <v>46286</v>
      </c>
      <c r="AP3259" s="1" t="s">
        <v>885</v>
      </c>
      <c r="AS3259" s="1" t="s">
        <v>71</v>
      </c>
      <c r="AU3259" s="1" t="s">
        <v>72</v>
      </c>
      <c r="AV3259" s="1" t="s">
        <v>126</v>
      </c>
      <c r="AX3259" s="1">
        <v>0</v>
      </c>
      <c r="BA3259" s="1">
        <v>9</v>
      </c>
      <c r="BB3259" s="1">
        <v>0</v>
      </c>
      <c r="BC3259" s="1">
        <v>0</v>
      </c>
      <c r="BE3259" s="1">
        <v>27627651</v>
      </c>
    </row>
    <row r="3260" spans="1:57" x14ac:dyDescent="0.25">
      <c r="A3260" s="1" t="str">
        <f>T("1948675839122677336")</f>
        <v>1948675839122677336</v>
      </c>
      <c r="B3260" s="1" t="str">
        <f>T("249113147414")</f>
        <v>249113147414</v>
      </c>
      <c r="C3260" s="1" t="str">
        <f>T("1941094470766299676")</f>
        <v>1941094470766299676</v>
      </c>
      <c r="AC3260" s="1" t="s">
        <v>344</v>
      </c>
      <c r="AD3260" s="1" t="s">
        <v>501</v>
      </c>
      <c r="AE3260" s="1" t="s">
        <v>502</v>
      </c>
      <c r="AF3260" s="1" t="s">
        <v>503</v>
      </c>
      <c r="AG3260" s="1" t="s">
        <v>313</v>
      </c>
      <c r="AO3260" s="2">
        <v>46286</v>
      </c>
      <c r="AP3260" s="1" t="s">
        <v>885</v>
      </c>
      <c r="AS3260" s="1" t="s">
        <v>71</v>
      </c>
      <c r="AU3260" s="1" t="s">
        <v>72</v>
      </c>
      <c r="AV3260" s="1" t="s">
        <v>126</v>
      </c>
      <c r="AX3260" s="1">
        <v>0</v>
      </c>
      <c r="BA3260" s="1">
        <v>9</v>
      </c>
      <c r="BB3260" s="1">
        <v>0</v>
      </c>
      <c r="BC3260" s="1">
        <v>0</v>
      </c>
      <c r="BE3260" s="1">
        <v>27627651</v>
      </c>
    </row>
    <row r="3261" spans="1:57" x14ac:dyDescent="0.25">
      <c r="A3261" s="1" t="str">
        <f>T("1948675839189783664")</f>
        <v>1948675839189783664</v>
      </c>
      <c r="B3261" s="1" t="str">
        <f>T("249901912642")</f>
        <v>249901912642</v>
      </c>
      <c r="C3261" s="1" t="str">
        <f>T("1941094470766300576")</f>
        <v>1941094470766300576</v>
      </c>
      <c r="AC3261" s="1" t="s">
        <v>344</v>
      </c>
      <c r="AD3261" s="1" t="s">
        <v>501</v>
      </c>
      <c r="AE3261" s="1" t="s">
        <v>504</v>
      </c>
      <c r="AF3261" s="1" t="s">
        <v>503</v>
      </c>
      <c r="AG3261" s="1" t="s">
        <v>313</v>
      </c>
      <c r="AO3261" s="2">
        <v>46286</v>
      </c>
      <c r="AP3261" s="1" t="s">
        <v>885</v>
      </c>
      <c r="AS3261" s="1" t="s">
        <v>71</v>
      </c>
      <c r="AU3261" s="1" t="s">
        <v>72</v>
      </c>
      <c r="AV3261" s="1" t="s">
        <v>73</v>
      </c>
      <c r="AX3261" s="1">
        <v>0</v>
      </c>
      <c r="BA3261" s="1">
        <v>9</v>
      </c>
      <c r="BB3261" s="1">
        <v>0</v>
      </c>
      <c r="BC3261" s="1">
        <v>0</v>
      </c>
      <c r="BE3261" s="1">
        <v>27627651</v>
      </c>
    </row>
    <row r="3262" spans="1:57" x14ac:dyDescent="0.25">
      <c r="A3262" s="1" t="str">
        <f>T("1948675839248505976")</f>
        <v>1948675839248505976</v>
      </c>
      <c r="B3262" s="1" t="str">
        <f>T("249915392767")</f>
        <v>249915392767</v>
      </c>
      <c r="C3262" s="1" t="str">
        <f>T("1941094470766300976")</f>
        <v>1941094470766300976</v>
      </c>
      <c r="AC3262" s="1" t="s">
        <v>276</v>
      </c>
      <c r="AD3262" s="1" t="s">
        <v>506</v>
      </c>
      <c r="AE3262" s="1" t="s">
        <v>507</v>
      </c>
      <c r="AF3262" s="1" t="s">
        <v>107</v>
      </c>
      <c r="AO3262" s="2">
        <v>46286</v>
      </c>
      <c r="AP3262" s="1" t="s">
        <v>885</v>
      </c>
      <c r="AS3262" s="1" t="s">
        <v>71</v>
      </c>
      <c r="AU3262" s="1" t="s">
        <v>72</v>
      </c>
      <c r="AV3262" s="1" t="s">
        <v>73</v>
      </c>
      <c r="AX3262" s="1">
        <v>0</v>
      </c>
      <c r="BA3262" s="1">
        <v>9</v>
      </c>
      <c r="BB3262" s="1">
        <v>0</v>
      </c>
      <c r="BC3262" s="1">
        <v>0</v>
      </c>
      <c r="BE3262" s="1">
        <v>27627651</v>
      </c>
    </row>
    <row r="3263" spans="1:57" x14ac:dyDescent="0.25">
      <c r="A3263" s="1" t="str">
        <f>T("1948675839311418396")</f>
        <v>1948675839311418396</v>
      </c>
      <c r="B3263" s="1" t="str">
        <f>T("249903478013")</f>
        <v>249903478013</v>
      </c>
      <c r="C3263" s="1" t="str">
        <f>T("1941094470770491684")</f>
        <v>1941094470770491684</v>
      </c>
      <c r="AC3263" s="1" t="s">
        <v>276</v>
      </c>
      <c r="AD3263" s="1" t="s">
        <v>506</v>
      </c>
      <c r="AE3263" s="1" t="s">
        <v>507</v>
      </c>
      <c r="AF3263" s="1" t="s">
        <v>107</v>
      </c>
      <c r="AO3263" s="2">
        <v>46286</v>
      </c>
      <c r="AP3263" s="1" t="s">
        <v>885</v>
      </c>
      <c r="AS3263" s="1" t="s">
        <v>71</v>
      </c>
      <c r="AU3263" s="1" t="s">
        <v>72</v>
      </c>
      <c r="AV3263" s="1" t="s">
        <v>437</v>
      </c>
      <c r="AX3263" s="1">
        <v>0</v>
      </c>
      <c r="BA3263" s="1">
        <v>9</v>
      </c>
      <c r="BB3263" s="1">
        <v>0</v>
      </c>
      <c r="BC3263" s="1">
        <v>0</v>
      </c>
      <c r="BE3263" s="1">
        <v>27627651</v>
      </c>
    </row>
    <row r="3264" spans="1:57" x14ac:dyDescent="0.25">
      <c r="A3264" s="1" t="str">
        <f>T("1948675839370141508")</f>
        <v>1948675839370141508</v>
      </c>
      <c r="B3264" s="1" t="str">
        <f>T("249961228538")</f>
        <v>249961228538</v>
      </c>
      <c r="C3264" s="1" t="str">
        <f>T("1941094470770492284")</f>
        <v>1941094470770492284</v>
      </c>
      <c r="AC3264" s="1" t="s">
        <v>276</v>
      </c>
      <c r="AD3264" s="1" t="s">
        <v>506</v>
      </c>
      <c r="AE3264" s="1" t="s">
        <v>507</v>
      </c>
      <c r="AF3264" s="1" t="s">
        <v>107</v>
      </c>
      <c r="AO3264" s="2">
        <v>46286</v>
      </c>
      <c r="AP3264" s="1" t="s">
        <v>885</v>
      </c>
      <c r="AS3264" s="1" t="s">
        <v>71</v>
      </c>
      <c r="AU3264" s="1" t="s">
        <v>72</v>
      </c>
      <c r="AV3264" s="1" t="s">
        <v>73</v>
      </c>
      <c r="AX3264" s="1">
        <v>0</v>
      </c>
      <c r="BA3264" s="1">
        <v>9</v>
      </c>
      <c r="BB3264" s="1">
        <v>0</v>
      </c>
      <c r="BC3264" s="1">
        <v>0</v>
      </c>
      <c r="BE3264" s="1">
        <v>27627651</v>
      </c>
    </row>
    <row r="3265" spans="1:57" x14ac:dyDescent="0.25">
      <c r="A3265" s="1" t="str">
        <f>T("1948675839445635152")</f>
        <v>1948675839445635152</v>
      </c>
      <c r="B3265" s="1" t="str">
        <f>T("249911068081")</f>
        <v>249911068081</v>
      </c>
      <c r="C3265" s="1" t="str">
        <f>T("1941094470770493084")</f>
        <v>1941094470770493084</v>
      </c>
      <c r="AC3265" s="1" t="s">
        <v>276</v>
      </c>
      <c r="AD3265" s="1" t="s">
        <v>506</v>
      </c>
      <c r="AE3265" s="1" t="s">
        <v>507</v>
      </c>
      <c r="AF3265" s="1" t="s">
        <v>107</v>
      </c>
      <c r="AO3265" s="2">
        <v>46286</v>
      </c>
      <c r="AP3265" s="1" t="s">
        <v>885</v>
      </c>
      <c r="AS3265" s="1" t="s">
        <v>71</v>
      </c>
      <c r="AU3265" s="1" t="s">
        <v>72</v>
      </c>
      <c r="AV3265" s="1" t="s">
        <v>73</v>
      </c>
      <c r="AX3265" s="1">
        <v>0</v>
      </c>
      <c r="BA3265" s="1">
        <v>9</v>
      </c>
      <c r="BB3265" s="1">
        <v>0</v>
      </c>
      <c r="BC3265" s="1">
        <v>0</v>
      </c>
      <c r="BE3265" s="1">
        <v>27627651</v>
      </c>
    </row>
    <row r="3266" spans="1:57" x14ac:dyDescent="0.25">
      <c r="A3266" s="1" t="str">
        <f>T("1948675839529522212")</f>
        <v>1948675839529522212</v>
      </c>
      <c r="B3266" s="1" t="str">
        <f>T("249917248212")</f>
        <v>249917248212</v>
      </c>
      <c r="C3266" s="1" t="str">
        <f>T("1941094470770493584")</f>
        <v>1941094470770493584</v>
      </c>
      <c r="AC3266" s="1" t="s">
        <v>276</v>
      </c>
      <c r="AD3266" s="1" t="s">
        <v>506</v>
      </c>
      <c r="AE3266" s="1" t="s">
        <v>507</v>
      </c>
      <c r="AF3266" s="1" t="s">
        <v>107</v>
      </c>
      <c r="AO3266" s="2">
        <v>46286</v>
      </c>
      <c r="AP3266" s="1" t="s">
        <v>885</v>
      </c>
      <c r="AS3266" s="1" t="s">
        <v>71</v>
      </c>
      <c r="AU3266" s="1" t="s">
        <v>72</v>
      </c>
      <c r="AV3266" s="1" t="s">
        <v>126</v>
      </c>
      <c r="AX3266" s="1">
        <v>0</v>
      </c>
      <c r="BA3266" s="1">
        <v>9</v>
      </c>
      <c r="BB3266" s="1">
        <v>0</v>
      </c>
      <c r="BC3266" s="1">
        <v>0</v>
      </c>
      <c r="BE3266" s="1">
        <v>27627651</v>
      </c>
    </row>
    <row r="3267" spans="1:57" x14ac:dyDescent="0.25">
      <c r="A3267" s="1" t="str">
        <f>T("1948675839621798288")</f>
        <v>1948675839621798288</v>
      </c>
      <c r="B3267" s="1" t="str">
        <f>T("249963693004")</f>
        <v>249963693004</v>
      </c>
      <c r="C3267" s="1" t="str">
        <f>T("1941094470774686892")</f>
        <v>1941094470774686892</v>
      </c>
      <c r="AC3267" s="1" t="s">
        <v>276</v>
      </c>
      <c r="AD3267" s="1" t="s">
        <v>506</v>
      </c>
      <c r="AE3267" s="1" t="s">
        <v>508</v>
      </c>
      <c r="AF3267" s="1" t="s">
        <v>144</v>
      </c>
      <c r="AO3267" s="2">
        <v>46286</v>
      </c>
      <c r="AP3267" s="1" t="s">
        <v>885</v>
      </c>
      <c r="AS3267" s="1" t="s">
        <v>71</v>
      </c>
      <c r="AU3267" s="1" t="s">
        <v>72</v>
      </c>
      <c r="AV3267" s="1" t="s">
        <v>437</v>
      </c>
      <c r="AX3267" s="1">
        <v>0</v>
      </c>
      <c r="BA3267" s="1">
        <v>9</v>
      </c>
      <c r="BB3267" s="1">
        <v>0</v>
      </c>
      <c r="BC3267" s="1">
        <v>0</v>
      </c>
      <c r="BE3267" s="1">
        <v>27627651</v>
      </c>
    </row>
    <row r="3268" spans="1:57" x14ac:dyDescent="0.25">
      <c r="A3268" s="1" t="str">
        <f>T("1948675839621798888")</f>
        <v>1948675839621798888</v>
      </c>
      <c r="B3268" s="1" t="str">
        <f>T("249912329037")</f>
        <v>249912329037</v>
      </c>
      <c r="C3268" s="1" t="str">
        <f>T("1941094470770493984")</f>
        <v>1941094470770493984</v>
      </c>
      <c r="AC3268" s="1" t="s">
        <v>276</v>
      </c>
      <c r="AD3268" s="1" t="s">
        <v>506</v>
      </c>
      <c r="AE3268" s="1" t="s">
        <v>508</v>
      </c>
      <c r="AF3268" s="1" t="s">
        <v>107</v>
      </c>
      <c r="AO3268" s="2">
        <v>46286</v>
      </c>
      <c r="AP3268" s="1" t="s">
        <v>885</v>
      </c>
      <c r="AS3268" s="1" t="s">
        <v>71</v>
      </c>
      <c r="AU3268" s="1" t="s">
        <v>72</v>
      </c>
      <c r="AV3268" s="1" t="s">
        <v>126</v>
      </c>
      <c r="AX3268" s="1">
        <v>0</v>
      </c>
      <c r="BA3268" s="1">
        <v>9</v>
      </c>
      <c r="BB3268" s="1">
        <v>0</v>
      </c>
      <c r="BC3268" s="1">
        <v>0</v>
      </c>
      <c r="BE3268" s="1">
        <v>27627651</v>
      </c>
    </row>
    <row r="3269" spans="1:57" x14ac:dyDescent="0.25">
      <c r="A3269" s="1" t="str">
        <f>T("1948675839634380812")</f>
        <v>1948675839634380812</v>
      </c>
      <c r="B3269" s="1" t="str">
        <f>T("249914591654")</f>
        <v>249914591654</v>
      </c>
      <c r="C3269" s="1" t="str">
        <f>T("1941094470774688492")</f>
        <v>1941094470774688492</v>
      </c>
      <c r="AC3269" s="1" t="s">
        <v>276</v>
      </c>
      <c r="AD3269" s="1" t="s">
        <v>506</v>
      </c>
      <c r="AE3269" s="1" t="s">
        <v>509</v>
      </c>
      <c r="AF3269" s="1" t="s">
        <v>107</v>
      </c>
      <c r="AO3269" s="2">
        <v>46286</v>
      </c>
      <c r="AP3269" s="1" t="s">
        <v>885</v>
      </c>
      <c r="AS3269" s="1" t="s">
        <v>71</v>
      </c>
      <c r="AU3269" s="1" t="s">
        <v>72</v>
      </c>
      <c r="AV3269" s="1" t="s">
        <v>437</v>
      </c>
      <c r="AX3269" s="1">
        <v>0</v>
      </c>
      <c r="BA3269" s="1">
        <v>9</v>
      </c>
      <c r="BB3269" s="1">
        <v>0</v>
      </c>
      <c r="BC3269" s="1">
        <v>0</v>
      </c>
      <c r="BE3269" s="1">
        <v>27627651</v>
      </c>
    </row>
    <row r="3270" spans="1:57" x14ac:dyDescent="0.25">
      <c r="A3270" s="1" t="str">
        <f>T("1948675839634382812")</f>
        <v>1948675839634382812</v>
      </c>
      <c r="B3270" s="1" t="str">
        <f>T("249915660507")</f>
        <v>249915660507</v>
      </c>
      <c r="C3270" s="1" t="str">
        <f>T("1941094470770494484")</f>
        <v>1941094470770494484</v>
      </c>
      <c r="AC3270" s="1" t="s">
        <v>276</v>
      </c>
      <c r="AD3270" s="1" t="s">
        <v>506</v>
      </c>
      <c r="AE3270" s="1" t="s">
        <v>508</v>
      </c>
      <c r="AF3270" s="1" t="s">
        <v>107</v>
      </c>
      <c r="AO3270" s="2">
        <v>46286</v>
      </c>
      <c r="AP3270" s="1" t="s">
        <v>885</v>
      </c>
      <c r="AS3270" s="1" t="s">
        <v>71</v>
      </c>
      <c r="AU3270" s="1" t="s">
        <v>72</v>
      </c>
      <c r="AV3270" s="1" t="s">
        <v>73</v>
      </c>
      <c r="AX3270" s="1">
        <v>0</v>
      </c>
      <c r="BA3270" s="1">
        <v>9</v>
      </c>
      <c r="BB3270" s="1">
        <v>0</v>
      </c>
      <c r="BC3270" s="1">
        <v>0</v>
      </c>
      <c r="BE3270" s="1">
        <v>27627651</v>
      </c>
    </row>
    <row r="3271" spans="1:57" x14ac:dyDescent="0.25">
      <c r="A3271" s="1" t="str">
        <f>T("1948675839638576920")</f>
        <v>1948675839638576920</v>
      </c>
      <c r="B3271" s="1" t="str">
        <f>T("249916836123")</f>
        <v>249916836123</v>
      </c>
      <c r="C3271" s="1" t="str">
        <f>T("1941094470774687992")</f>
        <v>1941094470774687992</v>
      </c>
      <c r="AC3271" s="1" t="s">
        <v>276</v>
      </c>
      <c r="AD3271" s="1" t="s">
        <v>506</v>
      </c>
      <c r="AE3271" s="1" t="s">
        <v>508</v>
      </c>
      <c r="AF3271" s="1" t="s">
        <v>107</v>
      </c>
      <c r="AO3271" s="2">
        <v>46286</v>
      </c>
      <c r="AP3271" s="1" t="s">
        <v>885</v>
      </c>
      <c r="AS3271" s="1" t="s">
        <v>71</v>
      </c>
      <c r="AU3271" s="1" t="s">
        <v>72</v>
      </c>
      <c r="AV3271" s="1" t="s">
        <v>73</v>
      </c>
      <c r="AX3271" s="1">
        <v>0</v>
      </c>
      <c r="BA3271" s="1">
        <v>9</v>
      </c>
      <c r="BB3271" s="1">
        <v>0</v>
      </c>
      <c r="BC3271" s="1">
        <v>0</v>
      </c>
      <c r="BE3271" s="1">
        <v>27627651</v>
      </c>
    </row>
    <row r="3272" spans="1:57" x14ac:dyDescent="0.25">
      <c r="A3272" s="1" t="str">
        <f>T("1948675839642768828")</f>
        <v>1948675839642768828</v>
      </c>
      <c r="B3272" s="1" t="str">
        <f>T("249912412264")</f>
        <v>249912412264</v>
      </c>
      <c r="C3272" s="1" t="str">
        <f>T("1941094470774687392")</f>
        <v>1941094470774687392</v>
      </c>
      <c r="AC3272" s="1" t="s">
        <v>276</v>
      </c>
      <c r="AD3272" s="1" t="s">
        <v>506</v>
      </c>
      <c r="AE3272" s="1" t="s">
        <v>508</v>
      </c>
      <c r="AF3272" s="1" t="s">
        <v>107</v>
      </c>
      <c r="AO3272" s="2">
        <v>46286</v>
      </c>
      <c r="AP3272" s="1" t="s">
        <v>885</v>
      </c>
      <c r="AS3272" s="1" t="s">
        <v>71</v>
      </c>
      <c r="AU3272" s="1" t="s">
        <v>72</v>
      </c>
      <c r="AV3272" s="1" t="s">
        <v>437</v>
      </c>
      <c r="AX3272" s="1">
        <v>0</v>
      </c>
      <c r="BA3272" s="1">
        <v>9</v>
      </c>
      <c r="BB3272" s="1">
        <v>0</v>
      </c>
      <c r="BC3272" s="1">
        <v>0</v>
      </c>
      <c r="BE3272" s="1">
        <v>27627651</v>
      </c>
    </row>
    <row r="3273" spans="1:57" x14ac:dyDescent="0.25">
      <c r="A3273" s="1" t="str">
        <f>T("1948675839688907516")</f>
        <v>1948675839688907516</v>
      </c>
      <c r="B3273" s="1" t="str">
        <f>T("249919259732")</f>
        <v>249919259732</v>
      </c>
      <c r="C3273" s="1" t="str">
        <f>T("1941094470774689192")</f>
        <v>1941094470774689192</v>
      </c>
      <c r="AC3273" s="1" t="s">
        <v>276</v>
      </c>
      <c r="AD3273" s="1" t="s">
        <v>506</v>
      </c>
      <c r="AE3273" s="1" t="s">
        <v>509</v>
      </c>
      <c r="AF3273" s="1" t="s">
        <v>107</v>
      </c>
      <c r="AO3273" s="2">
        <v>46286</v>
      </c>
      <c r="AP3273" s="1" t="s">
        <v>885</v>
      </c>
      <c r="AS3273" s="1" t="s">
        <v>71</v>
      </c>
      <c r="AU3273" s="1" t="s">
        <v>72</v>
      </c>
      <c r="AV3273" s="1" t="s">
        <v>73</v>
      </c>
      <c r="AX3273" s="1">
        <v>0</v>
      </c>
      <c r="BA3273" s="1">
        <v>9</v>
      </c>
      <c r="BB3273" s="1">
        <v>0</v>
      </c>
      <c r="BC3273" s="1">
        <v>0</v>
      </c>
      <c r="BE3273" s="1">
        <v>27627651</v>
      </c>
    </row>
    <row r="3274" spans="1:57" x14ac:dyDescent="0.25">
      <c r="A3274" s="1" t="str">
        <f>T("1948675839726655588")</f>
        <v>1948675839726655588</v>
      </c>
      <c r="B3274" s="1" t="str">
        <f>T("249966309121")</f>
        <v>249966309121</v>
      </c>
      <c r="C3274" s="1" t="str">
        <f>T("1941094470774689592")</f>
        <v>1941094470774689592</v>
      </c>
      <c r="AC3274" s="1" t="s">
        <v>276</v>
      </c>
      <c r="AD3274" s="1" t="s">
        <v>506</v>
      </c>
      <c r="AE3274" s="1" t="s">
        <v>509</v>
      </c>
      <c r="AF3274" s="1" t="s">
        <v>144</v>
      </c>
      <c r="AO3274" s="2">
        <v>46286</v>
      </c>
      <c r="AP3274" s="1" t="s">
        <v>885</v>
      </c>
      <c r="AS3274" s="1" t="s">
        <v>71</v>
      </c>
      <c r="AU3274" s="1" t="s">
        <v>72</v>
      </c>
      <c r="AV3274" s="1" t="s">
        <v>437</v>
      </c>
      <c r="AX3274" s="1">
        <v>0</v>
      </c>
      <c r="BA3274" s="1">
        <v>9</v>
      </c>
      <c r="BB3274" s="1">
        <v>0</v>
      </c>
      <c r="BC3274" s="1">
        <v>0</v>
      </c>
      <c r="BE3274" s="1">
        <v>27627651</v>
      </c>
    </row>
    <row r="3275" spans="1:57" x14ac:dyDescent="0.25">
      <c r="A3275" s="1" t="str">
        <f>T("1948675839726657488")</f>
        <v>1948675839726657488</v>
      </c>
      <c r="B3275" s="1" t="str">
        <f>T("249915706876")</f>
        <v>249915706876</v>
      </c>
      <c r="C3275" s="1" t="str">
        <f>T("1941094470778881700")</f>
        <v>1941094470778881700</v>
      </c>
      <c r="AC3275" s="1" t="s">
        <v>276</v>
      </c>
      <c r="AD3275" s="1" t="s">
        <v>506</v>
      </c>
      <c r="AE3275" s="1" t="s">
        <v>509</v>
      </c>
      <c r="AF3275" s="1" t="s">
        <v>107</v>
      </c>
      <c r="AO3275" s="2">
        <v>46286</v>
      </c>
      <c r="AP3275" s="1" t="s">
        <v>885</v>
      </c>
      <c r="AS3275" s="1" t="s">
        <v>71</v>
      </c>
      <c r="AU3275" s="1" t="s">
        <v>72</v>
      </c>
      <c r="AV3275" s="1" t="s">
        <v>437</v>
      </c>
      <c r="AX3275" s="1">
        <v>0</v>
      </c>
      <c r="BA3275" s="1">
        <v>9</v>
      </c>
      <c r="BB3275" s="1">
        <v>0</v>
      </c>
      <c r="BC3275" s="1">
        <v>0</v>
      </c>
      <c r="BE3275" s="1">
        <v>27627651</v>
      </c>
    </row>
    <row r="3276" spans="1:57" x14ac:dyDescent="0.25">
      <c r="A3276" s="1" t="str">
        <f>T("1948675839730849596")</f>
        <v>1948675839730849596</v>
      </c>
      <c r="B3276" s="1" t="str">
        <f>T("249916460747")</f>
        <v>249916460747</v>
      </c>
      <c r="C3276" s="1" t="str">
        <f>T("1941094470778882200")</f>
        <v>1941094470778882200</v>
      </c>
      <c r="AC3276" s="1" t="s">
        <v>276</v>
      </c>
      <c r="AD3276" s="1" t="s">
        <v>506</v>
      </c>
      <c r="AE3276" s="1" t="s">
        <v>509</v>
      </c>
      <c r="AF3276" s="1" t="s">
        <v>107</v>
      </c>
      <c r="AO3276" s="2">
        <v>46286</v>
      </c>
      <c r="AP3276" s="1" t="s">
        <v>885</v>
      </c>
      <c r="AS3276" s="1" t="s">
        <v>71</v>
      </c>
      <c r="AU3276" s="1" t="s">
        <v>72</v>
      </c>
      <c r="AV3276" s="1" t="s">
        <v>73</v>
      </c>
      <c r="AX3276" s="1">
        <v>0</v>
      </c>
      <c r="BA3276" s="1">
        <v>9</v>
      </c>
      <c r="BB3276" s="1">
        <v>0</v>
      </c>
      <c r="BC3276" s="1">
        <v>0</v>
      </c>
      <c r="BE3276" s="1">
        <v>27627651</v>
      </c>
    </row>
    <row r="3277" spans="1:57" x14ac:dyDescent="0.25">
      <c r="A3277" s="1" t="str">
        <f>T("1948675839730851196")</f>
        <v>1948675839730851196</v>
      </c>
      <c r="B3277" s="1" t="str">
        <f>T("249903205121")</f>
        <v>249903205121</v>
      </c>
      <c r="C3277" s="1" t="str">
        <f>T("1941094470778882700")</f>
        <v>1941094470778882700</v>
      </c>
      <c r="AC3277" s="1" t="s">
        <v>276</v>
      </c>
      <c r="AD3277" s="1" t="s">
        <v>506</v>
      </c>
      <c r="AE3277" s="1" t="s">
        <v>510</v>
      </c>
      <c r="AF3277" s="1" t="s">
        <v>107</v>
      </c>
      <c r="AO3277" s="2">
        <v>46286</v>
      </c>
      <c r="AP3277" s="1" t="s">
        <v>885</v>
      </c>
      <c r="AS3277" s="1" t="s">
        <v>71</v>
      </c>
      <c r="AU3277" s="1" t="s">
        <v>72</v>
      </c>
      <c r="AV3277" s="1" t="s">
        <v>437</v>
      </c>
      <c r="AX3277" s="1">
        <v>0</v>
      </c>
      <c r="BA3277" s="1">
        <v>9</v>
      </c>
      <c r="BB3277" s="1">
        <v>0</v>
      </c>
      <c r="BC3277" s="1">
        <v>0</v>
      </c>
      <c r="BE3277" s="1">
        <v>27627651</v>
      </c>
    </row>
    <row r="3278" spans="1:57" x14ac:dyDescent="0.25">
      <c r="A3278" s="1" t="str">
        <f>T("1948675839735042904")</f>
        <v>1948675839735042904</v>
      </c>
      <c r="B3278" s="1" t="str">
        <f>T("249964660765")</f>
        <v>249964660765</v>
      </c>
      <c r="C3278" s="1" t="str">
        <f>T("1941094470783074308")</f>
        <v>1941094470783074308</v>
      </c>
      <c r="AC3278" s="1" t="s">
        <v>276</v>
      </c>
      <c r="AD3278" s="1" t="s">
        <v>506</v>
      </c>
      <c r="AE3278" s="1" t="s">
        <v>510</v>
      </c>
      <c r="AF3278" s="1" t="s">
        <v>107</v>
      </c>
      <c r="AO3278" s="2">
        <v>46286</v>
      </c>
      <c r="AP3278" s="1" t="s">
        <v>885</v>
      </c>
      <c r="AS3278" s="1" t="s">
        <v>71</v>
      </c>
      <c r="AU3278" s="1" t="s">
        <v>72</v>
      </c>
      <c r="AV3278" s="1" t="s">
        <v>73</v>
      </c>
      <c r="AX3278" s="1">
        <v>0</v>
      </c>
      <c r="BA3278" s="1">
        <v>9</v>
      </c>
      <c r="BB3278" s="1">
        <v>0</v>
      </c>
      <c r="BC3278" s="1">
        <v>0</v>
      </c>
      <c r="BE3278" s="1">
        <v>27627651</v>
      </c>
    </row>
    <row r="3279" spans="1:57" x14ac:dyDescent="0.25">
      <c r="A3279" s="1" t="str">
        <f>T("1948675839743434220")</f>
        <v>1948675839743434220</v>
      </c>
      <c r="B3279" s="1" t="str">
        <f>T("249961359401")</f>
        <v>249961359401</v>
      </c>
      <c r="C3279" s="1" t="str">
        <f>T("1941094470783074808")</f>
        <v>1941094470783074808</v>
      </c>
      <c r="AC3279" s="1" t="s">
        <v>276</v>
      </c>
      <c r="AD3279" s="1" t="s">
        <v>506</v>
      </c>
      <c r="AE3279" s="1" t="s">
        <v>510</v>
      </c>
      <c r="AF3279" s="1" t="s">
        <v>107</v>
      </c>
      <c r="AO3279" s="2">
        <v>46286</v>
      </c>
      <c r="AP3279" s="1" t="s">
        <v>885</v>
      </c>
      <c r="AS3279" s="1" t="s">
        <v>71</v>
      </c>
      <c r="AU3279" s="1" t="s">
        <v>72</v>
      </c>
      <c r="AV3279" s="1" t="s">
        <v>437</v>
      </c>
      <c r="AX3279" s="1">
        <v>0</v>
      </c>
      <c r="BA3279" s="1">
        <v>9</v>
      </c>
      <c r="BB3279" s="1">
        <v>0</v>
      </c>
      <c r="BC3279" s="1">
        <v>0</v>
      </c>
      <c r="BE3279" s="1">
        <v>27627651</v>
      </c>
    </row>
    <row r="3280" spans="1:57" x14ac:dyDescent="0.25">
      <c r="A3280" s="1" t="str">
        <f>T("1948675839781182592")</f>
        <v>1948675839781182592</v>
      </c>
      <c r="B3280" s="1" t="str">
        <f>T("249969025224")</f>
        <v>249969025224</v>
      </c>
      <c r="C3280" s="1" t="str">
        <f>T("1941094470783076108")</f>
        <v>1941094470783076108</v>
      </c>
      <c r="AC3280" s="1" t="s">
        <v>276</v>
      </c>
      <c r="AD3280" s="1" t="s">
        <v>506</v>
      </c>
      <c r="AE3280" s="1" t="s">
        <v>510</v>
      </c>
      <c r="AF3280" s="1" t="s">
        <v>107</v>
      </c>
      <c r="AO3280" s="2">
        <v>46286</v>
      </c>
      <c r="AP3280" s="1" t="s">
        <v>885</v>
      </c>
      <c r="AS3280" s="1" t="s">
        <v>71</v>
      </c>
      <c r="AU3280" s="1" t="s">
        <v>72</v>
      </c>
      <c r="AV3280" s="1" t="s">
        <v>126</v>
      </c>
      <c r="AX3280" s="1">
        <v>0</v>
      </c>
      <c r="BA3280" s="1">
        <v>9</v>
      </c>
      <c r="BB3280" s="1">
        <v>0</v>
      </c>
      <c r="BC3280" s="1">
        <v>0</v>
      </c>
      <c r="BE3280" s="1">
        <v>27627651</v>
      </c>
    </row>
    <row r="3281" spans="1:57" x14ac:dyDescent="0.25">
      <c r="A3281" s="1" t="str">
        <f>T("1948675839802153732")</f>
        <v>1948675839802153732</v>
      </c>
      <c r="B3281" s="1" t="str">
        <f>T("249913201641")</f>
        <v>249913201641</v>
      </c>
      <c r="C3281" s="1" t="str">
        <f>T("1941094470787268816")</f>
        <v>1941094470787268816</v>
      </c>
      <c r="AC3281" s="1" t="s">
        <v>276</v>
      </c>
      <c r="AD3281" s="1" t="s">
        <v>298</v>
      </c>
      <c r="AE3281" s="1" t="s">
        <v>511</v>
      </c>
      <c r="AF3281" s="1" t="s">
        <v>107</v>
      </c>
      <c r="AO3281" s="2">
        <v>46286</v>
      </c>
      <c r="AP3281" s="1" t="s">
        <v>885</v>
      </c>
      <c r="AS3281" s="1" t="s">
        <v>71</v>
      </c>
      <c r="AU3281" s="1" t="s">
        <v>72</v>
      </c>
      <c r="AV3281" s="1" t="s">
        <v>73</v>
      </c>
      <c r="AX3281" s="1">
        <v>0</v>
      </c>
      <c r="BA3281" s="1">
        <v>9</v>
      </c>
      <c r="BB3281" s="1">
        <v>0</v>
      </c>
      <c r="BC3281" s="1">
        <v>0</v>
      </c>
      <c r="BE3281" s="1">
        <v>27627651</v>
      </c>
    </row>
    <row r="3282" spans="1:57" x14ac:dyDescent="0.25">
      <c r="A3282" s="1" t="str">
        <f>T("1948675839802153832")</f>
        <v>1948675839802153832</v>
      </c>
      <c r="B3282" s="1" t="str">
        <f>T("249917786990")</f>
        <v>249917786990</v>
      </c>
      <c r="C3282" s="1" t="str">
        <f>T("1941094470783076608")</f>
        <v>1941094470783076608</v>
      </c>
      <c r="AC3282" s="1" t="s">
        <v>276</v>
      </c>
      <c r="AD3282" s="1" t="s">
        <v>298</v>
      </c>
      <c r="AE3282" s="1" t="s">
        <v>511</v>
      </c>
      <c r="AF3282" s="1" t="s">
        <v>107</v>
      </c>
      <c r="AO3282" s="2">
        <v>46286</v>
      </c>
      <c r="AP3282" s="1" t="s">
        <v>885</v>
      </c>
      <c r="AS3282" s="1" t="s">
        <v>71</v>
      </c>
      <c r="AU3282" s="1" t="s">
        <v>72</v>
      </c>
      <c r="AV3282" s="1" t="s">
        <v>437</v>
      </c>
      <c r="AX3282" s="1">
        <v>0</v>
      </c>
      <c r="BA3282" s="1">
        <v>9</v>
      </c>
      <c r="BB3282" s="1">
        <v>0</v>
      </c>
      <c r="BC3282" s="1">
        <v>0</v>
      </c>
      <c r="BE3282" s="1">
        <v>27627651</v>
      </c>
    </row>
    <row r="3283" spans="1:57" x14ac:dyDescent="0.25">
      <c r="A3283" s="1" t="str">
        <f>T("1948675839806347440")</f>
        <v>1948675839806347440</v>
      </c>
      <c r="B3283" s="1" t="str">
        <f>T("249916651253")</f>
        <v>249916651253</v>
      </c>
      <c r="C3283" s="1" t="str">
        <f>T("1941094470783077908")</f>
        <v>1941094470783077908</v>
      </c>
      <c r="AC3283" s="1" t="s">
        <v>276</v>
      </c>
      <c r="AD3283" s="1" t="s">
        <v>298</v>
      </c>
      <c r="AE3283" s="1" t="s">
        <v>511</v>
      </c>
      <c r="AF3283" s="1" t="s">
        <v>107</v>
      </c>
      <c r="AO3283" s="2">
        <v>46286</v>
      </c>
      <c r="AP3283" s="1" t="s">
        <v>885</v>
      </c>
      <c r="AS3283" s="1" t="s">
        <v>71</v>
      </c>
      <c r="AU3283" s="1" t="s">
        <v>72</v>
      </c>
      <c r="AV3283" s="1" t="s">
        <v>126</v>
      </c>
      <c r="AX3283" s="1">
        <v>0</v>
      </c>
      <c r="BA3283" s="1">
        <v>9</v>
      </c>
      <c r="BB3283" s="1">
        <v>0</v>
      </c>
      <c r="BC3283" s="1">
        <v>0</v>
      </c>
      <c r="BE3283" s="1">
        <v>27627651</v>
      </c>
    </row>
    <row r="3284" spans="1:57" x14ac:dyDescent="0.25">
      <c r="A3284" s="1" t="str">
        <f>T("1948675839810542448")</f>
        <v>1948675839810542448</v>
      </c>
      <c r="B3284" s="1" t="str">
        <f>T("249915930007")</f>
        <v>249915930007</v>
      </c>
      <c r="C3284" s="1" t="str">
        <f>T("1941094470783075508")</f>
        <v>1941094470783075508</v>
      </c>
      <c r="AC3284" s="1" t="s">
        <v>276</v>
      </c>
      <c r="AD3284" s="1" t="s">
        <v>506</v>
      </c>
      <c r="AE3284" s="1" t="s">
        <v>510</v>
      </c>
      <c r="AF3284" s="1" t="s">
        <v>107</v>
      </c>
      <c r="AO3284" s="2">
        <v>46286</v>
      </c>
      <c r="AP3284" s="1" t="s">
        <v>885</v>
      </c>
      <c r="AS3284" s="1" t="s">
        <v>71</v>
      </c>
      <c r="AU3284" s="1" t="s">
        <v>72</v>
      </c>
      <c r="AV3284" s="1" t="s">
        <v>437</v>
      </c>
      <c r="AX3284" s="1">
        <v>0</v>
      </c>
      <c r="BA3284" s="1">
        <v>9</v>
      </c>
      <c r="BB3284" s="1">
        <v>0</v>
      </c>
      <c r="BC3284" s="1">
        <v>0</v>
      </c>
      <c r="BE3284" s="1">
        <v>27627651</v>
      </c>
    </row>
    <row r="3285" spans="1:57" x14ac:dyDescent="0.25">
      <c r="A3285" s="1" t="str">
        <f>T("1948675839907011432")</f>
        <v>1948675839907011432</v>
      </c>
      <c r="B3285" s="1" t="str">
        <f>T("249919484900")</f>
        <v>249919484900</v>
      </c>
      <c r="C3285" s="1" t="str">
        <f>T("1941094470787271516")</f>
        <v>1941094470787271516</v>
      </c>
      <c r="AC3285" s="1" t="s">
        <v>276</v>
      </c>
      <c r="AD3285" s="1" t="s">
        <v>298</v>
      </c>
      <c r="AE3285" s="1" t="s">
        <v>511</v>
      </c>
      <c r="AF3285" s="1" t="s">
        <v>107</v>
      </c>
      <c r="AO3285" s="2">
        <v>46286</v>
      </c>
      <c r="AP3285" s="1" t="s">
        <v>885</v>
      </c>
      <c r="AS3285" s="1" t="s">
        <v>71</v>
      </c>
      <c r="AU3285" s="1" t="s">
        <v>72</v>
      </c>
      <c r="AV3285" s="1" t="s">
        <v>73</v>
      </c>
      <c r="AX3285" s="1">
        <v>0</v>
      </c>
      <c r="BA3285" s="1">
        <v>9</v>
      </c>
      <c r="BB3285" s="1">
        <v>0</v>
      </c>
      <c r="BC3285" s="1">
        <v>0</v>
      </c>
      <c r="BE3285" s="1">
        <v>27627651</v>
      </c>
    </row>
    <row r="3286" spans="1:57" x14ac:dyDescent="0.25">
      <c r="A3286" s="1" t="str">
        <f>T("1948675839936370188")</f>
        <v>1948675839936370188</v>
      </c>
      <c r="B3286" s="1" t="str">
        <f>T("249910373671")</f>
        <v>249910373671</v>
      </c>
      <c r="C3286" s="1" t="str">
        <f>T("1941094470795660132")</f>
        <v>1941094470795660132</v>
      </c>
      <c r="AC3286" s="1" t="s">
        <v>276</v>
      </c>
      <c r="AD3286" s="1" t="s">
        <v>298</v>
      </c>
      <c r="AE3286" s="1" t="s">
        <v>512</v>
      </c>
      <c r="AF3286" s="1" t="s">
        <v>107</v>
      </c>
      <c r="AO3286" s="2">
        <v>46286</v>
      </c>
      <c r="AP3286" s="1" t="s">
        <v>885</v>
      </c>
      <c r="AS3286" s="1" t="s">
        <v>71</v>
      </c>
      <c r="AU3286" s="1" t="s">
        <v>72</v>
      </c>
      <c r="AV3286" s="1" t="s">
        <v>437</v>
      </c>
      <c r="AX3286" s="1">
        <v>0</v>
      </c>
      <c r="BA3286" s="1">
        <v>9</v>
      </c>
      <c r="BB3286" s="1">
        <v>0</v>
      </c>
      <c r="BC3286" s="1">
        <v>0</v>
      </c>
      <c r="BE3286" s="1">
        <v>27627651</v>
      </c>
    </row>
    <row r="3287" spans="1:57" x14ac:dyDescent="0.25">
      <c r="A3287" s="1" t="str">
        <f>T("1948675839936370588")</f>
        <v>1948675839936370588</v>
      </c>
      <c r="B3287" s="1" t="str">
        <f>T("249188272957")</f>
        <v>249188272957</v>
      </c>
      <c r="C3287" s="1" t="str">
        <f>T("1941094470795658432")</f>
        <v>1941094470795658432</v>
      </c>
      <c r="AC3287" s="1" t="s">
        <v>276</v>
      </c>
      <c r="AD3287" s="1" t="s">
        <v>298</v>
      </c>
      <c r="AE3287" s="1" t="s">
        <v>511</v>
      </c>
      <c r="AF3287" s="1" t="s">
        <v>107</v>
      </c>
      <c r="AO3287" s="2">
        <v>46286</v>
      </c>
      <c r="AP3287" s="1" t="s">
        <v>885</v>
      </c>
      <c r="AS3287" s="1" t="s">
        <v>71</v>
      </c>
      <c r="AU3287" s="1" t="s">
        <v>72</v>
      </c>
      <c r="AV3287" s="1" t="s">
        <v>336</v>
      </c>
      <c r="AX3287" s="1">
        <v>0</v>
      </c>
      <c r="BA3287" s="1">
        <v>1</v>
      </c>
      <c r="BB3287" s="1">
        <v>0</v>
      </c>
      <c r="BC3287" s="1">
        <v>0</v>
      </c>
      <c r="BE3287" s="1">
        <v>27627651</v>
      </c>
    </row>
    <row r="3288" spans="1:57" x14ac:dyDescent="0.25">
      <c r="A3288" s="1" t="str">
        <f>T("1948675839936370888")</f>
        <v>1948675839936370888</v>
      </c>
      <c r="B3288" s="1" t="str">
        <f>T("249961703036")</f>
        <v>249961703036</v>
      </c>
      <c r="C3288" s="1" t="str">
        <f>T("1941094470799852240")</f>
        <v>1941094470799852240</v>
      </c>
      <c r="AC3288" s="1" t="s">
        <v>276</v>
      </c>
      <c r="AD3288" s="1" t="s">
        <v>298</v>
      </c>
      <c r="AE3288" s="1" t="s">
        <v>512</v>
      </c>
      <c r="AF3288" s="1" t="s">
        <v>144</v>
      </c>
      <c r="AO3288" s="2">
        <v>46286</v>
      </c>
      <c r="AP3288" s="1" t="s">
        <v>885</v>
      </c>
      <c r="AS3288" s="1" t="s">
        <v>71</v>
      </c>
      <c r="AU3288" s="1" t="s">
        <v>72</v>
      </c>
      <c r="AV3288" s="1" t="s">
        <v>73</v>
      </c>
      <c r="AX3288" s="1">
        <v>0</v>
      </c>
      <c r="BA3288" s="1">
        <v>9</v>
      </c>
      <c r="BB3288" s="1">
        <v>0</v>
      </c>
      <c r="BC3288" s="1">
        <v>0</v>
      </c>
      <c r="BE3288" s="1">
        <v>27627651</v>
      </c>
    </row>
    <row r="3289" spans="1:57" x14ac:dyDescent="0.25">
      <c r="A3289" s="1" t="str">
        <f>T("1948675839940563296")</f>
        <v>1948675839940563296</v>
      </c>
      <c r="B3289" s="1" t="str">
        <f>T("249918116930")</f>
        <v>249918116930</v>
      </c>
      <c r="C3289" s="1" t="str">
        <f>T("1941094470795660632")</f>
        <v>1941094470795660632</v>
      </c>
      <c r="AC3289" s="1" t="s">
        <v>276</v>
      </c>
      <c r="AD3289" s="1" t="s">
        <v>298</v>
      </c>
      <c r="AE3289" s="1" t="s">
        <v>512</v>
      </c>
      <c r="AF3289" s="1" t="s">
        <v>107</v>
      </c>
      <c r="AO3289" s="2">
        <v>46286</v>
      </c>
      <c r="AP3289" s="1" t="s">
        <v>885</v>
      </c>
      <c r="AS3289" s="1" t="s">
        <v>71</v>
      </c>
      <c r="AU3289" s="1" t="s">
        <v>72</v>
      </c>
      <c r="AV3289" s="1" t="s">
        <v>437</v>
      </c>
      <c r="AX3289" s="1">
        <v>0</v>
      </c>
      <c r="BA3289" s="1">
        <v>9</v>
      </c>
      <c r="BB3289" s="1">
        <v>0</v>
      </c>
      <c r="BC3289" s="1">
        <v>0</v>
      </c>
      <c r="BE3289" s="1">
        <v>27627651</v>
      </c>
    </row>
    <row r="3290" spans="1:57" x14ac:dyDescent="0.25">
      <c r="A3290" s="1" t="str">
        <f>T("1948675839944757904")</f>
        <v>1948675839944757904</v>
      </c>
      <c r="B3290" s="1" t="str">
        <f>T("249915660608")</f>
        <v>249915660608</v>
      </c>
      <c r="C3290" s="1" t="str">
        <f>T("1941094470795658932")</f>
        <v>1941094470795658932</v>
      </c>
      <c r="AC3290" s="1" t="s">
        <v>276</v>
      </c>
      <c r="AD3290" s="1" t="s">
        <v>298</v>
      </c>
      <c r="AE3290" s="1" t="s">
        <v>511</v>
      </c>
      <c r="AF3290" s="1" t="s">
        <v>107</v>
      </c>
      <c r="AO3290" s="2">
        <v>46286</v>
      </c>
      <c r="AP3290" s="1" t="s">
        <v>885</v>
      </c>
      <c r="AS3290" s="1" t="s">
        <v>71</v>
      </c>
      <c r="AU3290" s="1" t="s">
        <v>72</v>
      </c>
      <c r="AV3290" s="1" t="s">
        <v>126</v>
      </c>
      <c r="AX3290" s="1">
        <v>0</v>
      </c>
      <c r="BA3290" s="1">
        <v>9</v>
      </c>
      <c r="BB3290" s="1">
        <v>0</v>
      </c>
      <c r="BC3290" s="1">
        <v>0</v>
      </c>
      <c r="BE3290" s="1">
        <v>27627651</v>
      </c>
    </row>
    <row r="3291" spans="1:57" x14ac:dyDescent="0.25">
      <c r="A3291" s="1" t="str">
        <f>T("1948675839969926552")</f>
        <v>1948675839969926552</v>
      </c>
      <c r="B3291" s="1" t="str">
        <f>T("249911069281")</f>
        <v>249911069281</v>
      </c>
      <c r="C3291" s="1" t="str">
        <f>T("1941094470799852840")</f>
        <v>1941094470799852840</v>
      </c>
      <c r="AC3291" s="1" t="s">
        <v>276</v>
      </c>
      <c r="AD3291" s="1" t="s">
        <v>298</v>
      </c>
      <c r="AE3291" s="1" t="s">
        <v>512</v>
      </c>
      <c r="AF3291" s="1" t="s">
        <v>144</v>
      </c>
      <c r="AO3291" s="2">
        <v>46286</v>
      </c>
      <c r="AP3291" s="1" t="s">
        <v>885</v>
      </c>
      <c r="AS3291" s="1" t="s">
        <v>71</v>
      </c>
      <c r="AU3291" s="1" t="s">
        <v>72</v>
      </c>
      <c r="AV3291" s="1" t="s">
        <v>126</v>
      </c>
      <c r="AX3291" s="1">
        <v>0</v>
      </c>
      <c r="BA3291" s="1">
        <v>9</v>
      </c>
      <c r="BB3291" s="1">
        <v>0</v>
      </c>
      <c r="BC3291" s="1">
        <v>0</v>
      </c>
      <c r="BE3291" s="1">
        <v>27627651</v>
      </c>
    </row>
    <row r="3292" spans="1:57" x14ac:dyDescent="0.25">
      <c r="A3292" s="1" t="str">
        <f>T("1948675839995092900")</f>
        <v>1948675839995092900</v>
      </c>
      <c r="B3292" s="1" t="str">
        <f>T("24991027561")</f>
        <v>24991027561</v>
      </c>
      <c r="C3292" s="1" t="str">
        <f>T("1941094470799853540")</f>
        <v>1941094470799853540</v>
      </c>
      <c r="AC3292" s="1" t="s">
        <v>276</v>
      </c>
      <c r="AD3292" s="1" t="s">
        <v>298</v>
      </c>
      <c r="AE3292" s="1" t="s">
        <v>512</v>
      </c>
      <c r="AF3292" s="1" t="s">
        <v>144</v>
      </c>
      <c r="AO3292" s="2">
        <v>46286</v>
      </c>
      <c r="AP3292" s="1" t="s">
        <v>885</v>
      </c>
      <c r="AS3292" s="1" t="s">
        <v>71</v>
      </c>
      <c r="AU3292" s="1" t="s">
        <v>72</v>
      </c>
      <c r="AV3292" s="1" t="s">
        <v>73</v>
      </c>
      <c r="AX3292" s="1">
        <v>0</v>
      </c>
      <c r="BA3292" s="1">
        <v>9</v>
      </c>
      <c r="BB3292" s="1">
        <v>0</v>
      </c>
      <c r="BC3292" s="1">
        <v>0</v>
      </c>
      <c r="BE3292" s="1">
        <v>27627651</v>
      </c>
    </row>
    <row r="3293" spans="1:57" x14ac:dyDescent="0.25">
      <c r="A3293" s="1" t="str">
        <f>T("1948675839999283708")</f>
        <v>1948675839999283708</v>
      </c>
      <c r="B3293" s="1" t="str">
        <f>T("249906857509")</f>
        <v>249906857509</v>
      </c>
      <c r="C3293" s="1" t="str">
        <f>T("1941094470799854540")</f>
        <v>1941094470799854540</v>
      </c>
      <c r="AC3293" s="1" t="s">
        <v>276</v>
      </c>
      <c r="AD3293" s="1" t="s">
        <v>298</v>
      </c>
      <c r="AE3293" s="1" t="s">
        <v>512</v>
      </c>
      <c r="AF3293" s="1" t="s">
        <v>144</v>
      </c>
      <c r="AO3293" s="2">
        <v>46286</v>
      </c>
      <c r="AP3293" s="1" t="s">
        <v>885</v>
      </c>
      <c r="AS3293" s="1" t="s">
        <v>71</v>
      </c>
      <c r="AU3293" s="1" t="s">
        <v>72</v>
      </c>
      <c r="AV3293" s="1" t="s">
        <v>73</v>
      </c>
      <c r="AX3293" s="1">
        <v>0</v>
      </c>
      <c r="BA3293" s="1">
        <v>9</v>
      </c>
      <c r="BB3293" s="1">
        <v>0</v>
      </c>
      <c r="BC3293" s="1">
        <v>0</v>
      </c>
      <c r="BE3293" s="1">
        <v>27627651</v>
      </c>
    </row>
    <row r="3294" spans="1:57" x14ac:dyDescent="0.25">
      <c r="A3294" s="1" t="str">
        <f>T("1948675839999286508")</f>
        <v>1948675839999286508</v>
      </c>
      <c r="B3294" s="1" t="str">
        <f>T("24996576248")</f>
        <v>24996576248</v>
      </c>
      <c r="C3294" s="1" t="str">
        <f>T("1941094470804048548")</f>
        <v>1941094470804048548</v>
      </c>
      <c r="AC3294" s="1" t="s">
        <v>276</v>
      </c>
      <c r="AD3294" s="1" t="s">
        <v>298</v>
      </c>
      <c r="AE3294" s="1" t="s">
        <v>512</v>
      </c>
      <c r="AF3294" s="1" t="s">
        <v>144</v>
      </c>
      <c r="AO3294" s="2">
        <v>46286</v>
      </c>
      <c r="AP3294" s="1" t="s">
        <v>885</v>
      </c>
      <c r="AS3294" s="1" t="s">
        <v>71</v>
      </c>
      <c r="AU3294" s="1" t="s">
        <v>72</v>
      </c>
      <c r="AV3294" s="1" t="s">
        <v>73</v>
      </c>
      <c r="AX3294" s="1">
        <v>0</v>
      </c>
      <c r="BA3294" s="1">
        <v>9</v>
      </c>
      <c r="BB3294" s="1">
        <v>0</v>
      </c>
      <c r="BC3294" s="1">
        <v>0</v>
      </c>
      <c r="BE3294" s="1">
        <v>27627651</v>
      </c>
    </row>
    <row r="3295" spans="1:57" x14ac:dyDescent="0.25">
      <c r="A3295" s="1" t="str">
        <f>T("1948675840003478416")</f>
        <v>1948675840003478416</v>
      </c>
      <c r="B3295" s="1" t="str">
        <f>T("249906549589")</f>
        <v>249906549589</v>
      </c>
      <c r="C3295" s="1" t="str">
        <f>T("1941094470808241456")</f>
        <v>1941094470808241456</v>
      </c>
      <c r="AC3295" s="1" t="s">
        <v>276</v>
      </c>
      <c r="AD3295" s="1" t="s">
        <v>298</v>
      </c>
      <c r="AE3295" s="1" t="s">
        <v>512</v>
      </c>
      <c r="AF3295" s="1" t="s">
        <v>144</v>
      </c>
      <c r="AO3295" s="2">
        <v>46286</v>
      </c>
      <c r="AP3295" s="1" t="s">
        <v>885</v>
      </c>
      <c r="AS3295" s="1" t="s">
        <v>71</v>
      </c>
      <c r="AU3295" s="1" t="s">
        <v>72</v>
      </c>
      <c r="AV3295" s="1" t="s">
        <v>437</v>
      </c>
      <c r="AX3295" s="1">
        <v>0</v>
      </c>
      <c r="BA3295" s="1">
        <v>9</v>
      </c>
      <c r="BB3295" s="1">
        <v>0</v>
      </c>
      <c r="BC3295" s="1">
        <v>0</v>
      </c>
      <c r="BE3295" s="1">
        <v>27627651</v>
      </c>
    </row>
    <row r="3296" spans="1:57" x14ac:dyDescent="0.25">
      <c r="A3296" s="1" t="str">
        <f>T("1948675840011869532")</f>
        <v>1948675840011869532</v>
      </c>
      <c r="B3296" s="1" t="str">
        <f>T("249910625666")</f>
        <v>249910625666</v>
      </c>
      <c r="C3296" s="1" t="str">
        <f>T("1941094470808242056")</f>
        <v>1941094470808242056</v>
      </c>
      <c r="AC3296" s="1" t="s">
        <v>276</v>
      </c>
      <c r="AD3296" s="1" t="s">
        <v>298</v>
      </c>
      <c r="AE3296" s="1" t="s">
        <v>513</v>
      </c>
      <c r="AF3296" s="1" t="s">
        <v>107</v>
      </c>
      <c r="AO3296" s="2">
        <v>46286</v>
      </c>
      <c r="AP3296" s="1" t="s">
        <v>885</v>
      </c>
      <c r="AS3296" s="1" t="s">
        <v>71</v>
      </c>
      <c r="AU3296" s="1" t="s">
        <v>72</v>
      </c>
      <c r="AV3296" s="1" t="s">
        <v>73</v>
      </c>
      <c r="AX3296" s="1">
        <v>0</v>
      </c>
      <c r="BA3296" s="1">
        <v>9</v>
      </c>
      <c r="BB3296" s="1">
        <v>0</v>
      </c>
      <c r="BC3296" s="1">
        <v>0</v>
      </c>
      <c r="BE3296" s="1">
        <v>27627651</v>
      </c>
    </row>
    <row r="3297" spans="1:57" x14ac:dyDescent="0.25">
      <c r="A3297" s="1" t="str">
        <f>T("1948675840020258648")</f>
        <v>1948675840020258648</v>
      </c>
      <c r="B3297" s="1" t="str">
        <f>T("249912722317")</f>
        <v>249912722317</v>
      </c>
      <c r="C3297" s="1" t="str">
        <f>T("1941094470808242556")</f>
        <v>1941094470808242556</v>
      </c>
      <c r="AC3297" s="1" t="s">
        <v>276</v>
      </c>
      <c r="AD3297" s="1" t="s">
        <v>298</v>
      </c>
      <c r="AE3297" s="1" t="s">
        <v>513</v>
      </c>
      <c r="AF3297" s="1" t="s">
        <v>107</v>
      </c>
      <c r="AO3297" s="2">
        <v>46286</v>
      </c>
      <c r="AP3297" s="1" t="s">
        <v>885</v>
      </c>
      <c r="AS3297" s="1" t="s">
        <v>71</v>
      </c>
      <c r="AU3297" s="1" t="s">
        <v>72</v>
      </c>
      <c r="AV3297" s="1" t="s">
        <v>126</v>
      </c>
      <c r="AX3297" s="1">
        <v>0</v>
      </c>
      <c r="BA3297" s="1">
        <v>9</v>
      </c>
      <c r="BB3297" s="1">
        <v>0</v>
      </c>
      <c r="BC3297" s="1">
        <v>0</v>
      </c>
      <c r="BE3297" s="1">
        <v>27627651</v>
      </c>
    </row>
    <row r="3298" spans="1:57" x14ac:dyDescent="0.25">
      <c r="A3298" s="1" t="str">
        <f>T("1948675840041228388")</f>
        <v>1948675840041228388</v>
      </c>
      <c r="B3298" s="1" t="str">
        <f>T("249909484609")</f>
        <v>249909484609</v>
      </c>
      <c r="C3298" s="1" t="str">
        <f>T("1941094470812435364")</f>
        <v>1941094470812435364</v>
      </c>
      <c r="AC3298" s="1" t="s">
        <v>276</v>
      </c>
      <c r="AD3298" s="1" t="s">
        <v>298</v>
      </c>
      <c r="AE3298" s="1" t="s">
        <v>513</v>
      </c>
      <c r="AF3298" s="1" t="s">
        <v>107</v>
      </c>
      <c r="AO3298" s="2">
        <v>46286</v>
      </c>
      <c r="AP3298" s="1" t="s">
        <v>885</v>
      </c>
      <c r="AS3298" s="1" t="s">
        <v>71</v>
      </c>
      <c r="AU3298" s="1" t="s">
        <v>72</v>
      </c>
      <c r="AV3298" s="1" t="s">
        <v>73</v>
      </c>
      <c r="AX3298" s="1">
        <v>0</v>
      </c>
      <c r="BA3298" s="1">
        <v>9</v>
      </c>
      <c r="BB3298" s="1">
        <v>0</v>
      </c>
      <c r="BC3298" s="1">
        <v>0</v>
      </c>
      <c r="BE3298" s="1">
        <v>27627651</v>
      </c>
    </row>
    <row r="3299" spans="1:57" x14ac:dyDescent="0.25">
      <c r="A3299" s="1" t="str">
        <f>T("1948675840049615604")</f>
        <v>1948675840049615604</v>
      </c>
      <c r="B3299" s="1" t="str">
        <f>T("249918664165")</f>
        <v>249918664165</v>
      </c>
      <c r="C3299" s="1" t="str">
        <f>T("1941094470816629272")</f>
        <v>1941094470816629272</v>
      </c>
      <c r="AC3299" s="1" t="s">
        <v>276</v>
      </c>
      <c r="AD3299" s="1" t="s">
        <v>298</v>
      </c>
      <c r="AE3299" s="1" t="s">
        <v>513</v>
      </c>
      <c r="AF3299" s="1" t="s">
        <v>107</v>
      </c>
      <c r="AO3299" s="2">
        <v>46286</v>
      </c>
      <c r="AP3299" s="1" t="s">
        <v>885</v>
      </c>
      <c r="AS3299" s="1" t="s">
        <v>71</v>
      </c>
      <c r="AU3299" s="1" t="s">
        <v>72</v>
      </c>
      <c r="AV3299" s="1" t="s">
        <v>437</v>
      </c>
      <c r="AX3299" s="1">
        <v>0</v>
      </c>
      <c r="BA3299" s="1">
        <v>9</v>
      </c>
      <c r="BB3299" s="1">
        <v>0</v>
      </c>
      <c r="BC3299" s="1">
        <v>0</v>
      </c>
      <c r="BE3299" s="1">
        <v>27627651</v>
      </c>
    </row>
    <row r="3300" spans="1:57" x14ac:dyDescent="0.25">
      <c r="A3300" s="1" t="str">
        <f>T("1948675840053812812")</f>
        <v>1948675840053812812</v>
      </c>
      <c r="B3300" s="1" t="str">
        <f>T("249917771839")</f>
        <v>249917771839</v>
      </c>
      <c r="C3300" s="1" t="str">
        <f>T("1941094470816629972")</f>
        <v>1941094470816629972</v>
      </c>
      <c r="AC3300" s="1" t="s">
        <v>276</v>
      </c>
      <c r="AD3300" s="1" t="s">
        <v>298</v>
      </c>
      <c r="AE3300" s="1" t="s">
        <v>513</v>
      </c>
      <c r="AF3300" s="1" t="s">
        <v>107</v>
      </c>
      <c r="AO3300" s="2">
        <v>46286</v>
      </c>
      <c r="AP3300" s="1" t="s">
        <v>885</v>
      </c>
      <c r="AS3300" s="1" t="s">
        <v>71</v>
      </c>
      <c r="AU3300" s="1" t="s">
        <v>72</v>
      </c>
      <c r="AV3300" s="1" t="s">
        <v>437</v>
      </c>
      <c r="AX3300" s="1">
        <v>0</v>
      </c>
      <c r="BA3300" s="1">
        <v>9</v>
      </c>
      <c r="BB3300" s="1">
        <v>0</v>
      </c>
      <c r="BC3300" s="1">
        <v>0</v>
      </c>
      <c r="BE3300" s="1">
        <v>27627651</v>
      </c>
    </row>
    <row r="3301" spans="1:57" x14ac:dyDescent="0.25">
      <c r="A3301" s="1" t="str">
        <f>T("1948675840062200928")</f>
        <v>1948675840062200928</v>
      </c>
      <c r="B3301" s="1" t="str">
        <f>T("249905698412")</f>
        <v>249905698412</v>
      </c>
      <c r="C3301" s="1" t="str">
        <f>T("1941094470816630572")</f>
        <v>1941094470816630572</v>
      </c>
      <c r="AC3301" s="1" t="s">
        <v>276</v>
      </c>
      <c r="AD3301" s="1" t="s">
        <v>298</v>
      </c>
      <c r="AE3301" s="1" t="s">
        <v>513</v>
      </c>
      <c r="AF3301" s="1" t="s">
        <v>107</v>
      </c>
      <c r="AO3301" s="2">
        <v>46286</v>
      </c>
      <c r="AP3301" s="1" t="s">
        <v>885</v>
      </c>
      <c r="AS3301" s="1" t="s">
        <v>71</v>
      </c>
      <c r="AU3301" s="1" t="s">
        <v>72</v>
      </c>
      <c r="AV3301" s="1" t="s">
        <v>437</v>
      </c>
      <c r="AX3301" s="1">
        <v>0</v>
      </c>
      <c r="BA3301" s="1">
        <v>9</v>
      </c>
      <c r="BB3301" s="1">
        <v>0</v>
      </c>
      <c r="BC3301" s="1">
        <v>0</v>
      </c>
      <c r="BE3301" s="1">
        <v>27627651</v>
      </c>
    </row>
    <row r="3302" spans="1:57" x14ac:dyDescent="0.25">
      <c r="A3302" s="1" t="str">
        <f>T("1948675840070588244")</f>
        <v>1948675840070588244</v>
      </c>
      <c r="B3302" s="1" t="str">
        <f>T("249903989761")</f>
        <v>249903989761</v>
      </c>
      <c r="C3302" s="1" t="str">
        <f>T("1941094470816631072")</f>
        <v>1941094470816631072</v>
      </c>
      <c r="AC3302" s="1" t="s">
        <v>276</v>
      </c>
      <c r="AD3302" s="1" t="s">
        <v>298</v>
      </c>
      <c r="AE3302" s="1" t="s">
        <v>514</v>
      </c>
      <c r="AF3302" s="1" t="s">
        <v>144</v>
      </c>
      <c r="AO3302" s="2">
        <v>46286</v>
      </c>
      <c r="AP3302" s="1" t="s">
        <v>885</v>
      </c>
      <c r="AS3302" s="1" t="s">
        <v>71</v>
      </c>
      <c r="AU3302" s="1" t="s">
        <v>72</v>
      </c>
      <c r="AV3302" s="1" t="s">
        <v>437</v>
      </c>
      <c r="AX3302" s="1">
        <v>0</v>
      </c>
      <c r="BA3302" s="1">
        <v>9</v>
      </c>
      <c r="BB3302" s="1">
        <v>0</v>
      </c>
      <c r="BC3302" s="1">
        <v>0</v>
      </c>
      <c r="BE3302" s="1">
        <v>27627651</v>
      </c>
    </row>
    <row r="3303" spans="1:57" x14ac:dyDescent="0.25">
      <c r="A3303" s="1" t="str">
        <f>T("1948675840078978760")</f>
        <v>1948675840078978760</v>
      </c>
      <c r="B3303" s="1" t="str">
        <f>T("249960263159")</f>
        <v>249960263159</v>
      </c>
      <c r="C3303" s="1" t="str">
        <f>T("1941094470816631672")</f>
        <v>1941094470816631672</v>
      </c>
      <c r="AC3303" s="1" t="s">
        <v>276</v>
      </c>
      <c r="AD3303" s="1" t="s">
        <v>298</v>
      </c>
      <c r="AE3303" s="1" t="s">
        <v>514</v>
      </c>
      <c r="AF3303" s="1" t="s">
        <v>144</v>
      </c>
      <c r="AO3303" s="2">
        <v>46286</v>
      </c>
      <c r="AP3303" s="1" t="s">
        <v>885</v>
      </c>
      <c r="AS3303" s="1" t="s">
        <v>71</v>
      </c>
      <c r="AU3303" s="1" t="s">
        <v>72</v>
      </c>
      <c r="AV3303" s="1" t="s">
        <v>73</v>
      </c>
      <c r="AX3303" s="1">
        <v>0</v>
      </c>
      <c r="BA3303" s="1">
        <v>9</v>
      </c>
      <c r="BB3303" s="1">
        <v>0</v>
      </c>
      <c r="BC3303" s="1">
        <v>0</v>
      </c>
      <c r="BE3303" s="1">
        <v>27627651</v>
      </c>
    </row>
    <row r="3304" spans="1:57" x14ac:dyDescent="0.25">
      <c r="A3304" s="1" t="str">
        <f>T("1948675840091558884")</f>
        <v>1948675840091558884</v>
      </c>
      <c r="B3304" s="1" t="str">
        <f>T("24991923605")</f>
        <v>24991923605</v>
      </c>
      <c r="C3304" s="1" t="str">
        <f>T("1941094470816632172")</f>
        <v>1941094470816632172</v>
      </c>
      <c r="AC3304" s="1" t="s">
        <v>276</v>
      </c>
      <c r="AD3304" s="1" t="s">
        <v>298</v>
      </c>
      <c r="AE3304" s="1" t="s">
        <v>514</v>
      </c>
      <c r="AF3304" s="1" t="s">
        <v>144</v>
      </c>
      <c r="AO3304" s="2">
        <v>46286</v>
      </c>
      <c r="AP3304" s="1" t="s">
        <v>885</v>
      </c>
      <c r="AS3304" s="1" t="s">
        <v>71</v>
      </c>
      <c r="AU3304" s="1" t="s">
        <v>72</v>
      </c>
      <c r="AV3304" s="1" t="s">
        <v>73</v>
      </c>
      <c r="AX3304" s="1">
        <v>0</v>
      </c>
      <c r="BA3304" s="1">
        <v>9</v>
      </c>
      <c r="BB3304" s="1">
        <v>0</v>
      </c>
      <c r="BC3304" s="1">
        <v>0</v>
      </c>
      <c r="BE3304" s="1">
        <v>27627651</v>
      </c>
    </row>
    <row r="3305" spans="1:57" x14ac:dyDescent="0.25">
      <c r="A3305" s="1" t="str">
        <f>T("1948675840095756192")</f>
        <v>1948675840095756192</v>
      </c>
      <c r="B3305" s="1" t="str">
        <f>T("249911867295")</f>
        <v>249911867295</v>
      </c>
      <c r="C3305" s="1" t="str">
        <f>T("1941094470820824080")</f>
        <v>1941094470820824080</v>
      </c>
      <c r="AC3305" s="1" t="s">
        <v>276</v>
      </c>
      <c r="AD3305" s="1" t="s">
        <v>298</v>
      </c>
      <c r="AE3305" s="1" t="s">
        <v>514</v>
      </c>
      <c r="AF3305" s="1" t="s">
        <v>107</v>
      </c>
      <c r="AO3305" s="2">
        <v>46286</v>
      </c>
      <c r="AP3305" s="1" t="s">
        <v>885</v>
      </c>
      <c r="AS3305" s="1" t="s">
        <v>71</v>
      </c>
      <c r="AU3305" s="1" t="s">
        <v>72</v>
      </c>
      <c r="AV3305" s="1" t="s">
        <v>126</v>
      </c>
      <c r="AX3305" s="1">
        <v>0</v>
      </c>
      <c r="BA3305" s="1">
        <v>9</v>
      </c>
      <c r="BB3305" s="1">
        <v>0</v>
      </c>
      <c r="BC3305" s="1">
        <v>0</v>
      </c>
      <c r="BE3305" s="1">
        <v>27627651</v>
      </c>
    </row>
    <row r="3306" spans="1:57" x14ac:dyDescent="0.25">
      <c r="A3306" s="1" t="str">
        <f>T("1948675840171250936")</f>
        <v>1948675840171250936</v>
      </c>
      <c r="B3306" s="1" t="str">
        <f>T("249917850717")</f>
        <v>249917850717</v>
      </c>
      <c r="C3306" s="1" t="str">
        <f>T("1941094470820824480")</f>
        <v>1941094470820824480</v>
      </c>
      <c r="AC3306" s="1" t="s">
        <v>276</v>
      </c>
      <c r="AD3306" s="1" t="s">
        <v>298</v>
      </c>
      <c r="AE3306" s="1" t="s">
        <v>514</v>
      </c>
      <c r="AF3306" s="1" t="s">
        <v>107</v>
      </c>
      <c r="AO3306" s="2">
        <v>46286</v>
      </c>
      <c r="AP3306" s="1" t="s">
        <v>885</v>
      </c>
      <c r="AS3306" s="1" t="s">
        <v>71</v>
      </c>
      <c r="AU3306" s="1" t="s">
        <v>72</v>
      </c>
      <c r="AV3306" s="1" t="s">
        <v>73</v>
      </c>
      <c r="AX3306" s="1">
        <v>0</v>
      </c>
      <c r="BA3306" s="1">
        <v>9</v>
      </c>
      <c r="BB3306" s="1">
        <v>0</v>
      </c>
      <c r="BC3306" s="1">
        <v>0</v>
      </c>
      <c r="BE3306" s="1">
        <v>27627651</v>
      </c>
    </row>
    <row r="3307" spans="1:57" x14ac:dyDescent="0.25">
      <c r="A3307" s="1" t="str">
        <f>T("1948675840179641152")</f>
        <v>1948675840179641152</v>
      </c>
      <c r="B3307" s="1" t="str">
        <f>T("249912462326")</f>
        <v>249912462326</v>
      </c>
      <c r="C3307" s="1" t="str">
        <f>T("1941094470820825280")</f>
        <v>1941094470820825280</v>
      </c>
      <c r="AC3307" s="1" t="s">
        <v>276</v>
      </c>
      <c r="AD3307" s="1" t="s">
        <v>298</v>
      </c>
      <c r="AE3307" s="1" t="s">
        <v>514</v>
      </c>
      <c r="AF3307" s="1" t="s">
        <v>107</v>
      </c>
      <c r="AO3307" s="2">
        <v>46286</v>
      </c>
      <c r="AP3307" s="1" t="s">
        <v>885</v>
      </c>
      <c r="AS3307" s="1" t="s">
        <v>71</v>
      </c>
      <c r="AU3307" s="1" t="s">
        <v>72</v>
      </c>
      <c r="AV3307" s="1" t="s">
        <v>73</v>
      </c>
      <c r="AX3307" s="1">
        <v>0</v>
      </c>
      <c r="BA3307" s="1">
        <v>9</v>
      </c>
      <c r="BB3307" s="1">
        <v>0</v>
      </c>
      <c r="BC3307" s="1">
        <v>0</v>
      </c>
      <c r="BE3307" s="1">
        <v>27627651</v>
      </c>
    </row>
    <row r="3308" spans="1:57" x14ac:dyDescent="0.25">
      <c r="A3308" s="1" t="str">
        <f>T("1948675840179641452")</f>
        <v>1948675840179641452</v>
      </c>
      <c r="B3308" s="1" t="str">
        <f>T("249911432489")</f>
        <v>249911432489</v>
      </c>
      <c r="C3308" s="1" t="str">
        <f>T("1941094470820824880")</f>
        <v>1941094470820824880</v>
      </c>
      <c r="AC3308" s="1" t="s">
        <v>276</v>
      </c>
      <c r="AD3308" s="1" t="s">
        <v>298</v>
      </c>
      <c r="AE3308" s="1" t="s">
        <v>514</v>
      </c>
      <c r="AF3308" s="1" t="s">
        <v>107</v>
      </c>
      <c r="AO3308" s="2">
        <v>46286</v>
      </c>
      <c r="AP3308" s="1" t="s">
        <v>885</v>
      </c>
      <c r="AS3308" s="1" t="s">
        <v>71</v>
      </c>
      <c r="AU3308" s="1" t="s">
        <v>72</v>
      </c>
      <c r="AV3308" s="1" t="s">
        <v>126</v>
      </c>
      <c r="AX3308" s="1">
        <v>0</v>
      </c>
      <c r="BA3308" s="1">
        <v>9</v>
      </c>
      <c r="BB3308" s="1">
        <v>0</v>
      </c>
      <c r="BC3308" s="1">
        <v>0</v>
      </c>
      <c r="BE3308" s="1">
        <v>27627651</v>
      </c>
    </row>
    <row r="3309" spans="1:57" x14ac:dyDescent="0.25">
      <c r="A3309" s="1" t="str">
        <f>T("1948675840192222676")</f>
        <v>1948675840192222676</v>
      </c>
      <c r="B3309" s="1" t="str">
        <f>T("249911856803")</f>
        <v>249911856803</v>
      </c>
      <c r="C3309" s="1" t="str">
        <f>T("1941094470820825780")</f>
        <v>1941094470820825780</v>
      </c>
      <c r="AC3309" s="1" t="s">
        <v>276</v>
      </c>
      <c r="AD3309" s="1" t="s">
        <v>298</v>
      </c>
      <c r="AE3309" s="1" t="s">
        <v>514</v>
      </c>
      <c r="AF3309" s="1" t="s">
        <v>107</v>
      </c>
      <c r="AO3309" s="2">
        <v>46286</v>
      </c>
      <c r="AP3309" s="1" t="s">
        <v>885</v>
      </c>
      <c r="AS3309" s="1" t="s">
        <v>71</v>
      </c>
      <c r="AU3309" s="1" t="s">
        <v>72</v>
      </c>
      <c r="AV3309" s="1" t="s">
        <v>73</v>
      </c>
      <c r="AX3309" s="1">
        <v>0</v>
      </c>
      <c r="BA3309" s="1">
        <v>9</v>
      </c>
      <c r="BB3309" s="1">
        <v>0</v>
      </c>
      <c r="BC3309" s="1">
        <v>0</v>
      </c>
      <c r="BE3309" s="1">
        <v>27627651</v>
      </c>
    </row>
    <row r="3310" spans="1:57" x14ac:dyDescent="0.25">
      <c r="A3310" s="1" t="str">
        <f>T("1948675840196417584")</f>
        <v>1948675840196417584</v>
      </c>
      <c r="B3310" s="1" t="str">
        <f>T("249961232949")</f>
        <v>249961232949</v>
      </c>
      <c r="C3310" s="1" t="str">
        <f>T("1941094470820826280")</f>
        <v>1941094470820826280</v>
      </c>
      <c r="AC3310" s="1" t="s">
        <v>276</v>
      </c>
      <c r="AD3310" s="1" t="s">
        <v>298</v>
      </c>
      <c r="AE3310" s="1" t="s">
        <v>514</v>
      </c>
      <c r="AF3310" s="1" t="s">
        <v>107</v>
      </c>
      <c r="AO3310" s="2">
        <v>46286</v>
      </c>
      <c r="AP3310" s="1" t="s">
        <v>885</v>
      </c>
      <c r="AS3310" s="1" t="s">
        <v>71</v>
      </c>
      <c r="AU3310" s="1" t="s">
        <v>72</v>
      </c>
      <c r="AV3310" s="1" t="s">
        <v>126</v>
      </c>
      <c r="AX3310" s="1">
        <v>0</v>
      </c>
      <c r="BA3310" s="1">
        <v>9</v>
      </c>
      <c r="BB3310" s="1">
        <v>0</v>
      </c>
      <c r="BC3310" s="1">
        <v>0</v>
      </c>
      <c r="BE3310" s="1">
        <v>27627651</v>
      </c>
    </row>
    <row r="3311" spans="1:57" x14ac:dyDescent="0.25">
      <c r="A3311" s="1" t="str">
        <f>T("1948675840200611992")</f>
        <v>1948675840200611992</v>
      </c>
      <c r="B3311" s="1" t="str">
        <f>T("249913014019")</f>
        <v>249913014019</v>
      </c>
      <c r="C3311" s="1" t="str">
        <f>T("1941094470820826680")</f>
        <v>1941094470820826680</v>
      </c>
      <c r="AC3311" s="1" t="s">
        <v>276</v>
      </c>
      <c r="AD3311" s="1" t="s">
        <v>298</v>
      </c>
      <c r="AE3311" s="1" t="s">
        <v>514</v>
      </c>
      <c r="AF3311" s="1" t="s">
        <v>107</v>
      </c>
      <c r="AO3311" s="2">
        <v>46286</v>
      </c>
      <c r="AP3311" s="1" t="s">
        <v>885</v>
      </c>
      <c r="AS3311" s="1" t="s">
        <v>71</v>
      </c>
      <c r="AU3311" s="1" t="s">
        <v>72</v>
      </c>
      <c r="AV3311" s="1" t="s">
        <v>437</v>
      </c>
      <c r="AX3311" s="1">
        <v>0</v>
      </c>
      <c r="BA3311" s="1">
        <v>9</v>
      </c>
      <c r="BB3311" s="1">
        <v>0</v>
      </c>
      <c r="BC3311" s="1">
        <v>0</v>
      </c>
      <c r="BE3311" s="1">
        <v>27627651</v>
      </c>
    </row>
    <row r="3312" spans="1:57" x14ac:dyDescent="0.25">
      <c r="A3312" s="1" t="str">
        <f>T("1948675840234166656")</f>
        <v>1948675840234166656</v>
      </c>
      <c r="B3312" s="1" t="str">
        <f>T("24990423455")</f>
        <v>24990423455</v>
      </c>
      <c r="C3312" s="1" t="str">
        <f>T("1941094470825018388")</f>
        <v>1941094470825018388</v>
      </c>
      <c r="AC3312" s="1" t="s">
        <v>276</v>
      </c>
      <c r="AD3312" s="1" t="s">
        <v>298</v>
      </c>
      <c r="AE3312" s="1" t="s">
        <v>514</v>
      </c>
      <c r="AF3312" s="1" t="s">
        <v>107</v>
      </c>
      <c r="AO3312" s="2">
        <v>46286</v>
      </c>
      <c r="AP3312" s="1" t="s">
        <v>885</v>
      </c>
      <c r="AS3312" s="1" t="s">
        <v>71</v>
      </c>
      <c r="AU3312" s="1" t="s">
        <v>72</v>
      </c>
      <c r="AV3312" s="1" t="s">
        <v>73</v>
      </c>
      <c r="AX3312" s="1">
        <v>0</v>
      </c>
      <c r="BA3312" s="1">
        <v>9</v>
      </c>
      <c r="BB3312" s="1">
        <v>0</v>
      </c>
      <c r="BC3312" s="1">
        <v>0</v>
      </c>
      <c r="BE3312" s="1">
        <v>27627651</v>
      </c>
    </row>
    <row r="3313" spans="1:57" x14ac:dyDescent="0.25">
      <c r="A3313" s="1" t="str">
        <f>T("1948675840234166756")</f>
        <v>1948675840234166756</v>
      </c>
      <c r="B3313" s="1" t="str">
        <f>T("249910689186")</f>
        <v>249910689186</v>
      </c>
      <c r="C3313" s="1" t="str">
        <f>T("1941094470825017888")</f>
        <v>1941094470825017888</v>
      </c>
      <c r="AC3313" s="1" t="s">
        <v>276</v>
      </c>
      <c r="AD3313" s="1" t="s">
        <v>298</v>
      </c>
      <c r="AE3313" s="1" t="s">
        <v>514</v>
      </c>
      <c r="AF3313" s="1" t="s">
        <v>107</v>
      </c>
      <c r="AO3313" s="2">
        <v>46286</v>
      </c>
      <c r="AP3313" s="1" t="s">
        <v>885</v>
      </c>
      <c r="AS3313" s="1" t="s">
        <v>71</v>
      </c>
      <c r="AU3313" s="1" t="s">
        <v>72</v>
      </c>
      <c r="AV3313" s="1" t="s">
        <v>73</v>
      </c>
      <c r="AX3313" s="1">
        <v>0</v>
      </c>
      <c r="BA3313" s="1">
        <v>9</v>
      </c>
      <c r="BB3313" s="1">
        <v>0</v>
      </c>
      <c r="BC3313" s="1">
        <v>0</v>
      </c>
      <c r="BE3313" s="1">
        <v>27627651</v>
      </c>
    </row>
    <row r="3314" spans="1:57" x14ac:dyDescent="0.25">
      <c r="A3314" s="1" t="str">
        <f>T("1948675840234166856")</f>
        <v>1948675840234166856</v>
      </c>
      <c r="B3314" s="1" t="str">
        <f>T("249908626012")</f>
        <v>249908626012</v>
      </c>
      <c r="C3314" s="1" t="str">
        <f>T("1941094470825017488")</f>
        <v>1941094470825017488</v>
      </c>
      <c r="AC3314" s="1" t="s">
        <v>276</v>
      </c>
      <c r="AD3314" s="1" t="s">
        <v>298</v>
      </c>
      <c r="AE3314" s="1" t="s">
        <v>514</v>
      </c>
      <c r="AF3314" s="1" t="s">
        <v>107</v>
      </c>
      <c r="AO3314" s="2">
        <v>46286</v>
      </c>
      <c r="AP3314" s="1" t="s">
        <v>885</v>
      </c>
      <c r="AS3314" s="1" t="s">
        <v>71</v>
      </c>
      <c r="AU3314" s="1" t="s">
        <v>72</v>
      </c>
      <c r="AV3314" s="1" t="s">
        <v>73</v>
      </c>
      <c r="AX3314" s="1">
        <v>0</v>
      </c>
      <c r="BA3314" s="1">
        <v>9</v>
      </c>
      <c r="BB3314" s="1">
        <v>0</v>
      </c>
      <c r="BC3314" s="1">
        <v>0</v>
      </c>
      <c r="BE3314" s="1">
        <v>27627651</v>
      </c>
    </row>
    <row r="3315" spans="1:57" x14ac:dyDescent="0.25">
      <c r="A3315" s="1" t="str">
        <f>T("1948675840250944588")</f>
        <v>1948675840250944588</v>
      </c>
      <c r="B3315" s="1" t="str">
        <f>T("249961464514")</f>
        <v>249961464514</v>
      </c>
      <c r="C3315" s="1" t="str">
        <f>T("1941094470825018888")</f>
        <v>1941094470825018888</v>
      </c>
      <c r="AC3315" s="1" t="s">
        <v>276</v>
      </c>
      <c r="AD3315" s="1" t="s">
        <v>298</v>
      </c>
      <c r="AE3315" s="1" t="s">
        <v>514</v>
      </c>
      <c r="AF3315" s="1" t="s">
        <v>107</v>
      </c>
      <c r="AO3315" s="2">
        <v>46286</v>
      </c>
      <c r="AP3315" s="1" t="s">
        <v>885</v>
      </c>
      <c r="AS3315" s="1" t="s">
        <v>71</v>
      </c>
      <c r="AU3315" s="1" t="s">
        <v>72</v>
      </c>
      <c r="AV3315" s="1" t="s">
        <v>437</v>
      </c>
      <c r="AX3315" s="1">
        <v>0</v>
      </c>
      <c r="BA3315" s="1">
        <v>9</v>
      </c>
      <c r="BB3315" s="1">
        <v>0</v>
      </c>
      <c r="BC3315" s="1">
        <v>0</v>
      </c>
      <c r="BE3315" s="1">
        <v>27627651</v>
      </c>
    </row>
    <row r="3316" spans="1:57" x14ac:dyDescent="0.25">
      <c r="A3316" s="1" t="str">
        <f>T("1948675840263525912")</f>
        <v>1948675840263525912</v>
      </c>
      <c r="B3316" s="1" t="str">
        <f>T("249903500395")</f>
        <v>249903500395</v>
      </c>
      <c r="C3316" s="1" t="str">
        <f>T("1941094470825019288")</f>
        <v>1941094470825019288</v>
      </c>
      <c r="AC3316" s="1" t="s">
        <v>276</v>
      </c>
      <c r="AD3316" s="1" t="s">
        <v>298</v>
      </c>
      <c r="AE3316" s="1" t="s">
        <v>514</v>
      </c>
      <c r="AF3316" s="1" t="s">
        <v>107</v>
      </c>
      <c r="AO3316" s="2">
        <v>46286</v>
      </c>
      <c r="AP3316" s="1" t="s">
        <v>885</v>
      </c>
      <c r="AS3316" s="1" t="s">
        <v>71</v>
      </c>
      <c r="AU3316" s="1" t="s">
        <v>72</v>
      </c>
      <c r="AV3316" s="1" t="s">
        <v>437</v>
      </c>
      <c r="AX3316" s="1">
        <v>0</v>
      </c>
      <c r="BA3316" s="1">
        <v>9</v>
      </c>
      <c r="BB3316" s="1">
        <v>0</v>
      </c>
      <c r="BC3316" s="1">
        <v>0</v>
      </c>
      <c r="BE3316" s="1">
        <v>27627651</v>
      </c>
    </row>
    <row r="3317" spans="1:57" x14ac:dyDescent="0.25">
      <c r="A3317" s="1" t="str">
        <f>T("1948675840301273884")</f>
        <v>1948675840301273884</v>
      </c>
      <c r="B3317" s="1" t="str">
        <f>T("249914802633")</f>
        <v>249914802633</v>
      </c>
      <c r="C3317" s="1" t="str">
        <f>T("1941094470825019888")</f>
        <v>1941094470825019888</v>
      </c>
      <c r="AC3317" s="1" t="s">
        <v>276</v>
      </c>
      <c r="AD3317" s="1" t="s">
        <v>298</v>
      </c>
      <c r="AE3317" s="1" t="s">
        <v>514</v>
      </c>
      <c r="AF3317" s="1" t="s">
        <v>107</v>
      </c>
      <c r="AO3317" s="2">
        <v>46286</v>
      </c>
      <c r="AP3317" s="1" t="s">
        <v>885</v>
      </c>
      <c r="AS3317" s="1" t="s">
        <v>71</v>
      </c>
      <c r="AU3317" s="1" t="s">
        <v>72</v>
      </c>
      <c r="AV3317" s="1" t="s">
        <v>126</v>
      </c>
      <c r="AX3317" s="1">
        <v>0</v>
      </c>
      <c r="BA3317" s="1">
        <v>9</v>
      </c>
      <c r="BB3317" s="1">
        <v>0</v>
      </c>
      <c r="BC3317" s="1">
        <v>0</v>
      </c>
      <c r="BE3317" s="1">
        <v>27627651</v>
      </c>
    </row>
    <row r="3318" spans="1:57" x14ac:dyDescent="0.25">
      <c r="A3318" s="1" t="str">
        <f>T("1948675840326440332")</f>
        <v>1948675840326440332</v>
      </c>
      <c r="B3318" s="1" t="str">
        <f>T("249969137189")</f>
        <v>249969137189</v>
      </c>
      <c r="C3318" s="1" t="str">
        <f>T("1941094470829213496")</f>
        <v>1941094470829213496</v>
      </c>
      <c r="AC3318" s="1" t="s">
        <v>276</v>
      </c>
      <c r="AD3318" s="1" t="s">
        <v>298</v>
      </c>
      <c r="AE3318" s="1" t="s">
        <v>515</v>
      </c>
      <c r="AF3318" s="1" t="s">
        <v>144</v>
      </c>
      <c r="AO3318" s="2">
        <v>46286</v>
      </c>
      <c r="AP3318" s="1" t="s">
        <v>885</v>
      </c>
      <c r="AS3318" s="1" t="s">
        <v>71</v>
      </c>
      <c r="AU3318" s="1" t="s">
        <v>72</v>
      </c>
      <c r="AV3318" s="1" t="s">
        <v>73</v>
      </c>
      <c r="AX3318" s="1">
        <v>0</v>
      </c>
      <c r="BA3318" s="1">
        <v>9</v>
      </c>
      <c r="BB3318" s="1">
        <v>0</v>
      </c>
      <c r="BC3318" s="1">
        <v>0</v>
      </c>
      <c r="BE3318" s="1">
        <v>27627651</v>
      </c>
    </row>
    <row r="3319" spans="1:57" x14ac:dyDescent="0.25">
      <c r="A3319" s="1" t="str">
        <f>T("1948675840330636440")</f>
        <v>1948675840330636440</v>
      </c>
      <c r="B3319" s="1" t="str">
        <f>T("249916198848")</f>
        <v>249916198848</v>
      </c>
      <c r="C3319" s="1" t="str">
        <f>T("1941094470829215696")</f>
        <v>1941094470829215696</v>
      </c>
      <c r="AC3319" s="1" t="s">
        <v>276</v>
      </c>
      <c r="AD3319" s="1" t="s">
        <v>298</v>
      </c>
      <c r="AE3319" s="1" t="s">
        <v>515</v>
      </c>
      <c r="AF3319" s="1" t="s">
        <v>107</v>
      </c>
      <c r="AO3319" s="2">
        <v>46286</v>
      </c>
      <c r="AP3319" s="1" t="s">
        <v>885</v>
      </c>
      <c r="AS3319" s="1" t="s">
        <v>71</v>
      </c>
      <c r="AU3319" s="1" t="s">
        <v>72</v>
      </c>
      <c r="AV3319" s="1" t="s">
        <v>437</v>
      </c>
      <c r="AX3319" s="1">
        <v>0</v>
      </c>
      <c r="BA3319" s="1">
        <v>9</v>
      </c>
      <c r="BB3319" s="1">
        <v>0</v>
      </c>
      <c r="BC3319" s="1">
        <v>0</v>
      </c>
      <c r="BE3319" s="1">
        <v>27627651</v>
      </c>
    </row>
    <row r="3320" spans="1:57" x14ac:dyDescent="0.25">
      <c r="A3320" s="1" t="str">
        <f>T("1948675840334828148")</f>
        <v>1948675840334828148</v>
      </c>
      <c r="B3320" s="1" t="str">
        <f>T("249963772047")</f>
        <v>249963772047</v>
      </c>
      <c r="C3320" s="1" t="str">
        <f>T("1941094470829215096")</f>
        <v>1941094470829215096</v>
      </c>
      <c r="AC3320" s="1" t="s">
        <v>276</v>
      </c>
      <c r="AD3320" s="1" t="s">
        <v>298</v>
      </c>
      <c r="AE3320" s="1" t="s">
        <v>515</v>
      </c>
      <c r="AF3320" s="1" t="s">
        <v>144</v>
      </c>
      <c r="AO3320" s="2">
        <v>46286</v>
      </c>
      <c r="AP3320" s="1" t="s">
        <v>885</v>
      </c>
      <c r="AS3320" s="1" t="s">
        <v>71</v>
      </c>
      <c r="AU3320" s="1" t="s">
        <v>72</v>
      </c>
      <c r="AV3320" s="1" t="s">
        <v>437</v>
      </c>
      <c r="AX3320" s="1">
        <v>0</v>
      </c>
      <c r="BA3320" s="1">
        <v>9</v>
      </c>
      <c r="BB3320" s="1">
        <v>0</v>
      </c>
      <c r="BC3320" s="1">
        <v>0</v>
      </c>
      <c r="BE3320" s="1">
        <v>27627651</v>
      </c>
    </row>
    <row r="3321" spans="1:57" x14ac:dyDescent="0.25">
      <c r="A3321" s="1" t="str">
        <f>T("1948675840343217764")</f>
        <v>1948675840343217764</v>
      </c>
      <c r="B3321" s="1" t="str">
        <f>T("249912666856")</f>
        <v>249912666856</v>
      </c>
      <c r="C3321" s="1" t="str">
        <f>T("1941094470833409704")</f>
        <v>1941094470833409704</v>
      </c>
      <c r="AC3321" s="1" t="s">
        <v>276</v>
      </c>
      <c r="AD3321" s="1" t="s">
        <v>298</v>
      </c>
      <c r="AE3321" s="1" t="s">
        <v>515</v>
      </c>
      <c r="AF3321" s="1" t="s">
        <v>107</v>
      </c>
      <c r="AO3321" s="2">
        <v>46286</v>
      </c>
      <c r="AP3321" s="1" t="s">
        <v>885</v>
      </c>
      <c r="AS3321" s="1" t="s">
        <v>71</v>
      </c>
      <c r="AU3321" s="1" t="s">
        <v>72</v>
      </c>
      <c r="AV3321" s="1" t="s">
        <v>437</v>
      </c>
      <c r="AX3321" s="1">
        <v>0</v>
      </c>
      <c r="BA3321" s="1">
        <v>9</v>
      </c>
      <c r="BB3321" s="1">
        <v>0</v>
      </c>
      <c r="BC3321" s="1">
        <v>0</v>
      </c>
      <c r="BE3321" s="1">
        <v>27627651</v>
      </c>
    </row>
    <row r="3322" spans="1:57" x14ac:dyDescent="0.25">
      <c r="A3322" s="1" t="str">
        <f>T("1948675840347411572")</f>
        <v>1948675840347411572</v>
      </c>
      <c r="B3322" s="1" t="str">
        <f>T("249904828952")</f>
        <v>249904828952</v>
      </c>
      <c r="C3322" s="1" t="str">
        <f>T("1941094470837600612")</f>
        <v>1941094470837600612</v>
      </c>
      <c r="AC3322" s="1" t="s">
        <v>276</v>
      </c>
      <c r="AD3322" s="1" t="s">
        <v>517</v>
      </c>
      <c r="AE3322" s="1" t="s">
        <v>518</v>
      </c>
      <c r="AF3322" s="1" t="s">
        <v>144</v>
      </c>
      <c r="AO3322" s="2">
        <v>46286</v>
      </c>
      <c r="AP3322" s="1" t="s">
        <v>885</v>
      </c>
      <c r="AS3322" s="1" t="s">
        <v>71</v>
      </c>
      <c r="AU3322" s="1" t="s">
        <v>72</v>
      </c>
      <c r="AV3322" s="1" t="s">
        <v>126</v>
      </c>
      <c r="AX3322" s="1">
        <v>0</v>
      </c>
      <c r="BA3322" s="1">
        <v>9</v>
      </c>
      <c r="BB3322" s="1">
        <v>0</v>
      </c>
      <c r="BC3322" s="1">
        <v>0</v>
      </c>
      <c r="BE3322" s="1">
        <v>27627651</v>
      </c>
    </row>
    <row r="3323" spans="1:57" x14ac:dyDescent="0.25">
      <c r="A3323" s="1" t="str">
        <f>T("1948675840385162944")</f>
        <v>1948675840385162944</v>
      </c>
      <c r="B3323" s="1" t="str">
        <f>T("249907858604")</f>
        <v>249907858604</v>
      </c>
      <c r="C3323" s="1" t="str">
        <f>T("1941094470837601112")</f>
        <v>1941094470837601112</v>
      </c>
      <c r="AC3323" s="1" t="s">
        <v>276</v>
      </c>
      <c r="AD3323" s="1" t="s">
        <v>517</v>
      </c>
      <c r="AE3323" s="1" t="s">
        <v>518</v>
      </c>
      <c r="AF3323" s="1" t="s">
        <v>107</v>
      </c>
      <c r="AO3323" s="2">
        <v>46286</v>
      </c>
      <c r="AP3323" s="1" t="s">
        <v>885</v>
      </c>
      <c r="AS3323" s="1" t="s">
        <v>71</v>
      </c>
      <c r="AU3323" s="1" t="s">
        <v>72</v>
      </c>
      <c r="AV3323" s="1" t="s">
        <v>126</v>
      </c>
      <c r="AX3323" s="1">
        <v>0</v>
      </c>
      <c r="BA3323" s="1">
        <v>9</v>
      </c>
      <c r="BB3323" s="1">
        <v>0</v>
      </c>
      <c r="BC3323" s="1">
        <v>0</v>
      </c>
      <c r="BE3323" s="1">
        <v>27627651</v>
      </c>
    </row>
    <row r="3324" spans="1:57" x14ac:dyDescent="0.25">
      <c r="A3324" s="1" t="str">
        <f>T("1948675840431296532")</f>
        <v>1948675840431296532</v>
      </c>
      <c r="B3324" s="1" t="str">
        <f>T("249900863685")</f>
        <v>249900863685</v>
      </c>
      <c r="C3324" s="1" t="str">
        <f>T("1941094470841795220")</f>
        <v>1941094470841795220</v>
      </c>
      <c r="AC3324" s="1" t="s">
        <v>276</v>
      </c>
      <c r="AD3324" s="1" t="s">
        <v>517</v>
      </c>
      <c r="AE3324" s="1" t="s">
        <v>518</v>
      </c>
      <c r="AF3324" s="1" t="s">
        <v>107</v>
      </c>
      <c r="AO3324" s="2">
        <v>46286</v>
      </c>
      <c r="AP3324" s="1" t="s">
        <v>885</v>
      </c>
      <c r="AS3324" s="1" t="s">
        <v>71</v>
      </c>
      <c r="AU3324" s="1" t="s">
        <v>72</v>
      </c>
      <c r="AV3324" s="1" t="s">
        <v>126</v>
      </c>
      <c r="AX3324" s="1">
        <v>0</v>
      </c>
      <c r="BA3324" s="1">
        <v>9</v>
      </c>
      <c r="BB3324" s="1">
        <v>0</v>
      </c>
      <c r="BC3324" s="1">
        <v>0</v>
      </c>
      <c r="BE3324" s="1">
        <v>27627651</v>
      </c>
    </row>
    <row r="3325" spans="1:57" x14ac:dyDescent="0.25">
      <c r="A3325" s="1" t="str">
        <f>T("1948675840448074864")</f>
        <v>1948675840448074864</v>
      </c>
      <c r="B3325" s="1" t="str">
        <f>T("249913839822")</f>
        <v>249913839822</v>
      </c>
      <c r="C3325" s="1" t="str">
        <f>T("1941094470841795720")</f>
        <v>1941094470841795720</v>
      </c>
      <c r="AC3325" s="1" t="s">
        <v>276</v>
      </c>
      <c r="AD3325" s="1" t="s">
        <v>517</v>
      </c>
      <c r="AE3325" s="1" t="s">
        <v>518</v>
      </c>
      <c r="AF3325" s="1" t="s">
        <v>107</v>
      </c>
      <c r="AO3325" s="2">
        <v>46286</v>
      </c>
      <c r="AP3325" s="1" t="s">
        <v>885</v>
      </c>
      <c r="AS3325" s="1" t="s">
        <v>71</v>
      </c>
      <c r="AU3325" s="1" t="s">
        <v>72</v>
      </c>
      <c r="AV3325" s="1" t="s">
        <v>73</v>
      </c>
      <c r="AX3325" s="1">
        <v>0</v>
      </c>
      <c r="BA3325" s="1">
        <v>9</v>
      </c>
      <c r="BB3325" s="1">
        <v>0</v>
      </c>
      <c r="BC3325" s="1">
        <v>0</v>
      </c>
      <c r="BE3325" s="1">
        <v>27627651</v>
      </c>
    </row>
    <row r="3326" spans="1:57" x14ac:dyDescent="0.25">
      <c r="A3326" s="1" t="str">
        <f>T("1948675840460657788")</f>
        <v>1948675840460657788</v>
      </c>
      <c r="B3326" s="1" t="str">
        <f>T("249965854537")</f>
        <v>249965854537</v>
      </c>
      <c r="C3326" s="1" t="str">
        <f>T("1941094470845992328")</f>
        <v>1941094470845992328</v>
      </c>
      <c r="AC3326" s="1" t="s">
        <v>276</v>
      </c>
      <c r="AD3326" s="1" t="s">
        <v>517</v>
      </c>
      <c r="AE3326" s="1" t="s">
        <v>518</v>
      </c>
      <c r="AF3326" s="1" t="s">
        <v>144</v>
      </c>
      <c r="AO3326" s="2">
        <v>46286</v>
      </c>
      <c r="AP3326" s="1" t="s">
        <v>885</v>
      </c>
      <c r="AS3326" s="1" t="s">
        <v>71</v>
      </c>
      <c r="AU3326" s="1" t="s">
        <v>72</v>
      </c>
      <c r="AV3326" s="1" t="s">
        <v>73</v>
      </c>
      <c r="AX3326" s="1">
        <v>0</v>
      </c>
      <c r="BA3326" s="1">
        <v>9</v>
      </c>
      <c r="BB3326" s="1">
        <v>0</v>
      </c>
      <c r="BC3326" s="1">
        <v>0</v>
      </c>
      <c r="BE3326" s="1">
        <v>27627651</v>
      </c>
    </row>
    <row r="3327" spans="1:57" x14ac:dyDescent="0.25">
      <c r="A3327" s="1" t="str">
        <f>T("1948675840460658088")</f>
        <v>1948675840460658088</v>
      </c>
      <c r="B3327" s="1" t="str">
        <f>T("249914083712")</f>
        <v>249914083712</v>
      </c>
      <c r="C3327" s="1" t="str">
        <f>T("1941094470854379044")</f>
        <v>1941094470854379044</v>
      </c>
      <c r="AC3327" s="1" t="s">
        <v>276</v>
      </c>
      <c r="AD3327" s="1" t="s">
        <v>517</v>
      </c>
      <c r="AE3327" s="1" t="s">
        <v>519</v>
      </c>
      <c r="AF3327" s="1" t="s">
        <v>107</v>
      </c>
      <c r="AO3327" s="2">
        <v>46286</v>
      </c>
      <c r="AP3327" s="1" t="s">
        <v>885</v>
      </c>
      <c r="AS3327" s="1" t="s">
        <v>71</v>
      </c>
      <c r="AU3327" s="1" t="s">
        <v>72</v>
      </c>
      <c r="AV3327" s="1" t="s">
        <v>126</v>
      </c>
      <c r="AX3327" s="1">
        <v>0</v>
      </c>
      <c r="BA3327" s="1">
        <v>9</v>
      </c>
      <c r="BB3327" s="1">
        <v>0</v>
      </c>
      <c r="BC3327" s="1">
        <v>0</v>
      </c>
      <c r="BE3327" s="1">
        <v>27627651</v>
      </c>
    </row>
    <row r="3328" spans="1:57" x14ac:dyDescent="0.25">
      <c r="A3328" s="1" t="str">
        <f>T("1948675840460658988")</f>
        <v>1948675840460658988</v>
      </c>
      <c r="B3328" s="1" t="str">
        <f>T("249918036901")</f>
        <v>249918036901</v>
      </c>
      <c r="C3328" s="1" t="str">
        <f>T("1941094470850185836")</f>
        <v>1941094470850185836</v>
      </c>
      <c r="AC3328" s="1" t="s">
        <v>276</v>
      </c>
      <c r="AD3328" s="1" t="s">
        <v>517</v>
      </c>
      <c r="AE3328" s="1" t="s">
        <v>519</v>
      </c>
      <c r="AF3328" s="1" t="s">
        <v>107</v>
      </c>
      <c r="AO3328" s="2">
        <v>46286</v>
      </c>
      <c r="AP3328" s="1" t="s">
        <v>885</v>
      </c>
      <c r="AS3328" s="1" t="s">
        <v>71</v>
      </c>
      <c r="AU3328" s="1" t="s">
        <v>72</v>
      </c>
      <c r="AV3328" s="1" t="s">
        <v>437</v>
      </c>
      <c r="AX3328" s="1">
        <v>0</v>
      </c>
      <c r="BA3328" s="1">
        <v>9</v>
      </c>
      <c r="BB3328" s="1">
        <v>0</v>
      </c>
      <c r="BC3328" s="1">
        <v>0</v>
      </c>
      <c r="BE3328" s="1">
        <v>27627651</v>
      </c>
    </row>
    <row r="3329" spans="1:57" x14ac:dyDescent="0.25">
      <c r="A3329" s="1" t="str">
        <f>T("1948675840469046504")</f>
        <v>1948675840469046504</v>
      </c>
      <c r="B3329" s="1" t="str">
        <f>T("249906455089")</f>
        <v>249906455089</v>
      </c>
      <c r="C3329" s="1" t="str">
        <f>T("1941094470854379444")</f>
        <v>1941094470854379444</v>
      </c>
      <c r="AC3329" s="1" t="s">
        <v>276</v>
      </c>
      <c r="AD3329" s="1" t="s">
        <v>517</v>
      </c>
      <c r="AE3329" s="1" t="s">
        <v>519</v>
      </c>
      <c r="AF3329" s="1" t="s">
        <v>107</v>
      </c>
      <c r="AO3329" s="2">
        <v>46286</v>
      </c>
      <c r="AP3329" s="1" t="s">
        <v>885</v>
      </c>
      <c r="AS3329" s="1" t="s">
        <v>71</v>
      </c>
      <c r="AU3329" s="1" t="s">
        <v>72</v>
      </c>
      <c r="AV3329" s="1" t="s">
        <v>126</v>
      </c>
      <c r="AX3329" s="1">
        <v>0</v>
      </c>
      <c r="BA3329" s="1">
        <v>9</v>
      </c>
      <c r="BB3329" s="1">
        <v>0</v>
      </c>
      <c r="BC3329" s="1">
        <v>0</v>
      </c>
      <c r="BE3329" s="1">
        <v>27627651</v>
      </c>
    </row>
    <row r="3330" spans="1:57" x14ac:dyDescent="0.25">
      <c r="A3330" s="1" t="str">
        <f>T("1948675840481629928")</f>
        <v>1948675840481629928</v>
      </c>
      <c r="B3330" s="1" t="str">
        <f>T("249917549984")</f>
        <v>249917549984</v>
      </c>
      <c r="C3330" s="1" t="str">
        <f>T("1941094470854379744")</f>
        <v>1941094470854379744</v>
      </c>
      <c r="AC3330" s="1" t="s">
        <v>276</v>
      </c>
      <c r="AD3330" s="1" t="s">
        <v>517</v>
      </c>
      <c r="AE3330" s="1" t="s">
        <v>520</v>
      </c>
      <c r="AF3330" s="1" t="s">
        <v>107</v>
      </c>
      <c r="AO3330" s="2">
        <v>46286</v>
      </c>
      <c r="AP3330" s="1" t="s">
        <v>885</v>
      </c>
      <c r="AS3330" s="1" t="s">
        <v>71</v>
      </c>
      <c r="AU3330" s="1" t="s">
        <v>72</v>
      </c>
      <c r="AV3330" s="1" t="s">
        <v>126</v>
      </c>
      <c r="AX3330" s="1">
        <v>0</v>
      </c>
      <c r="BA3330" s="1">
        <v>9</v>
      </c>
      <c r="BB3330" s="1">
        <v>0</v>
      </c>
      <c r="BC3330" s="1">
        <v>0</v>
      </c>
      <c r="BE3330" s="1">
        <v>27627651</v>
      </c>
    </row>
    <row r="3331" spans="1:57" x14ac:dyDescent="0.25">
      <c r="A3331" s="1" t="str">
        <f>T("1949041005177805212")</f>
        <v>1949041005177805212</v>
      </c>
      <c r="B3331" s="1" t="str">
        <f>T("249923667007")</f>
        <v>249923667007</v>
      </c>
      <c r="C3331" s="1" t="str">
        <f>T("1941094533060103692")</f>
        <v>1941094533060103692</v>
      </c>
      <c r="AC3331" s="1" t="s">
        <v>344</v>
      </c>
      <c r="AD3331" s="1" t="s">
        <v>372</v>
      </c>
      <c r="AE3331" s="1" t="s">
        <v>813</v>
      </c>
      <c r="AF3331" s="1" t="s">
        <v>144</v>
      </c>
      <c r="AG3331" s="1">
        <v>75</v>
      </c>
      <c r="AO3331" s="2">
        <v>46287</v>
      </c>
      <c r="AP3331" s="1" t="s">
        <v>886</v>
      </c>
      <c r="AS3331" s="1" t="s">
        <v>71</v>
      </c>
      <c r="AU3331" s="1" t="s">
        <v>72</v>
      </c>
      <c r="AV3331" s="1" t="s">
        <v>73</v>
      </c>
      <c r="AX3331" s="1">
        <v>0</v>
      </c>
      <c r="BA3331" s="1">
        <v>9</v>
      </c>
      <c r="BB3331" s="1">
        <v>0</v>
      </c>
      <c r="BC3331" s="1">
        <v>0</v>
      </c>
      <c r="BE3331" s="1">
        <v>27644677</v>
      </c>
    </row>
    <row r="3332" spans="1:57" x14ac:dyDescent="0.25">
      <c r="A3332" s="1" t="str">
        <f>T("1949041005341382024")</f>
        <v>1949041005341382024</v>
      </c>
      <c r="B3332" s="1" t="str">
        <f>T("249906082120")</f>
        <v>249906082120</v>
      </c>
      <c r="C3332" s="1" t="str">
        <f>T("1941094533064294400")</f>
        <v>1941094533064294400</v>
      </c>
      <c r="AC3332" s="1" t="s">
        <v>344</v>
      </c>
      <c r="AD3332" s="1" t="s">
        <v>430</v>
      </c>
      <c r="AE3332" s="1" t="s">
        <v>530</v>
      </c>
      <c r="AF3332" s="1" t="s">
        <v>144</v>
      </c>
      <c r="AG3332" s="1">
        <v>48</v>
      </c>
      <c r="AO3332" s="2">
        <v>46287</v>
      </c>
      <c r="AP3332" s="1" t="s">
        <v>886</v>
      </c>
      <c r="AS3332" s="1" t="s">
        <v>71</v>
      </c>
      <c r="AU3332" s="1" t="s">
        <v>72</v>
      </c>
      <c r="AV3332" s="1" t="s">
        <v>73</v>
      </c>
      <c r="AX3332" s="1">
        <v>0</v>
      </c>
      <c r="BA3332" s="1">
        <v>9</v>
      </c>
      <c r="BB3332" s="1">
        <v>0</v>
      </c>
      <c r="BC3332" s="1">
        <v>0</v>
      </c>
      <c r="BE3332" s="1">
        <v>27644677</v>
      </c>
    </row>
    <row r="3333" spans="1:57" x14ac:dyDescent="0.25">
      <c r="A3333" s="1" t="str">
        <f>T("1949041005412687860")</f>
        <v>1949041005412687860</v>
      </c>
      <c r="B3333" s="1" t="str">
        <f>T("249962753615")</f>
        <v>249962753615</v>
      </c>
      <c r="C3333" s="1" t="str">
        <f>T("1941094533064294800")</f>
        <v>1941094533064294800</v>
      </c>
      <c r="AC3333" s="1" t="s">
        <v>344</v>
      </c>
      <c r="AD3333" s="1" t="s">
        <v>430</v>
      </c>
      <c r="AE3333" s="1" t="s">
        <v>530</v>
      </c>
      <c r="AF3333" s="1" t="s">
        <v>107</v>
      </c>
      <c r="AG3333" s="1">
        <v>24</v>
      </c>
      <c r="AO3333" s="2">
        <v>46287</v>
      </c>
      <c r="AP3333" s="1" t="s">
        <v>886</v>
      </c>
      <c r="AS3333" s="1" t="s">
        <v>71</v>
      </c>
      <c r="AU3333" s="1" t="s">
        <v>72</v>
      </c>
      <c r="AV3333" s="1" t="s">
        <v>437</v>
      </c>
      <c r="AX3333" s="1">
        <v>0</v>
      </c>
      <c r="BA3333" s="1">
        <v>9</v>
      </c>
      <c r="BB3333" s="1">
        <v>0</v>
      </c>
      <c r="BC3333" s="1">
        <v>0</v>
      </c>
      <c r="BE3333" s="1">
        <v>27644677</v>
      </c>
    </row>
    <row r="3334" spans="1:57" x14ac:dyDescent="0.25">
      <c r="A3334" s="1" t="str">
        <f>T("1949041005475602380")</f>
        <v>1949041005475602380</v>
      </c>
      <c r="B3334" s="1" t="str">
        <f>T("249914726516")</f>
        <v>249914726516</v>
      </c>
      <c r="C3334" s="1" t="str">
        <f>T("1941094533064295800")</f>
        <v>1941094533064295800</v>
      </c>
      <c r="AC3334" s="1" t="s">
        <v>344</v>
      </c>
      <c r="AD3334" s="1" t="s">
        <v>430</v>
      </c>
      <c r="AE3334" s="1" t="s">
        <v>530</v>
      </c>
      <c r="AF3334" s="1" t="s">
        <v>107</v>
      </c>
      <c r="AG3334" s="1">
        <v>40</v>
      </c>
      <c r="AO3334" s="2">
        <v>46287</v>
      </c>
      <c r="AP3334" s="1" t="s">
        <v>886</v>
      </c>
      <c r="AS3334" s="1" t="s">
        <v>71</v>
      </c>
      <c r="AU3334" s="1" t="s">
        <v>72</v>
      </c>
      <c r="AV3334" s="1" t="s">
        <v>73</v>
      </c>
      <c r="AX3334" s="1">
        <v>0</v>
      </c>
      <c r="BA3334" s="1">
        <v>9</v>
      </c>
      <c r="BB3334" s="1">
        <v>0</v>
      </c>
      <c r="BC3334" s="1">
        <v>0</v>
      </c>
      <c r="BE3334" s="1">
        <v>27644677</v>
      </c>
    </row>
    <row r="3335" spans="1:57" x14ac:dyDescent="0.25">
      <c r="A3335" s="1" t="str">
        <f>T("1949041005479793888")</f>
        <v>1949041005479793888</v>
      </c>
      <c r="B3335" s="1" t="str">
        <f>T("249919416913")</f>
        <v>249919416913</v>
      </c>
      <c r="C3335" s="1" t="str">
        <f>T("1941094533064295400")</f>
        <v>1941094533064295400</v>
      </c>
      <c r="AC3335" s="1" t="s">
        <v>344</v>
      </c>
      <c r="AD3335" s="1" t="s">
        <v>441</v>
      </c>
      <c r="AE3335" s="1" t="s">
        <v>530</v>
      </c>
      <c r="AF3335" s="1" t="s">
        <v>144</v>
      </c>
      <c r="AG3335" s="1">
        <v>25</v>
      </c>
      <c r="AO3335" s="2">
        <v>46287</v>
      </c>
      <c r="AP3335" s="1" t="s">
        <v>886</v>
      </c>
      <c r="AS3335" s="1" t="s">
        <v>71</v>
      </c>
      <c r="AU3335" s="1" t="s">
        <v>72</v>
      </c>
      <c r="AV3335" s="1" t="s">
        <v>73</v>
      </c>
      <c r="AX3335" s="1">
        <v>0</v>
      </c>
      <c r="BA3335" s="1">
        <v>9</v>
      </c>
      <c r="BB3335" s="1">
        <v>0</v>
      </c>
      <c r="BC3335" s="1">
        <v>0</v>
      </c>
      <c r="BE3335" s="1">
        <v>27644677</v>
      </c>
    </row>
    <row r="3336" spans="1:57" x14ac:dyDescent="0.25">
      <c r="A3336" s="1" t="str">
        <f>T("1949041005546903216")</f>
        <v>1949041005546903216</v>
      </c>
      <c r="B3336" s="1" t="str">
        <f>T("249914615185")</f>
        <v>249914615185</v>
      </c>
      <c r="C3336" s="1" t="str">
        <f>T("1941094533064296400")</f>
        <v>1941094533064296400</v>
      </c>
      <c r="AC3336" s="1" t="s">
        <v>344</v>
      </c>
      <c r="AD3336" s="1" t="s">
        <v>357</v>
      </c>
      <c r="AE3336" s="1" t="s">
        <v>812</v>
      </c>
      <c r="AF3336" s="1" t="s">
        <v>107</v>
      </c>
      <c r="AG3336" s="1">
        <v>35</v>
      </c>
      <c r="AO3336" s="2">
        <v>46287</v>
      </c>
      <c r="AP3336" s="1" t="s">
        <v>886</v>
      </c>
      <c r="AS3336" s="1" t="s">
        <v>71</v>
      </c>
      <c r="AU3336" s="1" t="s">
        <v>72</v>
      </c>
      <c r="AV3336" s="1" t="s">
        <v>73</v>
      </c>
      <c r="AX3336" s="1">
        <v>0</v>
      </c>
      <c r="BA3336" s="1">
        <v>9</v>
      </c>
      <c r="BB3336" s="1">
        <v>0</v>
      </c>
      <c r="BC3336" s="1">
        <v>0</v>
      </c>
      <c r="BE3336" s="1">
        <v>27644677</v>
      </c>
    </row>
    <row r="3337" spans="1:57" x14ac:dyDescent="0.25">
      <c r="A3337" s="1" t="str">
        <f>T("1949041005551098024")</f>
        <v>1949041005551098024</v>
      </c>
      <c r="B3337" s="1" t="str">
        <f>T("249968844853")</f>
        <v>249968844853</v>
      </c>
      <c r="C3337" s="1" t="str">
        <f>T("1941094533064296800")</f>
        <v>1941094533064296800</v>
      </c>
      <c r="AC3337" s="1" t="s">
        <v>344</v>
      </c>
      <c r="AD3337" s="1" t="s">
        <v>357</v>
      </c>
      <c r="AE3337" s="1" t="s">
        <v>812</v>
      </c>
      <c r="AF3337" s="1" t="s">
        <v>107</v>
      </c>
      <c r="AG3337" s="1">
        <v>33</v>
      </c>
      <c r="AO3337" s="2">
        <v>46287</v>
      </c>
      <c r="AP3337" s="1" t="s">
        <v>886</v>
      </c>
      <c r="AS3337" s="1" t="s">
        <v>71</v>
      </c>
      <c r="AU3337" s="1" t="s">
        <v>72</v>
      </c>
      <c r="AV3337" s="1" t="s">
        <v>126</v>
      </c>
      <c r="AX3337" s="1">
        <v>0</v>
      </c>
      <c r="BA3337" s="1">
        <v>9</v>
      </c>
      <c r="BB3337" s="1">
        <v>0</v>
      </c>
      <c r="BC3337" s="1">
        <v>0</v>
      </c>
      <c r="BE3337" s="1">
        <v>27644677</v>
      </c>
    </row>
    <row r="3338" spans="1:57" x14ac:dyDescent="0.25">
      <c r="A3338" s="1" t="str">
        <f>T("1949041005601429420")</f>
        <v>1949041005601429420</v>
      </c>
      <c r="B3338" s="1" t="str">
        <f>T("249904922898")</f>
        <v>249904922898</v>
      </c>
      <c r="C3338" s="1" t="str">
        <f>T("1941094533064297200")</f>
        <v>1941094533064297200</v>
      </c>
      <c r="AC3338" s="1" t="s">
        <v>344</v>
      </c>
      <c r="AD3338" s="1" t="s">
        <v>430</v>
      </c>
      <c r="AE3338" s="1" t="s">
        <v>530</v>
      </c>
      <c r="AF3338" s="1" t="s">
        <v>144</v>
      </c>
      <c r="AG3338" s="1">
        <v>23</v>
      </c>
      <c r="AO3338" s="2">
        <v>46287</v>
      </c>
      <c r="AP3338" s="1" t="s">
        <v>886</v>
      </c>
      <c r="AS3338" s="1" t="s">
        <v>71</v>
      </c>
      <c r="AU3338" s="1" t="s">
        <v>72</v>
      </c>
      <c r="AV3338" s="1" t="s">
        <v>73</v>
      </c>
      <c r="AX3338" s="1">
        <v>0</v>
      </c>
      <c r="BA3338" s="1">
        <v>9</v>
      </c>
      <c r="BB3338" s="1">
        <v>0</v>
      </c>
      <c r="BC3338" s="1">
        <v>0</v>
      </c>
      <c r="BE3338" s="1">
        <v>27644677</v>
      </c>
    </row>
    <row r="3339" spans="1:57" x14ac:dyDescent="0.25">
      <c r="A3339" s="1" t="str">
        <f>T("1949041005605624428")</f>
        <v>1949041005605624428</v>
      </c>
      <c r="B3339" s="1" t="str">
        <f>T("249904757928")</f>
        <v>249904757928</v>
      </c>
      <c r="C3339" s="1" t="str">
        <f>T("1941094533064297800")</f>
        <v>1941094533064297800</v>
      </c>
      <c r="AC3339" s="1" t="s">
        <v>344</v>
      </c>
      <c r="AD3339" s="1" t="s">
        <v>430</v>
      </c>
      <c r="AE3339" s="1" t="s">
        <v>530</v>
      </c>
      <c r="AF3339" s="1" t="s">
        <v>107</v>
      </c>
      <c r="AG3339" s="1">
        <v>55</v>
      </c>
      <c r="AO3339" s="2">
        <v>46287</v>
      </c>
      <c r="AP3339" s="1" t="s">
        <v>886</v>
      </c>
      <c r="AS3339" s="1" t="s">
        <v>71</v>
      </c>
      <c r="AU3339" s="1" t="s">
        <v>72</v>
      </c>
      <c r="AV3339" s="1" t="s">
        <v>73</v>
      </c>
      <c r="AX3339" s="1">
        <v>0</v>
      </c>
      <c r="BA3339" s="1">
        <v>9</v>
      </c>
      <c r="BB3339" s="1">
        <v>0</v>
      </c>
      <c r="BC3339" s="1">
        <v>0</v>
      </c>
      <c r="BE3339" s="1">
        <v>27644677</v>
      </c>
    </row>
    <row r="3340" spans="1:57" x14ac:dyDescent="0.25">
      <c r="A3340" s="1" t="str">
        <f>T("1949041005660149832")</f>
        <v>1949041005660149832</v>
      </c>
      <c r="B3340" s="1" t="str">
        <f>T("249924998800")</f>
        <v>249924998800</v>
      </c>
      <c r="C3340" s="1" t="str">
        <f>T("1941094533064298300")</f>
        <v>1941094533064298300</v>
      </c>
      <c r="AA3340" s="1">
        <v>1</v>
      </c>
      <c r="AC3340" s="1" t="s">
        <v>344</v>
      </c>
      <c r="AD3340" s="1" t="s">
        <v>372</v>
      </c>
      <c r="AE3340" s="1" t="s">
        <v>820</v>
      </c>
      <c r="AF3340" s="1" t="s">
        <v>107</v>
      </c>
      <c r="AG3340" s="1">
        <v>63</v>
      </c>
      <c r="AO3340" s="2">
        <v>46287</v>
      </c>
      <c r="AP3340" s="1" t="s">
        <v>886</v>
      </c>
      <c r="AQ3340" s="2">
        <v>46287</v>
      </c>
      <c r="AR3340" s="1" t="s">
        <v>887</v>
      </c>
      <c r="AS3340" s="1" t="s">
        <v>71</v>
      </c>
      <c r="AU3340" s="1" t="s">
        <v>79</v>
      </c>
      <c r="AV3340" s="1" t="s">
        <v>80</v>
      </c>
      <c r="AW3340" s="1">
        <v>62.301000000000002</v>
      </c>
      <c r="AX3340" s="1">
        <v>0</v>
      </c>
      <c r="AZ3340" s="1" t="s">
        <v>81</v>
      </c>
      <c r="BA3340" s="1">
        <v>1</v>
      </c>
      <c r="BB3340" s="1">
        <v>0</v>
      </c>
      <c r="BC3340" s="1">
        <v>0</v>
      </c>
      <c r="BE3340" s="1">
        <v>27644677</v>
      </c>
    </row>
    <row r="3341" spans="1:57" x14ac:dyDescent="0.25">
      <c r="A3341" s="1" t="str">
        <f>T("1949041005660151332")</f>
        <v>1949041005660151332</v>
      </c>
      <c r="B3341" s="1" t="str">
        <f>T("249129687564")</f>
        <v>249129687564</v>
      </c>
      <c r="C3341" s="1" t="str">
        <f>T("1941094533068489008")</f>
        <v>1941094533068489008</v>
      </c>
      <c r="AA3341" s="1">
        <v>1</v>
      </c>
      <c r="AC3341" s="1" t="s">
        <v>344</v>
      </c>
      <c r="AD3341" s="1" t="s">
        <v>372</v>
      </c>
      <c r="AE3341" s="1" t="s">
        <v>814</v>
      </c>
      <c r="AF3341" s="1" t="s">
        <v>107</v>
      </c>
      <c r="AG3341" s="1">
        <v>29</v>
      </c>
      <c r="AO3341" s="2">
        <v>46287</v>
      </c>
      <c r="AP3341" s="1" t="s">
        <v>886</v>
      </c>
      <c r="AQ3341" s="2">
        <v>46287</v>
      </c>
      <c r="AR3341" s="1" t="s">
        <v>888</v>
      </c>
      <c r="AS3341" s="1" t="s">
        <v>71</v>
      </c>
      <c r="AU3341" s="1" t="s">
        <v>79</v>
      </c>
      <c r="AV3341" s="1" t="s">
        <v>80</v>
      </c>
      <c r="AW3341" s="1">
        <v>67.8</v>
      </c>
      <c r="AX3341" s="1">
        <v>0</v>
      </c>
      <c r="AZ3341" s="1" t="s">
        <v>81</v>
      </c>
      <c r="BA3341" s="1">
        <v>8</v>
      </c>
      <c r="BB3341" s="1">
        <v>0</v>
      </c>
      <c r="BC3341" s="1">
        <v>0</v>
      </c>
      <c r="BE3341" s="1">
        <v>27644677</v>
      </c>
    </row>
    <row r="3342" spans="1:57" x14ac:dyDescent="0.25">
      <c r="A3342" s="1" t="str">
        <f>T("1949041005714676336")</f>
        <v>1949041005714676336</v>
      </c>
      <c r="B3342" s="1" t="str">
        <f>T("249968423470")</f>
        <v>249968423470</v>
      </c>
      <c r="C3342" s="1" t="str">
        <f>T("1941094533068489408")</f>
        <v>1941094533068489408</v>
      </c>
      <c r="AC3342" s="1" t="s">
        <v>344</v>
      </c>
      <c r="AD3342" s="1" t="s">
        <v>372</v>
      </c>
      <c r="AE3342" s="1" t="s">
        <v>373</v>
      </c>
      <c r="AF3342" s="1" t="s">
        <v>107</v>
      </c>
      <c r="AG3342" s="1">
        <v>26</v>
      </c>
      <c r="AO3342" s="2">
        <v>46287</v>
      </c>
      <c r="AP3342" s="1" t="s">
        <v>886</v>
      </c>
      <c r="AS3342" s="1" t="s">
        <v>71</v>
      </c>
      <c r="AU3342" s="1" t="s">
        <v>72</v>
      </c>
      <c r="AV3342" s="1" t="s">
        <v>437</v>
      </c>
      <c r="AX3342" s="1">
        <v>0</v>
      </c>
      <c r="BA3342" s="1">
        <v>9</v>
      </c>
      <c r="BB3342" s="1">
        <v>0</v>
      </c>
      <c r="BC3342" s="1">
        <v>0</v>
      </c>
      <c r="BE3342" s="1">
        <v>27644677</v>
      </c>
    </row>
    <row r="3343" spans="1:57" x14ac:dyDescent="0.25">
      <c r="A3343" s="1" t="str">
        <f>T("1949041005718871244")</f>
        <v>1949041005718871244</v>
      </c>
      <c r="B3343" s="1" t="str">
        <f>T("249918814491")</f>
        <v>249918814491</v>
      </c>
      <c r="C3343" s="1" t="str">
        <f>T("1941094533068490308")</f>
        <v>1941094533068490308</v>
      </c>
      <c r="AC3343" s="1" t="s">
        <v>344</v>
      </c>
      <c r="AD3343" s="1" t="s">
        <v>372</v>
      </c>
      <c r="AE3343" s="1" t="s">
        <v>813</v>
      </c>
      <c r="AF3343" s="1" t="s">
        <v>107</v>
      </c>
      <c r="AG3343" s="1">
        <v>67</v>
      </c>
      <c r="AO3343" s="2">
        <v>46287</v>
      </c>
      <c r="AP3343" s="1" t="s">
        <v>886</v>
      </c>
      <c r="AS3343" s="1" t="s">
        <v>71</v>
      </c>
      <c r="AU3343" s="1" t="s">
        <v>72</v>
      </c>
      <c r="AV3343" s="1" t="s">
        <v>437</v>
      </c>
      <c r="AX3343" s="1">
        <v>0</v>
      </c>
      <c r="BA3343" s="1">
        <v>9</v>
      </c>
      <c r="BB3343" s="1">
        <v>0</v>
      </c>
      <c r="BC3343" s="1">
        <v>0</v>
      </c>
      <c r="BE3343" s="1">
        <v>27644677</v>
      </c>
    </row>
    <row r="3344" spans="1:57" x14ac:dyDescent="0.25">
      <c r="A3344" s="1" t="str">
        <f>T("1949041005773396448")</f>
        <v>1949041005773396448</v>
      </c>
      <c r="B3344" s="1" t="str">
        <f>T("249907924350")</f>
        <v>249907924350</v>
      </c>
      <c r="C3344" s="1" t="str">
        <f>T("1941094533068490708")</f>
        <v>1941094533068490708</v>
      </c>
      <c r="AC3344" s="1" t="s">
        <v>344</v>
      </c>
      <c r="AD3344" s="1" t="s">
        <v>372</v>
      </c>
      <c r="AE3344" s="1" t="s">
        <v>820</v>
      </c>
      <c r="AF3344" s="1" t="s">
        <v>107</v>
      </c>
      <c r="AG3344" s="1">
        <v>45</v>
      </c>
      <c r="AO3344" s="2">
        <v>46287</v>
      </c>
      <c r="AP3344" s="1" t="s">
        <v>886</v>
      </c>
      <c r="AS3344" s="1" t="s">
        <v>71</v>
      </c>
      <c r="AU3344" s="1" t="s">
        <v>72</v>
      </c>
      <c r="AV3344" s="1" t="s">
        <v>126</v>
      </c>
      <c r="AX3344" s="1">
        <v>0</v>
      </c>
      <c r="BA3344" s="1">
        <v>9</v>
      </c>
      <c r="BB3344" s="1">
        <v>0</v>
      </c>
      <c r="BC3344" s="1">
        <v>0</v>
      </c>
      <c r="BE3344" s="1">
        <v>27644677</v>
      </c>
    </row>
    <row r="3345" spans="1:57" x14ac:dyDescent="0.25">
      <c r="A3345" s="1" t="str">
        <f>T("1949041005781782564")</f>
        <v>1949041005781782564</v>
      </c>
      <c r="B3345" s="1" t="str">
        <f>T("249921062594")</f>
        <v>249921062594</v>
      </c>
      <c r="C3345" s="1" t="str">
        <f>T("1941094533068491108")</f>
        <v>1941094533068491108</v>
      </c>
      <c r="M3345" s="1" t="s">
        <v>59</v>
      </c>
      <c r="O3345" s="1" t="s">
        <v>65</v>
      </c>
      <c r="P3345" s="1" t="s">
        <v>111</v>
      </c>
      <c r="Q3345" s="1" t="s">
        <v>62</v>
      </c>
      <c r="AA3345" s="1">
        <v>1</v>
      </c>
      <c r="AC3345" s="1" t="s">
        <v>344</v>
      </c>
      <c r="AD3345" s="1" t="s">
        <v>372</v>
      </c>
      <c r="AE3345" s="1" t="s">
        <v>814</v>
      </c>
      <c r="AF3345" s="1" t="s">
        <v>144</v>
      </c>
      <c r="AG3345" s="1">
        <v>26</v>
      </c>
      <c r="AO3345" s="2">
        <v>46287</v>
      </c>
      <c r="AP3345" s="1" t="s">
        <v>886</v>
      </c>
      <c r="AQ3345" s="2">
        <v>46287</v>
      </c>
      <c r="AR3345" s="1" t="s">
        <v>889</v>
      </c>
      <c r="AS3345" s="1" t="s">
        <v>71</v>
      </c>
      <c r="AU3345" s="1" t="s">
        <v>79</v>
      </c>
      <c r="AV3345" s="1" t="s">
        <v>80</v>
      </c>
      <c r="AW3345" s="1">
        <v>81.64</v>
      </c>
      <c r="AX3345" s="1">
        <v>0</v>
      </c>
      <c r="AZ3345" s="1" t="s">
        <v>81</v>
      </c>
      <c r="BA3345" s="1">
        <v>4</v>
      </c>
      <c r="BB3345" s="1">
        <v>0</v>
      </c>
      <c r="BC3345" s="1">
        <v>0</v>
      </c>
      <c r="BE3345" s="1">
        <v>27644677</v>
      </c>
    </row>
    <row r="3346" spans="1:57" x14ac:dyDescent="0.25">
      <c r="A3346" s="1" t="str">
        <f>T("1949041005827923452")</f>
        <v>1949041005827923452</v>
      </c>
      <c r="B3346" s="1" t="str">
        <f>T("249966902801")</f>
        <v>249966902801</v>
      </c>
      <c r="C3346" s="1" t="str">
        <f>T("1941094533068491908")</f>
        <v>1941094533068491908</v>
      </c>
      <c r="AC3346" s="1" t="s">
        <v>344</v>
      </c>
      <c r="AD3346" s="1" t="s">
        <v>430</v>
      </c>
      <c r="AE3346" s="1" t="s">
        <v>530</v>
      </c>
      <c r="AF3346" s="1" t="s">
        <v>144</v>
      </c>
      <c r="AG3346" s="1">
        <v>42</v>
      </c>
      <c r="AO3346" s="2">
        <v>46287</v>
      </c>
      <c r="AP3346" s="1" t="s">
        <v>886</v>
      </c>
      <c r="AS3346" s="1" t="s">
        <v>71</v>
      </c>
      <c r="AU3346" s="1" t="s">
        <v>72</v>
      </c>
      <c r="AV3346" s="1" t="s">
        <v>437</v>
      </c>
      <c r="AX3346" s="1">
        <v>0</v>
      </c>
      <c r="BA3346" s="1">
        <v>9</v>
      </c>
      <c r="BB3346" s="1">
        <v>0</v>
      </c>
      <c r="BC3346" s="1">
        <v>0</v>
      </c>
      <c r="BE3346" s="1">
        <v>27644677</v>
      </c>
    </row>
    <row r="3347" spans="1:57" x14ac:dyDescent="0.25">
      <c r="A3347" s="1" t="str">
        <f>T("1949041005832115260")</f>
        <v>1949041005832115260</v>
      </c>
      <c r="B3347" s="1" t="str">
        <f>T("249963811024")</f>
        <v>249963811024</v>
      </c>
      <c r="C3347" s="1" t="str">
        <f>T("1941094533068492408")</f>
        <v>1941094533068492408</v>
      </c>
      <c r="AC3347" s="1" t="s">
        <v>344</v>
      </c>
      <c r="AD3347" s="1" t="s">
        <v>441</v>
      </c>
      <c r="AE3347" s="1" t="s">
        <v>530</v>
      </c>
      <c r="AF3347" s="1" t="s">
        <v>144</v>
      </c>
      <c r="AG3347" s="1">
        <v>30</v>
      </c>
      <c r="AO3347" s="2">
        <v>46287</v>
      </c>
      <c r="AP3347" s="1" t="s">
        <v>886</v>
      </c>
      <c r="AS3347" s="1" t="s">
        <v>71</v>
      </c>
      <c r="AU3347" s="1" t="s">
        <v>72</v>
      </c>
      <c r="AV3347" s="1" t="s">
        <v>73</v>
      </c>
      <c r="AX3347" s="1">
        <v>0</v>
      </c>
      <c r="BA3347" s="1">
        <v>9</v>
      </c>
      <c r="BB3347" s="1">
        <v>0</v>
      </c>
      <c r="BC3347" s="1">
        <v>0</v>
      </c>
      <c r="BE3347" s="1">
        <v>27644677</v>
      </c>
    </row>
    <row r="3348" spans="1:57" x14ac:dyDescent="0.25">
      <c r="A3348" s="1" t="str">
        <f>T("1949041005890835672")</f>
        <v>1949041005890835672</v>
      </c>
      <c r="B3348" s="1" t="str">
        <f>T("249900586993")</f>
        <v>249900586993</v>
      </c>
      <c r="C3348" s="1" t="str">
        <f>T("1941094533072683016")</f>
        <v>1941094533072683016</v>
      </c>
      <c r="AC3348" s="1" t="s">
        <v>344</v>
      </c>
      <c r="AD3348" s="1" t="s">
        <v>441</v>
      </c>
      <c r="AE3348" s="1" t="s">
        <v>530</v>
      </c>
      <c r="AF3348" s="1" t="s">
        <v>107</v>
      </c>
      <c r="AG3348" s="1">
        <v>30</v>
      </c>
      <c r="AO3348" s="2">
        <v>46287</v>
      </c>
      <c r="AP3348" s="1" t="s">
        <v>886</v>
      </c>
      <c r="AS3348" s="1" t="s">
        <v>71</v>
      </c>
      <c r="AU3348" s="1" t="s">
        <v>72</v>
      </c>
      <c r="AV3348" s="1" t="s">
        <v>73</v>
      </c>
      <c r="AX3348" s="1">
        <v>0</v>
      </c>
      <c r="BA3348" s="1">
        <v>9</v>
      </c>
      <c r="BB3348" s="1">
        <v>0</v>
      </c>
      <c r="BC3348" s="1">
        <v>0</v>
      </c>
      <c r="BE3348" s="1">
        <v>27644677</v>
      </c>
    </row>
    <row r="3349" spans="1:57" x14ac:dyDescent="0.25">
      <c r="A3349" s="1" t="str">
        <f>T("1949041005899223188")</f>
        <v>1949041005899223188</v>
      </c>
      <c r="B3349" s="1" t="str">
        <f>T("249967120497")</f>
        <v>249967120497</v>
      </c>
      <c r="C3349" s="1" t="str">
        <f>T("1941094533072683516")</f>
        <v>1941094533072683516</v>
      </c>
      <c r="AC3349" s="1" t="s">
        <v>344</v>
      </c>
      <c r="AD3349" s="1" t="s">
        <v>441</v>
      </c>
      <c r="AE3349" s="1" t="s">
        <v>530</v>
      </c>
      <c r="AF3349" s="1" t="s">
        <v>107</v>
      </c>
      <c r="AG3349" s="1">
        <v>48</v>
      </c>
      <c r="AO3349" s="2">
        <v>46287</v>
      </c>
      <c r="AP3349" s="1" t="s">
        <v>886</v>
      </c>
      <c r="AS3349" s="1" t="s">
        <v>71</v>
      </c>
      <c r="AU3349" s="1" t="s">
        <v>72</v>
      </c>
      <c r="AV3349" s="1" t="s">
        <v>437</v>
      </c>
      <c r="AX3349" s="1">
        <v>0</v>
      </c>
      <c r="BA3349" s="1">
        <v>9</v>
      </c>
      <c r="BB3349" s="1">
        <v>0</v>
      </c>
      <c r="BC3349" s="1">
        <v>0</v>
      </c>
      <c r="BE3349" s="1">
        <v>27644677</v>
      </c>
    </row>
    <row r="3350" spans="1:57" x14ac:dyDescent="0.25">
      <c r="A3350" s="1" t="str">
        <f>T("1949041005949557984")</f>
        <v>1949041005949557984</v>
      </c>
      <c r="B3350" s="1" t="str">
        <f>T("249906479590")</f>
        <v>249906479590</v>
      </c>
      <c r="C3350" s="1" t="str">
        <f>T("1941094533072683916")</f>
        <v>1941094533072683916</v>
      </c>
      <c r="AC3350" s="1" t="s">
        <v>344</v>
      </c>
      <c r="AD3350" s="1" t="s">
        <v>372</v>
      </c>
      <c r="AE3350" s="1" t="s">
        <v>813</v>
      </c>
      <c r="AF3350" s="1" t="s">
        <v>144</v>
      </c>
      <c r="AG3350" s="1">
        <v>27</v>
      </c>
      <c r="AO3350" s="2">
        <v>46287</v>
      </c>
      <c r="AP3350" s="1" t="s">
        <v>886</v>
      </c>
      <c r="AS3350" s="1" t="s">
        <v>71</v>
      </c>
      <c r="AU3350" s="1" t="s">
        <v>72</v>
      </c>
      <c r="AV3350" s="1" t="s">
        <v>437</v>
      </c>
      <c r="AX3350" s="1">
        <v>0</v>
      </c>
      <c r="BA3350" s="1">
        <v>9</v>
      </c>
      <c r="BB3350" s="1">
        <v>0</v>
      </c>
      <c r="BC3350" s="1">
        <v>0</v>
      </c>
      <c r="BE3350" s="1">
        <v>27644677</v>
      </c>
    </row>
    <row r="3351" spans="1:57" x14ac:dyDescent="0.25">
      <c r="A3351" s="1" t="str">
        <f>T("1949041005957947100")</f>
        <v>1949041005957947100</v>
      </c>
      <c r="B3351" s="1" t="str">
        <f>T("249917557420")</f>
        <v>249917557420</v>
      </c>
      <c r="C3351" s="1" t="str">
        <f>T("1941094533072684316")</f>
        <v>1941094533072684316</v>
      </c>
      <c r="AC3351" s="1" t="s">
        <v>344</v>
      </c>
      <c r="AD3351" s="1" t="s">
        <v>430</v>
      </c>
      <c r="AE3351" s="1" t="s">
        <v>530</v>
      </c>
      <c r="AF3351" s="1" t="s">
        <v>107</v>
      </c>
      <c r="AG3351" s="1">
        <v>31</v>
      </c>
      <c r="AO3351" s="2">
        <v>46287</v>
      </c>
      <c r="AP3351" s="1" t="s">
        <v>886</v>
      </c>
      <c r="AS3351" s="1" t="s">
        <v>71</v>
      </c>
      <c r="AU3351" s="1" t="s">
        <v>72</v>
      </c>
      <c r="AV3351" s="1" t="s">
        <v>73</v>
      </c>
      <c r="AX3351" s="1">
        <v>0</v>
      </c>
      <c r="BA3351" s="1">
        <v>9</v>
      </c>
      <c r="BB3351" s="1">
        <v>0</v>
      </c>
      <c r="BC3351" s="1">
        <v>0</v>
      </c>
      <c r="BE3351" s="1">
        <v>27644677</v>
      </c>
    </row>
    <row r="3352" spans="1:57" x14ac:dyDescent="0.25">
      <c r="A3352" s="1" t="str">
        <f>T("1949041006020858120")</f>
        <v>1949041006020858120</v>
      </c>
      <c r="B3352" s="1" t="str">
        <f>T("249969816890")</f>
        <v>249969816890</v>
      </c>
      <c r="C3352" s="1" t="str">
        <f>T("1941094533072684816")</f>
        <v>1941094533072684816</v>
      </c>
      <c r="AC3352" s="1" t="s">
        <v>344</v>
      </c>
      <c r="AD3352" s="1" t="s">
        <v>372</v>
      </c>
      <c r="AE3352" s="1" t="s">
        <v>814</v>
      </c>
      <c r="AF3352" s="1" t="s">
        <v>144</v>
      </c>
      <c r="AG3352" s="1">
        <v>40</v>
      </c>
      <c r="AO3352" s="2">
        <v>46287</v>
      </c>
      <c r="AP3352" s="1" t="s">
        <v>886</v>
      </c>
      <c r="AS3352" s="1" t="s">
        <v>71</v>
      </c>
      <c r="AU3352" s="1" t="s">
        <v>72</v>
      </c>
      <c r="AV3352" s="1" t="s">
        <v>126</v>
      </c>
      <c r="AX3352" s="1">
        <v>0</v>
      </c>
      <c r="BA3352" s="1">
        <v>9</v>
      </c>
      <c r="BB3352" s="1">
        <v>0</v>
      </c>
      <c r="BC3352" s="1">
        <v>0</v>
      </c>
      <c r="BE3352" s="1">
        <v>27644677</v>
      </c>
    </row>
    <row r="3353" spans="1:57" x14ac:dyDescent="0.25">
      <c r="A3353" s="1" t="str">
        <f>T("1949041006025053528")</f>
        <v>1949041006025053528</v>
      </c>
      <c r="B3353" s="1" t="str">
        <f>T("249911035212")</f>
        <v>249911035212</v>
      </c>
      <c r="C3353" s="1" t="str">
        <f>T("1941094533072685216")</f>
        <v>1941094533072685216</v>
      </c>
      <c r="AC3353" s="1" t="s">
        <v>344</v>
      </c>
      <c r="AD3353" s="1" t="s">
        <v>441</v>
      </c>
      <c r="AE3353" s="1" t="s">
        <v>530</v>
      </c>
      <c r="AF3353" s="1" t="s">
        <v>107</v>
      </c>
      <c r="AG3353" s="1">
        <v>25</v>
      </c>
      <c r="AO3353" s="2">
        <v>46287</v>
      </c>
      <c r="AP3353" s="1" t="s">
        <v>886</v>
      </c>
      <c r="AS3353" s="1" t="s">
        <v>71</v>
      </c>
      <c r="AU3353" s="1" t="s">
        <v>72</v>
      </c>
      <c r="AV3353" s="1" t="s">
        <v>437</v>
      </c>
      <c r="AX3353" s="1">
        <v>0</v>
      </c>
      <c r="BA3353" s="1">
        <v>9</v>
      </c>
      <c r="BB3353" s="1">
        <v>0</v>
      </c>
      <c r="BC3353" s="1">
        <v>0</v>
      </c>
      <c r="BE3353" s="1">
        <v>27644677</v>
      </c>
    </row>
    <row r="3354" spans="1:57" x14ac:dyDescent="0.25">
      <c r="A3354" s="1" t="str">
        <f>T("1949041006079580532")</f>
        <v>1949041006079580532</v>
      </c>
      <c r="B3354" s="1" t="str">
        <f>T("249915080843")</f>
        <v>249915080843</v>
      </c>
      <c r="C3354" s="1" t="str">
        <f>T("1941094533072685716")</f>
        <v>1941094533072685716</v>
      </c>
      <c r="AC3354" s="1" t="s">
        <v>344</v>
      </c>
      <c r="AD3354" s="1" t="s">
        <v>372</v>
      </c>
      <c r="AE3354" s="1" t="s">
        <v>813</v>
      </c>
      <c r="AF3354" s="1" t="s">
        <v>144</v>
      </c>
      <c r="AG3354" s="1">
        <v>37</v>
      </c>
      <c r="AO3354" s="2">
        <v>46287</v>
      </c>
      <c r="AP3354" s="1" t="s">
        <v>886</v>
      </c>
      <c r="AS3354" s="1" t="s">
        <v>71</v>
      </c>
      <c r="AU3354" s="1" t="s">
        <v>72</v>
      </c>
      <c r="AV3354" s="1" t="s">
        <v>437</v>
      </c>
      <c r="AX3354" s="1">
        <v>0</v>
      </c>
      <c r="BA3354" s="1">
        <v>9</v>
      </c>
      <c r="BB3354" s="1">
        <v>0</v>
      </c>
      <c r="BC3354" s="1">
        <v>0</v>
      </c>
      <c r="BE3354" s="1">
        <v>27644677</v>
      </c>
    </row>
    <row r="3355" spans="1:57" x14ac:dyDescent="0.25">
      <c r="A3355" s="1" t="str">
        <f>T("1949041006079581732")</f>
        <v>1949041006079581732</v>
      </c>
      <c r="B3355" s="1" t="str">
        <f>T("249905626348")</f>
        <v>249905626348</v>
      </c>
      <c r="C3355" s="1" t="str">
        <f>T("1941094533072686216")</f>
        <v>1941094533072686216</v>
      </c>
      <c r="AC3355" s="1" t="s">
        <v>344</v>
      </c>
      <c r="AD3355" s="1" t="s">
        <v>372</v>
      </c>
      <c r="AE3355" s="1" t="s">
        <v>373</v>
      </c>
      <c r="AF3355" s="1" t="s">
        <v>107</v>
      </c>
      <c r="AG3355" s="1">
        <v>35</v>
      </c>
      <c r="AO3355" s="2">
        <v>46287</v>
      </c>
      <c r="AP3355" s="1" t="s">
        <v>886</v>
      </c>
      <c r="AS3355" s="1" t="s">
        <v>71</v>
      </c>
      <c r="AU3355" s="1" t="s">
        <v>72</v>
      </c>
      <c r="AV3355" s="1" t="s">
        <v>437</v>
      </c>
      <c r="AX3355" s="1">
        <v>0</v>
      </c>
      <c r="BA3355" s="1">
        <v>9</v>
      </c>
      <c r="BB3355" s="1">
        <v>0</v>
      </c>
      <c r="BC3355" s="1">
        <v>0</v>
      </c>
      <c r="BE3355" s="1">
        <v>27644677</v>
      </c>
    </row>
    <row r="3356" spans="1:57" x14ac:dyDescent="0.25">
      <c r="A3356" s="1" t="str">
        <f>T("1949041006138300944")</f>
        <v>1949041006138300944</v>
      </c>
      <c r="B3356" s="1" t="str">
        <f>T("249902793337")</f>
        <v>249902793337</v>
      </c>
      <c r="C3356" s="1" t="str">
        <f>T("1941094533072686616")</f>
        <v>1941094533072686616</v>
      </c>
      <c r="AC3356" s="1" t="s">
        <v>344</v>
      </c>
      <c r="AD3356" s="1" t="s">
        <v>441</v>
      </c>
      <c r="AE3356" s="1" t="s">
        <v>530</v>
      </c>
      <c r="AF3356" s="1" t="s">
        <v>144</v>
      </c>
      <c r="AG3356" s="1">
        <v>58</v>
      </c>
      <c r="AO3356" s="2">
        <v>46287</v>
      </c>
      <c r="AP3356" s="1" t="s">
        <v>886</v>
      </c>
      <c r="AS3356" s="1" t="s">
        <v>71</v>
      </c>
      <c r="AU3356" s="1" t="s">
        <v>72</v>
      </c>
      <c r="AV3356" s="1" t="s">
        <v>126</v>
      </c>
      <c r="AX3356" s="1">
        <v>0</v>
      </c>
      <c r="BA3356" s="1">
        <v>9</v>
      </c>
      <c r="BB3356" s="1">
        <v>0</v>
      </c>
      <c r="BC3356" s="1">
        <v>0</v>
      </c>
      <c r="BE3356" s="1">
        <v>27644677</v>
      </c>
    </row>
    <row r="3357" spans="1:57" x14ac:dyDescent="0.25">
      <c r="A3357" s="1" t="str">
        <f>T("1949041006146690760")</f>
        <v>1949041006146690760</v>
      </c>
      <c r="B3357" s="1" t="str">
        <f>T("249906876739")</f>
        <v>249906876739</v>
      </c>
      <c r="C3357" s="1" t="str">
        <f>T("1941094533072687016")</f>
        <v>1941094533072687016</v>
      </c>
      <c r="AC3357" s="1" t="s">
        <v>344</v>
      </c>
      <c r="AD3357" s="1" t="s">
        <v>441</v>
      </c>
      <c r="AE3357" s="1" t="s">
        <v>530</v>
      </c>
      <c r="AF3357" s="1" t="s">
        <v>107</v>
      </c>
      <c r="AG3357" s="1">
        <v>40</v>
      </c>
      <c r="AO3357" s="2">
        <v>46287</v>
      </c>
      <c r="AP3357" s="1" t="s">
        <v>886</v>
      </c>
      <c r="AS3357" s="1" t="s">
        <v>71</v>
      </c>
      <c r="AU3357" s="1" t="s">
        <v>72</v>
      </c>
      <c r="AV3357" s="1" t="s">
        <v>126</v>
      </c>
      <c r="AX3357" s="1">
        <v>0</v>
      </c>
      <c r="BA3357" s="1">
        <v>9</v>
      </c>
      <c r="BB3357" s="1">
        <v>0</v>
      </c>
      <c r="BC3357" s="1">
        <v>0</v>
      </c>
      <c r="BE3357" s="1">
        <v>27644677</v>
      </c>
    </row>
    <row r="3358" spans="1:57" x14ac:dyDescent="0.25">
      <c r="A3358" s="1" t="str">
        <f>T("1949041006205408772")</f>
        <v>1949041006205408772</v>
      </c>
      <c r="B3358" s="1" t="str">
        <f>T("249964623093")</f>
        <v>249964623093</v>
      </c>
      <c r="C3358" s="1" t="str">
        <f>T("1941094533076877624")</f>
        <v>1941094533076877624</v>
      </c>
      <c r="AC3358" s="1" t="s">
        <v>344</v>
      </c>
      <c r="AD3358" s="1" t="s">
        <v>441</v>
      </c>
      <c r="AE3358" s="1" t="s">
        <v>530</v>
      </c>
      <c r="AF3358" s="1" t="s">
        <v>144</v>
      </c>
      <c r="AG3358" s="1">
        <v>32</v>
      </c>
      <c r="AO3358" s="2">
        <v>46287</v>
      </c>
      <c r="AP3358" s="1" t="s">
        <v>886</v>
      </c>
      <c r="AS3358" s="1" t="s">
        <v>71</v>
      </c>
      <c r="AU3358" s="1" t="s">
        <v>72</v>
      </c>
      <c r="AV3358" s="1" t="s">
        <v>73</v>
      </c>
      <c r="AX3358" s="1">
        <v>0</v>
      </c>
      <c r="BA3358" s="1">
        <v>9</v>
      </c>
      <c r="BB3358" s="1">
        <v>0</v>
      </c>
      <c r="BC3358" s="1">
        <v>0</v>
      </c>
      <c r="BE3358" s="1">
        <v>27644677</v>
      </c>
    </row>
    <row r="3359" spans="1:57" x14ac:dyDescent="0.25">
      <c r="A3359" s="1" t="str">
        <f>T("1949041006205409472")</f>
        <v>1949041006205409472</v>
      </c>
      <c r="B3359" s="1" t="str">
        <f>T("249962727804")</f>
        <v>249962727804</v>
      </c>
      <c r="C3359" s="1" t="str">
        <f>T("1941094533076877924")</f>
        <v>1941094533076877924</v>
      </c>
      <c r="AC3359" s="1" t="s">
        <v>344</v>
      </c>
      <c r="AD3359" s="1" t="s">
        <v>430</v>
      </c>
      <c r="AE3359" s="1" t="s">
        <v>530</v>
      </c>
      <c r="AF3359" s="1" t="s">
        <v>144</v>
      </c>
      <c r="AG3359" s="1">
        <v>50</v>
      </c>
      <c r="AO3359" s="2">
        <v>46287</v>
      </c>
      <c r="AP3359" s="1" t="s">
        <v>886</v>
      </c>
      <c r="AS3359" s="1" t="s">
        <v>71</v>
      </c>
      <c r="AU3359" s="1" t="s">
        <v>72</v>
      </c>
      <c r="AV3359" s="1" t="s">
        <v>73</v>
      </c>
      <c r="AX3359" s="1">
        <v>0</v>
      </c>
      <c r="BA3359" s="1">
        <v>9</v>
      </c>
      <c r="BB3359" s="1">
        <v>0</v>
      </c>
      <c r="BC3359" s="1">
        <v>0</v>
      </c>
      <c r="BE3359" s="1">
        <v>27644677</v>
      </c>
    </row>
    <row r="3360" spans="1:57" x14ac:dyDescent="0.25">
      <c r="A3360" s="1" t="str">
        <f>T("1949041006255741368")</f>
        <v>1949041006255741368</v>
      </c>
      <c r="B3360" s="1" t="str">
        <f>T("249915830770")</f>
        <v>249915830770</v>
      </c>
      <c r="C3360" s="1" t="str">
        <f>T("1941094533076878424")</f>
        <v>1941094533076878424</v>
      </c>
      <c r="AC3360" s="1" t="s">
        <v>344</v>
      </c>
      <c r="AD3360" s="1" t="s">
        <v>372</v>
      </c>
      <c r="AE3360" s="1" t="s">
        <v>373</v>
      </c>
      <c r="AF3360" s="1" t="s">
        <v>107</v>
      </c>
      <c r="AG3360" s="1">
        <v>25</v>
      </c>
      <c r="AO3360" s="2">
        <v>46287</v>
      </c>
      <c r="AP3360" s="1" t="s">
        <v>886</v>
      </c>
      <c r="AS3360" s="1" t="s">
        <v>71</v>
      </c>
      <c r="AU3360" s="1" t="s">
        <v>72</v>
      </c>
      <c r="AV3360" s="1" t="s">
        <v>73</v>
      </c>
      <c r="AX3360" s="1">
        <v>0</v>
      </c>
      <c r="BA3360" s="1">
        <v>9</v>
      </c>
      <c r="BB3360" s="1">
        <v>0</v>
      </c>
      <c r="BC3360" s="1">
        <v>0</v>
      </c>
      <c r="BE3360" s="1">
        <v>27644677</v>
      </c>
    </row>
    <row r="3361" spans="1:57" x14ac:dyDescent="0.25">
      <c r="A3361" s="1" t="str">
        <f>T("1949041006264128784")</f>
        <v>1949041006264128784</v>
      </c>
      <c r="B3361" s="1" t="str">
        <f>T("249965496933")</f>
        <v>249965496933</v>
      </c>
      <c r="C3361" s="1" t="str">
        <f>T("1941094533076878724")</f>
        <v>1941094533076878724</v>
      </c>
      <c r="AC3361" s="1" t="s">
        <v>344</v>
      </c>
      <c r="AD3361" s="1" t="s">
        <v>430</v>
      </c>
      <c r="AE3361" s="1" t="s">
        <v>530</v>
      </c>
      <c r="AF3361" s="1" t="s">
        <v>107</v>
      </c>
      <c r="AG3361" s="1">
        <v>24</v>
      </c>
      <c r="AO3361" s="2">
        <v>46287</v>
      </c>
      <c r="AP3361" s="1" t="s">
        <v>886</v>
      </c>
      <c r="AS3361" s="1" t="s">
        <v>71</v>
      </c>
      <c r="AU3361" s="1" t="s">
        <v>72</v>
      </c>
      <c r="AV3361" s="1" t="s">
        <v>126</v>
      </c>
      <c r="AX3361" s="1">
        <v>0</v>
      </c>
      <c r="BA3361" s="1">
        <v>9</v>
      </c>
      <c r="BB3361" s="1">
        <v>0</v>
      </c>
      <c r="BC3361" s="1">
        <v>0</v>
      </c>
      <c r="BE3361" s="1">
        <v>27644677</v>
      </c>
    </row>
    <row r="3362" spans="1:57" x14ac:dyDescent="0.25">
      <c r="A3362" s="1" t="str">
        <f>T("1949041006310267272")</f>
        <v>1949041006310267272</v>
      </c>
      <c r="B3362" s="1" t="str">
        <f>T("249961337903")</f>
        <v>249961337903</v>
      </c>
      <c r="C3362" s="1" t="str">
        <f>T("1941094533076879124")</f>
        <v>1941094533076879124</v>
      </c>
      <c r="AC3362" s="1" t="s">
        <v>344</v>
      </c>
      <c r="AD3362" s="1" t="s">
        <v>441</v>
      </c>
      <c r="AE3362" s="1" t="s">
        <v>530</v>
      </c>
      <c r="AF3362" s="1" t="s">
        <v>144</v>
      </c>
      <c r="AG3362" s="1">
        <v>30</v>
      </c>
      <c r="AO3362" s="2">
        <v>46287</v>
      </c>
      <c r="AP3362" s="1" t="s">
        <v>886</v>
      </c>
      <c r="AS3362" s="1" t="s">
        <v>71</v>
      </c>
      <c r="AU3362" s="1" t="s">
        <v>72</v>
      </c>
      <c r="AV3362" s="1" t="s">
        <v>437</v>
      </c>
      <c r="AX3362" s="1">
        <v>0</v>
      </c>
      <c r="BA3362" s="1">
        <v>9</v>
      </c>
      <c r="BB3362" s="1">
        <v>0</v>
      </c>
      <c r="BC3362" s="1">
        <v>0</v>
      </c>
      <c r="BE3362" s="1">
        <v>27644677</v>
      </c>
    </row>
    <row r="3363" spans="1:57" x14ac:dyDescent="0.25">
      <c r="A3363" s="1" t="str">
        <f>T("1949041006314459980")</f>
        <v>1949041006314459980</v>
      </c>
      <c r="B3363" s="1" t="str">
        <f>T("249911284182")</f>
        <v>249911284182</v>
      </c>
      <c r="C3363" s="1" t="str">
        <f>T("1941094533076879624")</f>
        <v>1941094533076879624</v>
      </c>
      <c r="AC3363" s="1" t="s">
        <v>344</v>
      </c>
      <c r="AD3363" s="1" t="s">
        <v>372</v>
      </c>
      <c r="AE3363" s="1" t="s">
        <v>814</v>
      </c>
      <c r="AF3363" s="1" t="s">
        <v>144</v>
      </c>
      <c r="AG3363" s="1">
        <v>45</v>
      </c>
      <c r="AO3363" s="2">
        <v>46287</v>
      </c>
      <c r="AP3363" s="1" t="s">
        <v>886</v>
      </c>
      <c r="AS3363" s="1" t="s">
        <v>71</v>
      </c>
      <c r="AU3363" s="1" t="s">
        <v>72</v>
      </c>
      <c r="AV3363" s="1" t="s">
        <v>73</v>
      </c>
      <c r="AX3363" s="1">
        <v>0</v>
      </c>
      <c r="BA3363" s="1">
        <v>9</v>
      </c>
      <c r="BB3363" s="1">
        <v>0</v>
      </c>
      <c r="BC3363" s="1">
        <v>0</v>
      </c>
      <c r="BE3363" s="1">
        <v>27644677</v>
      </c>
    </row>
    <row r="3364" spans="1:57" x14ac:dyDescent="0.25">
      <c r="A3364" s="1" t="str">
        <f>T("1949041006364793476")</f>
        <v>1949041006364793476</v>
      </c>
      <c r="B3364" s="1" t="str">
        <f>T("249960900865")</f>
        <v>249960900865</v>
      </c>
      <c r="C3364" s="1" t="str">
        <f>T("1941094533076880224")</f>
        <v>1941094533076880224</v>
      </c>
      <c r="AC3364" s="1" t="s">
        <v>344</v>
      </c>
      <c r="AD3364" s="1" t="s">
        <v>441</v>
      </c>
      <c r="AE3364" s="1" t="s">
        <v>530</v>
      </c>
      <c r="AF3364" s="1" t="s">
        <v>144</v>
      </c>
      <c r="AG3364" s="1">
        <v>22</v>
      </c>
      <c r="AO3364" s="2">
        <v>46287</v>
      </c>
      <c r="AP3364" s="1" t="s">
        <v>886</v>
      </c>
      <c r="AS3364" s="1" t="s">
        <v>71</v>
      </c>
      <c r="AU3364" s="1" t="s">
        <v>72</v>
      </c>
      <c r="AV3364" s="1" t="s">
        <v>437</v>
      </c>
      <c r="AX3364" s="1">
        <v>0</v>
      </c>
      <c r="BA3364" s="1">
        <v>9</v>
      </c>
      <c r="BB3364" s="1">
        <v>0</v>
      </c>
      <c r="BC3364" s="1">
        <v>0</v>
      </c>
      <c r="BE3364" s="1">
        <v>27644677</v>
      </c>
    </row>
    <row r="3365" spans="1:57" x14ac:dyDescent="0.25">
      <c r="A3365" s="1" t="str">
        <f>T("1949041006368988184")</f>
        <v>1949041006368988184</v>
      </c>
      <c r="B3365" s="1" t="str">
        <f>T("249903202720")</f>
        <v>249903202720</v>
      </c>
      <c r="C3365" s="1" t="str">
        <f>T("1941094533076880824")</f>
        <v>1941094533076880824</v>
      </c>
      <c r="AC3365" s="1" t="s">
        <v>344</v>
      </c>
      <c r="AD3365" s="1" t="s">
        <v>430</v>
      </c>
      <c r="AE3365" s="1" t="s">
        <v>530</v>
      </c>
      <c r="AF3365" s="1" t="s">
        <v>144</v>
      </c>
      <c r="AG3365" s="1">
        <v>50</v>
      </c>
      <c r="AO3365" s="2">
        <v>46287</v>
      </c>
      <c r="AP3365" s="1" t="s">
        <v>886</v>
      </c>
      <c r="AS3365" s="1" t="s">
        <v>71</v>
      </c>
      <c r="AU3365" s="1" t="s">
        <v>72</v>
      </c>
      <c r="AV3365" s="1" t="s">
        <v>126</v>
      </c>
      <c r="AX3365" s="1">
        <v>0</v>
      </c>
      <c r="BA3365" s="1">
        <v>9</v>
      </c>
      <c r="BB3365" s="1">
        <v>0</v>
      </c>
      <c r="BC3365" s="1">
        <v>0</v>
      </c>
      <c r="BE3365" s="1">
        <v>27644677</v>
      </c>
    </row>
    <row r="3366" spans="1:57" x14ac:dyDescent="0.25">
      <c r="A3366" s="1" t="str">
        <f>T("1949041006415126472")</f>
        <v>1949041006415126472</v>
      </c>
      <c r="B3366" s="1" t="str">
        <f>T("249919410089")</f>
        <v>249919410089</v>
      </c>
      <c r="C3366" s="1" t="str">
        <f>T("1941094533076881324")</f>
        <v>1941094533076881324</v>
      </c>
      <c r="AC3366" s="1" t="s">
        <v>344</v>
      </c>
      <c r="AD3366" s="1" t="s">
        <v>430</v>
      </c>
      <c r="AE3366" s="1" t="s">
        <v>530</v>
      </c>
      <c r="AF3366" s="1" t="s">
        <v>144</v>
      </c>
      <c r="AG3366" s="1">
        <v>42</v>
      </c>
      <c r="AO3366" s="2">
        <v>46287</v>
      </c>
      <c r="AP3366" s="1" t="s">
        <v>886</v>
      </c>
      <c r="AS3366" s="1" t="s">
        <v>71</v>
      </c>
      <c r="AU3366" s="1" t="s">
        <v>72</v>
      </c>
      <c r="AV3366" s="1" t="s">
        <v>73</v>
      </c>
      <c r="AX3366" s="1">
        <v>0</v>
      </c>
      <c r="BA3366" s="1">
        <v>9</v>
      </c>
      <c r="BB3366" s="1">
        <v>0</v>
      </c>
      <c r="BC3366" s="1">
        <v>0</v>
      </c>
      <c r="BE3366" s="1">
        <v>27644677</v>
      </c>
    </row>
    <row r="3367" spans="1:57" x14ac:dyDescent="0.25">
      <c r="A3367" s="1" t="str">
        <f>T("1949041006436094312")</f>
        <v>1949041006436094312</v>
      </c>
      <c r="B3367" s="1" t="str">
        <f>T("249904094904")</f>
        <v>249904094904</v>
      </c>
      <c r="C3367" s="1" t="str">
        <f>T("1941094533081072132")</f>
        <v>1941094533081072132</v>
      </c>
      <c r="AC3367" s="1" t="s">
        <v>344</v>
      </c>
      <c r="AD3367" s="1" t="s">
        <v>441</v>
      </c>
      <c r="AE3367" s="1" t="s">
        <v>530</v>
      </c>
      <c r="AF3367" s="1" t="s">
        <v>107</v>
      </c>
      <c r="AG3367" s="1">
        <v>48</v>
      </c>
      <c r="AO3367" s="2">
        <v>46287</v>
      </c>
      <c r="AP3367" s="1" t="s">
        <v>886</v>
      </c>
      <c r="AS3367" s="1" t="s">
        <v>71</v>
      </c>
      <c r="AU3367" s="1" t="s">
        <v>72</v>
      </c>
      <c r="AV3367" s="1" t="s">
        <v>73</v>
      </c>
      <c r="AX3367" s="1">
        <v>0</v>
      </c>
      <c r="BA3367" s="1">
        <v>9</v>
      </c>
      <c r="BB3367" s="1">
        <v>0</v>
      </c>
      <c r="BC3367" s="1">
        <v>0</v>
      </c>
      <c r="BE3367" s="1">
        <v>27644677</v>
      </c>
    </row>
    <row r="3368" spans="1:57" x14ac:dyDescent="0.25">
      <c r="A3368" s="1" t="str">
        <f>T("1949041006478040792")</f>
        <v>1949041006478040792</v>
      </c>
      <c r="B3368" s="1" t="str">
        <f>T("249963816194")</f>
        <v>249963816194</v>
      </c>
      <c r="C3368" s="1" t="str">
        <f>T("1941094533081072532")</f>
        <v>1941094533081072532</v>
      </c>
      <c r="AC3368" s="1" t="s">
        <v>344</v>
      </c>
      <c r="AD3368" s="1" t="s">
        <v>441</v>
      </c>
      <c r="AE3368" s="1" t="s">
        <v>530</v>
      </c>
      <c r="AF3368" s="1" t="s">
        <v>144</v>
      </c>
      <c r="AG3368" s="1">
        <v>55</v>
      </c>
      <c r="AO3368" s="2">
        <v>46287</v>
      </c>
      <c r="AP3368" s="1" t="s">
        <v>886</v>
      </c>
      <c r="AS3368" s="1" t="s">
        <v>71</v>
      </c>
      <c r="AU3368" s="1" t="s">
        <v>72</v>
      </c>
      <c r="AV3368" s="1" t="s">
        <v>437</v>
      </c>
      <c r="AX3368" s="1">
        <v>0</v>
      </c>
      <c r="BA3368" s="1">
        <v>9</v>
      </c>
      <c r="BB3368" s="1">
        <v>0</v>
      </c>
      <c r="BC3368" s="1">
        <v>0</v>
      </c>
      <c r="BE3368" s="1">
        <v>27644677</v>
      </c>
    </row>
    <row r="3369" spans="1:57" x14ac:dyDescent="0.25">
      <c r="A3369" s="1" t="str">
        <f>T("1949041006499010332")</f>
        <v>1949041006499010332</v>
      </c>
      <c r="B3369" s="1" t="str">
        <f>T("249115340003")</f>
        <v>249115340003</v>
      </c>
      <c r="C3369" s="1" t="str">
        <f>T("1941094533081072932")</f>
        <v>1941094533081072932</v>
      </c>
      <c r="AC3369" s="1" t="s">
        <v>344</v>
      </c>
      <c r="AD3369" s="1" t="s">
        <v>372</v>
      </c>
      <c r="AE3369" s="1" t="s">
        <v>820</v>
      </c>
      <c r="AF3369" s="1" t="s">
        <v>107</v>
      </c>
      <c r="AG3369" s="1">
        <v>56</v>
      </c>
      <c r="AO3369" s="2">
        <v>46287</v>
      </c>
      <c r="AP3369" s="1" t="s">
        <v>886</v>
      </c>
      <c r="AQ3369" s="2">
        <v>46287</v>
      </c>
      <c r="AR3369" s="1" t="s">
        <v>890</v>
      </c>
      <c r="AS3369" s="1" t="s">
        <v>71</v>
      </c>
      <c r="AU3369" s="1" t="s">
        <v>79</v>
      </c>
      <c r="AV3369" s="1" t="s">
        <v>80</v>
      </c>
      <c r="AW3369" s="1">
        <v>34.54</v>
      </c>
      <c r="AX3369" s="1">
        <v>0</v>
      </c>
      <c r="AZ3369" s="1" t="s">
        <v>81</v>
      </c>
      <c r="BA3369" s="1">
        <v>2</v>
      </c>
      <c r="BB3369" s="1">
        <v>0</v>
      </c>
      <c r="BC3369" s="1">
        <v>0</v>
      </c>
      <c r="BE3369" s="1">
        <v>27644677</v>
      </c>
    </row>
    <row r="3370" spans="1:57" x14ac:dyDescent="0.25">
      <c r="A3370" s="1" t="str">
        <f>T("1949041006540953712")</f>
        <v>1949041006540953712</v>
      </c>
      <c r="B3370" s="1" t="str">
        <f>T("249901104507")</f>
        <v>249901104507</v>
      </c>
      <c r="C3370" s="1" t="str">
        <f>T("1941094533081073932")</f>
        <v>1941094533081073932</v>
      </c>
      <c r="AC3370" s="1" t="s">
        <v>344</v>
      </c>
      <c r="AD3370" s="1" t="s">
        <v>441</v>
      </c>
      <c r="AE3370" s="1" t="s">
        <v>530</v>
      </c>
      <c r="AF3370" s="1" t="s">
        <v>107</v>
      </c>
      <c r="AG3370" s="1">
        <v>65</v>
      </c>
      <c r="AO3370" s="2">
        <v>46287</v>
      </c>
      <c r="AP3370" s="1" t="s">
        <v>886</v>
      </c>
      <c r="AS3370" s="1" t="s">
        <v>71</v>
      </c>
      <c r="AU3370" s="1" t="s">
        <v>72</v>
      </c>
      <c r="AV3370" s="1" t="s">
        <v>437</v>
      </c>
      <c r="AX3370" s="1">
        <v>0</v>
      </c>
      <c r="BA3370" s="1">
        <v>9</v>
      </c>
      <c r="BB3370" s="1">
        <v>0</v>
      </c>
      <c r="BC3370" s="1">
        <v>0</v>
      </c>
      <c r="BE3370" s="1">
        <v>27644677</v>
      </c>
    </row>
    <row r="3371" spans="1:57" x14ac:dyDescent="0.25">
      <c r="A3371" s="1" t="str">
        <f>T("1949041006561923452")</f>
        <v>1949041006561923452</v>
      </c>
      <c r="B3371" s="1" t="str">
        <f>T("249994397979")</f>
        <v>249994397979</v>
      </c>
      <c r="C3371" s="1" t="str">
        <f>T("1941094533081074332")</f>
        <v>1941094533081074332</v>
      </c>
      <c r="AA3371" s="1">
        <v>1</v>
      </c>
      <c r="AC3371" s="1" t="s">
        <v>344</v>
      </c>
      <c r="AD3371" s="1" t="s">
        <v>372</v>
      </c>
      <c r="AE3371" s="1" t="s">
        <v>818</v>
      </c>
      <c r="AF3371" s="1" t="s">
        <v>107</v>
      </c>
      <c r="AG3371" s="1">
        <v>45</v>
      </c>
      <c r="AO3371" s="2">
        <v>46287</v>
      </c>
      <c r="AP3371" s="1" t="s">
        <v>886</v>
      </c>
      <c r="AQ3371" s="2">
        <v>46287</v>
      </c>
      <c r="AR3371" s="1" t="s">
        <v>891</v>
      </c>
      <c r="AS3371" s="1" t="s">
        <v>71</v>
      </c>
      <c r="AU3371" s="1" t="s">
        <v>79</v>
      </c>
      <c r="AV3371" s="1" t="s">
        <v>80</v>
      </c>
      <c r="AW3371" s="1">
        <v>84.06</v>
      </c>
      <c r="AX3371" s="1">
        <v>0</v>
      </c>
      <c r="AZ3371" s="1" t="s">
        <v>81</v>
      </c>
      <c r="BA3371" s="1">
        <v>4</v>
      </c>
      <c r="BB3371" s="1">
        <v>0</v>
      </c>
      <c r="BC3371" s="1">
        <v>0</v>
      </c>
      <c r="BE3371" s="1">
        <v>27644677</v>
      </c>
    </row>
    <row r="3372" spans="1:57" x14ac:dyDescent="0.25">
      <c r="A3372" s="1" t="str">
        <f>T("1949041006603868032")</f>
        <v>1949041006603868032</v>
      </c>
      <c r="B3372" s="1" t="str">
        <f>T("249965891756")</f>
        <v>249965891756</v>
      </c>
      <c r="C3372" s="1" t="str">
        <f>T("1941094533081074632")</f>
        <v>1941094533081074632</v>
      </c>
      <c r="AC3372" s="1" t="s">
        <v>344</v>
      </c>
      <c r="AD3372" s="1" t="s">
        <v>441</v>
      </c>
      <c r="AE3372" s="1" t="s">
        <v>530</v>
      </c>
      <c r="AF3372" s="1" t="s">
        <v>107</v>
      </c>
      <c r="AG3372" s="1">
        <v>34</v>
      </c>
      <c r="AO3372" s="2">
        <v>46287</v>
      </c>
      <c r="AP3372" s="1" t="s">
        <v>886</v>
      </c>
      <c r="AS3372" s="1" t="s">
        <v>71</v>
      </c>
      <c r="AU3372" s="1" t="s">
        <v>72</v>
      </c>
      <c r="AV3372" s="1" t="s">
        <v>126</v>
      </c>
      <c r="AX3372" s="1">
        <v>0</v>
      </c>
      <c r="BA3372" s="1">
        <v>9</v>
      </c>
      <c r="BB3372" s="1">
        <v>0</v>
      </c>
      <c r="BC3372" s="1">
        <v>0</v>
      </c>
      <c r="BE3372" s="1">
        <v>27644677</v>
      </c>
    </row>
    <row r="3373" spans="1:57" x14ac:dyDescent="0.25">
      <c r="A3373" s="1" t="str">
        <f>T("1949041006620644764")</f>
        <v>1949041006620644764</v>
      </c>
      <c r="B3373" s="1" t="str">
        <f>T("249992769510")</f>
        <v>249992769510</v>
      </c>
      <c r="C3373" s="1" t="str">
        <f>T("1941094533081075132")</f>
        <v>1941094533081075132</v>
      </c>
      <c r="AA3373" s="1">
        <v>1</v>
      </c>
      <c r="AC3373" s="1" t="s">
        <v>344</v>
      </c>
      <c r="AD3373" s="1" t="s">
        <v>372</v>
      </c>
      <c r="AE3373" s="1" t="s">
        <v>814</v>
      </c>
      <c r="AF3373" s="1" t="s">
        <v>144</v>
      </c>
      <c r="AG3373" s="1">
        <v>35</v>
      </c>
      <c r="AO3373" s="2">
        <v>46287</v>
      </c>
      <c r="AP3373" s="1" t="s">
        <v>886</v>
      </c>
      <c r="AQ3373" s="2">
        <v>46287</v>
      </c>
      <c r="AR3373" s="1" t="s">
        <v>892</v>
      </c>
      <c r="AS3373" s="1" t="s">
        <v>71</v>
      </c>
      <c r="AU3373" s="1" t="s">
        <v>79</v>
      </c>
      <c r="AV3373" s="1" t="s">
        <v>80</v>
      </c>
      <c r="AW3373" s="1">
        <v>74.92</v>
      </c>
      <c r="AX3373" s="1">
        <v>0</v>
      </c>
      <c r="AZ3373" s="1" t="s">
        <v>81</v>
      </c>
      <c r="BA3373" s="1">
        <v>2</v>
      </c>
      <c r="BB3373" s="1">
        <v>0</v>
      </c>
      <c r="BC3373" s="1">
        <v>0</v>
      </c>
      <c r="BE3373" s="1">
        <v>27644677</v>
      </c>
    </row>
    <row r="3374" spans="1:57" x14ac:dyDescent="0.25">
      <c r="A3374" s="1" t="str">
        <f>T("1949041006658395236")</f>
        <v>1949041006658395236</v>
      </c>
      <c r="B3374" s="1" t="str">
        <f>T("249990167895")</f>
        <v>249990167895</v>
      </c>
      <c r="C3374" s="1" t="str">
        <f>T("1941094533081075532")</f>
        <v>1941094533081075532</v>
      </c>
      <c r="AC3374" s="1" t="s">
        <v>344</v>
      </c>
      <c r="AD3374" s="1" t="s">
        <v>372</v>
      </c>
      <c r="AE3374" s="1" t="s">
        <v>814</v>
      </c>
      <c r="AF3374" s="1" t="s">
        <v>144</v>
      </c>
      <c r="AG3374" s="1">
        <v>70</v>
      </c>
      <c r="AO3374" s="2">
        <v>46287</v>
      </c>
      <c r="AP3374" s="1" t="s">
        <v>886</v>
      </c>
      <c r="AS3374" s="1" t="s">
        <v>71</v>
      </c>
      <c r="AU3374" s="1" t="s">
        <v>72</v>
      </c>
      <c r="AV3374" s="1" t="s">
        <v>73</v>
      </c>
      <c r="AX3374" s="1">
        <v>0</v>
      </c>
      <c r="BA3374" s="1">
        <v>9</v>
      </c>
      <c r="BB3374" s="1">
        <v>0</v>
      </c>
      <c r="BC3374" s="1">
        <v>0</v>
      </c>
      <c r="BE3374" s="1">
        <v>27644677</v>
      </c>
    </row>
    <row r="3375" spans="1:57" x14ac:dyDescent="0.25">
      <c r="A3375" s="1" t="str">
        <f>T("1949041006670975460")</f>
        <v>1949041006670975460</v>
      </c>
      <c r="B3375" s="1" t="str">
        <f>T("249929337311")</f>
        <v>249929337311</v>
      </c>
      <c r="C3375" s="1" t="str">
        <f>T("1941094533085266940")</f>
        <v>1941094533085266940</v>
      </c>
      <c r="AC3375" s="1" t="s">
        <v>344</v>
      </c>
      <c r="AD3375" s="1" t="s">
        <v>372</v>
      </c>
      <c r="AE3375" s="1" t="s">
        <v>814</v>
      </c>
      <c r="AF3375" s="1" t="s">
        <v>144</v>
      </c>
      <c r="AG3375" s="1">
        <v>40</v>
      </c>
      <c r="AO3375" s="2">
        <v>46287</v>
      </c>
      <c r="AP3375" s="1" t="s">
        <v>886</v>
      </c>
      <c r="AS3375" s="1" t="s">
        <v>71</v>
      </c>
      <c r="AU3375" s="1" t="s">
        <v>72</v>
      </c>
      <c r="AV3375" s="1" t="s">
        <v>73</v>
      </c>
      <c r="AX3375" s="1">
        <v>0</v>
      </c>
      <c r="BA3375" s="1">
        <v>9</v>
      </c>
      <c r="BB3375" s="1">
        <v>0</v>
      </c>
      <c r="BC3375" s="1">
        <v>0</v>
      </c>
      <c r="BE3375" s="1">
        <v>27644677</v>
      </c>
    </row>
    <row r="3376" spans="1:57" x14ac:dyDescent="0.25">
      <c r="A3376" s="1" t="str">
        <f>T("1949041006717113348")</f>
        <v>1949041006717113348</v>
      </c>
      <c r="B3376" s="1" t="str">
        <f>T("249961780806")</f>
        <v>249961780806</v>
      </c>
      <c r="C3376" s="1" t="str">
        <f>T("1941094533085267340")</f>
        <v>1941094533085267340</v>
      </c>
      <c r="AC3376" s="1" t="s">
        <v>344</v>
      </c>
      <c r="AD3376" s="1" t="s">
        <v>441</v>
      </c>
      <c r="AE3376" s="1" t="s">
        <v>530</v>
      </c>
      <c r="AF3376" s="1" t="s">
        <v>107</v>
      </c>
      <c r="AG3376" s="1">
        <v>62</v>
      </c>
      <c r="AO3376" s="2">
        <v>46287</v>
      </c>
      <c r="AP3376" s="1" t="s">
        <v>886</v>
      </c>
      <c r="AS3376" s="1" t="s">
        <v>71</v>
      </c>
      <c r="AU3376" s="1" t="s">
        <v>72</v>
      </c>
      <c r="AV3376" s="1" t="s">
        <v>126</v>
      </c>
      <c r="AX3376" s="1">
        <v>0</v>
      </c>
      <c r="BA3376" s="1">
        <v>9</v>
      </c>
      <c r="BB3376" s="1">
        <v>0</v>
      </c>
      <c r="BC3376" s="1">
        <v>0</v>
      </c>
      <c r="BE3376" s="1">
        <v>27644677</v>
      </c>
    </row>
    <row r="3377" spans="1:57" x14ac:dyDescent="0.25">
      <c r="A3377" s="1" t="str">
        <f>T("1949041006725501664")</f>
        <v>1949041006725501664</v>
      </c>
      <c r="B3377" s="1" t="str">
        <f>T("249903125243")</f>
        <v>249903125243</v>
      </c>
      <c r="C3377" s="1" t="str">
        <f>T("1941094533085268040")</f>
        <v>1941094533085268040</v>
      </c>
      <c r="AC3377" s="1" t="s">
        <v>344</v>
      </c>
      <c r="AD3377" s="1" t="s">
        <v>372</v>
      </c>
      <c r="AE3377" s="1" t="s">
        <v>813</v>
      </c>
      <c r="AF3377" s="1" t="s">
        <v>107</v>
      </c>
      <c r="AG3377" s="1">
        <v>70</v>
      </c>
      <c r="AO3377" s="2">
        <v>46287</v>
      </c>
      <c r="AP3377" s="1" t="s">
        <v>886</v>
      </c>
      <c r="AS3377" s="1" t="s">
        <v>71</v>
      </c>
      <c r="AU3377" s="1" t="s">
        <v>72</v>
      </c>
      <c r="AV3377" s="1" t="s">
        <v>437</v>
      </c>
      <c r="AX3377" s="1">
        <v>0</v>
      </c>
      <c r="BA3377" s="1">
        <v>9</v>
      </c>
      <c r="BB3377" s="1">
        <v>0</v>
      </c>
      <c r="BC3377" s="1">
        <v>0</v>
      </c>
      <c r="BE3377" s="1">
        <v>27644677</v>
      </c>
    </row>
    <row r="3378" spans="1:57" x14ac:dyDescent="0.25">
      <c r="A3378" s="1" t="str">
        <f>T("1949041006767445344")</f>
        <v>1949041006767445344</v>
      </c>
      <c r="B3378" s="1" t="str">
        <f>T("249112652872")</f>
        <v>249112652872</v>
      </c>
      <c r="C3378" s="1" t="str">
        <f>T("1941094533085268640")</f>
        <v>1941094533085268640</v>
      </c>
      <c r="M3378" s="1" t="s">
        <v>59</v>
      </c>
      <c r="O3378" s="1" t="s">
        <v>65</v>
      </c>
      <c r="P3378" s="1" t="s">
        <v>83</v>
      </c>
      <c r="Q3378" s="1" t="s">
        <v>92</v>
      </c>
      <c r="R3378" s="1" t="s">
        <v>84</v>
      </c>
      <c r="S3378" s="1" t="s">
        <v>94</v>
      </c>
      <c r="U3378" s="1" t="s">
        <v>65</v>
      </c>
      <c r="V3378" s="1" t="s">
        <v>102</v>
      </c>
      <c r="W3378" s="1" t="s">
        <v>60</v>
      </c>
      <c r="AA3378" s="1">
        <v>1</v>
      </c>
      <c r="AC3378" s="1" t="s">
        <v>344</v>
      </c>
      <c r="AD3378" s="1" t="s">
        <v>372</v>
      </c>
      <c r="AE3378" s="1" t="s">
        <v>820</v>
      </c>
      <c r="AF3378" s="1" t="s">
        <v>107</v>
      </c>
      <c r="AG3378" s="1">
        <v>27</v>
      </c>
      <c r="AO3378" s="2">
        <v>46287</v>
      </c>
      <c r="AP3378" s="1" t="s">
        <v>886</v>
      </c>
      <c r="AQ3378" s="2">
        <v>46287</v>
      </c>
      <c r="AR3378" s="1" t="s">
        <v>893</v>
      </c>
      <c r="AS3378" s="1" t="s">
        <v>71</v>
      </c>
      <c r="AU3378" s="1" t="s">
        <v>79</v>
      </c>
      <c r="AV3378" s="1" t="s">
        <v>80</v>
      </c>
      <c r="AW3378" s="1">
        <v>172.3</v>
      </c>
      <c r="AX3378" s="1">
        <v>0</v>
      </c>
      <c r="AZ3378" s="1" t="s">
        <v>81</v>
      </c>
      <c r="BA3378" s="1">
        <v>1</v>
      </c>
      <c r="BB3378" s="1">
        <v>0</v>
      </c>
      <c r="BC3378" s="1">
        <v>0</v>
      </c>
      <c r="BE3378" s="1">
        <v>27644677</v>
      </c>
    </row>
    <row r="3379" spans="1:57" x14ac:dyDescent="0.25">
      <c r="A3379" s="1" t="str">
        <f>T("1949041006775832960")</f>
        <v>1949041006775832960</v>
      </c>
      <c r="B3379" s="1" t="str">
        <f>T("249914019217")</f>
        <v>249914019217</v>
      </c>
      <c r="C3379" s="1" t="str">
        <f>T("1941094533085269140")</f>
        <v>1941094533085269140</v>
      </c>
      <c r="AC3379" s="1" t="s">
        <v>344</v>
      </c>
      <c r="AD3379" s="1" t="s">
        <v>430</v>
      </c>
      <c r="AE3379" s="1" t="s">
        <v>530</v>
      </c>
      <c r="AF3379" s="1" t="s">
        <v>107</v>
      </c>
      <c r="AG3379" s="1">
        <v>40</v>
      </c>
      <c r="AO3379" s="2">
        <v>46287</v>
      </c>
      <c r="AP3379" s="1" t="s">
        <v>886</v>
      </c>
      <c r="AS3379" s="1" t="s">
        <v>71</v>
      </c>
      <c r="AU3379" s="1" t="s">
        <v>72</v>
      </c>
      <c r="AV3379" s="1" t="s">
        <v>73</v>
      </c>
      <c r="AX3379" s="1">
        <v>0</v>
      </c>
      <c r="BA3379" s="1">
        <v>9</v>
      </c>
      <c r="BB3379" s="1">
        <v>0</v>
      </c>
      <c r="BC3379" s="1">
        <v>0</v>
      </c>
      <c r="BE3379" s="1">
        <v>27644677</v>
      </c>
    </row>
    <row r="3380" spans="1:57" x14ac:dyDescent="0.25">
      <c r="A3380" s="1" t="str">
        <f>T("1949041006821973548")</f>
        <v>1949041006821973548</v>
      </c>
      <c r="B3380" s="1" t="str">
        <f>T("249910130982")</f>
        <v>249910130982</v>
      </c>
      <c r="C3380" s="1" t="str">
        <f>T("1941094533085269740")</f>
        <v>1941094533085269740</v>
      </c>
      <c r="AC3380" s="1" t="s">
        <v>344</v>
      </c>
      <c r="AD3380" s="1" t="s">
        <v>441</v>
      </c>
      <c r="AE3380" s="1" t="s">
        <v>530</v>
      </c>
      <c r="AF3380" s="1" t="s">
        <v>107</v>
      </c>
      <c r="AG3380" s="1">
        <v>66</v>
      </c>
      <c r="AO3380" s="2">
        <v>46287</v>
      </c>
      <c r="AP3380" s="1" t="s">
        <v>886</v>
      </c>
      <c r="AS3380" s="1" t="s">
        <v>71</v>
      </c>
      <c r="AU3380" s="1" t="s">
        <v>72</v>
      </c>
      <c r="AV3380" s="1" t="s">
        <v>437</v>
      </c>
      <c r="AX3380" s="1">
        <v>0</v>
      </c>
      <c r="BA3380" s="1">
        <v>9</v>
      </c>
      <c r="BB3380" s="1">
        <v>0</v>
      </c>
      <c r="BC3380" s="1">
        <v>0</v>
      </c>
      <c r="BE3380" s="1">
        <v>27644677</v>
      </c>
    </row>
    <row r="3381" spans="1:57" x14ac:dyDescent="0.25">
      <c r="A3381" s="1" t="str">
        <f>T("1949041006834553372")</f>
        <v>1949041006834553372</v>
      </c>
      <c r="B3381" s="1" t="str">
        <f>T("249904932650")</f>
        <v>249904932650</v>
      </c>
      <c r="C3381" s="1" t="str">
        <f>T("1941094533089460448")</f>
        <v>1941094533089460448</v>
      </c>
      <c r="AC3381" s="1" t="s">
        <v>344</v>
      </c>
      <c r="AD3381" s="1" t="s">
        <v>372</v>
      </c>
      <c r="AE3381" s="1" t="s">
        <v>815</v>
      </c>
      <c r="AF3381" s="1" t="s">
        <v>107</v>
      </c>
      <c r="AG3381" s="1">
        <v>57</v>
      </c>
      <c r="AO3381" s="2">
        <v>46287</v>
      </c>
      <c r="AP3381" s="1" t="s">
        <v>886</v>
      </c>
      <c r="AS3381" s="1" t="s">
        <v>71</v>
      </c>
      <c r="AU3381" s="1" t="s">
        <v>72</v>
      </c>
      <c r="AV3381" s="1" t="s">
        <v>126</v>
      </c>
      <c r="AX3381" s="1">
        <v>0</v>
      </c>
      <c r="BA3381" s="1">
        <v>9</v>
      </c>
      <c r="BB3381" s="1">
        <v>0</v>
      </c>
      <c r="BC3381" s="1">
        <v>0</v>
      </c>
      <c r="BE3381" s="1">
        <v>27644677</v>
      </c>
    </row>
    <row r="3382" spans="1:57" x14ac:dyDescent="0.25">
      <c r="A3382" s="1" t="str">
        <f>T("1949041006880691260")</f>
        <v>1949041006880691260</v>
      </c>
      <c r="B3382" s="1" t="str">
        <f>T("249128478682")</f>
        <v>249128478682</v>
      </c>
      <c r="C3382" s="1" t="str">
        <f>T("1941094533089460948")</f>
        <v>1941094533089460948</v>
      </c>
      <c r="AA3382" s="1">
        <v>1</v>
      </c>
      <c r="AC3382" s="1" t="s">
        <v>344</v>
      </c>
      <c r="AD3382" s="1" t="s">
        <v>372</v>
      </c>
      <c r="AE3382" s="1" t="s">
        <v>820</v>
      </c>
      <c r="AF3382" s="1" t="s">
        <v>107</v>
      </c>
      <c r="AG3382" s="1">
        <v>27</v>
      </c>
      <c r="AO3382" s="2">
        <v>46287</v>
      </c>
      <c r="AP3382" s="1" t="s">
        <v>886</v>
      </c>
      <c r="AS3382" s="1" t="s">
        <v>71</v>
      </c>
      <c r="AU3382" s="1" t="s">
        <v>72</v>
      </c>
      <c r="AV3382" s="1" t="s">
        <v>73</v>
      </c>
      <c r="AX3382" s="1">
        <v>0</v>
      </c>
      <c r="BA3382" s="1">
        <v>9</v>
      </c>
      <c r="BB3382" s="1">
        <v>0</v>
      </c>
      <c r="BC3382" s="1">
        <v>0</v>
      </c>
      <c r="BE3382" s="1">
        <v>27644677</v>
      </c>
    </row>
    <row r="3383" spans="1:57" x14ac:dyDescent="0.25">
      <c r="A3383" s="1" t="str">
        <f>T("1949041006897467492")</f>
        <v>1949041006897467492</v>
      </c>
      <c r="B3383" s="1" t="str">
        <f>T("249966610866")</f>
        <v>249966610866</v>
      </c>
      <c r="C3383" s="1" t="str">
        <f>T("1941094533089461648")</f>
        <v>1941094533089461648</v>
      </c>
      <c r="AC3383" s="1" t="s">
        <v>344</v>
      </c>
      <c r="AD3383" s="1" t="s">
        <v>441</v>
      </c>
      <c r="AE3383" s="1" t="s">
        <v>530</v>
      </c>
      <c r="AF3383" s="1" t="s">
        <v>144</v>
      </c>
      <c r="AG3383" s="1">
        <v>35</v>
      </c>
      <c r="AO3383" s="2">
        <v>46287</v>
      </c>
      <c r="AP3383" s="1" t="s">
        <v>886</v>
      </c>
      <c r="AS3383" s="1" t="s">
        <v>71</v>
      </c>
      <c r="AU3383" s="1" t="s">
        <v>72</v>
      </c>
      <c r="AV3383" s="1" t="s">
        <v>73</v>
      </c>
      <c r="AX3383" s="1">
        <v>0</v>
      </c>
      <c r="BA3383" s="1">
        <v>9</v>
      </c>
      <c r="BB3383" s="1">
        <v>0</v>
      </c>
      <c r="BC3383" s="1">
        <v>0</v>
      </c>
      <c r="BE3383" s="1">
        <v>27644677</v>
      </c>
    </row>
    <row r="3384" spans="1:57" x14ac:dyDescent="0.25">
      <c r="A3384" s="1" t="str">
        <f>T("1949041006943606380")</f>
        <v>1949041006943606380</v>
      </c>
      <c r="B3384" s="1" t="str">
        <f>T("249960104918")</f>
        <v>249960104918</v>
      </c>
      <c r="C3384" s="1" t="str">
        <f>T("1941094533089462148")</f>
        <v>1941094533089462148</v>
      </c>
      <c r="AC3384" s="1" t="s">
        <v>344</v>
      </c>
      <c r="AD3384" s="1" t="s">
        <v>372</v>
      </c>
      <c r="AE3384" s="1" t="s">
        <v>813</v>
      </c>
      <c r="AF3384" s="1" t="s">
        <v>107</v>
      </c>
      <c r="AG3384" s="1">
        <v>45</v>
      </c>
      <c r="AO3384" s="2">
        <v>46287</v>
      </c>
      <c r="AP3384" s="1" t="s">
        <v>886</v>
      </c>
      <c r="AS3384" s="1" t="s">
        <v>71</v>
      </c>
      <c r="AU3384" s="1" t="s">
        <v>72</v>
      </c>
      <c r="AV3384" s="1" t="s">
        <v>126</v>
      </c>
      <c r="AX3384" s="1">
        <v>0</v>
      </c>
      <c r="BA3384" s="1">
        <v>9</v>
      </c>
      <c r="BB3384" s="1">
        <v>0</v>
      </c>
      <c r="BC3384" s="1">
        <v>0</v>
      </c>
      <c r="BE3384" s="1">
        <v>27644677</v>
      </c>
    </row>
    <row r="3385" spans="1:57" x14ac:dyDescent="0.25">
      <c r="A3385" s="1" t="str">
        <f>T("1949041006947802588")</f>
        <v>1949041006947802588</v>
      </c>
      <c r="B3385" s="1" t="str">
        <f>T("249965365745")</f>
        <v>249965365745</v>
      </c>
      <c r="C3385" s="1" t="str">
        <f>T("1941094533089462548")</f>
        <v>1941094533089462548</v>
      </c>
      <c r="AC3385" s="1" t="s">
        <v>344</v>
      </c>
      <c r="AD3385" s="1" t="s">
        <v>372</v>
      </c>
      <c r="AE3385" s="1" t="s">
        <v>818</v>
      </c>
      <c r="AF3385" s="1" t="s">
        <v>144</v>
      </c>
      <c r="AG3385" s="1">
        <v>50</v>
      </c>
      <c r="AO3385" s="2">
        <v>46287</v>
      </c>
      <c r="AP3385" s="1" t="s">
        <v>886</v>
      </c>
      <c r="AS3385" s="1" t="s">
        <v>71</v>
      </c>
      <c r="AU3385" s="1" t="s">
        <v>72</v>
      </c>
      <c r="AV3385" s="1" t="s">
        <v>126</v>
      </c>
      <c r="AX3385" s="1">
        <v>0</v>
      </c>
      <c r="BA3385" s="1">
        <v>9</v>
      </c>
      <c r="BB3385" s="1">
        <v>0</v>
      </c>
      <c r="BC3385" s="1">
        <v>0</v>
      </c>
      <c r="BE3385" s="1">
        <v>27644677</v>
      </c>
    </row>
    <row r="3386" spans="1:57" x14ac:dyDescent="0.25">
      <c r="A3386" s="1" t="str">
        <f>T("1949041007006522800")</f>
        <v>1949041007006522800</v>
      </c>
      <c r="B3386" s="1" t="str">
        <f>T("249913214202")</f>
        <v>249913214202</v>
      </c>
      <c r="C3386" s="1" t="str">
        <f>T("1941094533093657356")</f>
        <v>1941094533093657356</v>
      </c>
      <c r="AC3386" s="1" t="s">
        <v>344</v>
      </c>
      <c r="AD3386" s="1" t="s">
        <v>430</v>
      </c>
      <c r="AE3386" s="1" t="s">
        <v>530</v>
      </c>
      <c r="AF3386" s="1" t="s">
        <v>144</v>
      </c>
      <c r="AG3386" s="1">
        <v>35</v>
      </c>
      <c r="AO3386" s="2">
        <v>46287</v>
      </c>
      <c r="AP3386" s="1" t="s">
        <v>886</v>
      </c>
      <c r="AS3386" s="1" t="s">
        <v>71</v>
      </c>
      <c r="AU3386" s="1" t="s">
        <v>72</v>
      </c>
      <c r="AV3386" s="1" t="s">
        <v>437</v>
      </c>
      <c r="AX3386" s="1">
        <v>0</v>
      </c>
      <c r="BA3386" s="1">
        <v>9</v>
      </c>
      <c r="BB3386" s="1">
        <v>0</v>
      </c>
      <c r="BC3386" s="1">
        <v>0</v>
      </c>
      <c r="BE3386" s="1">
        <v>27644677</v>
      </c>
    </row>
    <row r="3387" spans="1:57" x14ac:dyDescent="0.25">
      <c r="A3387" s="1" t="str">
        <f>T("1949041007006523000")</f>
        <v>1949041007006523000</v>
      </c>
      <c r="B3387" s="1" t="str">
        <f>T("249923968935")</f>
        <v>249923968935</v>
      </c>
      <c r="C3387" s="1" t="str">
        <f>T("1941094533089462948")</f>
        <v>1941094533089462948</v>
      </c>
      <c r="AC3387" s="1" t="s">
        <v>344</v>
      </c>
      <c r="AD3387" s="1" t="s">
        <v>372</v>
      </c>
      <c r="AE3387" s="1" t="s">
        <v>815</v>
      </c>
      <c r="AF3387" s="1" t="s">
        <v>107</v>
      </c>
      <c r="AG3387" s="1">
        <v>70</v>
      </c>
      <c r="AO3387" s="2">
        <v>46287</v>
      </c>
      <c r="AP3387" s="1" t="s">
        <v>886</v>
      </c>
      <c r="AS3387" s="1" t="s">
        <v>71</v>
      </c>
      <c r="AU3387" s="1" t="s">
        <v>72</v>
      </c>
      <c r="AV3387" s="1" t="s">
        <v>73</v>
      </c>
      <c r="AX3387" s="1">
        <v>0</v>
      </c>
      <c r="BA3387" s="1">
        <v>9</v>
      </c>
      <c r="BB3387" s="1">
        <v>0</v>
      </c>
      <c r="BC3387" s="1">
        <v>0</v>
      </c>
      <c r="BE3387" s="1">
        <v>27644677</v>
      </c>
    </row>
    <row r="3388" spans="1:57" x14ac:dyDescent="0.25">
      <c r="A3388" s="1" t="str">
        <f>T("1949041007077822836")</f>
        <v>1949041007077822836</v>
      </c>
      <c r="B3388" s="1" t="str">
        <f>T("249961316783")</f>
        <v>249961316783</v>
      </c>
      <c r="C3388" s="1" t="str">
        <f>T("1941094533097851264")</f>
        <v>1941094533097851264</v>
      </c>
      <c r="AC3388" s="1" t="s">
        <v>344</v>
      </c>
      <c r="AD3388" s="1" t="s">
        <v>430</v>
      </c>
      <c r="AE3388" s="1" t="s">
        <v>530</v>
      </c>
      <c r="AF3388" s="1" t="s">
        <v>107</v>
      </c>
      <c r="AG3388" s="1">
        <v>22</v>
      </c>
      <c r="AO3388" s="2">
        <v>46287</v>
      </c>
      <c r="AP3388" s="1" t="s">
        <v>886</v>
      </c>
      <c r="AS3388" s="1" t="s">
        <v>71</v>
      </c>
      <c r="AU3388" s="1" t="s">
        <v>72</v>
      </c>
      <c r="AV3388" s="1" t="s">
        <v>437</v>
      </c>
      <c r="AX3388" s="1">
        <v>0</v>
      </c>
      <c r="BA3388" s="1">
        <v>9</v>
      </c>
      <c r="BB3388" s="1">
        <v>0</v>
      </c>
      <c r="BC3388" s="1">
        <v>0</v>
      </c>
      <c r="BE3388" s="1">
        <v>27644677</v>
      </c>
    </row>
    <row r="3389" spans="1:57" x14ac:dyDescent="0.25">
      <c r="A3389" s="1" t="str">
        <f>T("1949041007082019244")</f>
        <v>1949041007082019244</v>
      </c>
      <c r="B3389" s="1" t="str">
        <f>T("249903079389")</f>
        <v>249903079389</v>
      </c>
      <c r="C3389" s="1" t="str">
        <f>T("1941094533097852164")</f>
        <v>1941094533097852164</v>
      </c>
      <c r="AC3389" s="1" t="s">
        <v>344</v>
      </c>
      <c r="AD3389" s="1" t="s">
        <v>430</v>
      </c>
      <c r="AE3389" s="1" t="s">
        <v>530</v>
      </c>
      <c r="AF3389" s="1" t="s">
        <v>107</v>
      </c>
      <c r="AG3389" s="1">
        <v>27</v>
      </c>
      <c r="AO3389" s="2">
        <v>46287</v>
      </c>
      <c r="AP3389" s="1" t="s">
        <v>886</v>
      </c>
      <c r="AS3389" s="1" t="s">
        <v>71</v>
      </c>
      <c r="AU3389" s="1" t="s">
        <v>72</v>
      </c>
      <c r="AV3389" s="1" t="s">
        <v>73</v>
      </c>
      <c r="AX3389" s="1">
        <v>0</v>
      </c>
      <c r="BA3389" s="1">
        <v>9</v>
      </c>
      <c r="BB3389" s="1">
        <v>0</v>
      </c>
      <c r="BC3389" s="1">
        <v>0</v>
      </c>
      <c r="BE3389" s="1">
        <v>27644677</v>
      </c>
    </row>
    <row r="3390" spans="1:57" x14ac:dyDescent="0.25">
      <c r="A3390" s="1" t="str">
        <f>T("1949041007136546248")</f>
        <v>1949041007136546248</v>
      </c>
      <c r="B3390" s="1" t="str">
        <f>T("249955789664")</f>
        <v>249955789664</v>
      </c>
      <c r="C3390" s="1" t="str">
        <f>T("1941094533102044072")</f>
        <v>1941094533102044072</v>
      </c>
      <c r="AC3390" s="1" t="s">
        <v>344</v>
      </c>
      <c r="AD3390" s="1" t="s">
        <v>430</v>
      </c>
      <c r="AE3390" s="1" t="s">
        <v>530</v>
      </c>
      <c r="AF3390" s="1" t="s">
        <v>107</v>
      </c>
      <c r="AG3390" s="1">
        <v>27</v>
      </c>
      <c r="AO3390" s="2">
        <v>46287</v>
      </c>
      <c r="AP3390" s="1" t="s">
        <v>886</v>
      </c>
      <c r="AS3390" s="1" t="s">
        <v>71</v>
      </c>
      <c r="AU3390" s="1" t="s">
        <v>72</v>
      </c>
      <c r="AV3390" s="1" t="s">
        <v>73</v>
      </c>
      <c r="AX3390" s="1">
        <v>0</v>
      </c>
      <c r="BA3390" s="1">
        <v>9</v>
      </c>
      <c r="BB3390" s="1">
        <v>0</v>
      </c>
      <c r="BC3390" s="1">
        <v>0</v>
      </c>
      <c r="BE3390" s="1">
        <v>27644677</v>
      </c>
    </row>
    <row r="3391" spans="1:57" x14ac:dyDescent="0.25">
      <c r="A3391" s="1" t="str">
        <f>T("1949041007140739156")</f>
        <v>1949041007140739156</v>
      </c>
      <c r="B3391" s="1" t="str">
        <f>T("249963727921")</f>
        <v>249963727921</v>
      </c>
      <c r="C3391" s="1" t="str">
        <f>T("1941094533102044572")</f>
        <v>1941094533102044572</v>
      </c>
      <c r="AC3391" s="1" t="s">
        <v>344</v>
      </c>
      <c r="AD3391" s="1" t="s">
        <v>441</v>
      </c>
      <c r="AE3391" s="1" t="s">
        <v>530</v>
      </c>
      <c r="AF3391" s="1" t="s">
        <v>144</v>
      </c>
      <c r="AG3391" s="1">
        <v>30</v>
      </c>
      <c r="AO3391" s="2">
        <v>46287</v>
      </c>
      <c r="AP3391" s="1" t="s">
        <v>886</v>
      </c>
      <c r="AS3391" s="1" t="s">
        <v>71</v>
      </c>
      <c r="AU3391" s="1" t="s">
        <v>72</v>
      </c>
      <c r="AV3391" s="1" t="s">
        <v>126</v>
      </c>
      <c r="AX3391" s="1">
        <v>0</v>
      </c>
      <c r="BA3391" s="1">
        <v>9</v>
      </c>
      <c r="BB3391" s="1">
        <v>0</v>
      </c>
      <c r="BC3391" s="1">
        <v>0</v>
      </c>
      <c r="BE3391" s="1">
        <v>27644677</v>
      </c>
    </row>
    <row r="3392" spans="1:57" x14ac:dyDescent="0.25">
      <c r="A3392" s="1" t="str">
        <f>T("1949041007199458368")</f>
        <v>1949041007199458368</v>
      </c>
      <c r="B3392" s="1" t="str">
        <f>T("249910269690")</f>
        <v>249910269690</v>
      </c>
      <c r="C3392" s="1" t="str">
        <f>T("1941094533102046472")</f>
        <v>1941094533102046472</v>
      </c>
      <c r="AC3392" s="1" t="s">
        <v>344</v>
      </c>
      <c r="AD3392" s="1" t="s">
        <v>430</v>
      </c>
      <c r="AE3392" s="1" t="s">
        <v>530</v>
      </c>
      <c r="AF3392" s="1" t="s">
        <v>144</v>
      </c>
      <c r="AG3392" s="1">
        <v>27</v>
      </c>
      <c r="AO3392" s="2">
        <v>46287</v>
      </c>
      <c r="AP3392" s="1" t="s">
        <v>886</v>
      </c>
      <c r="AS3392" s="1" t="s">
        <v>71</v>
      </c>
      <c r="AU3392" s="1" t="s">
        <v>72</v>
      </c>
      <c r="AV3392" s="1" t="s">
        <v>126</v>
      </c>
      <c r="AX3392" s="1">
        <v>0</v>
      </c>
      <c r="BA3392" s="1">
        <v>9</v>
      </c>
      <c r="BB3392" s="1">
        <v>0</v>
      </c>
      <c r="BC3392" s="1">
        <v>0</v>
      </c>
      <c r="BE3392" s="1">
        <v>27644677</v>
      </c>
    </row>
    <row r="3393" spans="1:57" x14ac:dyDescent="0.25">
      <c r="A3393" s="1" t="str">
        <f>T("1949041007199459568")</f>
        <v>1949041007199459568</v>
      </c>
      <c r="B3393" s="1" t="str">
        <f>T("249917935488")</f>
        <v>249917935488</v>
      </c>
      <c r="C3393" s="1" t="str">
        <f>T("1941094533106237780")</f>
        <v>1941094533106237780</v>
      </c>
      <c r="AC3393" s="1" t="s">
        <v>344</v>
      </c>
      <c r="AD3393" s="1" t="s">
        <v>372</v>
      </c>
      <c r="AE3393" s="1" t="s">
        <v>815</v>
      </c>
      <c r="AF3393" s="1" t="s">
        <v>144</v>
      </c>
      <c r="AG3393" s="1">
        <v>55</v>
      </c>
      <c r="AO3393" s="2">
        <v>46287</v>
      </c>
      <c r="AP3393" s="1" t="s">
        <v>886</v>
      </c>
      <c r="AS3393" s="1" t="s">
        <v>71</v>
      </c>
      <c r="AU3393" s="1" t="s">
        <v>72</v>
      </c>
      <c r="AV3393" s="1" t="s">
        <v>73</v>
      </c>
      <c r="AX3393" s="1">
        <v>0</v>
      </c>
      <c r="BA3393" s="1">
        <v>9</v>
      </c>
      <c r="BB3393" s="1">
        <v>0</v>
      </c>
      <c r="BC3393" s="1">
        <v>0</v>
      </c>
      <c r="BE3393" s="1">
        <v>27644677</v>
      </c>
    </row>
    <row r="3394" spans="1:57" x14ac:dyDescent="0.25">
      <c r="A3394" s="1" t="str">
        <f>T("1949041007258178380")</f>
        <v>1949041007258178380</v>
      </c>
      <c r="B3394" s="1" t="str">
        <f>T("249962880118")</f>
        <v>249962880118</v>
      </c>
      <c r="C3394" s="1" t="str">
        <f>T("1941094533106239580")</f>
        <v>1941094533106239580</v>
      </c>
      <c r="AC3394" s="1" t="s">
        <v>344</v>
      </c>
      <c r="AD3394" s="1" t="s">
        <v>430</v>
      </c>
      <c r="AE3394" s="1" t="s">
        <v>530</v>
      </c>
      <c r="AF3394" s="1" t="s">
        <v>107</v>
      </c>
      <c r="AG3394" s="1">
        <v>65</v>
      </c>
      <c r="AO3394" s="2">
        <v>46287</v>
      </c>
      <c r="AP3394" s="1" t="s">
        <v>886</v>
      </c>
      <c r="AS3394" s="1" t="s">
        <v>71</v>
      </c>
      <c r="AU3394" s="1" t="s">
        <v>72</v>
      </c>
      <c r="AV3394" s="1" t="s">
        <v>437</v>
      </c>
      <c r="AX3394" s="1">
        <v>0</v>
      </c>
      <c r="BA3394" s="1">
        <v>9</v>
      </c>
      <c r="BB3394" s="1">
        <v>0</v>
      </c>
      <c r="BC3394" s="1">
        <v>0</v>
      </c>
      <c r="BE3394" s="1">
        <v>27644677</v>
      </c>
    </row>
    <row r="3395" spans="1:57" x14ac:dyDescent="0.25">
      <c r="A3395" s="1" t="str">
        <f>T("1949041007262372588")</f>
        <v>1949041007262372588</v>
      </c>
      <c r="B3395" s="1" t="str">
        <f>T("249966244424")</f>
        <v>249966244424</v>
      </c>
      <c r="C3395" s="1" t="str">
        <f>T("1941094533106240180")</f>
        <v>1941094533106240180</v>
      </c>
      <c r="AC3395" s="1" t="s">
        <v>344</v>
      </c>
      <c r="AD3395" s="1" t="s">
        <v>441</v>
      </c>
      <c r="AE3395" s="1" t="s">
        <v>530</v>
      </c>
      <c r="AF3395" s="1" t="s">
        <v>144</v>
      </c>
      <c r="AG3395" s="1">
        <v>55</v>
      </c>
      <c r="AO3395" s="2">
        <v>46287</v>
      </c>
      <c r="AP3395" s="1" t="s">
        <v>886</v>
      </c>
      <c r="AS3395" s="1" t="s">
        <v>71</v>
      </c>
      <c r="AU3395" s="1" t="s">
        <v>72</v>
      </c>
      <c r="AV3395" s="1" t="s">
        <v>126</v>
      </c>
      <c r="AX3395" s="1">
        <v>0</v>
      </c>
      <c r="BA3395" s="1">
        <v>9</v>
      </c>
      <c r="BB3395" s="1">
        <v>0</v>
      </c>
      <c r="BC3395" s="1">
        <v>0</v>
      </c>
      <c r="BE3395" s="1">
        <v>27644677</v>
      </c>
    </row>
    <row r="3396" spans="1:57" x14ac:dyDescent="0.25">
      <c r="A3396" s="1" t="str">
        <f>T("1949041007308513076")</f>
        <v>1949041007308513076</v>
      </c>
      <c r="B3396" s="1" t="str">
        <f>T("249903216925")</f>
        <v>249903216925</v>
      </c>
      <c r="C3396" s="1" t="str">
        <f>T("1941094533106240980")</f>
        <v>1941094533106240980</v>
      </c>
      <c r="AC3396" s="1" t="s">
        <v>344</v>
      </c>
      <c r="AD3396" s="1" t="s">
        <v>430</v>
      </c>
      <c r="AE3396" s="1" t="s">
        <v>530</v>
      </c>
      <c r="AF3396" s="1" t="s">
        <v>107</v>
      </c>
      <c r="AG3396" s="1">
        <v>65</v>
      </c>
      <c r="AO3396" s="2">
        <v>46287</v>
      </c>
      <c r="AP3396" s="1" t="s">
        <v>886</v>
      </c>
      <c r="AS3396" s="1" t="s">
        <v>71</v>
      </c>
      <c r="AU3396" s="1" t="s">
        <v>72</v>
      </c>
      <c r="AV3396" s="1" t="s">
        <v>73</v>
      </c>
      <c r="AX3396" s="1">
        <v>0</v>
      </c>
      <c r="BA3396" s="1">
        <v>9</v>
      </c>
      <c r="BB3396" s="1">
        <v>0</v>
      </c>
      <c r="BC3396" s="1">
        <v>0</v>
      </c>
      <c r="BE3396" s="1">
        <v>27644677</v>
      </c>
    </row>
    <row r="3397" spans="1:57" x14ac:dyDescent="0.25">
      <c r="A3397" s="1" t="str">
        <f>T("1949041007329482816")</f>
        <v>1949041007329482816</v>
      </c>
      <c r="B3397" s="1" t="str">
        <f>T("249966612404")</f>
        <v>249966612404</v>
      </c>
      <c r="C3397" s="1" t="str">
        <f>T("1941094533110431888")</f>
        <v>1941094533110431888</v>
      </c>
      <c r="AC3397" s="1" t="s">
        <v>344</v>
      </c>
      <c r="AD3397" s="1" t="s">
        <v>441</v>
      </c>
      <c r="AE3397" s="1" t="s">
        <v>530</v>
      </c>
      <c r="AF3397" s="1" t="s">
        <v>107</v>
      </c>
      <c r="AG3397" s="1">
        <v>35</v>
      </c>
      <c r="AO3397" s="2">
        <v>46287</v>
      </c>
      <c r="AP3397" s="1" t="s">
        <v>886</v>
      </c>
      <c r="AS3397" s="1" t="s">
        <v>71</v>
      </c>
      <c r="AU3397" s="1" t="s">
        <v>72</v>
      </c>
      <c r="AV3397" s="1" t="s">
        <v>437</v>
      </c>
      <c r="AX3397" s="1">
        <v>0</v>
      </c>
      <c r="BA3397" s="1">
        <v>9</v>
      </c>
      <c r="BB3397" s="1">
        <v>0</v>
      </c>
      <c r="BC3397" s="1">
        <v>0</v>
      </c>
      <c r="BE3397" s="1">
        <v>27644677</v>
      </c>
    </row>
    <row r="3398" spans="1:57" x14ac:dyDescent="0.25">
      <c r="A3398" s="1" t="str">
        <f>T("1949041007371426996")</f>
        <v>1949041007371426996</v>
      </c>
      <c r="B3398" s="1" t="str">
        <f>T("249917836965")</f>
        <v>249917836965</v>
      </c>
      <c r="C3398" s="1" t="str">
        <f>T("1941094533110432488")</f>
        <v>1941094533110432488</v>
      </c>
      <c r="AC3398" s="1" t="s">
        <v>344</v>
      </c>
      <c r="AD3398" s="1" t="s">
        <v>441</v>
      </c>
      <c r="AE3398" s="1" t="s">
        <v>530</v>
      </c>
      <c r="AF3398" s="1" t="s">
        <v>107</v>
      </c>
      <c r="AG3398" s="1">
        <v>46</v>
      </c>
      <c r="AO3398" s="2">
        <v>46287</v>
      </c>
      <c r="AP3398" s="1" t="s">
        <v>886</v>
      </c>
      <c r="AS3398" s="1" t="s">
        <v>71</v>
      </c>
      <c r="AU3398" s="1" t="s">
        <v>72</v>
      </c>
      <c r="AV3398" s="1" t="s">
        <v>73</v>
      </c>
      <c r="AX3398" s="1">
        <v>0</v>
      </c>
      <c r="BA3398" s="1">
        <v>9</v>
      </c>
      <c r="BB3398" s="1">
        <v>0</v>
      </c>
      <c r="BC3398" s="1">
        <v>0</v>
      </c>
      <c r="BE3398" s="1">
        <v>27644677</v>
      </c>
    </row>
    <row r="3399" spans="1:57" x14ac:dyDescent="0.25">
      <c r="A3399" s="1" t="str">
        <f>T("1949041007384007920")</f>
        <v>1949041007384007920</v>
      </c>
      <c r="B3399" s="1" t="str">
        <f>T("249119682218")</f>
        <v>249119682218</v>
      </c>
      <c r="C3399" s="1" t="str">
        <f>T("1941094533114626596")</f>
        <v>1941094533114626596</v>
      </c>
      <c r="AC3399" s="1" t="s">
        <v>344</v>
      </c>
      <c r="AD3399" s="1" t="s">
        <v>372</v>
      </c>
      <c r="AE3399" s="1" t="s">
        <v>820</v>
      </c>
      <c r="AF3399" s="1" t="s">
        <v>107</v>
      </c>
      <c r="AG3399" s="1">
        <v>54</v>
      </c>
      <c r="AO3399" s="2">
        <v>46287</v>
      </c>
      <c r="AP3399" s="1" t="s">
        <v>886</v>
      </c>
      <c r="AS3399" s="1" t="s">
        <v>71</v>
      </c>
      <c r="AU3399" s="1" t="s">
        <v>72</v>
      </c>
      <c r="AV3399" s="1" t="s">
        <v>73</v>
      </c>
      <c r="AX3399" s="1">
        <v>0</v>
      </c>
      <c r="BA3399" s="1">
        <v>9</v>
      </c>
      <c r="BB3399" s="1">
        <v>0</v>
      </c>
      <c r="BC3399" s="1">
        <v>0</v>
      </c>
      <c r="BE3399" s="1">
        <v>27644677</v>
      </c>
    </row>
    <row r="3400" spans="1:57" x14ac:dyDescent="0.25">
      <c r="A3400" s="1" t="str">
        <f>T("1949041007434340616")</f>
        <v>1949041007434340616</v>
      </c>
      <c r="B3400" s="1" t="str">
        <f>T("249919218495")</f>
        <v>249919218495</v>
      </c>
      <c r="C3400" s="1" t="str">
        <f>T("1941094533114627396")</f>
        <v>1941094533114627396</v>
      </c>
      <c r="AC3400" s="1" t="s">
        <v>344</v>
      </c>
      <c r="AD3400" s="1" t="s">
        <v>441</v>
      </c>
      <c r="AE3400" s="1" t="s">
        <v>530</v>
      </c>
      <c r="AF3400" s="1" t="s">
        <v>107</v>
      </c>
      <c r="AG3400" s="1">
        <v>45</v>
      </c>
      <c r="AO3400" s="2">
        <v>46287</v>
      </c>
      <c r="AP3400" s="1" t="s">
        <v>886</v>
      </c>
      <c r="AS3400" s="1" t="s">
        <v>71</v>
      </c>
      <c r="AU3400" s="1" t="s">
        <v>72</v>
      </c>
      <c r="AV3400" s="1" t="s">
        <v>126</v>
      </c>
      <c r="AX3400" s="1">
        <v>0</v>
      </c>
      <c r="BA3400" s="1">
        <v>9</v>
      </c>
      <c r="BB3400" s="1">
        <v>0</v>
      </c>
      <c r="BC3400" s="1">
        <v>0</v>
      </c>
      <c r="BE3400" s="1">
        <v>27644677</v>
      </c>
    </row>
    <row r="3401" spans="1:57" x14ac:dyDescent="0.25">
      <c r="A3401" s="1" t="str">
        <f>T("1949041007446921440")</f>
        <v>1949041007446921440</v>
      </c>
      <c r="B3401" s="1" t="str">
        <f>T("249904425323")</f>
        <v>249904425323</v>
      </c>
      <c r="C3401" s="1" t="str">
        <f>T("1941094533114627796")</f>
        <v>1941094533114627796</v>
      </c>
      <c r="AC3401" s="1" t="s">
        <v>344</v>
      </c>
      <c r="AD3401" s="1" t="s">
        <v>372</v>
      </c>
      <c r="AE3401" s="1" t="s">
        <v>815</v>
      </c>
      <c r="AF3401" s="1" t="s">
        <v>107</v>
      </c>
      <c r="AG3401" s="1">
        <v>55</v>
      </c>
      <c r="AO3401" s="2">
        <v>46287</v>
      </c>
      <c r="AP3401" s="1" t="s">
        <v>886</v>
      </c>
      <c r="AS3401" s="1" t="s">
        <v>71</v>
      </c>
      <c r="AU3401" s="1" t="s">
        <v>72</v>
      </c>
      <c r="AV3401" s="1" t="s">
        <v>126</v>
      </c>
      <c r="AX3401" s="1">
        <v>0</v>
      </c>
      <c r="BA3401" s="1">
        <v>9</v>
      </c>
      <c r="BB3401" s="1">
        <v>0</v>
      </c>
      <c r="BC3401" s="1">
        <v>0</v>
      </c>
      <c r="BE3401" s="1">
        <v>27644677</v>
      </c>
    </row>
    <row r="3402" spans="1:57" x14ac:dyDescent="0.25">
      <c r="A3402" s="1" t="str">
        <f>T("1949041007493060628")</f>
        <v>1949041007493060628</v>
      </c>
      <c r="B3402" s="1" t="str">
        <f>T("249964404670")</f>
        <v>249964404670</v>
      </c>
      <c r="C3402" s="1" t="str">
        <f>T("1941094533114628796")</f>
        <v>1941094533114628796</v>
      </c>
      <c r="AC3402" s="1" t="s">
        <v>344</v>
      </c>
      <c r="AD3402" s="1" t="s">
        <v>441</v>
      </c>
      <c r="AE3402" s="1" t="s">
        <v>530</v>
      </c>
      <c r="AF3402" s="1" t="s">
        <v>107</v>
      </c>
      <c r="AG3402" s="1">
        <v>55</v>
      </c>
      <c r="AO3402" s="2">
        <v>46287</v>
      </c>
      <c r="AP3402" s="1" t="s">
        <v>886</v>
      </c>
      <c r="AS3402" s="1" t="s">
        <v>71</v>
      </c>
      <c r="AU3402" s="1" t="s">
        <v>72</v>
      </c>
      <c r="AV3402" s="1" t="s">
        <v>126</v>
      </c>
      <c r="AX3402" s="1">
        <v>0</v>
      </c>
      <c r="BA3402" s="1">
        <v>9</v>
      </c>
      <c r="BB3402" s="1">
        <v>0</v>
      </c>
      <c r="BC3402" s="1">
        <v>0</v>
      </c>
      <c r="BE3402" s="1">
        <v>27644677</v>
      </c>
    </row>
    <row r="3403" spans="1:57" x14ac:dyDescent="0.25">
      <c r="A3403" s="1" t="str">
        <f>T("1949041007501447644")</f>
        <v>1949041007501447644</v>
      </c>
      <c r="B3403" s="1" t="str">
        <f>T("249909314664")</f>
        <v>249909314664</v>
      </c>
      <c r="C3403" s="1" t="str">
        <f>T("1941094533114629596")</f>
        <v>1941094533114629596</v>
      </c>
      <c r="AC3403" s="1" t="s">
        <v>344</v>
      </c>
      <c r="AD3403" s="1" t="s">
        <v>372</v>
      </c>
      <c r="AE3403" s="1" t="s">
        <v>815</v>
      </c>
      <c r="AF3403" s="1" t="s">
        <v>144</v>
      </c>
      <c r="AG3403" s="1">
        <v>50</v>
      </c>
      <c r="AO3403" s="2">
        <v>46287</v>
      </c>
      <c r="AP3403" s="1" t="s">
        <v>886</v>
      </c>
      <c r="AS3403" s="1" t="s">
        <v>71</v>
      </c>
      <c r="AU3403" s="1" t="s">
        <v>72</v>
      </c>
      <c r="AV3403" s="1" t="s">
        <v>126</v>
      </c>
      <c r="AX3403" s="1">
        <v>0</v>
      </c>
      <c r="BA3403" s="1">
        <v>9</v>
      </c>
      <c r="BB3403" s="1">
        <v>0</v>
      </c>
      <c r="BC3403" s="1">
        <v>0</v>
      </c>
      <c r="BE3403" s="1">
        <v>27644677</v>
      </c>
    </row>
    <row r="3404" spans="1:57" x14ac:dyDescent="0.25">
      <c r="A3404" s="1" t="str">
        <f>T("1949041007555974248")</f>
        <v>1949041007555974248</v>
      </c>
      <c r="B3404" s="1" t="str">
        <f>T("249964855407")</f>
        <v>249964855407</v>
      </c>
      <c r="C3404" s="1" t="str">
        <f>T("1941094533118823504")</f>
        <v>1941094533118823504</v>
      </c>
      <c r="AC3404" s="1" t="s">
        <v>344</v>
      </c>
      <c r="AD3404" s="1" t="s">
        <v>430</v>
      </c>
      <c r="AE3404" s="1" t="s">
        <v>530</v>
      </c>
      <c r="AF3404" s="1" t="s">
        <v>144</v>
      </c>
      <c r="AG3404" s="1">
        <v>50</v>
      </c>
      <c r="AO3404" s="2">
        <v>46287</v>
      </c>
      <c r="AP3404" s="1" t="s">
        <v>886</v>
      </c>
      <c r="AS3404" s="1" t="s">
        <v>71</v>
      </c>
      <c r="AU3404" s="1" t="s">
        <v>72</v>
      </c>
      <c r="AV3404" s="1" t="s">
        <v>437</v>
      </c>
      <c r="AX3404" s="1">
        <v>0</v>
      </c>
      <c r="BA3404" s="1">
        <v>9</v>
      </c>
      <c r="BB3404" s="1">
        <v>0</v>
      </c>
      <c r="BC3404" s="1">
        <v>0</v>
      </c>
      <c r="BE3404" s="1">
        <v>27644677</v>
      </c>
    </row>
    <row r="3405" spans="1:57" x14ac:dyDescent="0.25">
      <c r="A3405" s="1" t="str">
        <f>T("1949041007560167956")</f>
        <v>1949041007560167956</v>
      </c>
      <c r="B3405" s="1" t="str">
        <f>T("249907485229")</f>
        <v>249907485229</v>
      </c>
      <c r="C3405" s="1" t="str">
        <f>T("1941094533123015712")</f>
        <v>1941094533123015712</v>
      </c>
      <c r="AC3405" s="1" t="s">
        <v>344</v>
      </c>
      <c r="AD3405" s="1" t="s">
        <v>441</v>
      </c>
      <c r="AE3405" s="1" t="s">
        <v>530</v>
      </c>
      <c r="AF3405" s="1" t="s">
        <v>107</v>
      </c>
      <c r="AG3405" s="1">
        <v>32</v>
      </c>
      <c r="AO3405" s="2">
        <v>46287</v>
      </c>
      <c r="AP3405" s="1" t="s">
        <v>886</v>
      </c>
      <c r="AS3405" s="1" t="s">
        <v>71</v>
      </c>
      <c r="AU3405" s="1" t="s">
        <v>72</v>
      </c>
      <c r="AV3405" s="1" t="s">
        <v>437</v>
      </c>
      <c r="AX3405" s="1">
        <v>0</v>
      </c>
      <c r="BA3405" s="1">
        <v>9</v>
      </c>
      <c r="BB3405" s="1">
        <v>0</v>
      </c>
      <c r="BC3405" s="1">
        <v>0</v>
      </c>
      <c r="BE3405" s="1">
        <v>27644677</v>
      </c>
    </row>
    <row r="3406" spans="1:57" x14ac:dyDescent="0.25">
      <c r="A3406" s="1" t="str">
        <f>T("1949041007610501352")</f>
        <v>1949041007610501352</v>
      </c>
      <c r="B3406" s="1" t="str">
        <f>T("249915729948")</f>
        <v>249915729948</v>
      </c>
      <c r="C3406" s="1" t="str">
        <f>T("1941094533123016612")</f>
        <v>1941094533123016612</v>
      </c>
      <c r="AC3406" s="1" t="s">
        <v>344</v>
      </c>
      <c r="AD3406" s="1" t="s">
        <v>372</v>
      </c>
      <c r="AE3406" s="1" t="s">
        <v>815</v>
      </c>
      <c r="AF3406" s="1" t="s">
        <v>107</v>
      </c>
      <c r="AG3406" s="1">
        <v>57</v>
      </c>
      <c r="AO3406" s="2">
        <v>46287</v>
      </c>
      <c r="AP3406" s="1" t="s">
        <v>886</v>
      </c>
      <c r="AS3406" s="1" t="s">
        <v>71</v>
      </c>
      <c r="AU3406" s="1" t="s">
        <v>72</v>
      </c>
      <c r="AV3406" s="1" t="s">
        <v>437</v>
      </c>
      <c r="AX3406" s="1">
        <v>0</v>
      </c>
      <c r="BA3406" s="1">
        <v>9</v>
      </c>
      <c r="BB3406" s="1">
        <v>0</v>
      </c>
      <c r="BC3406" s="1">
        <v>0</v>
      </c>
      <c r="BE3406" s="1">
        <v>27644677</v>
      </c>
    </row>
    <row r="3407" spans="1:57" x14ac:dyDescent="0.25">
      <c r="A3407" s="1" t="str">
        <f>T("1949041007618890168")</f>
        <v>1949041007618890168</v>
      </c>
      <c r="B3407" s="1" t="str">
        <f>T("249907388524")</f>
        <v>249907388524</v>
      </c>
      <c r="C3407" s="1" t="str">
        <f>T("1941094533127209220")</f>
        <v>1941094533127209220</v>
      </c>
      <c r="AC3407" s="1" t="s">
        <v>344</v>
      </c>
      <c r="AD3407" s="1" t="s">
        <v>441</v>
      </c>
      <c r="AE3407" s="1" t="s">
        <v>530</v>
      </c>
      <c r="AF3407" s="1" t="s">
        <v>107</v>
      </c>
      <c r="AG3407" s="1">
        <v>30</v>
      </c>
      <c r="AO3407" s="2">
        <v>46287</v>
      </c>
      <c r="AP3407" s="1" t="s">
        <v>886</v>
      </c>
      <c r="AS3407" s="1" t="s">
        <v>71</v>
      </c>
      <c r="AU3407" s="1" t="s">
        <v>72</v>
      </c>
      <c r="AV3407" s="1" t="s">
        <v>126</v>
      </c>
      <c r="AX3407" s="1">
        <v>0</v>
      </c>
      <c r="BA3407" s="1">
        <v>9</v>
      </c>
      <c r="BB3407" s="1">
        <v>0</v>
      </c>
      <c r="BC3407" s="1">
        <v>0</v>
      </c>
      <c r="BE3407" s="1">
        <v>27644677</v>
      </c>
    </row>
    <row r="3408" spans="1:57" x14ac:dyDescent="0.25">
      <c r="A3408" s="1" t="str">
        <f>T("1949041007665026356")</f>
        <v>1949041007665026356</v>
      </c>
      <c r="B3408" s="1" t="str">
        <f>T("249917350611")</f>
        <v>249917350611</v>
      </c>
      <c r="C3408" s="1" t="str">
        <f>T("1941094533127209820")</f>
        <v>1941094533127209820</v>
      </c>
      <c r="AC3408" s="1" t="s">
        <v>344</v>
      </c>
      <c r="AD3408" s="1" t="s">
        <v>372</v>
      </c>
      <c r="AE3408" s="1" t="s">
        <v>818</v>
      </c>
      <c r="AF3408" s="1" t="s">
        <v>107</v>
      </c>
      <c r="AG3408" s="1">
        <v>60</v>
      </c>
      <c r="AO3408" s="2">
        <v>46287</v>
      </c>
      <c r="AP3408" s="1" t="s">
        <v>886</v>
      </c>
      <c r="AS3408" s="1" t="s">
        <v>71</v>
      </c>
      <c r="AU3408" s="1" t="s">
        <v>72</v>
      </c>
      <c r="AV3408" s="1" t="s">
        <v>126</v>
      </c>
      <c r="AX3408" s="1">
        <v>0</v>
      </c>
      <c r="BA3408" s="1">
        <v>9</v>
      </c>
      <c r="BB3408" s="1">
        <v>0</v>
      </c>
      <c r="BC3408" s="1">
        <v>0</v>
      </c>
      <c r="BE3408" s="1">
        <v>27644677</v>
      </c>
    </row>
    <row r="3409" spans="1:57" x14ac:dyDescent="0.25">
      <c r="A3409" s="1" t="str">
        <f>T("1949041007677608980")</f>
        <v>1949041007677608980</v>
      </c>
      <c r="B3409" s="1" t="str">
        <f>T("249917538171")</f>
        <v>249917538171</v>
      </c>
      <c r="C3409" s="1" t="str">
        <f>T("1941094533127212620")</f>
        <v>1941094533127212620</v>
      </c>
      <c r="AC3409" s="1" t="s">
        <v>344</v>
      </c>
      <c r="AD3409" s="1" t="s">
        <v>430</v>
      </c>
      <c r="AE3409" s="1" t="s">
        <v>530</v>
      </c>
      <c r="AF3409" s="1" t="s">
        <v>107</v>
      </c>
      <c r="AG3409" s="1">
        <v>53</v>
      </c>
      <c r="AO3409" s="2">
        <v>46287</v>
      </c>
      <c r="AP3409" s="1" t="s">
        <v>886</v>
      </c>
      <c r="AS3409" s="1" t="s">
        <v>71</v>
      </c>
      <c r="AU3409" s="1" t="s">
        <v>72</v>
      </c>
      <c r="AV3409" s="1" t="s">
        <v>437</v>
      </c>
      <c r="AX3409" s="1">
        <v>0</v>
      </c>
      <c r="BA3409" s="1">
        <v>9</v>
      </c>
      <c r="BB3409" s="1">
        <v>0</v>
      </c>
      <c r="BC3409" s="1">
        <v>0</v>
      </c>
      <c r="BE3409" s="1">
        <v>27644677</v>
      </c>
    </row>
    <row r="3410" spans="1:57" x14ac:dyDescent="0.25">
      <c r="A3410" s="1" t="str">
        <f>T("1949041007723747668")</f>
        <v>1949041007723747668</v>
      </c>
      <c r="B3410" s="1" t="str">
        <f>T("249967301005")</f>
        <v>249967301005</v>
      </c>
      <c r="C3410" s="1" t="str">
        <f>T("1941094533131405828")</f>
        <v>1941094533131405828</v>
      </c>
      <c r="AC3410" s="1" t="s">
        <v>344</v>
      </c>
      <c r="AD3410" s="1" t="s">
        <v>372</v>
      </c>
      <c r="AE3410" s="1" t="s">
        <v>813</v>
      </c>
      <c r="AF3410" s="1" t="s">
        <v>107</v>
      </c>
      <c r="AG3410" s="1">
        <v>45</v>
      </c>
      <c r="AO3410" s="2">
        <v>46287</v>
      </c>
      <c r="AP3410" s="1" t="s">
        <v>886</v>
      </c>
      <c r="AS3410" s="1" t="s">
        <v>71</v>
      </c>
      <c r="AU3410" s="1" t="s">
        <v>72</v>
      </c>
      <c r="AV3410" s="1" t="s">
        <v>73</v>
      </c>
      <c r="AX3410" s="1">
        <v>0</v>
      </c>
      <c r="BA3410" s="1">
        <v>9</v>
      </c>
      <c r="BB3410" s="1">
        <v>0</v>
      </c>
      <c r="BC3410" s="1">
        <v>0</v>
      </c>
      <c r="BE3410" s="1">
        <v>27644677</v>
      </c>
    </row>
    <row r="3411" spans="1:57" x14ac:dyDescent="0.25">
      <c r="A3411" s="1" t="str">
        <f>T("1949041007740525300")</f>
        <v>1949041007740525300</v>
      </c>
      <c r="B3411" s="1" t="str">
        <f>T("249905056415")</f>
        <v>249905056415</v>
      </c>
      <c r="C3411" s="1" t="str">
        <f>T("1941094533131406528")</f>
        <v>1941094533131406528</v>
      </c>
      <c r="AC3411" s="1" t="s">
        <v>344</v>
      </c>
      <c r="AD3411" s="1" t="s">
        <v>372</v>
      </c>
      <c r="AE3411" s="1" t="s">
        <v>815</v>
      </c>
      <c r="AF3411" s="1" t="s">
        <v>107</v>
      </c>
      <c r="AG3411" s="1">
        <v>27</v>
      </c>
      <c r="AO3411" s="2">
        <v>46287</v>
      </c>
      <c r="AP3411" s="1" t="s">
        <v>886</v>
      </c>
      <c r="AS3411" s="1" t="s">
        <v>71</v>
      </c>
      <c r="AU3411" s="1" t="s">
        <v>72</v>
      </c>
      <c r="AV3411" s="1" t="s">
        <v>73</v>
      </c>
      <c r="AX3411" s="1">
        <v>0</v>
      </c>
      <c r="BA3411" s="1">
        <v>9</v>
      </c>
      <c r="BB3411" s="1">
        <v>0</v>
      </c>
      <c r="BC3411" s="1">
        <v>0</v>
      </c>
      <c r="BE3411" s="1">
        <v>27644677</v>
      </c>
    </row>
    <row r="3412" spans="1:57" x14ac:dyDescent="0.25">
      <c r="A3412" s="1" t="str">
        <f>T("1949041007799246812")</f>
        <v>1949041007799246812</v>
      </c>
      <c r="B3412" s="1" t="str">
        <f>T("249962289221")</f>
        <v>249962289221</v>
      </c>
      <c r="C3412" s="1" t="str">
        <f>T("1941094533143987252")</f>
        <v>1941094533143987252</v>
      </c>
      <c r="AC3412" s="1" t="s">
        <v>344</v>
      </c>
      <c r="AD3412" s="1" t="s">
        <v>441</v>
      </c>
      <c r="AE3412" s="1" t="s">
        <v>530</v>
      </c>
      <c r="AF3412" s="1" t="s">
        <v>107</v>
      </c>
      <c r="AG3412" s="1">
        <v>35</v>
      </c>
      <c r="AO3412" s="2">
        <v>46287</v>
      </c>
      <c r="AP3412" s="1" t="s">
        <v>886</v>
      </c>
      <c r="AS3412" s="1" t="s">
        <v>71</v>
      </c>
      <c r="AU3412" s="1" t="s">
        <v>72</v>
      </c>
      <c r="AV3412" s="1" t="s">
        <v>126</v>
      </c>
      <c r="AX3412" s="1">
        <v>0</v>
      </c>
      <c r="BA3412" s="1">
        <v>9</v>
      </c>
      <c r="BB3412" s="1">
        <v>0</v>
      </c>
      <c r="BC3412" s="1">
        <v>0</v>
      </c>
      <c r="BE3412" s="1">
        <v>27644677</v>
      </c>
    </row>
    <row r="3413" spans="1:57" x14ac:dyDescent="0.25">
      <c r="A3413" s="1" t="str">
        <f>T("1949041007803437420")</f>
        <v>1949041007803437420</v>
      </c>
      <c r="B3413" s="1" t="str">
        <f>T("249904182215")</f>
        <v>249904182215</v>
      </c>
      <c r="C3413" s="1" t="str">
        <f>T("1941094533135600536")</f>
        <v>1941094533135600536</v>
      </c>
      <c r="AC3413" s="1" t="s">
        <v>344</v>
      </c>
      <c r="AD3413" s="1" t="s">
        <v>441</v>
      </c>
      <c r="AE3413" s="1" t="s">
        <v>530</v>
      </c>
      <c r="AF3413" s="1" t="s">
        <v>107</v>
      </c>
      <c r="AG3413" s="1">
        <v>75</v>
      </c>
      <c r="AO3413" s="2">
        <v>46287</v>
      </c>
      <c r="AP3413" s="1" t="s">
        <v>886</v>
      </c>
      <c r="AS3413" s="1" t="s">
        <v>71</v>
      </c>
      <c r="AU3413" s="1" t="s">
        <v>72</v>
      </c>
      <c r="AV3413" s="1" t="s">
        <v>126</v>
      </c>
      <c r="AX3413" s="1">
        <v>0</v>
      </c>
      <c r="BA3413" s="1">
        <v>9</v>
      </c>
      <c r="BB3413" s="1">
        <v>0</v>
      </c>
      <c r="BC3413" s="1">
        <v>0</v>
      </c>
      <c r="BE3413" s="1">
        <v>27644677</v>
      </c>
    </row>
    <row r="3414" spans="1:57" x14ac:dyDescent="0.25">
      <c r="A3414" s="1" t="str">
        <f>T("1949041007874740456")</f>
        <v>1949041007874740456</v>
      </c>
      <c r="B3414" s="1" t="str">
        <f>T("249925135472")</f>
        <v>249925135472</v>
      </c>
      <c r="C3414" s="1" t="str">
        <f>T("1941094533143988052")</f>
        <v>1941094533143988052</v>
      </c>
      <c r="AC3414" s="1" t="s">
        <v>344</v>
      </c>
      <c r="AD3414" s="1" t="s">
        <v>372</v>
      </c>
      <c r="AE3414" s="1" t="s">
        <v>820</v>
      </c>
      <c r="AF3414" s="1" t="s">
        <v>107</v>
      </c>
      <c r="AG3414" s="1">
        <v>31</v>
      </c>
      <c r="AO3414" s="2">
        <v>46287</v>
      </c>
      <c r="AP3414" s="1" t="s">
        <v>886</v>
      </c>
      <c r="AS3414" s="1" t="s">
        <v>71</v>
      </c>
      <c r="AU3414" s="1" t="s">
        <v>72</v>
      </c>
      <c r="AV3414" s="1" t="s">
        <v>73</v>
      </c>
      <c r="AX3414" s="1">
        <v>0</v>
      </c>
      <c r="BA3414" s="1">
        <v>9</v>
      </c>
      <c r="BB3414" s="1">
        <v>0</v>
      </c>
      <c r="BC3414" s="1">
        <v>0</v>
      </c>
      <c r="BE3414" s="1">
        <v>27644677</v>
      </c>
    </row>
    <row r="3415" spans="1:57" x14ac:dyDescent="0.25">
      <c r="A3415" s="1" t="str">
        <f>T("1949041007887323280")</f>
        <v>1949041007887323280</v>
      </c>
      <c r="B3415" s="1" t="str">
        <f>T("249968817256")</f>
        <v>249968817256</v>
      </c>
      <c r="C3415" s="1" t="str">
        <f>T("1941094533143988552")</f>
        <v>1941094533143988552</v>
      </c>
      <c r="AC3415" s="1" t="s">
        <v>344</v>
      </c>
      <c r="AD3415" s="1" t="s">
        <v>372</v>
      </c>
      <c r="AE3415" s="1" t="s">
        <v>818</v>
      </c>
      <c r="AF3415" s="1" t="s">
        <v>144</v>
      </c>
      <c r="AG3415" s="1">
        <v>31</v>
      </c>
      <c r="AO3415" s="2">
        <v>46287</v>
      </c>
      <c r="AP3415" s="1" t="s">
        <v>886</v>
      </c>
      <c r="AS3415" s="1" t="s">
        <v>71</v>
      </c>
      <c r="AU3415" s="1" t="s">
        <v>72</v>
      </c>
      <c r="AV3415" s="1" t="s">
        <v>126</v>
      </c>
      <c r="AX3415" s="1">
        <v>0</v>
      </c>
      <c r="BA3415" s="1">
        <v>9</v>
      </c>
      <c r="BB3415" s="1">
        <v>0</v>
      </c>
      <c r="BC3415" s="1">
        <v>0</v>
      </c>
      <c r="BE3415" s="1">
        <v>27644677</v>
      </c>
    </row>
    <row r="3416" spans="1:57" x14ac:dyDescent="0.25">
      <c r="A3416" s="1" t="str">
        <f>T("1949041007929269160")</f>
        <v>1949041007929269160</v>
      </c>
      <c r="B3416" s="1" t="str">
        <f>T("249909508619")</f>
        <v>249909508619</v>
      </c>
      <c r="C3416" s="1" t="str">
        <f>T("1941094533135600136")</f>
        <v>1941094533135600136</v>
      </c>
      <c r="AC3416" s="1" t="s">
        <v>344</v>
      </c>
      <c r="AD3416" s="1" t="s">
        <v>372</v>
      </c>
      <c r="AE3416" s="1" t="s">
        <v>813</v>
      </c>
      <c r="AF3416" s="1" t="s">
        <v>107</v>
      </c>
      <c r="AG3416" s="1">
        <v>50</v>
      </c>
      <c r="AO3416" s="2">
        <v>46287</v>
      </c>
      <c r="AP3416" s="1" t="s">
        <v>886</v>
      </c>
      <c r="AS3416" s="1" t="s">
        <v>71</v>
      </c>
      <c r="AU3416" s="1" t="s">
        <v>72</v>
      </c>
      <c r="AV3416" s="1" t="s">
        <v>73</v>
      </c>
      <c r="AX3416" s="1">
        <v>0</v>
      </c>
      <c r="BA3416" s="1">
        <v>9</v>
      </c>
      <c r="BB3416" s="1">
        <v>0</v>
      </c>
      <c r="BC3416" s="1">
        <v>0</v>
      </c>
      <c r="BE3416" s="1">
        <v>27644677</v>
      </c>
    </row>
    <row r="3417" spans="1:57" x14ac:dyDescent="0.25">
      <c r="A3417" s="1" t="str">
        <f>T("1949041007933463468")</f>
        <v>1949041007933463468</v>
      </c>
      <c r="B3417" s="1" t="str">
        <f>T("249918785803")</f>
        <v>249918785803</v>
      </c>
      <c r="C3417" s="1" t="str">
        <f>T("1941094533143989752")</f>
        <v>1941094533143989752</v>
      </c>
      <c r="AC3417" s="1" t="s">
        <v>344</v>
      </c>
      <c r="AD3417" s="1" t="s">
        <v>430</v>
      </c>
      <c r="AE3417" s="1" t="s">
        <v>530</v>
      </c>
      <c r="AF3417" s="1" t="s">
        <v>107</v>
      </c>
      <c r="AG3417" s="1">
        <v>65</v>
      </c>
      <c r="AO3417" s="2">
        <v>46287</v>
      </c>
      <c r="AP3417" s="1" t="s">
        <v>886</v>
      </c>
      <c r="AS3417" s="1" t="s">
        <v>71</v>
      </c>
      <c r="AU3417" s="1" t="s">
        <v>72</v>
      </c>
      <c r="AV3417" s="1" t="s">
        <v>73</v>
      </c>
      <c r="AX3417" s="1">
        <v>0</v>
      </c>
      <c r="BA3417" s="1">
        <v>9</v>
      </c>
      <c r="BB3417" s="1">
        <v>0</v>
      </c>
      <c r="BC3417" s="1">
        <v>0</v>
      </c>
      <c r="BE3417" s="1">
        <v>27644677</v>
      </c>
    </row>
    <row r="3418" spans="1:57" x14ac:dyDescent="0.25">
      <c r="A3418" s="1" t="str">
        <f>T("1949041007937658476")</f>
        <v>1949041007937658476</v>
      </c>
      <c r="B3418" s="1" t="str">
        <f>T("249962911167")</f>
        <v>249962911167</v>
      </c>
      <c r="C3418" s="1" t="str">
        <f>T("1941094533135599136")</f>
        <v>1941094533135599136</v>
      </c>
      <c r="AC3418" s="1" t="s">
        <v>344</v>
      </c>
      <c r="AD3418" s="1" t="s">
        <v>441</v>
      </c>
      <c r="AE3418" s="1" t="s">
        <v>530</v>
      </c>
      <c r="AF3418" s="1" t="s">
        <v>107</v>
      </c>
      <c r="AG3418" s="1">
        <v>40</v>
      </c>
      <c r="AO3418" s="2">
        <v>46287</v>
      </c>
      <c r="AP3418" s="1" t="s">
        <v>886</v>
      </c>
      <c r="AS3418" s="1" t="s">
        <v>71</v>
      </c>
      <c r="AU3418" s="1" t="s">
        <v>72</v>
      </c>
      <c r="AV3418" s="1" t="s">
        <v>437</v>
      </c>
      <c r="AX3418" s="1">
        <v>0</v>
      </c>
      <c r="BA3418" s="1">
        <v>9</v>
      </c>
      <c r="BB3418" s="1">
        <v>0</v>
      </c>
      <c r="BC3418" s="1">
        <v>0</v>
      </c>
      <c r="BE3418" s="1">
        <v>27644677</v>
      </c>
    </row>
    <row r="3419" spans="1:57" x14ac:dyDescent="0.25">
      <c r="A3419" s="1" t="str">
        <f>T("1949041007941852484")</f>
        <v>1949041007941852484</v>
      </c>
      <c r="B3419" s="1" t="str">
        <f>T("249178879020")</f>
        <v>249178879020</v>
      </c>
      <c r="C3419" s="1" t="str">
        <f>T("1941094533135599636")</f>
        <v>1941094533135599636</v>
      </c>
      <c r="AC3419" s="1" t="s">
        <v>344</v>
      </c>
      <c r="AD3419" s="1" t="s">
        <v>372</v>
      </c>
      <c r="AE3419" s="1" t="s">
        <v>820</v>
      </c>
      <c r="AF3419" s="1" t="s">
        <v>107</v>
      </c>
      <c r="AG3419" s="1">
        <v>45</v>
      </c>
      <c r="AO3419" s="2">
        <v>46287</v>
      </c>
      <c r="AP3419" s="1" t="s">
        <v>886</v>
      </c>
      <c r="AS3419" s="1" t="s">
        <v>71</v>
      </c>
      <c r="AU3419" s="1" t="s">
        <v>72</v>
      </c>
      <c r="AV3419" s="1" t="s">
        <v>73</v>
      </c>
      <c r="AX3419" s="1">
        <v>0</v>
      </c>
      <c r="BA3419" s="1">
        <v>9</v>
      </c>
      <c r="BB3419" s="1">
        <v>0</v>
      </c>
      <c r="BC3419" s="1">
        <v>0</v>
      </c>
      <c r="BE3419" s="1">
        <v>27644677</v>
      </c>
    </row>
    <row r="3420" spans="1:57" x14ac:dyDescent="0.25">
      <c r="A3420" s="1" t="str">
        <f>T("1949041007941852584")</f>
        <v>1949041007941852584</v>
      </c>
      <c r="B3420" s="1" t="str">
        <f>T("249969597652")</f>
        <v>249969597652</v>
      </c>
      <c r="C3420" s="1" t="str">
        <f>T("1941094533135598436")</f>
        <v>1941094533135598436</v>
      </c>
      <c r="AC3420" s="1" t="s">
        <v>344</v>
      </c>
      <c r="AD3420" s="1" t="s">
        <v>430</v>
      </c>
      <c r="AE3420" s="1" t="s">
        <v>530</v>
      </c>
      <c r="AF3420" s="1" t="s">
        <v>144</v>
      </c>
      <c r="AG3420" s="1">
        <v>50</v>
      </c>
      <c r="AO3420" s="2">
        <v>46287</v>
      </c>
      <c r="AP3420" s="1" t="s">
        <v>886</v>
      </c>
      <c r="AS3420" s="1" t="s">
        <v>71</v>
      </c>
      <c r="AU3420" s="1" t="s">
        <v>72</v>
      </c>
      <c r="AV3420" s="1" t="s">
        <v>126</v>
      </c>
      <c r="AX3420" s="1">
        <v>0</v>
      </c>
      <c r="BA3420" s="1">
        <v>9</v>
      </c>
      <c r="BB3420" s="1">
        <v>0</v>
      </c>
      <c r="BC3420" s="1">
        <v>0</v>
      </c>
      <c r="BE3420" s="1">
        <v>27644677</v>
      </c>
    </row>
    <row r="3421" spans="1:57" x14ac:dyDescent="0.25">
      <c r="A3421" s="1" t="str">
        <f>T("1949041007950238200")</f>
        <v>1949041007950238200</v>
      </c>
      <c r="B3421" s="1" t="str">
        <f>T("249916817793")</f>
        <v>249916817793</v>
      </c>
      <c r="C3421" s="1" t="str">
        <f>T("1941094533148182860")</f>
        <v>1941094533148182860</v>
      </c>
      <c r="AC3421" s="1" t="s">
        <v>344</v>
      </c>
      <c r="AD3421" s="1" t="s">
        <v>372</v>
      </c>
      <c r="AE3421" s="1" t="s">
        <v>813</v>
      </c>
      <c r="AF3421" s="1" t="s">
        <v>107</v>
      </c>
      <c r="AG3421" s="1">
        <v>52</v>
      </c>
      <c r="AO3421" s="2">
        <v>46287</v>
      </c>
      <c r="AP3421" s="1" t="s">
        <v>886</v>
      </c>
      <c r="AS3421" s="1" t="s">
        <v>71</v>
      </c>
      <c r="AU3421" s="1" t="s">
        <v>72</v>
      </c>
      <c r="AV3421" s="1" t="s">
        <v>73</v>
      </c>
      <c r="AX3421" s="1">
        <v>0</v>
      </c>
      <c r="BA3421" s="1">
        <v>9</v>
      </c>
      <c r="BB3421" s="1">
        <v>0</v>
      </c>
      <c r="BC3421" s="1">
        <v>0</v>
      </c>
      <c r="BE3421" s="1">
        <v>27644677</v>
      </c>
    </row>
    <row r="3422" spans="1:57" x14ac:dyDescent="0.25">
      <c r="A3422" s="1" t="str">
        <f>T("1949041008000571396")</f>
        <v>1949041008000571396</v>
      </c>
      <c r="B3422" s="1" t="str">
        <f>T("249963625543")</f>
        <v>249963625543</v>
      </c>
      <c r="C3422" s="1" t="str">
        <f>T("1941094533148183360")</f>
        <v>1941094533148183360</v>
      </c>
      <c r="AC3422" s="1" t="s">
        <v>344</v>
      </c>
      <c r="AD3422" s="1" t="s">
        <v>372</v>
      </c>
      <c r="AE3422" s="1" t="s">
        <v>813</v>
      </c>
      <c r="AF3422" s="1" t="s">
        <v>144</v>
      </c>
      <c r="AG3422" s="1">
        <v>50</v>
      </c>
      <c r="AO3422" s="2">
        <v>46287</v>
      </c>
      <c r="AP3422" s="1" t="s">
        <v>886</v>
      </c>
      <c r="AS3422" s="1" t="s">
        <v>71</v>
      </c>
      <c r="AU3422" s="1" t="s">
        <v>72</v>
      </c>
      <c r="AV3422" s="1" t="s">
        <v>437</v>
      </c>
      <c r="AX3422" s="1">
        <v>0</v>
      </c>
      <c r="BA3422" s="1">
        <v>9</v>
      </c>
      <c r="BB3422" s="1">
        <v>0</v>
      </c>
      <c r="BC3422" s="1">
        <v>0</v>
      </c>
      <c r="BE3422" s="1">
        <v>27644677</v>
      </c>
    </row>
    <row r="3423" spans="1:57" x14ac:dyDescent="0.25">
      <c r="A3423" s="1" t="str">
        <f>T("1949041008008959712")</f>
        <v>1949041008008959712</v>
      </c>
      <c r="B3423" s="1" t="str">
        <f>T("249911108074")</f>
        <v>249911108074</v>
      </c>
      <c r="C3423" s="1" t="str">
        <f>T("1941094533148183860")</f>
        <v>1941094533148183860</v>
      </c>
      <c r="AC3423" s="1" t="s">
        <v>344</v>
      </c>
      <c r="AD3423" s="1" t="s">
        <v>372</v>
      </c>
      <c r="AE3423" s="1" t="s">
        <v>818</v>
      </c>
      <c r="AF3423" s="1" t="s">
        <v>107</v>
      </c>
      <c r="AG3423" s="1">
        <v>50</v>
      </c>
      <c r="AO3423" s="2">
        <v>46287</v>
      </c>
      <c r="AP3423" s="1" t="s">
        <v>886</v>
      </c>
      <c r="AS3423" s="1" t="s">
        <v>71</v>
      </c>
      <c r="AU3423" s="1" t="s">
        <v>72</v>
      </c>
      <c r="AV3423" s="1" t="s">
        <v>437</v>
      </c>
      <c r="AX3423" s="1">
        <v>0</v>
      </c>
      <c r="BA3423" s="1">
        <v>9</v>
      </c>
      <c r="BB3423" s="1">
        <v>0</v>
      </c>
      <c r="BC3423" s="1">
        <v>0</v>
      </c>
      <c r="BE3423" s="1">
        <v>27644677</v>
      </c>
    </row>
    <row r="3424" spans="1:57" x14ac:dyDescent="0.25">
      <c r="A3424" s="1" t="str">
        <f>T("1949041008055095900")</f>
        <v>1949041008055095900</v>
      </c>
      <c r="B3424" s="1" t="str">
        <f>T("249909916775")</f>
        <v>249909916775</v>
      </c>
      <c r="C3424" s="1" t="str">
        <f>T("1941094533152374868")</f>
        <v>1941094533152374868</v>
      </c>
      <c r="AC3424" s="1" t="s">
        <v>344</v>
      </c>
      <c r="AD3424" s="1" t="s">
        <v>372</v>
      </c>
      <c r="AE3424" s="1" t="s">
        <v>813</v>
      </c>
      <c r="AF3424" s="1" t="s">
        <v>107</v>
      </c>
      <c r="AG3424" s="1">
        <v>68</v>
      </c>
      <c r="AO3424" s="2">
        <v>46287</v>
      </c>
      <c r="AP3424" s="1" t="s">
        <v>886</v>
      </c>
      <c r="AS3424" s="1" t="s">
        <v>71</v>
      </c>
      <c r="AU3424" s="1" t="s">
        <v>72</v>
      </c>
      <c r="AV3424" s="1" t="s">
        <v>437</v>
      </c>
      <c r="AX3424" s="1">
        <v>0</v>
      </c>
      <c r="BA3424" s="1">
        <v>9</v>
      </c>
      <c r="BB3424" s="1">
        <v>0</v>
      </c>
      <c r="BC3424" s="1">
        <v>0</v>
      </c>
      <c r="BE3424" s="1">
        <v>27644677</v>
      </c>
    </row>
    <row r="3425" spans="1:57" x14ac:dyDescent="0.25">
      <c r="A3425" s="1" t="str">
        <f>T("1949041008055095901")</f>
        <v>1949041008055095901</v>
      </c>
      <c r="B3425" s="1" t="str">
        <f>T("249913581189")</f>
        <v>249913581189</v>
      </c>
      <c r="C3425" s="1" t="str">
        <f>T("1941094533152375668")</f>
        <v>1941094533152375668</v>
      </c>
      <c r="AC3425" s="1" t="s">
        <v>344</v>
      </c>
      <c r="AD3425" s="1" t="s">
        <v>372</v>
      </c>
      <c r="AE3425" s="1" t="s">
        <v>813</v>
      </c>
      <c r="AF3425" s="1" t="s">
        <v>107</v>
      </c>
      <c r="AG3425" s="1">
        <v>80</v>
      </c>
      <c r="AO3425" s="2">
        <v>46287</v>
      </c>
      <c r="AP3425" s="1" t="s">
        <v>886</v>
      </c>
      <c r="AS3425" s="1" t="s">
        <v>71</v>
      </c>
      <c r="AU3425" s="1" t="s">
        <v>72</v>
      </c>
      <c r="AV3425" s="1" t="s">
        <v>437</v>
      </c>
      <c r="AX3425" s="1">
        <v>0</v>
      </c>
      <c r="BA3425" s="1">
        <v>9</v>
      </c>
      <c r="BB3425" s="1">
        <v>0</v>
      </c>
      <c r="BC3425" s="1">
        <v>0</v>
      </c>
      <c r="BE3425" s="1">
        <v>27644677</v>
      </c>
    </row>
    <row r="3426" spans="1:57" x14ac:dyDescent="0.25">
      <c r="A3426" s="1" t="str">
        <f>T("1949041008055098700")</f>
        <v>1949041008055098700</v>
      </c>
      <c r="B3426" s="1" t="str">
        <f>T("249114790763")</f>
        <v>249114790763</v>
      </c>
      <c r="C3426" s="1" t="str">
        <f>T("1941094533152375268")</f>
        <v>1941094533152375268</v>
      </c>
      <c r="AC3426" s="1" t="s">
        <v>344</v>
      </c>
      <c r="AD3426" s="1" t="s">
        <v>441</v>
      </c>
      <c r="AE3426" s="1" t="s">
        <v>530</v>
      </c>
      <c r="AF3426" s="1" t="s">
        <v>107</v>
      </c>
      <c r="AG3426" s="1">
        <v>22</v>
      </c>
      <c r="AO3426" s="2">
        <v>46287</v>
      </c>
      <c r="AP3426" s="1" t="s">
        <v>886</v>
      </c>
      <c r="AS3426" s="1" t="s">
        <v>71</v>
      </c>
      <c r="AU3426" s="1" t="s">
        <v>72</v>
      </c>
      <c r="AV3426" s="1" t="s">
        <v>73</v>
      </c>
      <c r="AX3426" s="1">
        <v>0</v>
      </c>
      <c r="BA3426" s="1">
        <v>9</v>
      </c>
      <c r="BB3426" s="1">
        <v>0</v>
      </c>
      <c r="BC3426" s="1">
        <v>0</v>
      </c>
      <c r="BE3426" s="1">
        <v>27644677</v>
      </c>
    </row>
    <row r="3427" spans="1:57" x14ac:dyDescent="0.25">
      <c r="A3427" s="1" t="str">
        <f>T("1949041008059290408")</f>
        <v>1949041008059290408</v>
      </c>
      <c r="B3427" s="1" t="str">
        <f>T("249903280299")</f>
        <v>249903280299</v>
      </c>
      <c r="C3427" s="1" t="str">
        <f>T("1941094533148184160")</f>
        <v>1941094533148184160</v>
      </c>
      <c r="AC3427" s="1" t="s">
        <v>344</v>
      </c>
      <c r="AD3427" s="1" t="s">
        <v>357</v>
      </c>
      <c r="AE3427" s="1" t="s">
        <v>812</v>
      </c>
      <c r="AF3427" s="1" t="s">
        <v>107</v>
      </c>
      <c r="AG3427" s="1">
        <v>64</v>
      </c>
      <c r="AO3427" s="2">
        <v>46287</v>
      </c>
      <c r="AP3427" s="1" t="s">
        <v>886</v>
      </c>
      <c r="AS3427" s="1" t="s">
        <v>71</v>
      </c>
      <c r="AU3427" s="1" t="s">
        <v>72</v>
      </c>
      <c r="AV3427" s="1" t="s">
        <v>73</v>
      </c>
      <c r="AX3427" s="1">
        <v>0</v>
      </c>
      <c r="BA3427" s="1">
        <v>9</v>
      </c>
      <c r="BB3427" s="1">
        <v>0</v>
      </c>
      <c r="BC3427" s="1">
        <v>0</v>
      </c>
      <c r="BE3427" s="1">
        <v>27644677</v>
      </c>
    </row>
    <row r="3428" spans="1:57" x14ac:dyDescent="0.25">
      <c r="A3428" s="1" t="str">
        <f>T("1949041008067681624")</f>
        <v>1949041008067681624</v>
      </c>
      <c r="B3428" s="1" t="str">
        <f>T("249921133360")</f>
        <v>249921133360</v>
      </c>
      <c r="C3428" s="1" t="str">
        <f>T("1941094533152377368")</f>
        <v>1941094533152377368</v>
      </c>
      <c r="AC3428" s="1" t="s">
        <v>344</v>
      </c>
      <c r="AD3428" s="1" t="s">
        <v>372</v>
      </c>
      <c r="AE3428" s="1" t="s">
        <v>820</v>
      </c>
      <c r="AF3428" s="1" t="s">
        <v>144</v>
      </c>
      <c r="AG3428" s="1">
        <v>37</v>
      </c>
      <c r="AO3428" s="2">
        <v>46287</v>
      </c>
      <c r="AP3428" s="1" t="s">
        <v>886</v>
      </c>
      <c r="AS3428" s="1" t="s">
        <v>71</v>
      </c>
      <c r="AU3428" s="1" t="s">
        <v>72</v>
      </c>
      <c r="AV3428" s="1" t="s">
        <v>73</v>
      </c>
      <c r="AX3428" s="1">
        <v>0</v>
      </c>
      <c r="BA3428" s="1">
        <v>9</v>
      </c>
      <c r="BB3428" s="1">
        <v>0</v>
      </c>
      <c r="BC3428" s="1">
        <v>0</v>
      </c>
      <c r="BE3428" s="1">
        <v>27644677</v>
      </c>
    </row>
    <row r="3429" spans="1:57" x14ac:dyDescent="0.25">
      <c r="A3429" s="1" t="str">
        <f>T("1949041008080261548")</f>
        <v>1949041008080261548</v>
      </c>
      <c r="B3429" s="1" t="str">
        <f>T("249906195128")</f>
        <v>249906195128</v>
      </c>
      <c r="C3429" s="1" t="str">
        <f>T("1941094533152377668")</f>
        <v>1941094533152377668</v>
      </c>
      <c r="AC3429" s="1" t="s">
        <v>344</v>
      </c>
      <c r="AD3429" s="1" t="s">
        <v>441</v>
      </c>
      <c r="AE3429" s="1" t="s">
        <v>530</v>
      </c>
      <c r="AF3429" s="1" t="s">
        <v>107</v>
      </c>
      <c r="AG3429" s="1">
        <v>65</v>
      </c>
      <c r="AO3429" s="2">
        <v>46287</v>
      </c>
      <c r="AP3429" s="1" t="s">
        <v>886</v>
      </c>
      <c r="AS3429" s="1" t="s">
        <v>71</v>
      </c>
      <c r="AU3429" s="1" t="s">
        <v>72</v>
      </c>
      <c r="AV3429" s="1" t="s">
        <v>73</v>
      </c>
      <c r="AX3429" s="1">
        <v>0</v>
      </c>
      <c r="BA3429" s="1">
        <v>9</v>
      </c>
      <c r="BB3429" s="1">
        <v>0</v>
      </c>
      <c r="BC3429" s="1">
        <v>0</v>
      </c>
      <c r="BE3429" s="1">
        <v>27644677</v>
      </c>
    </row>
    <row r="3430" spans="1:57" x14ac:dyDescent="0.25">
      <c r="A3430" s="1" t="str">
        <f>T("1949041008113818412")</f>
        <v>1949041008113818412</v>
      </c>
      <c r="B3430" s="1" t="str">
        <f>T("249908234129")</f>
        <v>249908234129</v>
      </c>
      <c r="C3430" s="1" t="str">
        <f>T("1941094533152378268")</f>
        <v>1941094533152378268</v>
      </c>
      <c r="AC3430" s="1" t="s">
        <v>344</v>
      </c>
      <c r="AD3430" s="1" t="s">
        <v>430</v>
      </c>
      <c r="AE3430" s="1" t="s">
        <v>530</v>
      </c>
      <c r="AF3430" s="1" t="s">
        <v>107</v>
      </c>
      <c r="AG3430" s="1">
        <v>72</v>
      </c>
      <c r="AO3430" s="2">
        <v>46287</v>
      </c>
      <c r="AP3430" s="1" t="s">
        <v>886</v>
      </c>
      <c r="AS3430" s="1" t="s">
        <v>71</v>
      </c>
      <c r="AU3430" s="1" t="s">
        <v>72</v>
      </c>
      <c r="AV3430" s="1" t="s">
        <v>437</v>
      </c>
      <c r="AX3430" s="1">
        <v>0</v>
      </c>
      <c r="BA3430" s="1">
        <v>9</v>
      </c>
      <c r="BB3430" s="1">
        <v>0</v>
      </c>
      <c r="BC3430" s="1">
        <v>0</v>
      </c>
      <c r="BE3430" s="1">
        <v>27644677</v>
      </c>
    </row>
    <row r="3431" spans="1:57" x14ac:dyDescent="0.25">
      <c r="A3431" s="1" t="str">
        <f>T("1949088047262536868")</f>
        <v>1949088047262536868</v>
      </c>
      <c r="B3431" s="1" t="str">
        <f>T("249963293263")</f>
        <v>249963293263</v>
      </c>
      <c r="C3431" s="1" t="str">
        <f>T("1941094532930077644")</f>
        <v>1941094532930077644</v>
      </c>
      <c r="AC3431" s="1" t="s">
        <v>344</v>
      </c>
      <c r="AD3431" s="1" t="s">
        <v>430</v>
      </c>
      <c r="AE3431" s="1" t="s">
        <v>530</v>
      </c>
      <c r="AF3431" s="1" t="s">
        <v>107</v>
      </c>
      <c r="AG3431" s="1">
        <v>60</v>
      </c>
      <c r="AO3431" s="2">
        <v>46287</v>
      </c>
      <c r="AP3431" s="1" t="s">
        <v>301</v>
      </c>
      <c r="AS3431" s="1" t="s">
        <v>71</v>
      </c>
      <c r="AU3431" s="1" t="s">
        <v>72</v>
      </c>
      <c r="AV3431" s="1" t="s">
        <v>437</v>
      </c>
      <c r="AX3431" s="1">
        <v>0</v>
      </c>
      <c r="BA3431" s="1">
        <v>9</v>
      </c>
      <c r="BB3431" s="1">
        <v>0</v>
      </c>
      <c r="BC3431" s="1">
        <v>0</v>
      </c>
      <c r="BE3431" s="1">
        <v>27644674</v>
      </c>
    </row>
    <row r="3432" spans="1:57" x14ac:dyDescent="0.25">
      <c r="A3432" s="1" t="str">
        <f>T("1949088047270924484")</f>
        <v>1949088047270924484</v>
      </c>
      <c r="B3432" s="1" t="str">
        <f>T("249906904057")</f>
        <v>249906904057</v>
      </c>
      <c r="C3432" s="1" t="str">
        <f>T("1941094532930078544")</f>
        <v>1941094532930078544</v>
      </c>
      <c r="AC3432" s="1" t="s">
        <v>344</v>
      </c>
      <c r="AD3432" s="1" t="s">
        <v>357</v>
      </c>
      <c r="AE3432" s="1" t="s">
        <v>812</v>
      </c>
      <c r="AF3432" s="1" t="s">
        <v>107</v>
      </c>
      <c r="AG3432" s="1">
        <v>45</v>
      </c>
      <c r="AO3432" s="2">
        <v>46287</v>
      </c>
      <c r="AP3432" s="1" t="s">
        <v>301</v>
      </c>
      <c r="AS3432" s="1" t="s">
        <v>71</v>
      </c>
      <c r="AU3432" s="1" t="s">
        <v>72</v>
      </c>
      <c r="AV3432" s="1" t="s">
        <v>437</v>
      </c>
      <c r="AX3432" s="1">
        <v>0</v>
      </c>
      <c r="BA3432" s="1">
        <v>9</v>
      </c>
      <c r="BB3432" s="1">
        <v>0</v>
      </c>
      <c r="BC3432" s="1">
        <v>0</v>
      </c>
      <c r="BE3432" s="1">
        <v>27644674</v>
      </c>
    </row>
    <row r="3433" spans="1:57" x14ac:dyDescent="0.25">
      <c r="A3433" s="1" t="str">
        <f>T("1949088047279313500")</f>
        <v>1949088047279313500</v>
      </c>
      <c r="B3433" s="1" t="str">
        <f>T("249966986318")</f>
        <v>249966986318</v>
      </c>
      <c r="C3433" s="1" t="str">
        <f>T("1941094532930078944")</f>
        <v>1941094532930078944</v>
      </c>
      <c r="AC3433" s="1" t="s">
        <v>344</v>
      </c>
      <c r="AD3433" s="1" t="s">
        <v>441</v>
      </c>
      <c r="AE3433" s="1" t="s">
        <v>530</v>
      </c>
      <c r="AF3433" s="1" t="s">
        <v>144</v>
      </c>
      <c r="AG3433" s="1">
        <v>50</v>
      </c>
      <c r="AO3433" s="2">
        <v>46287</v>
      </c>
      <c r="AP3433" s="1" t="s">
        <v>301</v>
      </c>
      <c r="AS3433" s="1" t="s">
        <v>71</v>
      </c>
      <c r="AU3433" s="1" t="s">
        <v>72</v>
      </c>
      <c r="AV3433" s="1" t="s">
        <v>437</v>
      </c>
      <c r="AX3433" s="1">
        <v>0</v>
      </c>
      <c r="BA3433" s="1">
        <v>9</v>
      </c>
      <c r="BB3433" s="1">
        <v>0</v>
      </c>
      <c r="BC3433" s="1">
        <v>0</v>
      </c>
      <c r="BE3433" s="1">
        <v>27644674</v>
      </c>
    </row>
    <row r="3434" spans="1:57" x14ac:dyDescent="0.25">
      <c r="A3434" s="1" t="str">
        <f>T("1949088047405145040")</f>
        <v>1949088047405145040</v>
      </c>
      <c r="B3434" s="1" t="str">
        <f>T("249966927011")</f>
        <v>249966927011</v>
      </c>
      <c r="C3434" s="1" t="str">
        <f>T("1941094532930079344")</f>
        <v>1941094532930079344</v>
      </c>
      <c r="AC3434" s="1" t="s">
        <v>344</v>
      </c>
      <c r="AD3434" s="1" t="s">
        <v>357</v>
      </c>
      <c r="AE3434" s="1" t="s">
        <v>812</v>
      </c>
      <c r="AF3434" s="1" t="s">
        <v>107</v>
      </c>
      <c r="AG3434" s="1">
        <v>38</v>
      </c>
      <c r="AO3434" s="2">
        <v>46287</v>
      </c>
      <c r="AP3434" s="1" t="s">
        <v>301</v>
      </c>
      <c r="AS3434" s="1" t="s">
        <v>71</v>
      </c>
      <c r="AU3434" s="1" t="s">
        <v>72</v>
      </c>
      <c r="AV3434" s="1" t="s">
        <v>73</v>
      </c>
      <c r="AX3434" s="1">
        <v>0</v>
      </c>
      <c r="BA3434" s="1">
        <v>9</v>
      </c>
      <c r="BB3434" s="1">
        <v>0</v>
      </c>
      <c r="BC3434" s="1">
        <v>0</v>
      </c>
      <c r="BE3434" s="1">
        <v>27644674</v>
      </c>
    </row>
    <row r="3435" spans="1:57" x14ac:dyDescent="0.25">
      <c r="A3435" s="1" t="str">
        <f>T("1949088047413532956")</f>
        <v>1949088047413532956</v>
      </c>
      <c r="B3435" s="1" t="str">
        <f>T("249911864878")</f>
        <v>249911864878</v>
      </c>
      <c r="C3435" s="1" t="str">
        <f>T("1941094532930079744")</f>
        <v>1941094532930079744</v>
      </c>
      <c r="AC3435" s="1" t="s">
        <v>344</v>
      </c>
      <c r="AD3435" s="1" t="s">
        <v>430</v>
      </c>
      <c r="AE3435" s="1" t="s">
        <v>530</v>
      </c>
      <c r="AF3435" s="1" t="s">
        <v>107</v>
      </c>
      <c r="AG3435" s="1">
        <v>52</v>
      </c>
      <c r="AO3435" s="2">
        <v>46287</v>
      </c>
      <c r="AP3435" s="1" t="s">
        <v>301</v>
      </c>
      <c r="AS3435" s="1" t="s">
        <v>71</v>
      </c>
      <c r="AU3435" s="1" t="s">
        <v>72</v>
      </c>
      <c r="AV3435" s="1" t="s">
        <v>73</v>
      </c>
      <c r="AX3435" s="1">
        <v>0</v>
      </c>
      <c r="BA3435" s="1">
        <v>9</v>
      </c>
      <c r="BB3435" s="1">
        <v>0</v>
      </c>
      <c r="BC3435" s="1">
        <v>0</v>
      </c>
      <c r="BE3435" s="1">
        <v>27644674</v>
      </c>
    </row>
    <row r="3436" spans="1:57" x14ac:dyDescent="0.25">
      <c r="A3436" s="1" t="str">
        <f>T("1949088047438700204")</f>
        <v>1949088047438700204</v>
      </c>
      <c r="B3436" s="1" t="str">
        <f>T("249912772875")</f>
        <v>249912772875</v>
      </c>
      <c r="C3436" s="1" t="str">
        <f>T("1941094532930078144")</f>
        <v>1941094532930078144</v>
      </c>
      <c r="AC3436" s="1" t="s">
        <v>344</v>
      </c>
      <c r="AD3436" s="1" t="s">
        <v>372</v>
      </c>
      <c r="AE3436" s="1" t="s">
        <v>815</v>
      </c>
      <c r="AF3436" s="1" t="s">
        <v>107</v>
      </c>
      <c r="AG3436" s="1">
        <v>67</v>
      </c>
      <c r="AO3436" s="2">
        <v>46287</v>
      </c>
      <c r="AP3436" s="1" t="s">
        <v>301</v>
      </c>
      <c r="AS3436" s="1" t="s">
        <v>71</v>
      </c>
      <c r="AU3436" s="1" t="s">
        <v>72</v>
      </c>
      <c r="AV3436" s="1" t="s">
        <v>437</v>
      </c>
      <c r="AX3436" s="1">
        <v>0</v>
      </c>
      <c r="BA3436" s="1">
        <v>9</v>
      </c>
      <c r="BB3436" s="1">
        <v>0</v>
      </c>
      <c r="BC3436" s="1">
        <v>0</v>
      </c>
      <c r="BE3436" s="1">
        <v>27644674</v>
      </c>
    </row>
    <row r="3437" spans="1:57" x14ac:dyDescent="0.25">
      <c r="A3437" s="1" t="str">
        <f>T("1949088047472253868")</f>
        <v>1949088047472253868</v>
      </c>
      <c r="B3437" s="1" t="str">
        <f>T("249903517079")</f>
        <v>249903517079</v>
      </c>
      <c r="C3437" s="1" t="str">
        <f>T("1941094532930080644")</f>
        <v>1941094532930080644</v>
      </c>
      <c r="AC3437" s="1" t="s">
        <v>344</v>
      </c>
      <c r="AD3437" s="1" t="s">
        <v>372</v>
      </c>
      <c r="AE3437" s="1" t="s">
        <v>818</v>
      </c>
      <c r="AF3437" s="1" t="s">
        <v>144</v>
      </c>
      <c r="AG3437" s="1">
        <v>40</v>
      </c>
      <c r="AO3437" s="2">
        <v>46287</v>
      </c>
      <c r="AP3437" s="1" t="s">
        <v>301</v>
      </c>
      <c r="AS3437" s="1" t="s">
        <v>71</v>
      </c>
      <c r="AU3437" s="1" t="s">
        <v>72</v>
      </c>
      <c r="AV3437" s="1" t="s">
        <v>73</v>
      </c>
      <c r="AX3437" s="1">
        <v>0</v>
      </c>
      <c r="BA3437" s="1">
        <v>9</v>
      </c>
      <c r="BB3437" s="1">
        <v>0</v>
      </c>
      <c r="BC3437" s="1">
        <v>0</v>
      </c>
      <c r="BE3437" s="1">
        <v>27644674</v>
      </c>
    </row>
    <row r="3438" spans="1:57" x14ac:dyDescent="0.25">
      <c r="A3438" s="1" t="str">
        <f>T("1949088047476447176")</f>
        <v>1949088047476447176</v>
      </c>
      <c r="B3438" s="1" t="str">
        <f>T("249916657993")</f>
        <v>249916657993</v>
      </c>
      <c r="C3438" s="1" t="str">
        <f>T("1941094532934271352")</f>
        <v>1941094532934271352</v>
      </c>
      <c r="AC3438" s="1" t="s">
        <v>344</v>
      </c>
      <c r="AD3438" s="1" t="s">
        <v>372</v>
      </c>
      <c r="AE3438" s="1" t="s">
        <v>813</v>
      </c>
      <c r="AF3438" s="1" t="s">
        <v>107</v>
      </c>
      <c r="AG3438" s="1">
        <v>70</v>
      </c>
      <c r="AO3438" s="2">
        <v>46287</v>
      </c>
      <c r="AP3438" s="1" t="s">
        <v>301</v>
      </c>
      <c r="AS3438" s="1" t="s">
        <v>71</v>
      </c>
      <c r="AU3438" s="1" t="s">
        <v>72</v>
      </c>
      <c r="AV3438" s="1" t="s">
        <v>437</v>
      </c>
      <c r="AX3438" s="1">
        <v>0</v>
      </c>
      <c r="BA3438" s="1">
        <v>9</v>
      </c>
      <c r="BB3438" s="1">
        <v>0</v>
      </c>
      <c r="BC3438" s="1">
        <v>0</v>
      </c>
      <c r="BE3438" s="1">
        <v>27644674</v>
      </c>
    </row>
    <row r="3439" spans="1:57" x14ac:dyDescent="0.25">
      <c r="A3439" s="1" t="str">
        <f>T("1949088047480640284")</f>
        <v>1949088047480640284</v>
      </c>
      <c r="B3439" s="1" t="str">
        <f>T("249919152586")</f>
        <v>249919152586</v>
      </c>
      <c r="C3439" s="1" t="str">
        <f>T("1941094532930080144")</f>
        <v>1941094532930080144</v>
      </c>
      <c r="AC3439" s="1" t="s">
        <v>344</v>
      </c>
      <c r="AD3439" s="1" t="s">
        <v>372</v>
      </c>
      <c r="AE3439" s="1" t="s">
        <v>373</v>
      </c>
      <c r="AF3439" s="1" t="s">
        <v>107</v>
      </c>
      <c r="AG3439" s="1">
        <v>35</v>
      </c>
      <c r="AO3439" s="2">
        <v>46287</v>
      </c>
      <c r="AP3439" s="1" t="s">
        <v>301</v>
      </c>
      <c r="AS3439" s="1" t="s">
        <v>71</v>
      </c>
      <c r="AU3439" s="1" t="s">
        <v>72</v>
      </c>
      <c r="AV3439" s="1" t="s">
        <v>437</v>
      </c>
      <c r="AX3439" s="1">
        <v>0</v>
      </c>
      <c r="BA3439" s="1">
        <v>9</v>
      </c>
      <c r="BB3439" s="1">
        <v>0</v>
      </c>
      <c r="BC3439" s="1">
        <v>0</v>
      </c>
      <c r="BE3439" s="1">
        <v>27644674</v>
      </c>
    </row>
    <row r="3440" spans="1:57" x14ac:dyDescent="0.25">
      <c r="A3440" s="1" t="str">
        <f>T("1949088047551944920")</f>
        <v>1949088047551944920</v>
      </c>
      <c r="B3440" s="1" t="str">
        <f>T("249914921878")</f>
        <v>249914921878</v>
      </c>
      <c r="C3440" s="1" t="str">
        <f>T("1941094532934271752")</f>
        <v>1941094532934271752</v>
      </c>
      <c r="AC3440" s="1" t="s">
        <v>344</v>
      </c>
      <c r="AD3440" s="1" t="s">
        <v>441</v>
      </c>
      <c r="AE3440" s="1" t="s">
        <v>530</v>
      </c>
      <c r="AF3440" s="1" t="s">
        <v>144</v>
      </c>
      <c r="AG3440" s="1">
        <v>50</v>
      </c>
      <c r="AO3440" s="2">
        <v>46287</v>
      </c>
      <c r="AP3440" s="1" t="s">
        <v>301</v>
      </c>
      <c r="AS3440" s="1" t="s">
        <v>71</v>
      </c>
      <c r="AU3440" s="1" t="s">
        <v>72</v>
      </c>
      <c r="AV3440" s="1" t="s">
        <v>73</v>
      </c>
      <c r="AX3440" s="1">
        <v>0</v>
      </c>
      <c r="BA3440" s="1">
        <v>9</v>
      </c>
      <c r="BB3440" s="1">
        <v>0</v>
      </c>
      <c r="BC3440" s="1">
        <v>0</v>
      </c>
      <c r="BE3440" s="1">
        <v>27644674</v>
      </c>
    </row>
    <row r="3441" spans="1:57" x14ac:dyDescent="0.25">
      <c r="A3441" s="1" t="str">
        <f>T("1949088047564526244")</f>
        <v>1949088047564526244</v>
      </c>
      <c r="B3441" s="1" t="str">
        <f>T("249903294270")</f>
        <v>249903294270</v>
      </c>
      <c r="C3441" s="1" t="str">
        <f>T("1941094532934272552")</f>
        <v>1941094532934272552</v>
      </c>
      <c r="AC3441" s="1" t="s">
        <v>344</v>
      </c>
      <c r="AD3441" s="1" t="s">
        <v>441</v>
      </c>
      <c r="AE3441" s="1" t="s">
        <v>530</v>
      </c>
      <c r="AF3441" s="1" t="s">
        <v>107</v>
      </c>
      <c r="AG3441" s="1">
        <v>48</v>
      </c>
      <c r="AO3441" s="2">
        <v>46287</v>
      </c>
      <c r="AP3441" s="1" t="s">
        <v>301</v>
      </c>
      <c r="AS3441" s="1" t="s">
        <v>71</v>
      </c>
      <c r="AU3441" s="1" t="s">
        <v>72</v>
      </c>
      <c r="AV3441" s="1" t="s">
        <v>73</v>
      </c>
      <c r="AX3441" s="1">
        <v>0</v>
      </c>
      <c r="BA3441" s="1">
        <v>9</v>
      </c>
      <c r="BB3441" s="1">
        <v>0</v>
      </c>
      <c r="BC3441" s="1">
        <v>0</v>
      </c>
      <c r="BE3441" s="1">
        <v>27644674</v>
      </c>
    </row>
    <row r="3442" spans="1:57" x14ac:dyDescent="0.25">
      <c r="A3442" s="1" t="str">
        <f>T("1949088047572918060")</f>
        <v>1949088047572918060</v>
      </c>
      <c r="B3442" s="1" t="str">
        <f>T("249915834068")</f>
        <v>249915834068</v>
      </c>
      <c r="C3442" s="1" t="str">
        <f>T("1941094532934272952")</f>
        <v>1941094532934272952</v>
      </c>
      <c r="AC3442" s="1" t="s">
        <v>344</v>
      </c>
      <c r="AD3442" s="1" t="s">
        <v>430</v>
      </c>
      <c r="AE3442" s="1" t="s">
        <v>530</v>
      </c>
      <c r="AF3442" s="1" t="s">
        <v>107</v>
      </c>
      <c r="AG3442" s="1">
        <v>26</v>
      </c>
      <c r="AO3442" s="2">
        <v>46287</v>
      </c>
      <c r="AP3442" s="1" t="s">
        <v>301</v>
      </c>
      <c r="AS3442" s="1" t="s">
        <v>71</v>
      </c>
      <c r="AU3442" s="1" t="s">
        <v>72</v>
      </c>
      <c r="AV3442" s="1" t="s">
        <v>437</v>
      </c>
      <c r="AX3442" s="1">
        <v>0</v>
      </c>
      <c r="BA3442" s="1">
        <v>9</v>
      </c>
      <c r="BB3442" s="1">
        <v>0</v>
      </c>
      <c r="BC3442" s="1">
        <v>0</v>
      </c>
      <c r="BE3442" s="1">
        <v>27644674</v>
      </c>
    </row>
    <row r="3443" spans="1:57" x14ac:dyDescent="0.25">
      <c r="A3443" s="1" t="str">
        <f>T("1949088047577109568")</f>
        <v>1949088047577109568</v>
      </c>
      <c r="B3443" s="1" t="str">
        <f>T("249901386189")</f>
        <v>249901386189</v>
      </c>
      <c r="C3443" s="1" t="str">
        <f>T("1941094532934272152")</f>
        <v>1941094532934272152</v>
      </c>
      <c r="AC3443" s="1" t="s">
        <v>344</v>
      </c>
      <c r="AD3443" s="1" t="s">
        <v>441</v>
      </c>
      <c r="AE3443" s="1" t="s">
        <v>530</v>
      </c>
      <c r="AF3443" s="1" t="s">
        <v>107</v>
      </c>
      <c r="AG3443" s="1">
        <v>35</v>
      </c>
      <c r="AO3443" s="2">
        <v>46287</v>
      </c>
      <c r="AP3443" s="1" t="s">
        <v>301</v>
      </c>
      <c r="AS3443" s="1" t="s">
        <v>71</v>
      </c>
      <c r="AU3443" s="1" t="s">
        <v>72</v>
      </c>
      <c r="AV3443" s="1" t="s">
        <v>73</v>
      </c>
      <c r="AX3443" s="1">
        <v>0</v>
      </c>
      <c r="BA3443" s="1">
        <v>9</v>
      </c>
      <c r="BB3443" s="1">
        <v>0</v>
      </c>
      <c r="BC3443" s="1">
        <v>0</v>
      </c>
      <c r="BE3443" s="1">
        <v>27644674</v>
      </c>
    </row>
    <row r="3444" spans="1:57" x14ac:dyDescent="0.25">
      <c r="A3444" s="1" t="str">
        <f>T("1949088047614858740")</f>
        <v>1949088047614858740</v>
      </c>
      <c r="B3444" s="1" t="str">
        <f>T("249922242710")</f>
        <v>249922242710</v>
      </c>
      <c r="C3444" s="1" t="str">
        <f>T("1941094532934273352")</f>
        <v>1941094532934273352</v>
      </c>
      <c r="AC3444" s="1" t="s">
        <v>344</v>
      </c>
      <c r="AD3444" s="1" t="s">
        <v>372</v>
      </c>
      <c r="AE3444" s="1" t="s">
        <v>815</v>
      </c>
      <c r="AF3444" s="1" t="s">
        <v>107</v>
      </c>
      <c r="AG3444" s="1">
        <v>50</v>
      </c>
      <c r="AO3444" s="2">
        <v>46287</v>
      </c>
      <c r="AP3444" s="1" t="s">
        <v>301</v>
      </c>
      <c r="AS3444" s="1" t="s">
        <v>71</v>
      </c>
      <c r="AU3444" s="1" t="s">
        <v>72</v>
      </c>
      <c r="AV3444" s="1" t="s">
        <v>73</v>
      </c>
      <c r="AX3444" s="1">
        <v>0</v>
      </c>
      <c r="BA3444" s="1">
        <v>9</v>
      </c>
      <c r="BB3444" s="1">
        <v>0</v>
      </c>
      <c r="BC3444" s="1">
        <v>0</v>
      </c>
      <c r="BE3444" s="1">
        <v>27644674</v>
      </c>
    </row>
    <row r="3445" spans="1:57" x14ac:dyDescent="0.25">
      <c r="A3445" s="1" t="str">
        <f>T("1949088047623247356")</f>
        <v>1949088047623247356</v>
      </c>
      <c r="B3445" s="1" t="str">
        <f>T("249992531428")</f>
        <v>249992531428</v>
      </c>
      <c r="C3445" s="1" t="str">
        <f>T("1941094532934273952")</f>
        <v>1941094532934273952</v>
      </c>
      <c r="AC3445" s="1" t="s">
        <v>344</v>
      </c>
      <c r="AD3445" s="1" t="s">
        <v>372</v>
      </c>
      <c r="AE3445" s="1" t="s">
        <v>814</v>
      </c>
      <c r="AF3445" s="1" t="s">
        <v>144</v>
      </c>
      <c r="AG3445" s="1">
        <v>52</v>
      </c>
      <c r="AO3445" s="2">
        <v>46287</v>
      </c>
      <c r="AP3445" s="1" t="s">
        <v>301</v>
      </c>
      <c r="AQ3445" s="2">
        <v>46287</v>
      </c>
      <c r="AR3445" s="1" t="s">
        <v>894</v>
      </c>
      <c r="AS3445" s="1" t="s">
        <v>71</v>
      </c>
      <c r="AU3445" s="1" t="s">
        <v>79</v>
      </c>
      <c r="AV3445" s="1" t="s">
        <v>80</v>
      </c>
      <c r="AW3445" s="1">
        <v>26.44</v>
      </c>
      <c r="AX3445" s="1">
        <v>0</v>
      </c>
      <c r="AZ3445" s="1" t="s">
        <v>81</v>
      </c>
      <c r="BA3445" s="1">
        <v>2</v>
      </c>
      <c r="BB3445" s="1">
        <v>0</v>
      </c>
      <c r="BC3445" s="1">
        <v>0</v>
      </c>
      <c r="BE3445" s="1">
        <v>27644674</v>
      </c>
    </row>
    <row r="3446" spans="1:57" x14ac:dyDescent="0.25">
      <c r="A3446" s="1" t="str">
        <f>T("1949088047631638372")</f>
        <v>1949088047631638372</v>
      </c>
      <c r="B3446" s="1" t="str">
        <f>T("249911011810")</f>
        <v>249911011810</v>
      </c>
      <c r="C3446" s="1" t="str">
        <f>T("1941094532946854876")</f>
        <v>1941094532946854876</v>
      </c>
      <c r="AC3446" s="1" t="s">
        <v>344</v>
      </c>
      <c r="AD3446" s="1" t="s">
        <v>372</v>
      </c>
      <c r="AE3446" s="1" t="s">
        <v>820</v>
      </c>
      <c r="AF3446" s="1" t="s">
        <v>107</v>
      </c>
      <c r="AG3446" s="1">
        <v>52</v>
      </c>
      <c r="AO3446" s="2">
        <v>46287</v>
      </c>
      <c r="AP3446" s="1" t="s">
        <v>301</v>
      </c>
      <c r="AS3446" s="1" t="s">
        <v>71</v>
      </c>
      <c r="AU3446" s="1" t="s">
        <v>72</v>
      </c>
      <c r="AV3446" s="1" t="s">
        <v>73</v>
      </c>
      <c r="AX3446" s="1">
        <v>0</v>
      </c>
      <c r="BA3446" s="1">
        <v>9</v>
      </c>
      <c r="BB3446" s="1">
        <v>0</v>
      </c>
      <c r="BC3446" s="1">
        <v>0</v>
      </c>
      <c r="BE3446" s="1">
        <v>27644674</v>
      </c>
    </row>
    <row r="3447" spans="1:57" x14ac:dyDescent="0.25">
      <c r="A3447" s="1" t="str">
        <f>T("1949088047640026988")</f>
        <v>1949088047640026988</v>
      </c>
      <c r="B3447" s="1" t="str">
        <f>T("249962926848")</f>
        <v>249962926848</v>
      </c>
      <c r="C3447" s="1" t="str">
        <f>T("1941094532946857776")</f>
        <v>1941094532946857776</v>
      </c>
      <c r="AC3447" s="1" t="s">
        <v>344</v>
      </c>
      <c r="AD3447" s="1" t="s">
        <v>372</v>
      </c>
      <c r="AE3447" s="1" t="s">
        <v>818</v>
      </c>
      <c r="AF3447" s="1" t="s">
        <v>107</v>
      </c>
      <c r="AG3447" s="1">
        <v>54</v>
      </c>
      <c r="AO3447" s="2">
        <v>46287</v>
      </c>
      <c r="AP3447" s="1" t="s">
        <v>301</v>
      </c>
      <c r="AS3447" s="1" t="s">
        <v>71</v>
      </c>
      <c r="AU3447" s="1" t="s">
        <v>72</v>
      </c>
      <c r="AV3447" s="1" t="s">
        <v>437</v>
      </c>
      <c r="AX3447" s="1">
        <v>0</v>
      </c>
      <c r="BA3447" s="1">
        <v>9</v>
      </c>
      <c r="BB3447" s="1">
        <v>0</v>
      </c>
      <c r="BC3447" s="1">
        <v>0</v>
      </c>
      <c r="BE3447" s="1">
        <v>27644674</v>
      </c>
    </row>
    <row r="3448" spans="1:57" x14ac:dyDescent="0.25">
      <c r="A3448" s="1" t="str">
        <f>T("1949088047677773060")</f>
        <v>1949088047677773060</v>
      </c>
      <c r="B3448" s="1" t="str">
        <f>T("249919486092")</f>
        <v>249919486092</v>
      </c>
      <c r="C3448" s="1" t="str">
        <f>T("1941094532951048784")</f>
        <v>1941094532951048784</v>
      </c>
      <c r="AC3448" s="1" t="s">
        <v>344</v>
      </c>
      <c r="AD3448" s="1" t="s">
        <v>357</v>
      </c>
      <c r="AE3448" s="1" t="s">
        <v>812</v>
      </c>
      <c r="AF3448" s="1" t="s">
        <v>107</v>
      </c>
      <c r="AG3448" s="1">
        <v>60</v>
      </c>
      <c r="AO3448" s="2">
        <v>46287</v>
      </c>
      <c r="AP3448" s="1" t="s">
        <v>301</v>
      </c>
      <c r="AS3448" s="1" t="s">
        <v>71</v>
      </c>
      <c r="AU3448" s="1" t="s">
        <v>72</v>
      </c>
      <c r="AV3448" s="1" t="s">
        <v>73</v>
      </c>
      <c r="AX3448" s="1">
        <v>0</v>
      </c>
      <c r="BA3448" s="1">
        <v>9</v>
      </c>
      <c r="BB3448" s="1">
        <v>0</v>
      </c>
      <c r="BC3448" s="1">
        <v>0</v>
      </c>
      <c r="BE3448" s="1">
        <v>27644674</v>
      </c>
    </row>
    <row r="3449" spans="1:57" x14ac:dyDescent="0.25">
      <c r="A3449" s="1" t="str">
        <f>T("1949088047690354784")</f>
        <v>1949088047690354784</v>
      </c>
      <c r="B3449" s="1" t="str">
        <f>T("249907290713")</f>
        <v>249907290713</v>
      </c>
      <c r="C3449" s="1" t="str">
        <f>T("1941094532951049684")</f>
        <v>1941094532951049684</v>
      </c>
      <c r="AC3449" s="1" t="s">
        <v>344</v>
      </c>
      <c r="AD3449" s="1" t="s">
        <v>372</v>
      </c>
      <c r="AE3449" s="1" t="s">
        <v>820</v>
      </c>
      <c r="AF3449" s="1" t="s">
        <v>144</v>
      </c>
      <c r="AG3449" s="1">
        <v>25</v>
      </c>
      <c r="AO3449" s="2">
        <v>46287</v>
      </c>
      <c r="AP3449" s="1" t="s">
        <v>301</v>
      </c>
      <c r="AS3449" s="1" t="s">
        <v>71</v>
      </c>
      <c r="AU3449" s="1" t="s">
        <v>72</v>
      </c>
      <c r="AV3449" s="1" t="s">
        <v>437</v>
      </c>
      <c r="AX3449" s="1">
        <v>0</v>
      </c>
      <c r="BA3449" s="1">
        <v>9</v>
      </c>
      <c r="BB3449" s="1">
        <v>0</v>
      </c>
      <c r="BC3449" s="1">
        <v>0</v>
      </c>
      <c r="BE3449" s="1">
        <v>27644674</v>
      </c>
    </row>
    <row r="3450" spans="1:57" x14ac:dyDescent="0.25">
      <c r="A3450" s="1" t="str">
        <f>T("1949088047694551792")</f>
        <v>1949088047694551792</v>
      </c>
      <c r="B3450" s="1" t="str">
        <f>T("249991916484")</f>
        <v>249991916484</v>
      </c>
      <c r="C3450" s="1" t="str">
        <f>T("1941094532951051784")</f>
        <v>1941094532951051784</v>
      </c>
      <c r="M3450" s="1" t="s">
        <v>59</v>
      </c>
      <c r="O3450" s="1" t="s">
        <v>60</v>
      </c>
      <c r="P3450" s="1" t="s">
        <v>83</v>
      </c>
      <c r="Q3450" s="1" t="s">
        <v>92</v>
      </c>
      <c r="R3450" s="1" t="s">
        <v>93</v>
      </c>
      <c r="T3450" s="1" t="s">
        <v>95</v>
      </c>
      <c r="U3450" s="1" t="s">
        <v>65</v>
      </c>
      <c r="V3450" s="1" t="s">
        <v>66</v>
      </c>
      <c r="W3450" s="1" t="s">
        <v>67</v>
      </c>
      <c r="X3450" s="1" t="s">
        <v>66</v>
      </c>
      <c r="Y3450" s="1" t="s">
        <v>69</v>
      </c>
      <c r="AA3450" s="1">
        <v>1</v>
      </c>
      <c r="AB3450" s="1">
        <v>1</v>
      </c>
      <c r="AC3450" s="1" t="s">
        <v>344</v>
      </c>
      <c r="AD3450" s="1" t="s">
        <v>372</v>
      </c>
      <c r="AE3450" s="1" t="s">
        <v>814</v>
      </c>
      <c r="AF3450" s="1" t="s">
        <v>144</v>
      </c>
      <c r="AG3450" s="1">
        <v>37</v>
      </c>
      <c r="AO3450" s="2">
        <v>46287</v>
      </c>
      <c r="AP3450" s="1" t="s">
        <v>301</v>
      </c>
      <c r="AQ3450" s="2">
        <v>46287</v>
      </c>
      <c r="AR3450" s="1" t="s">
        <v>305</v>
      </c>
      <c r="AS3450" s="1" t="s">
        <v>71</v>
      </c>
      <c r="AU3450" s="1" t="s">
        <v>78</v>
      </c>
      <c r="AV3450" s="1" t="s">
        <v>80</v>
      </c>
      <c r="AW3450" s="1">
        <v>245.34</v>
      </c>
      <c r="AX3450" s="1">
        <v>0</v>
      </c>
      <c r="AZ3450" s="1" t="s">
        <v>81</v>
      </c>
      <c r="BA3450" s="1">
        <v>1</v>
      </c>
      <c r="BB3450" s="1">
        <v>0</v>
      </c>
      <c r="BC3450" s="1">
        <v>0</v>
      </c>
      <c r="BE3450" s="1">
        <v>27644674</v>
      </c>
    </row>
    <row r="3451" spans="1:57" x14ac:dyDescent="0.25">
      <c r="A3451" s="1" t="str">
        <f>T("1949088047711326524")</f>
        <v>1949088047711326524</v>
      </c>
      <c r="B3451" s="1" t="str">
        <f>T("249924164288")</f>
        <v>249924164288</v>
      </c>
      <c r="C3451" s="1" t="str">
        <f>T("1941094532955242792")</f>
        <v>1941094532955242792</v>
      </c>
      <c r="AC3451" s="1" t="s">
        <v>344</v>
      </c>
      <c r="AD3451" s="1" t="s">
        <v>372</v>
      </c>
      <c r="AE3451" s="1" t="s">
        <v>815</v>
      </c>
      <c r="AF3451" s="1" t="s">
        <v>107</v>
      </c>
      <c r="AG3451" s="1">
        <v>54</v>
      </c>
      <c r="AO3451" s="2">
        <v>46287</v>
      </c>
      <c r="AP3451" s="1" t="s">
        <v>301</v>
      </c>
      <c r="AQ3451" s="2">
        <v>46287</v>
      </c>
      <c r="AR3451" s="1" t="s">
        <v>895</v>
      </c>
      <c r="AS3451" s="1" t="s">
        <v>71</v>
      </c>
      <c r="AU3451" s="1" t="s">
        <v>79</v>
      </c>
      <c r="AV3451" s="1" t="s">
        <v>80</v>
      </c>
      <c r="AW3451" s="1">
        <v>10.978</v>
      </c>
      <c r="AX3451" s="1">
        <v>0</v>
      </c>
      <c r="AZ3451" s="1" t="s">
        <v>81</v>
      </c>
      <c r="BA3451" s="1">
        <v>3</v>
      </c>
      <c r="BB3451" s="1">
        <v>0</v>
      </c>
      <c r="BC3451" s="1">
        <v>0</v>
      </c>
      <c r="BE3451" s="1">
        <v>27644674</v>
      </c>
    </row>
    <row r="3452" spans="1:57" x14ac:dyDescent="0.25">
      <c r="A3452" s="1" t="str">
        <f>T("1949088047744881188")</f>
        <v>1949088047744881188</v>
      </c>
      <c r="B3452" s="1" t="str">
        <f>T("249962428859")</f>
        <v>249962428859</v>
      </c>
      <c r="C3452" s="1" t="str">
        <f>T("1941094532955244692")</f>
        <v>1941094532955244692</v>
      </c>
      <c r="AC3452" s="1" t="s">
        <v>344</v>
      </c>
      <c r="AD3452" s="1" t="s">
        <v>430</v>
      </c>
      <c r="AE3452" s="1" t="s">
        <v>530</v>
      </c>
      <c r="AF3452" s="1" t="s">
        <v>107</v>
      </c>
      <c r="AG3452" s="1">
        <v>20</v>
      </c>
      <c r="AO3452" s="2">
        <v>46287</v>
      </c>
      <c r="AP3452" s="1" t="s">
        <v>301</v>
      </c>
      <c r="AS3452" s="1" t="s">
        <v>71</v>
      </c>
      <c r="AU3452" s="1" t="s">
        <v>72</v>
      </c>
      <c r="AV3452" s="1" t="s">
        <v>437</v>
      </c>
      <c r="AX3452" s="1">
        <v>0</v>
      </c>
      <c r="BA3452" s="1">
        <v>9</v>
      </c>
      <c r="BB3452" s="1">
        <v>0</v>
      </c>
      <c r="BC3452" s="1">
        <v>0</v>
      </c>
      <c r="BE3452" s="1">
        <v>27644674</v>
      </c>
    </row>
    <row r="3453" spans="1:57" x14ac:dyDescent="0.25">
      <c r="A3453" s="1" t="str">
        <f>T("1949088047749077796")</f>
        <v>1949088047749077796</v>
      </c>
      <c r="B3453" s="1" t="str">
        <f>T("249905541282")</f>
        <v>249905541282</v>
      </c>
      <c r="C3453" s="1" t="str">
        <f>T("1941094532955245292")</f>
        <v>1941094532955245292</v>
      </c>
      <c r="AC3453" s="1" t="s">
        <v>344</v>
      </c>
      <c r="AD3453" s="1" t="s">
        <v>372</v>
      </c>
      <c r="AE3453" s="1" t="s">
        <v>813</v>
      </c>
      <c r="AF3453" s="1" t="s">
        <v>144</v>
      </c>
      <c r="AG3453" s="1">
        <v>35</v>
      </c>
      <c r="AO3453" s="2">
        <v>46287</v>
      </c>
      <c r="AP3453" s="1" t="s">
        <v>301</v>
      </c>
      <c r="AS3453" s="1" t="s">
        <v>71</v>
      </c>
      <c r="AU3453" s="1" t="s">
        <v>72</v>
      </c>
      <c r="AV3453" s="1" t="s">
        <v>73</v>
      </c>
      <c r="AX3453" s="1">
        <v>0</v>
      </c>
      <c r="BA3453" s="1">
        <v>9</v>
      </c>
      <c r="BB3453" s="1">
        <v>0</v>
      </c>
      <c r="BC3453" s="1">
        <v>0</v>
      </c>
      <c r="BE3453" s="1">
        <v>27644674</v>
      </c>
    </row>
    <row r="3454" spans="1:57" x14ac:dyDescent="0.25">
      <c r="A3454" s="1" t="str">
        <f>T("1949088047753273204")</f>
        <v>1949088047753273204</v>
      </c>
      <c r="B3454" s="1" t="str">
        <f>T("249902034117")</f>
        <v>249902034117</v>
      </c>
      <c r="C3454" s="1" t="str">
        <f>T("1941094532955245892")</f>
        <v>1941094532955245892</v>
      </c>
      <c r="AC3454" s="1" t="s">
        <v>344</v>
      </c>
      <c r="AD3454" s="1" t="s">
        <v>441</v>
      </c>
      <c r="AE3454" s="1" t="s">
        <v>530</v>
      </c>
      <c r="AF3454" s="1" t="s">
        <v>107</v>
      </c>
      <c r="AG3454" s="1">
        <v>31</v>
      </c>
      <c r="AO3454" s="2">
        <v>46287</v>
      </c>
      <c r="AP3454" s="1" t="s">
        <v>301</v>
      </c>
      <c r="AS3454" s="1" t="s">
        <v>71</v>
      </c>
      <c r="AU3454" s="1" t="s">
        <v>72</v>
      </c>
      <c r="AV3454" s="1" t="s">
        <v>437</v>
      </c>
      <c r="AX3454" s="1">
        <v>0</v>
      </c>
      <c r="BA3454" s="1">
        <v>9</v>
      </c>
      <c r="BB3454" s="1">
        <v>0</v>
      </c>
      <c r="BC3454" s="1">
        <v>0</v>
      </c>
      <c r="BE3454" s="1">
        <v>27644674</v>
      </c>
    </row>
    <row r="3455" spans="1:57" x14ac:dyDescent="0.25">
      <c r="A3455" s="1" t="str">
        <f>T("1949088047774242244")</f>
        <v>1949088047774242244</v>
      </c>
      <c r="B3455" s="1" t="str">
        <f>T("249911980821")</f>
        <v>249911980821</v>
      </c>
      <c r="C3455" s="1" t="str">
        <f>T("1941094532959437800")</f>
        <v>1941094532959437800</v>
      </c>
      <c r="AC3455" s="1" t="s">
        <v>344</v>
      </c>
      <c r="AD3455" s="1" t="s">
        <v>430</v>
      </c>
      <c r="AE3455" s="1" t="s">
        <v>530</v>
      </c>
      <c r="AF3455" s="1" t="s">
        <v>107</v>
      </c>
      <c r="AG3455" s="1">
        <v>25</v>
      </c>
      <c r="AO3455" s="2">
        <v>46287</v>
      </c>
      <c r="AP3455" s="1" t="s">
        <v>301</v>
      </c>
      <c r="AS3455" s="1" t="s">
        <v>71</v>
      </c>
      <c r="AU3455" s="1" t="s">
        <v>72</v>
      </c>
      <c r="AV3455" s="1" t="s">
        <v>437</v>
      </c>
      <c r="AX3455" s="1">
        <v>0</v>
      </c>
      <c r="BA3455" s="1">
        <v>9</v>
      </c>
      <c r="BB3455" s="1">
        <v>0</v>
      </c>
      <c r="BC3455" s="1">
        <v>0</v>
      </c>
      <c r="BE3455" s="1">
        <v>27644674</v>
      </c>
    </row>
    <row r="3456" spans="1:57" x14ac:dyDescent="0.25">
      <c r="A3456" s="1" t="str">
        <f>T("1949088047795214384")</f>
        <v>1949088047795214384</v>
      </c>
      <c r="B3456" s="1" t="str">
        <f>T("249967599480")</f>
        <v>249967599480</v>
      </c>
      <c r="C3456" s="1" t="str">
        <f>T("1941094532959438300")</f>
        <v>1941094532959438300</v>
      </c>
      <c r="AC3456" s="1" t="s">
        <v>344</v>
      </c>
      <c r="AD3456" s="1" t="s">
        <v>372</v>
      </c>
      <c r="AE3456" s="1" t="s">
        <v>815</v>
      </c>
      <c r="AF3456" s="1" t="s">
        <v>107</v>
      </c>
      <c r="AG3456" s="1">
        <v>33</v>
      </c>
      <c r="AO3456" s="2">
        <v>46287</v>
      </c>
      <c r="AP3456" s="1" t="s">
        <v>301</v>
      </c>
      <c r="AS3456" s="1" t="s">
        <v>71</v>
      </c>
      <c r="AU3456" s="1" t="s">
        <v>72</v>
      </c>
      <c r="AV3456" s="1" t="s">
        <v>437</v>
      </c>
      <c r="AX3456" s="1">
        <v>0</v>
      </c>
      <c r="BA3456" s="1">
        <v>9</v>
      </c>
      <c r="BB3456" s="1">
        <v>0</v>
      </c>
      <c r="BC3456" s="1">
        <v>0</v>
      </c>
      <c r="BE3456" s="1">
        <v>27644674</v>
      </c>
    </row>
    <row r="3457" spans="1:57" x14ac:dyDescent="0.25">
      <c r="A3457" s="1" t="str">
        <f>T("1949088047807796808")</f>
        <v>1949088047807796808</v>
      </c>
      <c r="B3457" s="1" t="str">
        <f>T("249966452124")</f>
        <v>249966452124</v>
      </c>
      <c r="C3457" s="1" t="str">
        <f>T("1941094532959438900")</f>
        <v>1941094532959438900</v>
      </c>
      <c r="AC3457" s="1" t="s">
        <v>344</v>
      </c>
      <c r="AD3457" s="1" t="s">
        <v>441</v>
      </c>
      <c r="AE3457" s="1" t="s">
        <v>530</v>
      </c>
      <c r="AF3457" s="1" t="s">
        <v>107</v>
      </c>
      <c r="AG3457" s="1">
        <v>41</v>
      </c>
      <c r="AO3457" s="2">
        <v>46287</v>
      </c>
      <c r="AP3457" s="1" t="s">
        <v>301</v>
      </c>
      <c r="AS3457" s="1" t="s">
        <v>71</v>
      </c>
      <c r="AU3457" s="1" t="s">
        <v>72</v>
      </c>
      <c r="AV3457" s="1" t="s">
        <v>73</v>
      </c>
      <c r="AX3457" s="1">
        <v>0</v>
      </c>
      <c r="BA3457" s="1">
        <v>9</v>
      </c>
      <c r="BB3457" s="1">
        <v>0</v>
      </c>
      <c r="BC3457" s="1">
        <v>0</v>
      </c>
      <c r="BE3457" s="1">
        <v>27644674</v>
      </c>
    </row>
    <row r="3458" spans="1:57" x14ac:dyDescent="0.25">
      <c r="A3458" s="1" t="str">
        <f>T("1949088047820381532")</f>
        <v>1949088047820381532</v>
      </c>
      <c r="B3458" s="1" t="str">
        <f>T("249963658110")</f>
        <v>249963658110</v>
      </c>
      <c r="C3458" s="1" t="str">
        <f>T("1941094532963632808")</f>
        <v>1941094532963632808</v>
      </c>
      <c r="AC3458" s="1" t="s">
        <v>344</v>
      </c>
      <c r="AD3458" s="1" t="s">
        <v>441</v>
      </c>
      <c r="AE3458" s="1" t="s">
        <v>530</v>
      </c>
      <c r="AF3458" s="1" t="s">
        <v>144</v>
      </c>
      <c r="AG3458" s="1">
        <v>55</v>
      </c>
      <c r="AO3458" s="2">
        <v>46287</v>
      </c>
      <c r="AP3458" s="1" t="s">
        <v>301</v>
      </c>
      <c r="AS3458" s="1" t="s">
        <v>71</v>
      </c>
      <c r="AU3458" s="1" t="s">
        <v>72</v>
      </c>
      <c r="AV3458" s="1" t="s">
        <v>73</v>
      </c>
      <c r="AX3458" s="1">
        <v>0</v>
      </c>
      <c r="BA3458" s="1">
        <v>9</v>
      </c>
      <c r="BB3458" s="1">
        <v>0</v>
      </c>
      <c r="BC3458" s="1">
        <v>0</v>
      </c>
      <c r="BE3458" s="1">
        <v>27644674</v>
      </c>
    </row>
    <row r="3459" spans="1:57" x14ac:dyDescent="0.25">
      <c r="A3459" s="1" t="str">
        <f>T("1949088047841351372")</f>
        <v>1949088047841351372</v>
      </c>
      <c r="B3459" s="1" t="str">
        <f>T("249909657741")</f>
        <v>249909657741</v>
      </c>
      <c r="C3459" s="1" t="str">
        <f>T("1941094532963633308")</f>
        <v>1941094532963633308</v>
      </c>
      <c r="AC3459" s="1" t="s">
        <v>344</v>
      </c>
      <c r="AD3459" s="1" t="s">
        <v>441</v>
      </c>
      <c r="AE3459" s="1" t="s">
        <v>530</v>
      </c>
      <c r="AF3459" s="1" t="s">
        <v>107</v>
      </c>
      <c r="AG3459" s="1">
        <v>20</v>
      </c>
      <c r="AO3459" s="2">
        <v>46287</v>
      </c>
      <c r="AP3459" s="1" t="s">
        <v>301</v>
      </c>
      <c r="AS3459" s="1" t="s">
        <v>71</v>
      </c>
      <c r="AU3459" s="1" t="s">
        <v>72</v>
      </c>
      <c r="AV3459" s="1" t="s">
        <v>73</v>
      </c>
      <c r="AX3459" s="1">
        <v>0</v>
      </c>
      <c r="BA3459" s="1">
        <v>9</v>
      </c>
      <c r="BB3459" s="1">
        <v>0</v>
      </c>
      <c r="BC3459" s="1">
        <v>0</v>
      </c>
      <c r="BE3459" s="1">
        <v>27644674</v>
      </c>
    </row>
    <row r="3460" spans="1:57" x14ac:dyDescent="0.25">
      <c r="A3460" s="1" t="str">
        <f>T("1949088047849741288")</f>
        <v>1949088047849741288</v>
      </c>
      <c r="B3460" s="1" t="str">
        <f>T("249129714924")</f>
        <v>249129714924</v>
      </c>
      <c r="C3460" s="1" t="str">
        <f>T("1941094532963633708")</f>
        <v>1941094532963633708</v>
      </c>
      <c r="AC3460" s="1" t="s">
        <v>344</v>
      </c>
      <c r="AD3460" s="1" t="s">
        <v>372</v>
      </c>
      <c r="AE3460" s="1" t="s">
        <v>814</v>
      </c>
      <c r="AF3460" s="1" t="s">
        <v>107</v>
      </c>
      <c r="AG3460" s="1">
        <v>40</v>
      </c>
      <c r="AO3460" s="2">
        <v>46287</v>
      </c>
      <c r="AP3460" s="1" t="s">
        <v>301</v>
      </c>
      <c r="AS3460" s="1" t="s">
        <v>71</v>
      </c>
      <c r="AU3460" s="1" t="s">
        <v>72</v>
      </c>
      <c r="AV3460" s="1" t="s">
        <v>131</v>
      </c>
      <c r="AX3460" s="1">
        <v>0</v>
      </c>
      <c r="BA3460" s="1">
        <v>9</v>
      </c>
      <c r="BB3460" s="1">
        <v>0</v>
      </c>
      <c r="BC3460" s="1">
        <v>0</v>
      </c>
      <c r="BE3460" s="1">
        <v>27644674</v>
      </c>
    </row>
    <row r="3461" spans="1:57" x14ac:dyDescent="0.25">
      <c r="A3461" s="1" t="str">
        <f>T("1949088047874904836")</f>
        <v>1949088047874904836</v>
      </c>
      <c r="B3461" s="1" t="str">
        <f>T("249907433767")</f>
        <v>249907433767</v>
      </c>
      <c r="C3461" s="1" t="str">
        <f>T("1941094532963634308")</f>
        <v>1941094532963634308</v>
      </c>
      <c r="AC3461" s="1" t="s">
        <v>344</v>
      </c>
      <c r="AD3461" s="1" t="s">
        <v>372</v>
      </c>
      <c r="AE3461" s="1" t="s">
        <v>813</v>
      </c>
      <c r="AF3461" s="1" t="s">
        <v>144</v>
      </c>
      <c r="AG3461" s="1">
        <v>35</v>
      </c>
      <c r="AO3461" s="2">
        <v>46287</v>
      </c>
      <c r="AP3461" s="1" t="s">
        <v>301</v>
      </c>
      <c r="AS3461" s="1" t="s">
        <v>71</v>
      </c>
      <c r="AU3461" s="1" t="s">
        <v>72</v>
      </c>
      <c r="AV3461" s="1" t="s">
        <v>73</v>
      </c>
      <c r="AX3461" s="1">
        <v>0</v>
      </c>
      <c r="BA3461" s="1">
        <v>9</v>
      </c>
      <c r="BB3461" s="1">
        <v>0</v>
      </c>
      <c r="BC3461" s="1">
        <v>0</v>
      </c>
      <c r="BE3461" s="1">
        <v>27644674</v>
      </c>
    </row>
    <row r="3462" spans="1:57" x14ac:dyDescent="0.25">
      <c r="A3462" s="1" t="str">
        <f>T("1949088047900070184")</f>
        <v>1949088047900070184</v>
      </c>
      <c r="B3462" s="1" t="str">
        <f>T("249914056845")</f>
        <v>249914056845</v>
      </c>
      <c r="C3462" s="1" t="str">
        <f>T("1941094532963634808")</f>
        <v>1941094532963634808</v>
      </c>
      <c r="AC3462" s="1" t="s">
        <v>344</v>
      </c>
      <c r="AD3462" s="1" t="s">
        <v>372</v>
      </c>
      <c r="AE3462" s="1" t="s">
        <v>818</v>
      </c>
      <c r="AF3462" s="1" t="s">
        <v>144</v>
      </c>
      <c r="AG3462" s="1">
        <v>43</v>
      </c>
      <c r="AO3462" s="2">
        <v>46287</v>
      </c>
      <c r="AP3462" s="1" t="s">
        <v>301</v>
      </c>
      <c r="AS3462" s="1" t="s">
        <v>71</v>
      </c>
      <c r="AU3462" s="1" t="s">
        <v>72</v>
      </c>
      <c r="AV3462" s="1" t="s">
        <v>73</v>
      </c>
      <c r="AX3462" s="1">
        <v>0</v>
      </c>
      <c r="BA3462" s="1">
        <v>9</v>
      </c>
      <c r="BB3462" s="1">
        <v>0</v>
      </c>
      <c r="BC3462" s="1">
        <v>0</v>
      </c>
      <c r="BE3462" s="1">
        <v>27644674</v>
      </c>
    </row>
    <row r="3463" spans="1:57" x14ac:dyDescent="0.25">
      <c r="A3463" s="1" t="str">
        <f>T("1949088047904266792")</f>
        <v>1949088047904266792</v>
      </c>
      <c r="B3463" s="1" t="str">
        <f>T("249992088984")</f>
        <v>249992088984</v>
      </c>
      <c r="C3463" s="1" t="str">
        <f>T("1941094532967825516")</f>
        <v>1941094532967825516</v>
      </c>
      <c r="M3463" s="1" t="s">
        <v>59</v>
      </c>
      <c r="O3463" s="1" t="s">
        <v>65</v>
      </c>
      <c r="P3463" s="1" t="s">
        <v>83</v>
      </c>
      <c r="Q3463" s="1" t="s">
        <v>112</v>
      </c>
      <c r="R3463" s="1" t="s">
        <v>84</v>
      </c>
      <c r="S3463" s="1" t="s">
        <v>61</v>
      </c>
      <c r="U3463" s="1" t="s">
        <v>65</v>
      </c>
      <c r="V3463" s="1" t="s">
        <v>102</v>
      </c>
      <c r="W3463" s="1" t="s">
        <v>60</v>
      </c>
      <c r="X3463" s="1" t="s">
        <v>66</v>
      </c>
      <c r="Y3463" s="1" t="s">
        <v>160</v>
      </c>
      <c r="AA3463" s="1">
        <v>1</v>
      </c>
      <c r="AB3463" s="1">
        <v>1</v>
      </c>
      <c r="AC3463" s="1" t="s">
        <v>344</v>
      </c>
      <c r="AD3463" s="1" t="s">
        <v>372</v>
      </c>
      <c r="AE3463" s="1" t="s">
        <v>814</v>
      </c>
      <c r="AF3463" s="1" t="s">
        <v>144</v>
      </c>
      <c r="AG3463" s="1">
        <v>45</v>
      </c>
      <c r="AO3463" s="2">
        <v>46287</v>
      </c>
      <c r="AP3463" s="1" t="s">
        <v>301</v>
      </c>
      <c r="AQ3463" s="2">
        <v>46287</v>
      </c>
      <c r="AR3463" s="1" t="s">
        <v>896</v>
      </c>
      <c r="AS3463" s="1" t="s">
        <v>71</v>
      </c>
      <c r="AU3463" s="1" t="s">
        <v>78</v>
      </c>
      <c r="AV3463" s="1" t="s">
        <v>80</v>
      </c>
      <c r="AW3463" s="1">
        <v>210.42</v>
      </c>
      <c r="AX3463" s="1">
        <v>0</v>
      </c>
      <c r="AZ3463" s="1" t="s">
        <v>81</v>
      </c>
      <c r="BA3463" s="1">
        <v>1</v>
      </c>
      <c r="BB3463" s="1">
        <v>0</v>
      </c>
      <c r="BC3463" s="1">
        <v>0</v>
      </c>
      <c r="BE3463" s="1">
        <v>27644674</v>
      </c>
    </row>
    <row r="3464" spans="1:57" x14ac:dyDescent="0.25">
      <c r="A3464" s="1" t="str">
        <f>T("1949088047908459300")</f>
        <v>1949088047908459300</v>
      </c>
      <c r="B3464" s="1" t="str">
        <f>T("249900209505")</f>
        <v>249900209505</v>
      </c>
      <c r="C3464" s="1" t="str">
        <f>T("1941094532967826016")</f>
        <v>1941094532967826016</v>
      </c>
      <c r="AC3464" s="1" t="s">
        <v>344</v>
      </c>
      <c r="AD3464" s="1" t="s">
        <v>430</v>
      </c>
      <c r="AE3464" s="1" t="s">
        <v>530</v>
      </c>
      <c r="AF3464" s="1" t="s">
        <v>144</v>
      </c>
      <c r="AG3464" s="1">
        <v>65</v>
      </c>
      <c r="AO3464" s="2">
        <v>46287</v>
      </c>
      <c r="AP3464" s="1" t="s">
        <v>301</v>
      </c>
      <c r="AS3464" s="1" t="s">
        <v>71</v>
      </c>
      <c r="AU3464" s="1" t="s">
        <v>72</v>
      </c>
      <c r="AV3464" s="1" t="s">
        <v>437</v>
      </c>
      <c r="AX3464" s="1">
        <v>0</v>
      </c>
      <c r="BA3464" s="1">
        <v>9</v>
      </c>
      <c r="BB3464" s="1">
        <v>0</v>
      </c>
      <c r="BC3464" s="1">
        <v>0</v>
      </c>
      <c r="BE3464" s="1">
        <v>27644674</v>
      </c>
    </row>
    <row r="3465" spans="1:57" x14ac:dyDescent="0.25">
      <c r="A3465" s="1" t="str">
        <f>T("1949088047942016464")</f>
        <v>1949088047942016464</v>
      </c>
      <c r="B3465" s="1" t="str">
        <f>T("249900195409")</f>
        <v>249900195409</v>
      </c>
      <c r="C3465" s="1" t="str">
        <f>T("1941094532967826416")</f>
        <v>1941094532967826416</v>
      </c>
      <c r="AC3465" s="1" t="s">
        <v>344</v>
      </c>
      <c r="AD3465" s="1" t="s">
        <v>372</v>
      </c>
      <c r="AE3465" s="1" t="s">
        <v>815</v>
      </c>
      <c r="AF3465" s="1" t="s">
        <v>144</v>
      </c>
      <c r="AG3465" s="1">
        <v>34</v>
      </c>
      <c r="AO3465" s="2">
        <v>46287</v>
      </c>
      <c r="AP3465" s="1" t="s">
        <v>301</v>
      </c>
      <c r="AS3465" s="1" t="s">
        <v>71</v>
      </c>
      <c r="AU3465" s="1" t="s">
        <v>72</v>
      </c>
      <c r="AV3465" s="1" t="s">
        <v>73</v>
      </c>
      <c r="AX3465" s="1">
        <v>0</v>
      </c>
      <c r="BA3465" s="1">
        <v>9</v>
      </c>
      <c r="BB3465" s="1">
        <v>0</v>
      </c>
      <c r="BC3465" s="1">
        <v>0</v>
      </c>
      <c r="BE3465" s="1">
        <v>27644674</v>
      </c>
    </row>
    <row r="3466" spans="1:57" x14ac:dyDescent="0.25">
      <c r="A3466" s="1" t="str">
        <f>T("1949088047962984704")</f>
        <v>1949088047962984704</v>
      </c>
      <c r="B3466" s="1" t="str">
        <f>T("249901500341")</f>
        <v>249901500341</v>
      </c>
      <c r="C3466" s="1" t="str">
        <f>T("1941094532967827716")</f>
        <v>1941094532967827716</v>
      </c>
      <c r="AC3466" s="1" t="s">
        <v>344</v>
      </c>
      <c r="AD3466" s="1" t="s">
        <v>372</v>
      </c>
      <c r="AE3466" s="1" t="s">
        <v>813</v>
      </c>
      <c r="AF3466" s="1" t="s">
        <v>144</v>
      </c>
      <c r="AG3466" s="1">
        <v>32</v>
      </c>
      <c r="AO3466" s="2">
        <v>46287</v>
      </c>
      <c r="AP3466" s="1" t="s">
        <v>301</v>
      </c>
      <c r="AS3466" s="1" t="s">
        <v>71</v>
      </c>
      <c r="AU3466" s="1" t="s">
        <v>72</v>
      </c>
      <c r="AV3466" s="1" t="s">
        <v>437</v>
      </c>
      <c r="AX3466" s="1">
        <v>0</v>
      </c>
      <c r="BA3466" s="1">
        <v>9</v>
      </c>
      <c r="BB3466" s="1">
        <v>0</v>
      </c>
      <c r="BC3466" s="1">
        <v>0</v>
      </c>
      <c r="BE3466" s="1">
        <v>27644674</v>
      </c>
    </row>
    <row r="3467" spans="1:57" x14ac:dyDescent="0.25">
      <c r="A3467" s="1" t="str">
        <f>T("1949088047967179612")</f>
        <v>1949088047967179612</v>
      </c>
      <c r="B3467" s="1" t="str">
        <f>T("249903814918")</f>
        <v>249903814918</v>
      </c>
      <c r="C3467" s="1" t="str">
        <f>T("1941094532976215032")</f>
        <v>1941094532976215032</v>
      </c>
      <c r="AC3467" s="1" t="s">
        <v>344</v>
      </c>
      <c r="AD3467" s="1" t="s">
        <v>430</v>
      </c>
      <c r="AE3467" s="1" t="s">
        <v>530</v>
      </c>
      <c r="AF3467" s="1" t="s">
        <v>107</v>
      </c>
      <c r="AG3467" s="1">
        <v>35</v>
      </c>
      <c r="AO3467" s="2">
        <v>46287</v>
      </c>
      <c r="AP3467" s="1" t="s">
        <v>301</v>
      </c>
      <c r="AS3467" s="1" t="s">
        <v>71</v>
      </c>
      <c r="AU3467" s="1" t="s">
        <v>72</v>
      </c>
      <c r="AV3467" s="1" t="s">
        <v>73</v>
      </c>
      <c r="AX3467" s="1">
        <v>0</v>
      </c>
      <c r="BA3467" s="1">
        <v>9</v>
      </c>
      <c r="BB3467" s="1">
        <v>0</v>
      </c>
      <c r="BC3467" s="1">
        <v>0</v>
      </c>
      <c r="BE3467" s="1">
        <v>27644674</v>
      </c>
    </row>
    <row r="3468" spans="1:57" x14ac:dyDescent="0.25">
      <c r="A3468" s="1" t="str">
        <f>T("1949088047975568028")</f>
        <v>1949088047975568028</v>
      </c>
      <c r="B3468" s="1" t="str">
        <f>T("249910859598")</f>
        <v>249910859598</v>
      </c>
      <c r="C3468" s="1" t="str">
        <f>T("1941094532976215732")</f>
        <v>1941094532976215732</v>
      </c>
      <c r="AC3468" s="1" t="s">
        <v>344</v>
      </c>
      <c r="AD3468" s="1" t="s">
        <v>430</v>
      </c>
      <c r="AE3468" s="1" t="s">
        <v>530</v>
      </c>
      <c r="AF3468" s="1" t="s">
        <v>107</v>
      </c>
      <c r="AG3468" s="1">
        <v>37</v>
      </c>
      <c r="AO3468" s="2">
        <v>46287</v>
      </c>
      <c r="AP3468" s="1" t="s">
        <v>301</v>
      </c>
      <c r="AS3468" s="1" t="s">
        <v>71</v>
      </c>
      <c r="AU3468" s="1" t="s">
        <v>72</v>
      </c>
      <c r="AV3468" s="1" t="s">
        <v>73</v>
      </c>
      <c r="AX3468" s="1">
        <v>0</v>
      </c>
      <c r="BA3468" s="1">
        <v>9</v>
      </c>
      <c r="BB3468" s="1">
        <v>0</v>
      </c>
      <c r="BC3468" s="1">
        <v>0</v>
      </c>
      <c r="BE3468" s="1">
        <v>27644674</v>
      </c>
    </row>
    <row r="3469" spans="1:57" x14ac:dyDescent="0.25">
      <c r="A3469" s="1" t="str">
        <f>T("1949088047992346760")</f>
        <v>1949088047992346760</v>
      </c>
      <c r="B3469" s="1" t="str">
        <f>T("249901434738")</f>
        <v>249901434738</v>
      </c>
      <c r="C3469" s="1" t="str">
        <f>T("1941094532976216232")</f>
        <v>1941094532976216232</v>
      </c>
      <c r="AC3469" s="1" t="s">
        <v>344</v>
      </c>
      <c r="AD3469" s="1" t="s">
        <v>430</v>
      </c>
      <c r="AE3469" s="1" t="s">
        <v>530</v>
      </c>
      <c r="AF3469" s="1" t="s">
        <v>107</v>
      </c>
      <c r="AG3469" s="1">
        <v>40</v>
      </c>
      <c r="AO3469" s="2">
        <v>46287</v>
      </c>
      <c r="AP3469" s="1" t="s">
        <v>301</v>
      </c>
      <c r="AS3469" s="1" t="s">
        <v>71</v>
      </c>
      <c r="AU3469" s="1" t="s">
        <v>72</v>
      </c>
      <c r="AV3469" s="1" t="s">
        <v>437</v>
      </c>
      <c r="AX3469" s="1">
        <v>0</v>
      </c>
      <c r="BA3469" s="1">
        <v>9</v>
      </c>
      <c r="BB3469" s="1">
        <v>0</v>
      </c>
      <c r="BC3469" s="1">
        <v>0</v>
      </c>
      <c r="BE3469" s="1">
        <v>27644674</v>
      </c>
    </row>
    <row r="3470" spans="1:57" x14ac:dyDescent="0.25">
      <c r="A3470" s="1" t="str">
        <f>T("1949088048021707416")</f>
        <v>1949088048021707416</v>
      </c>
      <c r="B3470" s="1" t="str">
        <f>T("249965480204")</f>
        <v>249965480204</v>
      </c>
      <c r="C3470" s="1" t="str">
        <f>T("1941094532980409940")</f>
        <v>1941094532980409940</v>
      </c>
      <c r="AC3470" s="1" t="s">
        <v>344</v>
      </c>
      <c r="AD3470" s="1" t="s">
        <v>372</v>
      </c>
      <c r="AE3470" s="1" t="s">
        <v>813</v>
      </c>
      <c r="AF3470" s="1" t="s">
        <v>144</v>
      </c>
      <c r="AG3470" s="1">
        <v>45</v>
      </c>
      <c r="AO3470" s="2">
        <v>46287</v>
      </c>
      <c r="AP3470" s="1" t="s">
        <v>301</v>
      </c>
      <c r="AS3470" s="1" t="s">
        <v>71</v>
      </c>
      <c r="AU3470" s="1" t="s">
        <v>72</v>
      </c>
      <c r="AV3470" s="1" t="s">
        <v>437</v>
      </c>
      <c r="AX3470" s="1">
        <v>0</v>
      </c>
      <c r="BA3470" s="1">
        <v>9</v>
      </c>
      <c r="BB3470" s="1">
        <v>0</v>
      </c>
      <c r="BC3470" s="1">
        <v>0</v>
      </c>
      <c r="BE3470" s="1">
        <v>27644674</v>
      </c>
    </row>
    <row r="3471" spans="1:57" x14ac:dyDescent="0.25">
      <c r="A3471" s="1" t="str">
        <f>T("1949088048030094832")</f>
        <v>1949088048030094832</v>
      </c>
      <c r="B3471" s="1" t="str">
        <f>T("249968070124")</f>
        <v>249968070124</v>
      </c>
      <c r="C3471" s="1" t="str">
        <f>T("1941094532980410440")</f>
        <v>1941094532980410440</v>
      </c>
      <c r="AC3471" s="1" t="s">
        <v>344</v>
      </c>
      <c r="AD3471" s="1" t="s">
        <v>441</v>
      </c>
      <c r="AE3471" s="1" t="s">
        <v>530</v>
      </c>
      <c r="AF3471" s="1" t="s">
        <v>107</v>
      </c>
      <c r="AG3471" s="1">
        <v>60</v>
      </c>
      <c r="AO3471" s="2">
        <v>46287</v>
      </c>
      <c r="AP3471" s="1" t="s">
        <v>301</v>
      </c>
      <c r="AS3471" s="1" t="s">
        <v>71</v>
      </c>
      <c r="AU3471" s="1" t="s">
        <v>72</v>
      </c>
      <c r="AV3471" s="1" t="s">
        <v>437</v>
      </c>
      <c r="AX3471" s="1">
        <v>0</v>
      </c>
      <c r="BA3471" s="1">
        <v>9</v>
      </c>
      <c r="BB3471" s="1">
        <v>0</v>
      </c>
      <c r="BC3471" s="1">
        <v>0</v>
      </c>
      <c r="BE3471" s="1">
        <v>27644674</v>
      </c>
    </row>
    <row r="3472" spans="1:57" x14ac:dyDescent="0.25">
      <c r="A3472" s="1" t="str">
        <f>T("1949088048034290940")</f>
        <v>1949088048034290940</v>
      </c>
      <c r="B3472" s="1" t="str">
        <f>T("249916264719")</f>
        <v>249916264719</v>
      </c>
      <c r="C3472" s="1" t="str">
        <f>T("1941094532980410840")</f>
        <v>1941094532980410840</v>
      </c>
      <c r="AC3472" s="1" t="s">
        <v>344</v>
      </c>
      <c r="AD3472" s="1" t="s">
        <v>372</v>
      </c>
      <c r="AE3472" s="1" t="s">
        <v>818</v>
      </c>
      <c r="AF3472" s="1" t="s">
        <v>107</v>
      </c>
      <c r="AG3472" s="1">
        <v>45</v>
      </c>
      <c r="AO3472" s="2">
        <v>46287</v>
      </c>
      <c r="AP3472" s="1" t="s">
        <v>301</v>
      </c>
      <c r="AS3472" s="1" t="s">
        <v>71</v>
      </c>
      <c r="AU3472" s="1" t="s">
        <v>72</v>
      </c>
      <c r="AV3472" s="1" t="s">
        <v>73</v>
      </c>
      <c r="AX3472" s="1">
        <v>0</v>
      </c>
      <c r="BA3472" s="1">
        <v>9</v>
      </c>
      <c r="BB3472" s="1">
        <v>0</v>
      </c>
      <c r="BC3472" s="1">
        <v>0</v>
      </c>
      <c r="BE3472" s="1">
        <v>27644674</v>
      </c>
    </row>
    <row r="3473" spans="1:57" x14ac:dyDescent="0.25">
      <c r="A3473" s="1" t="str">
        <f>T("1949088048051068772")</f>
        <v>1949088048051068772</v>
      </c>
      <c r="B3473" s="1" t="str">
        <f>T("249960167547")</f>
        <v>249960167547</v>
      </c>
      <c r="C3473" s="1" t="str">
        <f>T("1941094532980411340")</f>
        <v>1941094532980411340</v>
      </c>
      <c r="AC3473" s="1" t="s">
        <v>344</v>
      </c>
      <c r="AD3473" s="1" t="s">
        <v>372</v>
      </c>
      <c r="AE3473" s="1" t="s">
        <v>813</v>
      </c>
      <c r="AF3473" s="1" t="s">
        <v>107</v>
      </c>
      <c r="AG3473" s="1">
        <v>60</v>
      </c>
      <c r="AO3473" s="2">
        <v>46287</v>
      </c>
      <c r="AP3473" s="1" t="s">
        <v>301</v>
      </c>
      <c r="AS3473" s="1" t="s">
        <v>71</v>
      </c>
      <c r="AU3473" s="1" t="s">
        <v>72</v>
      </c>
      <c r="AV3473" s="1" t="s">
        <v>73</v>
      </c>
      <c r="AX3473" s="1">
        <v>0</v>
      </c>
      <c r="BA3473" s="1">
        <v>9</v>
      </c>
      <c r="BB3473" s="1">
        <v>0</v>
      </c>
      <c r="BC3473" s="1">
        <v>0</v>
      </c>
      <c r="BE3473" s="1">
        <v>27644674</v>
      </c>
    </row>
    <row r="3474" spans="1:57" x14ac:dyDescent="0.25">
      <c r="A3474" s="1" t="str">
        <f>T("1949088048088814744")</f>
        <v>1949088048088814744</v>
      </c>
      <c r="B3474" s="1" t="str">
        <f>T("249909695748")</f>
        <v>249909695748</v>
      </c>
      <c r="C3474" s="1" t="str">
        <f>T("1941094532980411840")</f>
        <v>1941094532980411840</v>
      </c>
      <c r="AC3474" s="1" t="s">
        <v>344</v>
      </c>
      <c r="AD3474" s="1" t="s">
        <v>441</v>
      </c>
      <c r="AE3474" s="1" t="s">
        <v>530</v>
      </c>
      <c r="AF3474" s="1" t="s">
        <v>107</v>
      </c>
      <c r="AG3474" s="1">
        <v>35</v>
      </c>
      <c r="AO3474" s="2">
        <v>46287</v>
      </c>
      <c r="AP3474" s="1" t="s">
        <v>301</v>
      </c>
      <c r="AS3474" s="1" t="s">
        <v>71</v>
      </c>
      <c r="AU3474" s="1" t="s">
        <v>72</v>
      </c>
      <c r="AV3474" s="1" t="s">
        <v>437</v>
      </c>
      <c r="AX3474" s="1">
        <v>0</v>
      </c>
      <c r="BA3474" s="1">
        <v>9</v>
      </c>
      <c r="BB3474" s="1">
        <v>0</v>
      </c>
      <c r="BC3474" s="1">
        <v>0</v>
      </c>
      <c r="BE3474" s="1">
        <v>27644674</v>
      </c>
    </row>
    <row r="3475" spans="1:57" x14ac:dyDescent="0.25">
      <c r="A3475" s="1" t="str">
        <f>T("1949088048088816644")</f>
        <v>1949088048088816644</v>
      </c>
      <c r="B3475" s="1" t="str">
        <f>T("249990271880")</f>
        <v>249990271880</v>
      </c>
      <c r="C3475" s="1" t="str">
        <f>T("1941094532980412140")</f>
        <v>1941094532980412140</v>
      </c>
      <c r="AC3475" s="1" t="s">
        <v>344</v>
      </c>
      <c r="AD3475" s="1" t="s">
        <v>372</v>
      </c>
      <c r="AE3475" s="1" t="s">
        <v>820</v>
      </c>
      <c r="AF3475" s="1" t="s">
        <v>144</v>
      </c>
      <c r="AG3475" s="1">
        <v>50</v>
      </c>
      <c r="AO3475" s="2">
        <v>46287</v>
      </c>
      <c r="AP3475" s="1" t="s">
        <v>301</v>
      </c>
      <c r="AS3475" s="1" t="s">
        <v>71</v>
      </c>
      <c r="AU3475" s="1" t="s">
        <v>72</v>
      </c>
      <c r="AV3475" s="1" t="s">
        <v>73</v>
      </c>
      <c r="AX3475" s="1">
        <v>0</v>
      </c>
      <c r="BA3475" s="1">
        <v>9</v>
      </c>
      <c r="BB3475" s="1">
        <v>0</v>
      </c>
      <c r="BC3475" s="1">
        <v>0</v>
      </c>
      <c r="BE3475" s="1">
        <v>27644674</v>
      </c>
    </row>
    <row r="3476" spans="1:57" x14ac:dyDescent="0.25">
      <c r="A3476" s="1" t="str">
        <f>T("1949088048097205760")</f>
        <v>1949088048097205760</v>
      </c>
      <c r="B3476" s="1" t="str">
        <f>T("249118062102")</f>
        <v>249118062102</v>
      </c>
      <c r="C3476" s="1" t="str">
        <f>T("1941094532984602848")</f>
        <v>1941094532984602848</v>
      </c>
      <c r="AC3476" s="1" t="s">
        <v>344</v>
      </c>
      <c r="AD3476" s="1" t="s">
        <v>441</v>
      </c>
      <c r="AE3476" s="1" t="s">
        <v>530</v>
      </c>
      <c r="AF3476" s="1" t="s">
        <v>107</v>
      </c>
      <c r="AG3476" s="1">
        <v>32</v>
      </c>
      <c r="AO3476" s="2">
        <v>46287</v>
      </c>
      <c r="AP3476" s="1" t="s">
        <v>301</v>
      </c>
      <c r="AS3476" s="1" t="s">
        <v>71</v>
      </c>
      <c r="AU3476" s="1" t="s">
        <v>72</v>
      </c>
      <c r="AV3476" s="1" t="s">
        <v>73</v>
      </c>
      <c r="AX3476" s="1">
        <v>0</v>
      </c>
      <c r="BA3476" s="1">
        <v>9</v>
      </c>
      <c r="BB3476" s="1">
        <v>0</v>
      </c>
      <c r="BC3476" s="1">
        <v>0</v>
      </c>
      <c r="BE3476" s="1">
        <v>27644674</v>
      </c>
    </row>
    <row r="3477" spans="1:57" x14ac:dyDescent="0.25">
      <c r="A3477" s="1" t="str">
        <f>T("1949088048109785684")</f>
        <v>1949088048109785684</v>
      </c>
      <c r="B3477" s="1" t="str">
        <f>T("249901502079")</f>
        <v>249901502079</v>
      </c>
      <c r="C3477" s="1" t="str">
        <f>T("1941094532984603248")</f>
        <v>1941094532984603248</v>
      </c>
      <c r="AC3477" s="1" t="s">
        <v>344</v>
      </c>
      <c r="AD3477" s="1" t="s">
        <v>430</v>
      </c>
      <c r="AE3477" s="1" t="s">
        <v>530</v>
      </c>
      <c r="AF3477" s="1" t="s">
        <v>144</v>
      </c>
      <c r="AG3477" s="1">
        <v>50</v>
      </c>
      <c r="AO3477" s="2">
        <v>46287</v>
      </c>
      <c r="AP3477" s="1" t="s">
        <v>301</v>
      </c>
      <c r="AS3477" s="1" t="s">
        <v>71</v>
      </c>
      <c r="AU3477" s="1" t="s">
        <v>72</v>
      </c>
      <c r="AV3477" s="1" t="s">
        <v>73</v>
      </c>
      <c r="AX3477" s="1">
        <v>0</v>
      </c>
      <c r="BA3477" s="1">
        <v>9</v>
      </c>
      <c r="BB3477" s="1">
        <v>0</v>
      </c>
      <c r="BC3477" s="1">
        <v>0</v>
      </c>
      <c r="BE3477" s="1">
        <v>27644674</v>
      </c>
    </row>
    <row r="3478" spans="1:57" x14ac:dyDescent="0.25">
      <c r="A3478" s="1" t="str">
        <f>T("1949088048147537356")</f>
        <v>1949088048147537356</v>
      </c>
      <c r="B3478" s="1" t="str">
        <f>T("249969237680")</f>
        <v>249969237680</v>
      </c>
      <c r="C3478" s="1" t="str">
        <f>T("1941094532984603848")</f>
        <v>1941094532984603848</v>
      </c>
      <c r="AC3478" s="1" t="s">
        <v>344</v>
      </c>
      <c r="AD3478" s="1" t="s">
        <v>430</v>
      </c>
      <c r="AE3478" s="1" t="s">
        <v>530</v>
      </c>
      <c r="AF3478" s="1" t="s">
        <v>107</v>
      </c>
      <c r="AG3478" s="1">
        <v>28</v>
      </c>
      <c r="AO3478" s="2">
        <v>46287</v>
      </c>
      <c r="AP3478" s="1" t="s">
        <v>301</v>
      </c>
      <c r="AS3478" s="1" t="s">
        <v>71</v>
      </c>
      <c r="AU3478" s="1" t="s">
        <v>72</v>
      </c>
      <c r="AV3478" s="1" t="s">
        <v>437</v>
      </c>
      <c r="AX3478" s="1">
        <v>0</v>
      </c>
      <c r="BA3478" s="1">
        <v>9</v>
      </c>
      <c r="BB3478" s="1">
        <v>0</v>
      </c>
      <c r="BC3478" s="1">
        <v>0</v>
      </c>
      <c r="BE3478" s="1">
        <v>27644674</v>
      </c>
    </row>
    <row r="3479" spans="1:57" x14ac:dyDescent="0.25">
      <c r="A3479" s="1" t="str">
        <f>T("1949088048151731164")</f>
        <v>1949088048151731164</v>
      </c>
      <c r="B3479" s="1" t="str">
        <f>T("249904058279")</f>
        <v>249904058279</v>
      </c>
      <c r="C3479" s="1" t="str">
        <f>T("1941094532984604248")</f>
        <v>1941094532984604248</v>
      </c>
      <c r="AC3479" s="1" t="s">
        <v>344</v>
      </c>
      <c r="AD3479" s="1" t="s">
        <v>430</v>
      </c>
      <c r="AE3479" s="1" t="s">
        <v>530</v>
      </c>
      <c r="AF3479" s="1" t="s">
        <v>144</v>
      </c>
      <c r="AG3479" s="1">
        <v>60</v>
      </c>
      <c r="AO3479" s="2">
        <v>46287</v>
      </c>
      <c r="AP3479" s="1" t="s">
        <v>301</v>
      </c>
      <c r="AS3479" s="1" t="s">
        <v>71</v>
      </c>
      <c r="AU3479" s="1" t="s">
        <v>75</v>
      </c>
      <c r="AV3479" s="1" t="s">
        <v>590</v>
      </c>
      <c r="AX3479" s="1">
        <v>0</v>
      </c>
      <c r="BA3479" s="1">
        <v>9</v>
      </c>
      <c r="BB3479" s="1">
        <v>0</v>
      </c>
      <c r="BC3479" s="1">
        <v>0</v>
      </c>
      <c r="BE3479" s="1">
        <v>27644674</v>
      </c>
    </row>
    <row r="3480" spans="1:57" x14ac:dyDescent="0.25">
      <c r="A3480" s="1" t="str">
        <f>T("1949088048155925772")</f>
        <v>1949088048155925772</v>
      </c>
      <c r="B3480" s="1" t="str">
        <f>T("249115259973")</f>
        <v>249115259973</v>
      </c>
      <c r="C3480" s="1" t="str">
        <f>T("1941094532984604848")</f>
        <v>1941094532984604848</v>
      </c>
      <c r="AC3480" s="1" t="s">
        <v>344</v>
      </c>
      <c r="AD3480" s="1" t="s">
        <v>441</v>
      </c>
      <c r="AE3480" s="1" t="s">
        <v>530</v>
      </c>
      <c r="AF3480" s="1" t="s">
        <v>144</v>
      </c>
      <c r="AG3480" s="1">
        <v>35</v>
      </c>
      <c r="AO3480" s="2">
        <v>46287</v>
      </c>
      <c r="AP3480" s="1" t="s">
        <v>301</v>
      </c>
      <c r="AS3480" s="1" t="s">
        <v>71</v>
      </c>
      <c r="AU3480" s="1" t="s">
        <v>72</v>
      </c>
      <c r="AV3480" s="1" t="s">
        <v>73</v>
      </c>
      <c r="AX3480" s="1">
        <v>0</v>
      </c>
      <c r="BA3480" s="1">
        <v>9</v>
      </c>
      <c r="BB3480" s="1">
        <v>0</v>
      </c>
      <c r="BC3480" s="1">
        <v>0</v>
      </c>
      <c r="BE3480" s="1">
        <v>27644674</v>
      </c>
    </row>
    <row r="3481" spans="1:57" x14ac:dyDescent="0.25">
      <c r="A3481" s="1" t="str">
        <f>T("1949088048172700404")</f>
        <v>1949088048172700404</v>
      </c>
      <c r="B3481" s="1" t="str">
        <f>T("249960462525")</f>
        <v>249960462525</v>
      </c>
      <c r="C3481" s="1" t="str">
        <f>T("1941094532984605448")</f>
        <v>1941094532984605448</v>
      </c>
      <c r="AC3481" s="1" t="s">
        <v>344</v>
      </c>
      <c r="AD3481" s="1" t="s">
        <v>441</v>
      </c>
      <c r="AE3481" s="1" t="s">
        <v>530</v>
      </c>
      <c r="AF3481" s="1" t="s">
        <v>107</v>
      </c>
      <c r="AG3481" s="1">
        <v>22</v>
      </c>
      <c r="AO3481" s="2">
        <v>46287</v>
      </c>
      <c r="AP3481" s="1" t="s">
        <v>301</v>
      </c>
      <c r="AS3481" s="1" t="s">
        <v>71</v>
      </c>
      <c r="AU3481" s="1" t="s">
        <v>72</v>
      </c>
      <c r="AV3481" s="1" t="s">
        <v>437</v>
      </c>
      <c r="AX3481" s="1">
        <v>0</v>
      </c>
      <c r="BA3481" s="1">
        <v>9</v>
      </c>
      <c r="BB3481" s="1">
        <v>0</v>
      </c>
      <c r="BC3481" s="1">
        <v>0</v>
      </c>
      <c r="BE3481" s="1">
        <v>27644674</v>
      </c>
    </row>
    <row r="3482" spans="1:57" x14ac:dyDescent="0.25">
      <c r="A3482" s="1" t="str">
        <f>T("1949088048210452276")</f>
        <v>1949088048210452276</v>
      </c>
      <c r="B3482" s="1" t="str">
        <f>T("249906729124")</f>
        <v>249906729124</v>
      </c>
      <c r="C3482" s="1" t="str">
        <f>T("1941094532984606048")</f>
        <v>1941094532984606048</v>
      </c>
      <c r="AC3482" s="1" t="s">
        <v>344</v>
      </c>
      <c r="AD3482" s="1" t="s">
        <v>430</v>
      </c>
      <c r="AE3482" s="1" t="s">
        <v>530</v>
      </c>
      <c r="AF3482" s="1" t="s">
        <v>107</v>
      </c>
      <c r="AG3482" s="1">
        <v>20</v>
      </c>
      <c r="AO3482" s="2">
        <v>46287</v>
      </c>
      <c r="AP3482" s="1" t="s">
        <v>301</v>
      </c>
      <c r="AS3482" s="1" t="s">
        <v>71</v>
      </c>
      <c r="AU3482" s="1" t="s">
        <v>72</v>
      </c>
      <c r="AV3482" s="1" t="s">
        <v>73</v>
      </c>
      <c r="AX3482" s="1">
        <v>0</v>
      </c>
      <c r="BA3482" s="1">
        <v>9</v>
      </c>
      <c r="BB3482" s="1">
        <v>0</v>
      </c>
      <c r="BC3482" s="1">
        <v>0</v>
      </c>
      <c r="BE3482" s="1">
        <v>27644674</v>
      </c>
    </row>
    <row r="3483" spans="1:57" x14ac:dyDescent="0.25">
      <c r="A3483" s="1" t="str">
        <f>T("1949088048231423416")</f>
        <v>1949088048231423416</v>
      </c>
      <c r="B3483" s="1" t="str">
        <f>T("249908107400")</f>
        <v>249908107400</v>
      </c>
      <c r="C3483" s="1" t="str">
        <f>T("1941094532984606648")</f>
        <v>1941094532984606648</v>
      </c>
      <c r="AC3483" s="1" t="s">
        <v>344</v>
      </c>
      <c r="AD3483" s="1" t="s">
        <v>441</v>
      </c>
      <c r="AE3483" s="1" t="s">
        <v>530</v>
      </c>
      <c r="AF3483" s="1" t="s">
        <v>107</v>
      </c>
      <c r="AG3483" s="1">
        <v>75</v>
      </c>
      <c r="AO3483" s="2">
        <v>46287</v>
      </c>
      <c r="AP3483" s="1" t="s">
        <v>301</v>
      </c>
      <c r="AS3483" s="1" t="s">
        <v>71</v>
      </c>
      <c r="AU3483" s="1" t="s">
        <v>72</v>
      </c>
      <c r="AV3483" s="1" t="s">
        <v>73</v>
      </c>
      <c r="AX3483" s="1">
        <v>0</v>
      </c>
      <c r="BA3483" s="1">
        <v>9</v>
      </c>
      <c r="BB3483" s="1">
        <v>0</v>
      </c>
      <c r="BC3483" s="1">
        <v>0</v>
      </c>
      <c r="BE3483" s="1">
        <v>27644674</v>
      </c>
    </row>
    <row r="3484" spans="1:57" x14ac:dyDescent="0.25">
      <c r="A3484" s="1" t="str">
        <f>T("1949088048248197248")</f>
        <v>1949088048248197248</v>
      </c>
      <c r="B3484" s="1" t="str">
        <f>T("249965526539")</f>
        <v>249965526539</v>
      </c>
      <c r="C3484" s="1" t="str">
        <f>T("1941094532988797256")</f>
        <v>1941094532988797256</v>
      </c>
      <c r="AC3484" s="1" t="s">
        <v>344</v>
      </c>
      <c r="AD3484" s="1" t="s">
        <v>430</v>
      </c>
      <c r="AE3484" s="1" t="s">
        <v>530</v>
      </c>
      <c r="AF3484" s="1" t="s">
        <v>107</v>
      </c>
      <c r="AG3484" s="1">
        <v>25</v>
      </c>
      <c r="AO3484" s="2">
        <v>46287</v>
      </c>
      <c r="AP3484" s="1" t="s">
        <v>301</v>
      </c>
      <c r="AS3484" s="1" t="s">
        <v>71</v>
      </c>
      <c r="AU3484" s="1" t="s">
        <v>72</v>
      </c>
      <c r="AV3484" s="1" t="s">
        <v>437</v>
      </c>
      <c r="AX3484" s="1">
        <v>0</v>
      </c>
      <c r="BA3484" s="1">
        <v>9</v>
      </c>
      <c r="BB3484" s="1">
        <v>0</v>
      </c>
      <c r="BC3484" s="1">
        <v>0</v>
      </c>
      <c r="BE3484" s="1">
        <v>27644674</v>
      </c>
    </row>
    <row r="3485" spans="1:57" x14ac:dyDescent="0.25">
      <c r="A3485" s="1" t="str">
        <f>T("1949088048248197548")</f>
        <v>1949088048248197548</v>
      </c>
      <c r="B3485" s="1" t="str">
        <f>T("249919429832")</f>
        <v>249919429832</v>
      </c>
      <c r="C3485" s="1" t="str">
        <f>T("1941094532988797656")</f>
        <v>1941094532988797656</v>
      </c>
      <c r="AC3485" s="1" t="s">
        <v>344</v>
      </c>
      <c r="AD3485" s="1" t="s">
        <v>357</v>
      </c>
      <c r="AE3485" s="1" t="s">
        <v>812</v>
      </c>
      <c r="AF3485" s="1" t="s">
        <v>107</v>
      </c>
      <c r="AG3485" s="1">
        <v>37</v>
      </c>
      <c r="AO3485" s="2">
        <v>46287</v>
      </c>
      <c r="AP3485" s="1" t="s">
        <v>301</v>
      </c>
      <c r="AS3485" s="1" t="s">
        <v>71</v>
      </c>
      <c r="AU3485" s="1" t="s">
        <v>72</v>
      </c>
      <c r="AV3485" s="1" t="s">
        <v>437</v>
      </c>
      <c r="AX3485" s="1">
        <v>0</v>
      </c>
      <c r="BA3485" s="1">
        <v>9</v>
      </c>
      <c r="BB3485" s="1">
        <v>0</v>
      </c>
      <c r="BC3485" s="1">
        <v>0</v>
      </c>
      <c r="BE3485" s="1">
        <v>27644674</v>
      </c>
    </row>
    <row r="3486" spans="1:57" x14ac:dyDescent="0.25">
      <c r="A3486" s="1" t="str">
        <f>T("1949088048277557904")</f>
        <v>1949088048277557904</v>
      </c>
      <c r="B3486" s="1" t="str">
        <f>T("249916730698")</f>
        <v>249916730698</v>
      </c>
      <c r="C3486" s="1" t="str">
        <f>T("1941094532988798056")</f>
        <v>1941094532988798056</v>
      </c>
      <c r="AC3486" s="1" t="s">
        <v>344</v>
      </c>
      <c r="AD3486" s="1" t="s">
        <v>441</v>
      </c>
      <c r="AE3486" s="1" t="s">
        <v>530</v>
      </c>
      <c r="AF3486" s="1" t="s">
        <v>107</v>
      </c>
      <c r="AG3486" s="1">
        <v>40</v>
      </c>
      <c r="AO3486" s="2">
        <v>46287</v>
      </c>
      <c r="AP3486" s="1" t="s">
        <v>301</v>
      </c>
      <c r="AS3486" s="1" t="s">
        <v>71</v>
      </c>
      <c r="AU3486" s="1" t="s">
        <v>72</v>
      </c>
      <c r="AV3486" s="1" t="s">
        <v>73</v>
      </c>
      <c r="AX3486" s="1">
        <v>0</v>
      </c>
      <c r="BA3486" s="1">
        <v>9</v>
      </c>
      <c r="BB3486" s="1">
        <v>0</v>
      </c>
      <c r="BC3486" s="1">
        <v>0</v>
      </c>
      <c r="BE3486" s="1">
        <v>27644674</v>
      </c>
    </row>
    <row r="3487" spans="1:57" x14ac:dyDescent="0.25">
      <c r="A3487" s="1" t="str">
        <f>T("1949088048290142528")</f>
        <v>1949088048290142528</v>
      </c>
      <c r="B3487" s="1" t="str">
        <f>T("249964357909")</f>
        <v>249964357909</v>
      </c>
      <c r="C3487" s="1" t="str">
        <f>T("1941094532988798456")</f>
        <v>1941094532988798456</v>
      </c>
      <c r="AC3487" s="1" t="s">
        <v>344</v>
      </c>
      <c r="AD3487" s="1" t="s">
        <v>372</v>
      </c>
      <c r="AE3487" s="1" t="s">
        <v>813</v>
      </c>
      <c r="AF3487" s="1" t="s">
        <v>144</v>
      </c>
      <c r="AG3487" s="1">
        <v>45</v>
      </c>
      <c r="AO3487" s="2">
        <v>46287</v>
      </c>
      <c r="AP3487" s="1" t="s">
        <v>301</v>
      </c>
      <c r="AS3487" s="1" t="s">
        <v>71</v>
      </c>
      <c r="AU3487" s="1" t="s">
        <v>72</v>
      </c>
      <c r="AV3487" s="1" t="s">
        <v>73</v>
      </c>
      <c r="AX3487" s="1">
        <v>0</v>
      </c>
      <c r="BA3487" s="1">
        <v>9</v>
      </c>
      <c r="BB3487" s="1">
        <v>0</v>
      </c>
      <c r="BC3487" s="1">
        <v>0</v>
      </c>
      <c r="BE3487" s="1">
        <v>27644674</v>
      </c>
    </row>
    <row r="3488" spans="1:57" x14ac:dyDescent="0.25">
      <c r="A3488" s="1" t="str">
        <f>T("1949088048302725952")</f>
        <v>1949088048302725952</v>
      </c>
      <c r="B3488" s="1" t="str">
        <f>T("249910295323")</f>
        <v>249910295323</v>
      </c>
      <c r="C3488" s="1" t="str">
        <f>T("1941094532988798856")</f>
        <v>1941094532988798856</v>
      </c>
      <c r="AC3488" s="1" t="s">
        <v>344</v>
      </c>
      <c r="AD3488" s="1" t="s">
        <v>441</v>
      </c>
      <c r="AE3488" s="1" t="s">
        <v>530</v>
      </c>
      <c r="AF3488" s="1" t="s">
        <v>107</v>
      </c>
      <c r="AG3488" s="1">
        <v>35</v>
      </c>
      <c r="AO3488" s="2">
        <v>46287</v>
      </c>
      <c r="AP3488" s="1" t="s">
        <v>301</v>
      </c>
      <c r="AS3488" s="1" t="s">
        <v>71</v>
      </c>
      <c r="AU3488" s="1" t="s">
        <v>72</v>
      </c>
      <c r="AV3488" s="1" t="s">
        <v>73</v>
      </c>
      <c r="AX3488" s="1">
        <v>0</v>
      </c>
      <c r="BA3488" s="1">
        <v>9</v>
      </c>
      <c r="BB3488" s="1">
        <v>0</v>
      </c>
      <c r="BC3488" s="1">
        <v>0</v>
      </c>
      <c r="BE3488" s="1">
        <v>27644674</v>
      </c>
    </row>
    <row r="3489" spans="1:57" x14ac:dyDescent="0.25">
      <c r="A3489" s="1" t="str">
        <f>T("1949088048311115568")</f>
        <v>1949088048311115568</v>
      </c>
      <c r="B3489" s="1" t="str">
        <f>T("249963368249")</f>
        <v>249963368249</v>
      </c>
      <c r="C3489" s="1" t="str">
        <f>T("1941094532988799256")</f>
        <v>1941094532988799256</v>
      </c>
      <c r="AC3489" s="1" t="s">
        <v>344</v>
      </c>
      <c r="AD3489" s="1" t="s">
        <v>372</v>
      </c>
      <c r="AE3489" s="1" t="s">
        <v>813</v>
      </c>
      <c r="AF3489" s="1" t="s">
        <v>144</v>
      </c>
      <c r="AG3489" s="1">
        <v>30</v>
      </c>
      <c r="AO3489" s="2">
        <v>46287</v>
      </c>
      <c r="AP3489" s="1" t="s">
        <v>301</v>
      </c>
      <c r="AS3489" s="1" t="s">
        <v>71</v>
      </c>
      <c r="AU3489" s="1" t="s">
        <v>72</v>
      </c>
      <c r="AV3489" s="1" t="s">
        <v>437</v>
      </c>
      <c r="AX3489" s="1">
        <v>0</v>
      </c>
      <c r="BA3489" s="1">
        <v>9</v>
      </c>
      <c r="BB3489" s="1">
        <v>0</v>
      </c>
      <c r="BC3489" s="1">
        <v>0</v>
      </c>
      <c r="BE3489" s="1">
        <v>27644674</v>
      </c>
    </row>
    <row r="3490" spans="1:57" x14ac:dyDescent="0.25">
      <c r="A3490" s="1" t="str">
        <f>T("1949088048340475324")</f>
        <v>1949088048340475324</v>
      </c>
      <c r="B3490" s="1" t="str">
        <f>T("249903636865")</f>
        <v>249903636865</v>
      </c>
      <c r="C3490" s="1" t="str">
        <f>T("1941094532988799856")</f>
        <v>1941094532988799856</v>
      </c>
      <c r="AC3490" s="1" t="s">
        <v>344</v>
      </c>
      <c r="AD3490" s="1" t="s">
        <v>441</v>
      </c>
      <c r="AE3490" s="1" t="s">
        <v>530</v>
      </c>
      <c r="AF3490" s="1" t="s">
        <v>144</v>
      </c>
      <c r="AG3490" s="1">
        <v>48</v>
      </c>
      <c r="AO3490" s="2">
        <v>46287</v>
      </c>
      <c r="AP3490" s="1" t="s">
        <v>301</v>
      </c>
      <c r="AS3490" s="1" t="s">
        <v>71</v>
      </c>
      <c r="AU3490" s="1" t="s">
        <v>75</v>
      </c>
      <c r="AV3490" s="1" t="s">
        <v>590</v>
      </c>
      <c r="AX3490" s="1">
        <v>0</v>
      </c>
      <c r="BA3490" s="1">
        <v>9</v>
      </c>
      <c r="BB3490" s="1">
        <v>0</v>
      </c>
      <c r="BC3490" s="1">
        <v>0</v>
      </c>
      <c r="BE3490" s="1">
        <v>27644674</v>
      </c>
    </row>
    <row r="3491" spans="1:57" x14ac:dyDescent="0.25">
      <c r="A3491" s="1" t="str">
        <f>T("1949088048344668732")</f>
        <v>1949088048344668732</v>
      </c>
      <c r="B3491" s="1" t="str">
        <f>T("249966423460")</f>
        <v>249966423460</v>
      </c>
      <c r="C3491" s="1" t="str">
        <f>T("1941094532992993264")</f>
        <v>1941094532992993264</v>
      </c>
      <c r="AC3491" s="1" t="s">
        <v>344</v>
      </c>
      <c r="AD3491" s="1" t="s">
        <v>441</v>
      </c>
      <c r="AE3491" s="1" t="s">
        <v>530</v>
      </c>
      <c r="AF3491" s="1" t="s">
        <v>107</v>
      </c>
      <c r="AG3491" s="1">
        <v>45</v>
      </c>
      <c r="AO3491" s="2">
        <v>46287</v>
      </c>
      <c r="AP3491" s="1" t="s">
        <v>301</v>
      </c>
      <c r="AS3491" s="1" t="s">
        <v>71</v>
      </c>
      <c r="AU3491" s="1" t="s">
        <v>72</v>
      </c>
      <c r="AV3491" s="1" t="s">
        <v>437</v>
      </c>
      <c r="AX3491" s="1">
        <v>0</v>
      </c>
      <c r="BA3491" s="1">
        <v>9</v>
      </c>
      <c r="BB3491" s="1">
        <v>0</v>
      </c>
      <c r="BC3491" s="1">
        <v>0</v>
      </c>
      <c r="BE3491" s="1">
        <v>27644674</v>
      </c>
    </row>
    <row r="3492" spans="1:57" x14ac:dyDescent="0.25">
      <c r="A3492" s="1" t="str">
        <f>T("1949088048365640972")</f>
        <v>1949088048365640972</v>
      </c>
      <c r="B3492" s="1" t="str">
        <f>T("249918368814")</f>
        <v>249918368814</v>
      </c>
      <c r="C3492" s="1" t="str">
        <f>T("1941094533005577588")</f>
        <v>1941094533005577588</v>
      </c>
      <c r="AC3492" s="1" t="s">
        <v>344</v>
      </c>
      <c r="AD3492" s="1" t="s">
        <v>441</v>
      </c>
      <c r="AE3492" s="1" t="s">
        <v>530</v>
      </c>
      <c r="AF3492" s="1" t="s">
        <v>107</v>
      </c>
      <c r="AG3492" s="1">
        <v>49</v>
      </c>
      <c r="AO3492" s="2">
        <v>46287</v>
      </c>
      <c r="AP3492" s="1" t="s">
        <v>301</v>
      </c>
      <c r="AS3492" s="1" t="s">
        <v>71</v>
      </c>
      <c r="AU3492" s="1" t="s">
        <v>72</v>
      </c>
      <c r="AV3492" s="1" t="s">
        <v>73</v>
      </c>
      <c r="AX3492" s="1">
        <v>0</v>
      </c>
      <c r="BA3492" s="1">
        <v>9</v>
      </c>
      <c r="BB3492" s="1">
        <v>0</v>
      </c>
      <c r="BC3492" s="1">
        <v>0</v>
      </c>
      <c r="BE3492" s="1">
        <v>27644674</v>
      </c>
    </row>
    <row r="3493" spans="1:57" x14ac:dyDescent="0.25">
      <c r="A3493" s="1" t="str">
        <f>T("1949088048390804920")</f>
        <v>1949088048390804920</v>
      </c>
      <c r="B3493" s="1" t="str">
        <f>T("249990039453")</f>
        <v>249990039453</v>
      </c>
      <c r="C3493" s="1" t="str">
        <f>T("1941094533009768796")</f>
        <v>1941094533009768796</v>
      </c>
      <c r="AC3493" s="1" t="s">
        <v>344</v>
      </c>
      <c r="AD3493" s="1" t="s">
        <v>441</v>
      </c>
      <c r="AE3493" s="1" t="s">
        <v>530</v>
      </c>
      <c r="AF3493" s="1" t="s">
        <v>107</v>
      </c>
      <c r="AG3493" s="1">
        <v>45</v>
      </c>
      <c r="AO3493" s="2">
        <v>46287</v>
      </c>
      <c r="AP3493" s="1" t="s">
        <v>301</v>
      </c>
      <c r="AS3493" s="1" t="s">
        <v>71</v>
      </c>
      <c r="AU3493" s="1" t="s">
        <v>72</v>
      </c>
      <c r="AV3493" s="1" t="s">
        <v>73</v>
      </c>
      <c r="AX3493" s="1">
        <v>0</v>
      </c>
      <c r="BA3493" s="1">
        <v>9</v>
      </c>
      <c r="BB3493" s="1">
        <v>0</v>
      </c>
      <c r="BC3493" s="1">
        <v>0</v>
      </c>
      <c r="BE3493" s="1">
        <v>27644674</v>
      </c>
    </row>
    <row r="3494" spans="1:57" x14ac:dyDescent="0.25">
      <c r="A3494" s="1" t="str">
        <f>T("1949088048394998128")</f>
        <v>1949088048394998128</v>
      </c>
      <c r="B3494" s="1" t="str">
        <f>T("249905614741")</f>
        <v>249905614741</v>
      </c>
      <c r="C3494" s="1" t="str">
        <f>T("1941094533009769196")</f>
        <v>1941094533009769196</v>
      </c>
      <c r="AC3494" s="1" t="s">
        <v>344</v>
      </c>
      <c r="AD3494" s="1" t="s">
        <v>441</v>
      </c>
      <c r="AE3494" s="1" t="s">
        <v>530</v>
      </c>
      <c r="AF3494" s="1" t="s">
        <v>107</v>
      </c>
      <c r="AG3494" s="1">
        <v>58</v>
      </c>
      <c r="AO3494" s="2">
        <v>46287</v>
      </c>
      <c r="AP3494" s="1" t="s">
        <v>301</v>
      </c>
      <c r="AS3494" s="1" t="s">
        <v>71</v>
      </c>
      <c r="AU3494" s="1" t="s">
        <v>72</v>
      </c>
      <c r="AV3494" s="1" t="s">
        <v>73</v>
      </c>
      <c r="AX3494" s="1">
        <v>0</v>
      </c>
      <c r="BA3494" s="1">
        <v>9</v>
      </c>
      <c r="BB3494" s="1">
        <v>0</v>
      </c>
      <c r="BC3494" s="1">
        <v>0</v>
      </c>
      <c r="BE3494" s="1">
        <v>27644674</v>
      </c>
    </row>
    <row r="3495" spans="1:57" x14ac:dyDescent="0.25">
      <c r="A3495" s="1" t="str">
        <f>T("1949088048407580952")</f>
        <v>1949088048407580952</v>
      </c>
      <c r="B3495" s="1" t="str">
        <f>T("249961837447")</f>
        <v>249961837447</v>
      </c>
      <c r="C3495" s="1" t="str">
        <f>T("1941094533009769596")</f>
        <v>1941094533009769596</v>
      </c>
      <c r="AC3495" s="1" t="s">
        <v>344</v>
      </c>
      <c r="AD3495" s="1" t="s">
        <v>372</v>
      </c>
      <c r="AE3495" s="1" t="s">
        <v>373</v>
      </c>
      <c r="AF3495" s="1" t="s">
        <v>107</v>
      </c>
      <c r="AG3495" s="1">
        <v>35</v>
      </c>
      <c r="AO3495" s="2">
        <v>46287</v>
      </c>
      <c r="AP3495" s="1" t="s">
        <v>301</v>
      </c>
      <c r="AS3495" s="1" t="s">
        <v>71</v>
      </c>
      <c r="AU3495" s="1" t="s">
        <v>72</v>
      </c>
      <c r="AV3495" s="1" t="s">
        <v>437</v>
      </c>
      <c r="AX3495" s="1">
        <v>0</v>
      </c>
      <c r="BA3495" s="1">
        <v>9</v>
      </c>
      <c r="BB3495" s="1">
        <v>0</v>
      </c>
      <c r="BC3495" s="1">
        <v>0</v>
      </c>
      <c r="BE3495" s="1">
        <v>27644674</v>
      </c>
    </row>
    <row r="3496" spans="1:57" x14ac:dyDescent="0.25">
      <c r="A3496" s="1" t="str">
        <f>T("1949088048432748200")</f>
        <v>1949088048432748200</v>
      </c>
      <c r="B3496" s="1" t="str">
        <f>T("249910819389")</f>
        <v>249910819389</v>
      </c>
      <c r="C3496" s="1" t="str">
        <f>T("1941094533009770096")</f>
        <v>1941094533009770096</v>
      </c>
      <c r="AC3496" s="1" t="s">
        <v>344</v>
      </c>
      <c r="AD3496" s="1" t="s">
        <v>372</v>
      </c>
      <c r="AE3496" s="1" t="s">
        <v>814</v>
      </c>
      <c r="AF3496" s="1" t="s">
        <v>144</v>
      </c>
      <c r="AG3496" s="1">
        <v>70</v>
      </c>
      <c r="AO3496" s="2">
        <v>46287</v>
      </c>
      <c r="AP3496" s="1" t="s">
        <v>301</v>
      </c>
      <c r="AS3496" s="1" t="s">
        <v>71</v>
      </c>
      <c r="AU3496" s="1" t="s">
        <v>72</v>
      </c>
      <c r="AV3496" s="1" t="s">
        <v>437</v>
      </c>
      <c r="AX3496" s="1">
        <v>0</v>
      </c>
      <c r="BA3496" s="1">
        <v>9</v>
      </c>
      <c r="BB3496" s="1">
        <v>0</v>
      </c>
      <c r="BC3496" s="1">
        <v>0</v>
      </c>
      <c r="BE3496" s="1">
        <v>27644674</v>
      </c>
    </row>
    <row r="3497" spans="1:57" x14ac:dyDescent="0.25">
      <c r="A3497" s="1" t="str">
        <f>T("1949088048462109056")</f>
        <v>1949088048462109056</v>
      </c>
      <c r="B3497" s="1" t="str">
        <f>T("249906501826")</f>
        <v>249906501826</v>
      </c>
      <c r="C3497" s="1" t="str">
        <f>T("1941094533009770796")</f>
        <v>1941094533009770796</v>
      </c>
      <c r="AC3497" s="1" t="s">
        <v>344</v>
      </c>
      <c r="AD3497" s="1" t="s">
        <v>430</v>
      </c>
      <c r="AE3497" s="1" t="s">
        <v>530</v>
      </c>
      <c r="AF3497" s="1" t="s">
        <v>107</v>
      </c>
      <c r="AG3497" s="1">
        <v>24</v>
      </c>
      <c r="AO3497" s="2">
        <v>46287</v>
      </c>
      <c r="AP3497" s="1" t="s">
        <v>301</v>
      </c>
      <c r="AS3497" s="1" t="s">
        <v>71</v>
      </c>
      <c r="AU3497" s="1" t="s">
        <v>72</v>
      </c>
      <c r="AV3497" s="1" t="s">
        <v>73</v>
      </c>
      <c r="AX3497" s="1">
        <v>0</v>
      </c>
      <c r="BA3497" s="1">
        <v>9</v>
      </c>
      <c r="BB3497" s="1">
        <v>0</v>
      </c>
      <c r="BC3497" s="1">
        <v>0</v>
      </c>
      <c r="BE3497" s="1">
        <v>27644674</v>
      </c>
    </row>
    <row r="3498" spans="1:57" x14ac:dyDescent="0.25">
      <c r="A3498" s="1" t="str">
        <f>T("1949088048462109156")</f>
        <v>1949088048462109156</v>
      </c>
      <c r="B3498" s="1" t="str">
        <f>T("249910338515")</f>
        <v>249910338515</v>
      </c>
      <c r="C3498" s="1" t="str">
        <f>T("1941094533009770496")</f>
        <v>1941094533009770496</v>
      </c>
      <c r="AC3498" s="1" t="s">
        <v>344</v>
      </c>
      <c r="AD3498" s="1" t="s">
        <v>430</v>
      </c>
      <c r="AE3498" s="1" t="s">
        <v>530</v>
      </c>
      <c r="AF3498" s="1" t="s">
        <v>107</v>
      </c>
      <c r="AG3498" s="1">
        <v>28</v>
      </c>
      <c r="AO3498" s="2">
        <v>46287</v>
      </c>
      <c r="AP3498" s="1" t="s">
        <v>301</v>
      </c>
      <c r="AS3498" s="1" t="s">
        <v>71</v>
      </c>
      <c r="AU3498" s="1" t="s">
        <v>72</v>
      </c>
      <c r="AV3498" s="1" t="s">
        <v>73</v>
      </c>
      <c r="AX3498" s="1">
        <v>0</v>
      </c>
      <c r="BA3498" s="1">
        <v>9</v>
      </c>
      <c r="BB3498" s="1">
        <v>0</v>
      </c>
      <c r="BC3498" s="1">
        <v>0</v>
      </c>
      <c r="BE3498" s="1">
        <v>27644674</v>
      </c>
    </row>
    <row r="3499" spans="1:57" x14ac:dyDescent="0.25">
      <c r="A3499" s="1" t="str">
        <f>T("1949088048466302464")</f>
        <v>1949088048466302464</v>
      </c>
      <c r="B3499" s="1" t="str">
        <f>T("249911700067")</f>
        <v>249911700067</v>
      </c>
      <c r="C3499" s="1" t="str">
        <f>T("1941094533009771196")</f>
        <v>1941094533009771196</v>
      </c>
      <c r="AC3499" s="1" t="s">
        <v>344</v>
      </c>
      <c r="AD3499" s="1" t="s">
        <v>372</v>
      </c>
      <c r="AE3499" s="1" t="s">
        <v>815</v>
      </c>
      <c r="AF3499" s="1" t="s">
        <v>144</v>
      </c>
      <c r="AG3499" s="1">
        <v>48</v>
      </c>
      <c r="AO3499" s="2">
        <v>46287</v>
      </c>
      <c r="AP3499" s="1" t="s">
        <v>301</v>
      </c>
      <c r="AS3499" s="1" t="s">
        <v>71</v>
      </c>
      <c r="AU3499" s="1" t="s">
        <v>72</v>
      </c>
      <c r="AV3499" s="1" t="s">
        <v>437</v>
      </c>
      <c r="AX3499" s="1">
        <v>0</v>
      </c>
      <c r="BA3499" s="1">
        <v>9</v>
      </c>
      <c r="BB3499" s="1">
        <v>0</v>
      </c>
      <c r="BC3499" s="1">
        <v>0</v>
      </c>
      <c r="BE3499" s="1">
        <v>27644674</v>
      </c>
    </row>
    <row r="3500" spans="1:57" x14ac:dyDescent="0.25">
      <c r="A3500" s="1" t="str">
        <f>T("1949088048495664820")</f>
        <v>1949088048495664820</v>
      </c>
      <c r="B3500" s="1" t="str">
        <f>T("249919353890")</f>
        <v>249919353890</v>
      </c>
      <c r="C3500" s="1" t="str">
        <f>T("1941094533009771696")</f>
        <v>1941094533009771696</v>
      </c>
      <c r="AC3500" s="1" t="s">
        <v>344</v>
      </c>
      <c r="AD3500" s="1" t="s">
        <v>372</v>
      </c>
      <c r="AE3500" s="1" t="s">
        <v>815</v>
      </c>
      <c r="AF3500" s="1" t="s">
        <v>107</v>
      </c>
      <c r="AG3500" s="1">
        <v>50</v>
      </c>
      <c r="AO3500" s="2">
        <v>46287</v>
      </c>
      <c r="AP3500" s="1" t="s">
        <v>301</v>
      </c>
      <c r="AS3500" s="1" t="s">
        <v>71</v>
      </c>
      <c r="AU3500" s="1" t="s">
        <v>72</v>
      </c>
      <c r="AV3500" s="1" t="s">
        <v>73</v>
      </c>
      <c r="AX3500" s="1">
        <v>0</v>
      </c>
      <c r="BA3500" s="1">
        <v>9</v>
      </c>
      <c r="BB3500" s="1">
        <v>0</v>
      </c>
      <c r="BC3500" s="1">
        <v>0</v>
      </c>
      <c r="BE3500" s="1">
        <v>27644674</v>
      </c>
    </row>
    <row r="3501" spans="1:57" x14ac:dyDescent="0.25">
      <c r="A3501" s="1" t="str">
        <f>T("1949088048520827668")</f>
        <v>1949088048520827668</v>
      </c>
      <c r="B3501" s="1" t="str">
        <f>T("249910235739")</f>
        <v>249910235739</v>
      </c>
      <c r="C3501" s="1" t="str">
        <f>T("1941094533009772196")</f>
        <v>1941094533009772196</v>
      </c>
      <c r="AC3501" s="1" t="s">
        <v>344</v>
      </c>
      <c r="AD3501" s="1" t="s">
        <v>430</v>
      </c>
      <c r="AE3501" s="1" t="s">
        <v>530</v>
      </c>
      <c r="AF3501" s="1" t="s">
        <v>107</v>
      </c>
      <c r="AG3501" s="1">
        <v>75</v>
      </c>
      <c r="AO3501" s="2">
        <v>46287</v>
      </c>
      <c r="AP3501" s="1" t="s">
        <v>301</v>
      </c>
      <c r="AS3501" s="1" t="s">
        <v>71</v>
      </c>
      <c r="AU3501" s="1" t="s">
        <v>72</v>
      </c>
      <c r="AV3501" s="1" t="s">
        <v>437</v>
      </c>
      <c r="AX3501" s="1">
        <v>0</v>
      </c>
      <c r="BA3501" s="1">
        <v>9</v>
      </c>
      <c r="BB3501" s="1">
        <v>0</v>
      </c>
      <c r="BC3501" s="1">
        <v>0</v>
      </c>
      <c r="BE3501" s="1">
        <v>27644674</v>
      </c>
    </row>
    <row r="3502" spans="1:57" x14ac:dyDescent="0.25">
      <c r="A3502" s="1" t="str">
        <f>T("1949088048529215684")</f>
        <v>1949088048529215684</v>
      </c>
      <c r="B3502" s="1" t="str">
        <f>T("249909199055")</f>
        <v>249909199055</v>
      </c>
      <c r="C3502" s="1" t="str">
        <f>T("1941094533013963004")</f>
        <v>1941094533013963004</v>
      </c>
      <c r="AC3502" s="1" t="s">
        <v>344</v>
      </c>
      <c r="AD3502" s="1" t="s">
        <v>372</v>
      </c>
      <c r="AE3502" s="1" t="s">
        <v>818</v>
      </c>
      <c r="AF3502" s="1" t="s">
        <v>144</v>
      </c>
      <c r="AG3502" s="1">
        <v>48</v>
      </c>
      <c r="AO3502" s="2">
        <v>46287</v>
      </c>
      <c r="AP3502" s="1" t="s">
        <v>301</v>
      </c>
      <c r="AS3502" s="1" t="s">
        <v>71</v>
      </c>
      <c r="AU3502" s="1" t="s">
        <v>72</v>
      </c>
      <c r="AV3502" s="1" t="s">
        <v>73</v>
      </c>
      <c r="AX3502" s="1">
        <v>0</v>
      </c>
      <c r="BA3502" s="1">
        <v>9</v>
      </c>
      <c r="BB3502" s="1">
        <v>0</v>
      </c>
      <c r="BC3502" s="1">
        <v>0</v>
      </c>
      <c r="BE3502" s="1">
        <v>27644674</v>
      </c>
    </row>
    <row r="3503" spans="1:57" x14ac:dyDescent="0.25">
      <c r="A3503" s="1" t="str">
        <f>T("1949088048533411692")</f>
        <v>1949088048533411692</v>
      </c>
      <c r="B3503" s="1" t="str">
        <f>T("249919391294")</f>
        <v>249919391294</v>
      </c>
      <c r="C3503" s="1" t="str">
        <f>T("1941094533013963404")</f>
        <v>1941094533013963404</v>
      </c>
      <c r="AC3503" s="1" t="s">
        <v>344</v>
      </c>
      <c r="AD3503" s="1" t="s">
        <v>372</v>
      </c>
      <c r="AE3503" s="1" t="s">
        <v>373</v>
      </c>
      <c r="AF3503" s="1" t="s">
        <v>107</v>
      </c>
      <c r="AG3503" s="1">
        <v>65</v>
      </c>
      <c r="AO3503" s="2">
        <v>46287</v>
      </c>
      <c r="AP3503" s="1" t="s">
        <v>301</v>
      </c>
      <c r="AS3503" s="1" t="s">
        <v>71</v>
      </c>
      <c r="AU3503" s="1" t="s">
        <v>72</v>
      </c>
      <c r="AV3503" s="1" t="s">
        <v>437</v>
      </c>
      <c r="AX3503" s="1">
        <v>0</v>
      </c>
      <c r="BA3503" s="1">
        <v>9</v>
      </c>
      <c r="BB3503" s="1">
        <v>0</v>
      </c>
      <c r="BC3503" s="1">
        <v>0</v>
      </c>
      <c r="BE3503" s="1">
        <v>27644674</v>
      </c>
    </row>
    <row r="3504" spans="1:57" x14ac:dyDescent="0.25">
      <c r="A3504" s="1" t="str">
        <f>T("1949088048562773848")</f>
        <v>1949088048562773848</v>
      </c>
      <c r="B3504" s="1" t="str">
        <f>T("249911519886")</f>
        <v>249911519886</v>
      </c>
      <c r="C3504" s="1" t="str">
        <f>T("1941094533013963804")</f>
        <v>1941094533013963804</v>
      </c>
      <c r="AC3504" s="1" t="s">
        <v>344</v>
      </c>
      <c r="AD3504" s="1" t="s">
        <v>372</v>
      </c>
      <c r="AE3504" s="1" t="s">
        <v>815</v>
      </c>
      <c r="AF3504" s="1" t="s">
        <v>144</v>
      </c>
      <c r="AG3504" s="1">
        <v>50</v>
      </c>
      <c r="AO3504" s="2">
        <v>46287</v>
      </c>
      <c r="AP3504" s="1" t="s">
        <v>301</v>
      </c>
      <c r="AS3504" s="1" t="s">
        <v>71</v>
      </c>
      <c r="AU3504" s="1" t="s">
        <v>72</v>
      </c>
      <c r="AV3504" s="1" t="s">
        <v>73</v>
      </c>
      <c r="AX3504" s="1">
        <v>0</v>
      </c>
      <c r="BA3504" s="1">
        <v>9</v>
      </c>
      <c r="BB3504" s="1">
        <v>0</v>
      </c>
      <c r="BC3504" s="1">
        <v>0</v>
      </c>
      <c r="BE3504" s="1">
        <v>27644674</v>
      </c>
    </row>
    <row r="3505" spans="1:57" x14ac:dyDescent="0.25">
      <c r="A3505" s="1" t="str">
        <f>T("1949088048583742488")</f>
        <v>1949088048583742488</v>
      </c>
      <c r="B3505" s="1" t="str">
        <f>T("249909018910")</f>
        <v>249909018910</v>
      </c>
      <c r="C3505" s="1" t="str">
        <f>T("1941094533013964104")</f>
        <v>1941094533013964104</v>
      </c>
      <c r="AC3505" s="1" t="s">
        <v>344</v>
      </c>
      <c r="AD3505" s="1" t="s">
        <v>372</v>
      </c>
      <c r="AE3505" s="1" t="s">
        <v>814</v>
      </c>
      <c r="AF3505" s="1" t="s">
        <v>144</v>
      </c>
      <c r="AG3505" s="1">
        <v>25</v>
      </c>
      <c r="AO3505" s="2">
        <v>46287</v>
      </c>
      <c r="AP3505" s="1" t="s">
        <v>301</v>
      </c>
      <c r="AS3505" s="1" t="s">
        <v>71</v>
      </c>
      <c r="AU3505" s="1" t="s">
        <v>72</v>
      </c>
      <c r="AV3505" s="1" t="s">
        <v>73</v>
      </c>
      <c r="AX3505" s="1">
        <v>0</v>
      </c>
      <c r="BA3505" s="1">
        <v>9</v>
      </c>
      <c r="BB3505" s="1">
        <v>0</v>
      </c>
      <c r="BC3505" s="1">
        <v>0</v>
      </c>
      <c r="BE3505" s="1">
        <v>27644674</v>
      </c>
    </row>
    <row r="3506" spans="1:57" x14ac:dyDescent="0.25">
      <c r="A3506" s="1" t="str">
        <f>T("1949088048587937096")</f>
        <v>1949088048587937096</v>
      </c>
      <c r="B3506" s="1" t="str">
        <f>T("249927836164")</f>
        <v>249927836164</v>
      </c>
      <c r="C3506" s="1" t="str">
        <f>T("1941094533013964504")</f>
        <v>1941094533013964504</v>
      </c>
      <c r="AA3506" s="1">
        <v>1</v>
      </c>
      <c r="AC3506" s="1" t="s">
        <v>344</v>
      </c>
      <c r="AD3506" s="1" t="s">
        <v>372</v>
      </c>
      <c r="AE3506" s="1" t="s">
        <v>820</v>
      </c>
      <c r="AF3506" s="1" t="s">
        <v>144</v>
      </c>
      <c r="AG3506" s="1">
        <v>29</v>
      </c>
      <c r="AO3506" s="2">
        <v>46287</v>
      </c>
      <c r="AP3506" s="1" t="s">
        <v>301</v>
      </c>
      <c r="AQ3506" s="2">
        <v>46287</v>
      </c>
      <c r="AR3506" s="1" t="s">
        <v>308</v>
      </c>
      <c r="AS3506" s="1" t="s">
        <v>71</v>
      </c>
      <c r="AU3506" s="1" t="s">
        <v>79</v>
      </c>
      <c r="AV3506" s="1" t="s">
        <v>80</v>
      </c>
      <c r="AW3506" s="1">
        <v>37.64</v>
      </c>
      <c r="AX3506" s="1">
        <v>0</v>
      </c>
      <c r="AZ3506" s="1" t="s">
        <v>81</v>
      </c>
      <c r="BA3506" s="1">
        <v>1</v>
      </c>
      <c r="BB3506" s="1">
        <v>0</v>
      </c>
      <c r="BC3506" s="1">
        <v>0</v>
      </c>
      <c r="BE3506" s="1">
        <v>27644674</v>
      </c>
    </row>
    <row r="3507" spans="1:57" x14ac:dyDescent="0.25">
      <c r="A3507" s="1" t="str">
        <f>T("1949088048592132104")</f>
        <v>1949088048592132104</v>
      </c>
      <c r="B3507" s="1" t="str">
        <f>T("249963710549")</f>
        <v>249963710549</v>
      </c>
      <c r="C3507" s="1" t="str">
        <f>T("1941094533030740936")</f>
        <v>1941094533030740936</v>
      </c>
      <c r="AC3507" s="1" t="s">
        <v>344</v>
      </c>
      <c r="AD3507" s="1" t="s">
        <v>441</v>
      </c>
      <c r="AE3507" s="1" t="s">
        <v>530</v>
      </c>
      <c r="AF3507" s="1" t="s">
        <v>107</v>
      </c>
      <c r="AG3507" s="1">
        <v>45</v>
      </c>
      <c r="AO3507" s="2">
        <v>46287</v>
      </c>
      <c r="AP3507" s="1" t="s">
        <v>301</v>
      </c>
      <c r="AS3507" s="1" t="s">
        <v>71</v>
      </c>
      <c r="AU3507" s="1" t="s">
        <v>72</v>
      </c>
      <c r="AV3507" s="1" t="s">
        <v>437</v>
      </c>
      <c r="AX3507" s="1">
        <v>0</v>
      </c>
      <c r="BA3507" s="1">
        <v>9</v>
      </c>
      <c r="BB3507" s="1">
        <v>0</v>
      </c>
      <c r="BC3507" s="1">
        <v>0</v>
      </c>
      <c r="BE3507" s="1">
        <v>27644674</v>
      </c>
    </row>
    <row r="3508" spans="1:57" x14ac:dyDescent="0.25">
      <c r="A3508" s="1" t="str">
        <f>T("1949088048617299452")</f>
        <v>1949088048617299452</v>
      </c>
      <c r="B3508" s="1" t="str">
        <f>T("249960112443")</f>
        <v>249960112443</v>
      </c>
      <c r="C3508" s="1" t="str">
        <f>T("1941094533030741636")</f>
        <v>1941094533030741636</v>
      </c>
      <c r="AC3508" s="1" t="s">
        <v>344</v>
      </c>
      <c r="AD3508" s="1" t="s">
        <v>372</v>
      </c>
      <c r="AE3508" s="1" t="s">
        <v>818</v>
      </c>
      <c r="AF3508" s="1" t="s">
        <v>107</v>
      </c>
      <c r="AG3508" s="1">
        <v>54</v>
      </c>
      <c r="AO3508" s="2">
        <v>46287</v>
      </c>
      <c r="AP3508" s="1" t="s">
        <v>301</v>
      </c>
      <c r="AS3508" s="1" t="s">
        <v>71</v>
      </c>
      <c r="AU3508" s="1" t="s">
        <v>72</v>
      </c>
      <c r="AV3508" s="1" t="s">
        <v>437</v>
      </c>
      <c r="AX3508" s="1">
        <v>0</v>
      </c>
      <c r="BA3508" s="1">
        <v>9</v>
      </c>
      <c r="BB3508" s="1">
        <v>0</v>
      </c>
      <c r="BC3508" s="1">
        <v>0</v>
      </c>
      <c r="BE3508" s="1">
        <v>27644674</v>
      </c>
    </row>
    <row r="3509" spans="1:57" x14ac:dyDescent="0.25">
      <c r="A3509" s="1" t="str">
        <f>T("1949088048638270192")</f>
        <v>1949088048638270192</v>
      </c>
      <c r="B3509" s="1" t="str">
        <f>T("249906508614")</f>
        <v>249906508614</v>
      </c>
      <c r="C3509" s="1" t="str">
        <f>T("1941094533030742236")</f>
        <v>1941094533030742236</v>
      </c>
      <c r="AC3509" s="1" t="s">
        <v>344</v>
      </c>
      <c r="AD3509" s="1" t="s">
        <v>441</v>
      </c>
      <c r="AE3509" s="1" t="s">
        <v>530</v>
      </c>
      <c r="AF3509" s="1" t="s">
        <v>107</v>
      </c>
      <c r="AG3509" s="1">
        <v>28</v>
      </c>
      <c r="AO3509" s="2">
        <v>46287</v>
      </c>
      <c r="AP3509" s="1" t="s">
        <v>301</v>
      </c>
      <c r="AS3509" s="1" t="s">
        <v>71</v>
      </c>
      <c r="AU3509" s="1" t="s">
        <v>72</v>
      </c>
      <c r="AV3509" s="1" t="s">
        <v>73</v>
      </c>
      <c r="AX3509" s="1">
        <v>0</v>
      </c>
      <c r="BA3509" s="1">
        <v>9</v>
      </c>
      <c r="BB3509" s="1">
        <v>0</v>
      </c>
      <c r="BC3509" s="1">
        <v>0</v>
      </c>
      <c r="BE3509" s="1">
        <v>27644674</v>
      </c>
    </row>
    <row r="3510" spans="1:57" x14ac:dyDescent="0.25">
      <c r="A3510" s="1" t="str">
        <f>T("1949088048646656008")</f>
        <v>1949088048646656008</v>
      </c>
      <c r="B3510" s="1" t="str">
        <f>T("249910176071")</f>
        <v>249910176071</v>
      </c>
      <c r="C3510" s="1" t="str">
        <f>T("1941094533030742836")</f>
        <v>1941094533030742836</v>
      </c>
      <c r="AC3510" s="1" t="s">
        <v>344</v>
      </c>
      <c r="AD3510" s="1" t="s">
        <v>372</v>
      </c>
      <c r="AE3510" s="1" t="s">
        <v>815</v>
      </c>
      <c r="AF3510" s="1" t="s">
        <v>107</v>
      </c>
      <c r="AG3510" s="1">
        <v>70</v>
      </c>
      <c r="AO3510" s="2">
        <v>46287</v>
      </c>
      <c r="AP3510" s="1" t="s">
        <v>301</v>
      </c>
      <c r="AS3510" s="1" t="s">
        <v>71</v>
      </c>
      <c r="AU3510" s="1" t="s">
        <v>72</v>
      </c>
      <c r="AV3510" s="1" t="s">
        <v>73</v>
      </c>
      <c r="AX3510" s="1">
        <v>0</v>
      </c>
      <c r="BA3510" s="1">
        <v>9</v>
      </c>
      <c r="BB3510" s="1">
        <v>0</v>
      </c>
      <c r="BC3510" s="1">
        <v>0</v>
      </c>
      <c r="BE3510" s="1">
        <v>27644674</v>
      </c>
    </row>
    <row r="3511" spans="1:57" x14ac:dyDescent="0.25">
      <c r="A3511" s="1" t="str">
        <f>T("1949088048650850316")</f>
        <v>1949088048650850316</v>
      </c>
      <c r="B3511" s="1" t="str">
        <f>T("249967657009")</f>
        <v>249967657009</v>
      </c>
      <c r="C3511" s="1" t="str">
        <f>T("1941094533030743336")</f>
        <v>1941094533030743336</v>
      </c>
      <c r="AC3511" s="1" t="s">
        <v>344</v>
      </c>
      <c r="AD3511" s="1" t="s">
        <v>372</v>
      </c>
      <c r="AE3511" s="1" t="s">
        <v>813</v>
      </c>
      <c r="AF3511" s="1" t="s">
        <v>107</v>
      </c>
      <c r="AG3511" s="1">
        <v>60</v>
      </c>
      <c r="AO3511" s="2">
        <v>46287</v>
      </c>
      <c r="AP3511" s="1" t="s">
        <v>301</v>
      </c>
      <c r="AS3511" s="1" t="s">
        <v>71</v>
      </c>
      <c r="AU3511" s="1" t="s">
        <v>72</v>
      </c>
      <c r="AV3511" s="1" t="s">
        <v>73</v>
      </c>
      <c r="AX3511" s="1">
        <v>0</v>
      </c>
      <c r="BA3511" s="1">
        <v>9</v>
      </c>
      <c r="BB3511" s="1">
        <v>0</v>
      </c>
      <c r="BC3511" s="1">
        <v>0</v>
      </c>
      <c r="BE3511" s="1">
        <v>27644674</v>
      </c>
    </row>
    <row r="3512" spans="1:57" x14ac:dyDescent="0.25">
      <c r="A3512" s="1" t="str">
        <f>T("1949088048684404780")</f>
        <v>1949088048684404780</v>
      </c>
      <c r="B3512" s="1" t="str">
        <f>T("249911652867")</f>
        <v>249911652867</v>
      </c>
      <c r="C3512" s="1" t="str">
        <f>T("1941094533030743836")</f>
        <v>1941094533030743836</v>
      </c>
      <c r="AC3512" s="1" t="s">
        <v>344</v>
      </c>
      <c r="AD3512" s="1" t="s">
        <v>430</v>
      </c>
      <c r="AE3512" s="1" t="s">
        <v>530</v>
      </c>
      <c r="AF3512" s="1" t="s">
        <v>107</v>
      </c>
      <c r="AG3512" s="1">
        <v>40</v>
      </c>
      <c r="AO3512" s="2">
        <v>46287</v>
      </c>
      <c r="AP3512" s="1" t="s">
        <v>301</v>
      </c>
      <c r="AS3512" s="1" t="s">
        <v>71</v>
      </c>
      <c r="AU3512" s="1" t="s">
        <v>72</v>
      </c>
      <c r="AV3512" s="1" t="s">
        <v>437</v>
      </c>
      <c r="AX3512" s="1">
        <v>0</v>
      </c>
      <c r="BA3512" s="1">
        <v>9</v>
      </c>
      <c r="BB3512" s="1">
        <v>0</v>
      </c>
      <c r="BC3512" s="1">
        <v>0</v>
      </c>
      <c r="BE3512" s="1">
        <v>27644674</v>
      </c>
    </row>
    <row r="3513" spans="1:57" x14ac:dyDescent="0.25">
      <c r="A3513" s="1" t="str">
        <f>T("1949088048692793496")</f>
        <v>1949088048692793496</v>
      </c>
      <c r="B3513" s="1" t="str">
        <f>T("249928312284")</f>
        <v>249928312284</v>
      </c>
      <c r="C3513" s="1" t="str">
        <f>T("1941094533034934544")</f>
        <v>1941094533034934544</v>
      </c>
      <c r="AA3513" s="1">
        <v>1</v>
      </c>
      <c r="AC3513" s="1" t="s">
        <v>344</v>
      </c>
      <c r="AD3513" s="1" t="s">
        <v>372</v>
      </c>
      <c r="AE3513" s="1" t="s">
        <v>820</v>
      </c>
      <c r="AF3513" s="1" t="s">
        <v>144</v>
      </c>
      <c r="AG3513" s="1">
        <v>30</v>
      </c>
      <c r="AO3513" s="2">
        <v>46287</v>
      </c>
      <c r="AP3513" s="1" t="s">
        <v>301</v>
      </c>
      <c r="AQ3513" s="2">
        <v>46287</v>
      </c>
      <c r="AR3513" s="1" t="s">
        <v>897</v>
      </c>
      <c r="AS3513" s="1" t="s">
        <v>71</v>
      </c>
      <c r="AU3513" s="1" t="s">
        <v>79</v>
      </c>
      <c r="AV3513" s="1" t="s">
        <v>80</v>
      </c>
      <c r="AW3513" s="1">
        <v>49.68</v>
      </c>
      <c r="AX3513" s="1">
        <v>0</v>
      </c>
      <c r="AZ3513" s="1" t="s">
        <v>81</v>
      </c>
      <c r="BA3513" s="1">
        <v>5</v>
      </c>
      <c r="BB3513" s="1">
        <v>0</v>
      </c>
      <c r="BC3513" s="1">
        <v>0</v>
      </c>
      <c r="BE3513" s="1">
        <v>27644674</v>
      </c>
    </row>
    <row r="3514" spans="1:57" x14ac:dyDescent="0.25">
      <c r="A3514" s="1" t="str">
        <f>T("1949088048701184412")</f>
        <v>1949088048701184412</v>
      </c>
      <c r="B3514" s="1" t="str">
        <f>T("249910050196")</f>
        <v>249910050196</v>
      </c>
      <c r="C3514" s="1" t="str">
        <f>T("1941094533034935044")</f>
        <v>1941094533034935044</v>
      </c>
      <c r="AC3514" s="1" t="s">
        <v>344</v>
      </c>
      <c r="AD3514" s="1" t="s">
        <v>441</v>
      </c>
      <c r="AE3514" s="1" t="s">
        <v>530</v>
      </c>
      <c r="AF3514" s="1" t="s">
        <v>107</v>
      </c>
      <c r="AG3514" s="1">
        <v>35</v>
      </c>
      <c r="AO3514" s="2">
        <v>46287</v>
      </c>
      <c r="AP3514" s="1" t="s">
        <v>301</v>
      </c>
      <c r="AS3514" s="1" t="s">
        <v>71</v>
      </c>
      <c r="AU3514" s="1" t="s">
        <v>72</v>
      </c>
      <c r="AV3514" s="1" t="s">
        <v>73</v>
      </c>
      <c r="AX3514" s="1">
        <v>0</v>
      </c>
      <c r="BA3514" s="1">
        <v>9</v>
      </c>
      <c r="BB3514" s="1">
        <v>0</v>
      </c>
      <c r="BC3514" s="1">
        <v>0</v>
      </c>
      <c r="BE3514" s="1">
        <v>27644674</v>
      </c>
    </row>
    <row r="3515" spans="1:57" x14ac:dyDescent="0.25">
      <c r="A3515" s="1" t="str">
        <f>T("1949088048705378720")</f>
        <v>1949088048705378720</v>
      </c>
      <c r="B3515" s="1" t="str">
        <f>T("249966440492")</f>
        <v>249966440492</v>
      </c>
      <c r="C3515" s="1" t="str">
        <f>T("1941094533034935544")</f>
        <v>1941094533034935544</v>
      </c>
      <c r="AC3515" s="1" t="s">
        <v>344</v>
      </c>
      <c r="AD3515" s="1" t="s">
        <v>430</v>
      </c>
      <c r="AE3515" s="1" t="s">
        <v>530</v>
      </c>
      <c r="AF3515" s="1" t="s">
        <v>144</v>
      </c>
      <c r="AG3515" s="1">
        <v>60</v>
      </c>
      <c r="AO3515" s="2">
        <v>46287</v>
      </c>
      <c r="AP3515" s="1" t="s">
        <v>301</v>
      </c>
      <c r="AS3515" s="1" t="s">
        <v>71</v>
      </c>
      <c r="AU3515" s="1" t="s">
        <v>72</v>
      </c>
      <c r="AV3515" s="1" t="s">
        <v>73</v>
      </c>
      <c r="AX3515" s="1">
        <v>0</v>
      </c>
      <c r="BA3515" s="1">
        <v>9</v>
      </c>
      <c r="BB3515" s="1">
        <v>0</v>
      </c>
      <c r="BC3515" s="1">
        <v>0</v>
      </c>
      <c r="BE3515" s="1">
        <v>27644674</v>
      </c>
    </row>
    <row r="3516" spans="1:57" x14ac:dyDescent="0.25">
      <c r="A3516" s="1" t="str">
        <f>T("1949088048743127992")</f>
        <v>1949088048743127992</v>
      </c>
      <c r="B3516" s="1" t="str">
        <f>T("249902240931")</f>
        <v>249902240931</v>
      </c>
      <c r="C3516" s="1" t="str">
        <f>T("1941094533034935944")</f>
        <v>1941094533034935944</v>
      </c>
      <c r="AC3516" s="1" t="s">
        <v>344</v>
      </c>
      <c r="AD3516" s="1" t="s">
        <v>441</v>
      </c>
      <c r="AE3516" s="1" t="s">
        <v>530</v>
      </c>
      <c r="AF3516" s="1" t="s">
        <v>107</v>
      </c>
      <c r="AG3516" s="1">
        <v>26</v>
      </c>
      <c r="AO3516" s="2">
        <v>46287</v>
      </c>
      <c r="AP3516" s="1" t="s">
        <v>301</v>
      </c>
      <c r="AS3516" s="1" t="s">
        <v>71</v>
      </c>
      <c r="AU3516" s="1" t="s">
        <v>72</v>
      </c>
      <c r="AV3516" s="1" t="s">
        <v>437</v>
      </c>
      <c r="AX3516" s="1">
        <v>0</v>
      </c>
      <c r="BA3516" s="1">
        <v>9</v>
      </c>
      <c r="BB3516" s="1">
        <v>0</v>
      </c>
      <c r="BC3516" s="1">
        <v>0</v>
      </c>
      <c r="BE3516" s="1">
        <v>27644674</v>
      </c>
    </row>
    <row r="3517" spans="1:57" x14ac:dyDescent="0.25">
      <c r="A3517" s="1" t="str">
        <f>T("1949088048747321300")</f>
        <v>1949088048747321300</v>
      </c>
      <c r="B3517" s="1" t="str">
        <f>T("249966341404")</f>
        <v>249966341404</v>
      </c>
      <c r="C3517" s="1" t="str">
        <f>T("1941094533039129352")</f>
        <v>1941094533039129352</v>
      </c>
      <c r="AC3517" s="1" t="s">
        <v>344</v>
      </c>
      <c r="AD3517" s="1" t="s">
        <v>372</v>
      </c>
      <c r="AE3517" s="1" t="s">
        <v>813</v>
      </c>
      <c r="AF3517" s="1" t="s">
        <v>107</v>
      </c>
      <c r="AG3517" s="1">
        <v>50</v>
      </c>
      <c r="AO3517" s="2">
        <v>46287</v>
      </c>
      <c r="AP3517" s="1" t="s">
        <v>301</v>
      </c>
      <c r="AS3517" s="1" t="s">
        <v>71</v>
      </c>
      <c r="AU3517" s="1" t="s">
        <v>72</v>
      </c>
      <c r="AV3517" s="1" t="s">
        <v>437</v>
      </c>
      <c r="AX3517" s="1">
        <v>0</v>
      </c>
      <c r="BA3517" s="1">
        <v>9</v>
      </c>
      <c r="BB3517" s="1">
        <v>0</v>
      </c>
      <c r="BC3517" s="1">
        <v>0</v>
      </c>
      <c r="BE3517" s="1">
        <v>27644674</v>
      </c>
    </row>
    <row r="3518" spans="1:57" x14ac:dyDescent="0.25">
      <c r="A3518" s="1" t="str">
        <f>T("1949088048755708516")</f>
        <v>1949088048755708516</v>
      </c>
      <c r="B3518" s="1" t="str">
        <f>T("249911110107")</f>
        <v>249911110107</v>
      </c>
      <c r="C3518" s="1" t="str">
        <f>T("1941094533039129952")</f>
        <v>1941094533039129952</v>
      </c>
      <c r="AC3518" s="1" t="s">
        <v>344</v>
      </c>
      <c r="AD3518" s="1" t="s">
        <v>372</v>
      </c>
      <c r="AE3518" s="1" t="s">
        <v>815</v>
      </c>
      <c r="AF3518" s="1" t="s">
        <v>107</v>
      </c>
      <c r="AG3518" s="1">
        <v>78</v>
      </c>
      <c r="AO3518" s="2">
        <v>46287</v>
      </c>
      <c r="AP3518" s="1" t="s">
        <v>301</v>
      </c>
      <c r="AS3518" s="1" t="s">
        <v>71</v>
      </c>
      <c r="AU3518" s="1" t="s">
        <v>72</v>
      </c>
      <c r="AV3518" s="1" t="s">
        <v>73</v>
      </c>
      <c r="AX3518" s="1">
        <v>0</v>
      </c>
      <c r="BA3518" s="1">
        <v>9</v>
      </c>
      <c r="BB3518" s="1">
        <v>0</v>
      </c>
      <c r="BC3518" s="1">
        <v>0</v>
      </c>
      <c r="BE3518" s="1">
        <v>27644674</v>
      </c>
    </row>
    <row r="3519" spans="1:57" x14ac:dyDescent="0.25">
      <c r="A3519" s="1" t="str">
        <f>T("1949088048764097632")</f>
        <v>1949088048764097632</v>
      </c>
      <c r="B3519" s="1" t="str">
        <f>T("249911909325")</f>
        <v>249911909325</v>
      </c>
      <c r="C3519" s="1" t="str">
        <f>T("1941094533039131952")</f>
        <v>1941094533039131952</v>
      </c>
      <c r="AC3519" s="1" t="s">
        <v>344</v>
      </c>
      <c r="AD3519" s="1" t="s">
        <v>430</v>
      </c>
      <c r="AE3519" s="1" t="s">
        <v>530</v>
      </c>
      <c r="AF3519" s="1" t="s">
        <v>107</v>
      </c>
      <c r="AG3519" s="1">
        <v>60</v>
      </c>
      <c r="AO3519" s="2">
        <v>46287</v>
      </c>
      <c r="AP3519" s="1" t="s">
        <v>301</v>
      </c>
      <c r="AS3519" s="1" t="s">
        <v>71</v>
      </c>
      <c r="AU3519" s="1" t="s">
        <v>72</v>
      </c>
      <c r="AV3519" s="1" t="s">
        <v>437</v>
      </c>
      <c r="AX3519" s="1">
        <v>0</v>
      </c>
      <c r="BA3519" s="1">
        <v>9</v>
      </c>
      <c r="BB3519" s="1">
        <v>0</v>
      </c>
      <c r="BC3519" s="1">
        <v>0</v>
      </c>
      <c r="BE3519" s="1">
        <v>27644674</v>
      </c>
    </row>
    <row r="3520" spans="1:57" x14ac:dyDescent="0.25">
      <c r="A3520" s="1" t="str">
        <f>T("1949088048797654396")</f>
        <v>1949088048797654396</v>
      </c>
      <c r="B3520" s="1" t="str">
        <f>T("249911298467")</f>
        <v>249911298467</v>
      </c>
      <c r="C3520" s="1" t="str">
        <f>T("1941094533043323360")</f>
        <v>1941094533043323360</v>
      </c>
      <c r="AC3520" s="1" t="s">
        <v>344</v>
      </c>
      <c r="AD3520" s="1" t="s">
        <v>441</v>
      </c>
      <c r="AE3520" s="1" t="s">
        <v>530</v>
      </c>
      <c r="AF3520" s="1" t="s">
        <v>144</v>
      </c>
      <c r="AG3520" s="1">
        <v>45</v>
      </c>
      <c r="AO3520" s="2">
        <v>46287</v>
      </c>
      <c r="AP3520" s="1" t="s">
        <v>301</v>
      </c>
      <c r="AS3520" s="1" t="s">
        <v>71</v>
      </c>
      <c r="AU3520" s="1" t="s">
        <v>72</v>
      </c>
      <c r="AV3520" s="1" t="s">
        <v>437</v>
      </c>
      <c r="AX3520" s="1">
        <v>0</v>
      </c>
      <c r="BA3520" s="1">
        <v>9</v>
      </c>
      <c r="BB3520" s="1">
        <v>0</v>
      </c>
      <c r="BC3520" s="1">
        <v>0</v>
      </c>
      <c r="BE3520" s="1">
        <v>27644674</v>
      </c>
    </row>
    <row r="3521" spans="1:57" x14ac:dyDescent="0.25">
      <c r="A3521" s="1" t="str">
        <f>T("1949088048822819544")</f>
        <v>1949088048822819544</v>
      </c>
      <c r="B3521" s="1" t="str">
        <f>T("249960760297")</f>
        <v>249960760297</v>
      </c>
      <c r="C3521" s="1" t="str">
        <f>T("1941094533055909184")</f>
        <v>1941094533055909184</v>
      </c>
      <c r="AC3521" s="1" t="s">
        <v>344</v>
      </c>
      <c r="AD3521" s="1" t="s">
        <v>430</v>
      </c>
      <c r="AE3521" s="1" t="s">
        <v>530</v>
      </c>
      <c r="AF3521" s="1" t="s">
        <v>144</v>
      </c>
      <c r="AG3521" s="1">
        <v>53</v>
      </c>
      <c r="AO3521" s="2">
        <v>46287</v>
      </c>
      <c r="AP3521" s="1" t="s">
        <v>301</v>
      </c>
      <c r="AS3521" s="1" t="s">
        <v>71</v>
      </c>
      <c r="AU3521" s="1" t="s">
        <v>72</v>
      </c>
      <c r="AV3521" s="1" t="s">
        <v>73</v>
      </c>
      <c r="AX3521" s="1">
        <v>0</v>
      </c>
      <c r="BA3521" s="1">
        <v>9</v>
      </c>
      <c r="BB3521" s="1">
        <v>0</v>
      </c>
      <c r="BC3521" s="1">
        <v>0</v>
      </c>
      <c r="BE3521" s="1">
        <v>27644674</v>
      </c>
    </row>
    <row r="3522" spans="1:57" x14ac:dyDescent="0.25">
      <c r="A3522" s="1" t="str">
        <f>T("1949088048827012852")</f>
        <v>1949088048827012852</v>
      </c>
      <c r="B3522" s="1" t="str">
        <f>T("249966276942")</f>
        <v>249966276942</v>
      </c>
      <c r="C3522" s="1" t="str">
        <f>T("1941094533043325160")</f>
        <v>1941094533043325160</v>
      </c>
      <c r="AC3522" s="1" t="s">
        <v>344</v>
      </c>
      <c r="AD3522" s="1" t="s">
        <v>430</v>
      </c>
      <c r="AE3522" s="1" t="s">
        <v>530</v>
      </c>
      <c r="AF3522" s="1" t="s">
        <v>144</v>
      </c>
      <c r="AG3522" s="1">
        <v>23</v>
      </c>
      <c r="AO3522" s="2">
        <v>46287</v>
      </c>
      <c r="AP3522" s="1" t="s">
        <v>301</v>
      </c>
      <c r="AS3522" s="1" t="s">
        <v>71</v>
      </c>
      <c r="AU3522" s="1" t="s">
        <v>72</v>
      </c>
      <c r="AV3522" s="1" t="s">
        <v>437</v>
      </c>
      <c r="AX3522" s="1">
        <v>0</v>
      </c>
      <c r="BA3522" s="1">
        <v>9</v>
      </c>
      <c r="BB3522" s="1">
        <v>0</v>
      </c>
      <c r="BC3522" s="1">
        <v>0</v>
      </c>
      <c r="BE3522" s="1">
        <v>27644674</v>
      </c>
    </row>
    <row r="3523" spans="1:57" x14ac:dyDescent="0.25">
      <c r="A3523" s="1" t="str">
        <f>T("1949088048860567716")</f>
        <v>1949088048860567716</v>
      </c>
      <c r="B3523" s="1" t="str">
        <f>T("249914970967")</f>
        <v>249914970967</v>
      </c>
      <c r="C3523" s="1" t="str">
        <f>T("1941094533060100192")</f>
        <v>1941094533060100192</v>
      </c>
      <c r="AC3523" s="1" t="s">
        <v>344</v>
      </c>
      <c r="AD3523" s="1" t="s">
        <v>372</v>
      </c>
      <c r="AE3523" s="1" t="s">
        <v>814</v>
      </c>
      <c r="AF3523" s="1" t="s">
        <v>107</v>
      </c>
      <c r="AG3523" s="1">
        <v>29</v>
      </c>
      <c r="AO3523" s="2">
        <v>46287</v>
      </c>
      <c r="AP3523" s="1" t="s">
        <v>301</v>
      </c>
      <c r="AS3523" s="1" t="s">
        <v>71</v>
      </c>
      <c r="AU3523" s="1" t="s">
        <v>72</v>
      </c>
      <c r="AV3523" s="1" t="s">
        <v>437</v>
      </c>
      <c r="AX3523" s="1">
        <v>0</v>
      </c>
      <c r="BA3523" s="1">
        <v>9</v>
      </c>
      <c r="BB3523" s="1">
        <v>0</v>
      </c>
      <c r="BC3523" s="1">
        <v>0</v>
      </c>
      <c r="BE3523" s="1">
        <v>27644674</v>
      </c>
    </row>
    <row r="3524" spans="1:57" x14ac:dyDescent="0.25">
      <c r="A3524" s="1" t="str">
        <f>T("1949088048877344448")</f>
        <v>1949088048877344448</v>
      </c>
      <c r="B3524" s="1" t="str">
        <f>T("249914883959")</f>
        <v>249914883959</v>
      </c>
      <c r="C3524" s="1" t="str">
        <f>T("1941094533060100592")</f>
        <v>1941094533060100592</v>
      </c>
      <c r="AC3524" s="1" t="s">
        <v>344</v>
      </c>
      <c r="AD3524" s="1" t="s">
        <v>441</v>
      </c>
      <c r="AE3524" s="1" t="s">
        <v>530</v>
      </c>
      <c r="AF3524" s="1" t="s">
        <v>107</v>
      </c>
      <c r="AG3524" s="1">
        <v>35</v>
      </c>
      <c r="AO3524" s="2">
        <v>46287</v>
      </c>
      <c r="AP3524" s="1" t="s">
        <v>301</v>
      </c>
      <c r="AS3524" s="1" t="s">
        <v>71</v>
      </c>
      <c r="AU3524" s="1" t="s">
        <v>72</v>
      </c>
      <c r="AV3524" s="1" t="s">
        <v>73</v>
      </c>
      <c r="AX3524" s="1">
        <v>0</v>
      </c>
      <c r="BA3524" s="1">
        <v>9</v>
      </c>
      <c r="BB3524" s="1">
        <v>0</v>
      </c>
      <c r="BC3524" s="1">
        <v>0</v>
      </c>
      <c r="BE3524" s="1">
        <v>27644674</v>
      </c>
    </row>
    <row r="3525" spans="1:57" x14ac:dyDescent="0.25">
      <c r="A3525" s="1" t="str">
        <f>T("1949088048881538856")</f>
        <v>1949088048881538856</v>
      </c>
      <c r="B3525" s="1" t="str">
        <f>T("249902036418")</f>
        <v>249902036418</v>
      </c>
      <c r="C3525" s="1" t="str">
        <f>T("1941094533060100992")</f>
        <v>1941094533060100992</v>
      </c>
      <c r="AC3525" s="1" t="s">
        <v>344</v>
      </c>
      <c r="AD3525" s="1" t="s">
        <v>441</v>
      </c>
      <c r="AE3525" s="1" t="s">
        <v>530</v>
      </c>
      <c r="AF3525" s="1" t="s">
        <v>107</v>
      </c>
      <c r="AG3525" s="1">
        <v>44</v>
      </c>
      <c r="AO3525" s="2">
        <v>46287</v>
      </c>
      <c r="AP3525" s="1" t="s">
        <v>301</v>
      </c>
      <c r="AS3525" s="1" t="s">
        <v>71</v>
      </c>
      <c r="AU3525" s="1" t="s">
        <v>72</v>
      </c>
      <c r="AV3525" s="1" t="s">
        <v>437</v>
      </c>
      <c r="AX3525" s="1">
        <v>0</v>
      </c>
      <c r="BA3525" s="1">
        <v>9</v>
      </c>
      <c r="BB3525" s="1">
        <v>0</v>
      </c>
      <c r="BC3525" s="1">
        <v>0</v>
      </c>
      <c r="BE3525" s="1">
        <v>27644674</v>
      </c>
    </row>
    <row r="3526" spans="1:57" x14ac:dyDescent="0.25">
      <c r="A3526" s="1" t="str">
        <f>T("1949088048898314888")</f>
        <v>1949088048898314888</v>
      </c>
      <c r="B3526" s="1" t="str">
        <f>T("249911021277")</f>
        <v>249911021277</v>
      </c>
      <c r="C3526" s="1" t="str">
        <f>T("1941094533060101392")</f>
        <v>1941094533060101392</v>
      </c>
      <c r="AC3526" s="1" t="s">
        <v>344</v>
      </c>
      <c r="AD3526" s="1" t="s">
        <v>441</v>
      </c>
      <c r="AE3526" s="1" t="s">
        <v>530</v>
      </c>
      <c r="AF3526" s="1" t="s">
        <v>107</v>
      </c>
      <c r="AG3526" s="1">
        <v>60</v>
      </c>
      <c r="AO3526" s="2">
        <v>46287</v>
      </c>
      <c r="AP3526" s="1" t="s">
        <v>301</v>
      </c>
      <c r="AS3526" s="1" t="s">
        <v>71</v>
      </c>
      <c r="AU3526" s="1" t="s">
        <v>72</v>
      </c>
      <c r="AV3526" s="1" t="s">
        <v>73</v>
      </c>
      <c r="AX3526" s="1">
        <v>0</v>
      </c>
      <c r="BA3526" s="1">
        <v>9</v>
      </c>
      <c r="BB3526" s="1">
        <v>0</v>
      </c>
      <c r="BC3526" s="1">
        <v>0</v>
      </c>
      <c r="BE3526" s="1">
        <v>27644674</v>
      </c>
    </row>
    <row r="3527" spans="1:57" x14ac:dyDescent="0.25">
      <c r="A3527" s="1" t="str">
        <f>T("1949088048961229208")</f>
        <v>1949088048961229208</v>
      </c>
      <c r="B3527" s="1" t="str">
        <f>T("249965352024")</f>
        <v>249965352024</v>
      </c>
      <c r="C3527" s="1" t="str">
        <f>T("1941094533060101792")</f>
        <v>1941094533060101792</v>
      </c>
      <c r="AC3527" s="1" t="s">
        <v>344</v>
      </c>
      <c r="AD3527" s="1" t="s">
        <v>372</v>
      </c>
      <c r="AE3527" s="1" t="s">
        <v>815</v>
      </c>
      <c r="AF3527" s="1" t="s">
        <v>144</v>
      </c>
      <c r="AG3527" s="1">
        <v>35</v>
      </c>
      <c r="AO3527" s="2">
        <v>46287</v>
      </c>
      <c r="AP3527" s="1" t="s">
        <v>301</v>
      </c>
      <c r="AS3527" s="1" t="s">
        <v>71</v>
      </c>
      <c r="AU3527" s="1" t="s">
        <v>72</v>
      </c>
      <c r="AV3527" s="1" t="s">
        <v>437</v>
      </c>
      <c r="AX3527" s="1">
        <v>0</v>
      </c>
      <c r="BA3527" s="1">
        <v>9</v>
      </c>
      <c r="BB3527" s="1">
        <v>0</v>
      </c>
      <c r="BC3527" s="1">
        <v>0</v>
      </c>
      <c r="BE3527" s="1">
        <v>27644674</v>
      </c>
    </row>
    <row r="3528" spans="1:57" x14ac:dyDescent="0.25">
      <c r="A3528" s="1" t="str">
        <f>T("1949088048969618024")</f>
        <v>1949088048969618024</v>
      </c>
      <c r="B3528" s="1" t="str">
        <f>T("249968877015")</f>
        <v>249968877015</v>
      </c>
      <c r="C3528" s="1" t="str">
        <f>T("1941094533060102192")</f>
        <v>1941094533060102192</v>
      </c>
      <c r="AC3528" s="1" t="s">
        <v>344</v>
      </c>
      <c r="AD3528" s="1" t="s">
        <v>430</v>
      </c>
      <c r="AE3528" s="1" t="s">
        <v>530</v>
      </c>
      <c r="AF3528" s="1" t="s">
        <v>144</v>
      </c>
      <c r="AG3528" s="1">
        <v>50</v>
      </c>
      <c r="AO3528" s="2">
        <v>46287</v>
      </c>
      <c r="AP3528" s="1" t="s">
        <v>301</v>
      </c>
      <c r="AS3528" s="1" t="s">
        <v>71</v>
      </c>
      <c r="AU3528" s="1" t="s">
        <v>72</v>
      </c>
      <c r="AV3528" s="1" t="s">
        <v>73</v>
      </c>
      <c r="AX3528" s="1">
        <v>0</v>
      </c>
      <c r="BA3528" s="1">
        <v>9</v>
      </c>
      <c r="BB3528" s="1">
        <v>0</v>
      </c>
      <c r="BC3528" s="1">
        <v>0</v>
      </c>
      <c r="BE3528" s="1">
        <v>27644674</v>
      </c>
    </row>
    <row r="3529" spans="1:57" x14ac:dyDescent="0.25">
      <c r="A3529" s="1" t="str">
        <f>T("1949088048973812232")</f>
        <v>1949088048973812232</v>
      </c>
      <c r="B3529" s="1" t="str">
        <f>T("249905141383")</f>
        <v>249905141383</v>
      </c>
      <c r="C3529" s="1" t="str">
        <f>T("1941094533060102792")</f>
        <v>1941094533060102792</v>
      </c>
      <c r="AC3529" s="1" t="s">
        <v>344</v>
      </c>
      <c r="AD3529" s="1" t="s">
        <v>372</v>
      </c>
      <c r="AE3529" s="1" t="s">
        <v>814</v>
      </c>
      <c r="AF3529" s="1" t="s">
        <v>144</v>
      </c>
      <c r="AG3529" s="1">
        <v>62</v>
      </c>
      <c r="AO3529" s="2">
        <v>46287</v>
      </c>
      <c r="AP3529" s="1" t="s">
        <v>301</v>
      </c>
      <c r="AS3529" s="1" t="s">
        <v>71</v>
      </c>
      <c r="AU3529" s="1" t="s">
        <v>72</v>
      </c>
      <c r="AV3529" s="1" t="s">
        <v>437</v>
      </c>
      <c r="AX3529" s="1">
        <v>0</v>
      </c>
      <c r="BA3529" s="1">
        <v>9</v>
      </c>
      <c r="BB3529" s="1">
        <v>0</v>
      </c>
      <c r="BC3529" s="1">
        <v>0</v>
      </c>
      <c r="BE3529" s="1">
        <v>27644674</v>
      </c>
    </row>
    <row r="3530" spans="1:57" x14ac:dyDescent="0.25">
      <c r="A3530" s="1" t="str">
        <f>T("1949088048978008040")</f>
        <v>1949088048978008040</v>
      </c>
      <c r="B3530" s="1" t="str">
        <f>T("249917539010")</f>
        <v>249917539010</v>
      </c>
      <c r="C3530" s="1" t="str">
        <f>T("1941094533060103192")</f>
        <v>1941094533060103192</v>
      </c>
      <c r="AC3530" s="1" t="s">
        <v>344</v>
      </c>
      <c r="AD3530" s="1" t="s">
        <v>372</v>
      </c>
      <c r="AE3530" s="1" t="s">
        <v>814</v>
      </c>
      <c r="AF3530" s="1" t="s">
        <v>144</v>
      </c>
      <c r="AG3530" s="1">
        <v>50</v>
      </c>
      <c r="AO3530" s="2">
        <v>46287</v>
      </c>
      <c r="AP3530" s="1" t="s">
        <v>301</v>
      </c>
      <c r="AS3530" s="1" t="s">
        <v>71</v>
      </c>
      <c r="AU3530" s="1" t="s">
        <v>72</v>
      </c>
      <c r="AV3530" s="1" t="s">
        <v>73</v>
      </c>
      <c r="AX3530" s="1">
        <v>0</v>
      </c>
      <c r="BA3530" s="1">
        <v>9</v>
      </c>
      <c r="BB3530" s="1">
        <v>0</v>
      </c>
      <c r="BC3530" s="1">
        <v>0</v>
      </c>
      <c r="BE3530" s="1">
        <v>27644674</v>
      </c>
    </row>
    <row r="3531" spans="1:57" x14ac:dyDescent="0.25">
      <c r="A3531" s="1" t="str">
        <f>T("1949390041500031364")</f>
        <v>1949390041500031364</v>
      </c>
      <c r="B3531" s="1" t="str">
        <f>T("249923667007")</f>
        <v>249923667007</v>
      </c>
      <c r="C3531" s="1" t="str">
        <f>T("1941094533060103692")</f>
        <v>1941094533060103692</v>
      </c>
      <c r="AC3531" s="1" t="s">
        <v>344</v>
      </c>
      <c r="AD3531" s="1" t="s">
        <v>372</v>
      </c>
      <c r="AE3531" s="1" t="s">
        <v>813</v>
      </c>
      <c r="AF3531" s="1" t="s">
        <v>144</v>
      </c>
      <c r="AG3531" s="1">
        <v>75</v>
      </c>
      <c r="AO3531" s="2">
        <v>46288</v>
      </c>
      <c r="AP3531" s="1" t="s">
        <v>248</v>
      </c>
      <c r="AS3531" s="1" t="s">
        <v>71</v>
      </c>
      <c r="AU3531" s="1" t="s">
        <v>72</v>
      </c>
      <c r="AV3531" s="1" t="s">
        <v>73</v>
      </c>
      <c r="AX3531" s="1">
        <v>0</v>
      </c>
      <c r="BA3531" s="1">
        <v>9</v>
      </c>
      <c r="BB3531" s="1">
        <v>0</v>
      </c>
      <c r="BC3531" s="1">
        <v>0</v>
      </c>
      <c r="BE3531" s="1">
        <v>27661848</v>
      </c>
    </row>
    <row r="3532" spans="1:57" x14ac:dyDescent="0.25">
      <c r="A3532" s="1" t="str">
        <f>T("1949390041705551456")</f>
        <v>1949390041705551456</v>
      </c>
      <c r="B3532" s="1" t="str">
        <f>T("249906082120")</f>
        <v>249906082120</v>
      </c>
      <c r="C3532" s="1" t="str">
        <f>T("1941094533064294400")</f>
        <v>1941094533064294400</v>
      </c>
      <c r="AC3532" s="1" t="s">
        <v>344</v>
      </c>
      <c r="AD3532" s="1" t="s">
        <v>430</v>
      </c>
      <c r="AE3532" s="1" t="s">
        <v>530</v>
      </c>
      <c r="AF3532" s="1" t="s">
        <v>144</v>
      </c>
      <c r="AG3532" s="1">
        <v>48</v>
      </c>
      <c r="AO3532" s="2">
        <v>46288</v>
      </c>
      <c r="AP3532" s="1" t="s">
        <v>248</v>
      </c>
      <c r="AS3532" s="1" t="s">
        <v>71</v>
      </c>
      <c r="AU3532" s="1" t="s">
        <v>72</v>
      </c>
      <c r="AV3532" s="1" t="s">
        <v>437</v>
      </c>
      <c r="AX3532" s="1">
        <v>0</v>
      </c>
      <c r="BA3532" s="1">
        <v>9</v>
      </c>
      <c r="BB3532" s="1">
        <v>0</v>
      </c>
      <c r="BC3532" s="1">
        <v>0</v>
      </c>
      <c r="BE3532" s="1">
        <v>27661848</v>
      </c>
    </row>
    <row r="3533" spans="1:57" x14ac:dyDescent="0.25">
      <c r="A3533" s="1" t="str">
        <f>T("1949390041776854392")</f>
        <v>1949390041776854392</v>
      </c>
      <c r="B3533" s="1" t="str">
        <f>T("249962753615")</f>
        <v>249962753615</v>
      </c>
      <c r="C3533" s="1" t="str">
        <f>T("1941094533064294800")</f>
        <v>1941094533064294800</v>
      </c>
      <c r="AC3533" s="1" t="s">
        <v>344</v>
      </c>
      <c r="AD3533" s="1" t="s">
        <v>430</v>
      </c>
      <c r="AE3533" s="1" t="s">
        <v>530</v>
      </c>
      <c r="AF3533" s="1" t="s">
        <v>107</v>
      </c>
      <c r="AG3533" s="1">
        <v>24</v>
      </c>
      <c r="AO3533" s="2">
        <v>46288</v>
      </c>
      <c r="AP3533" s="1" t="s">
        <v>248</v>
      </c>
      <c r="AS3533" s="1" t="s">
        <v>71</v>
      </c>
      <c r="AU3533" s="1" t="s">
        <v>72</v>
      </c>
      <c r="AV3533" s="1" t="s">
        <v>437</v>
      </c>
      <c r="AX3533" s="1">
        <v>0</v>
      </c>
      <c r="BA3533" s="1">
        <v>9</v>
      </c>
      <c r="BB3533" s="1">
        <v>0</v>
      </c>
      <c r="BC3533" s="1">
        <v>0</v>
      </c>
      <c r="BE3533" s="1">
        <v>27661848</v>
      </c>
    </row>
    <row r="3534" spans="1:57" x14ac:dyDescent="0.25">
      <c r="A3534" s="1" t="str">
        <f>T("1949390041843962120")</f>
        <v>1949390041843962120</v>
      </c>
      <c r="B3534" s="1" t="str">
        <f>T("249919416913")</f>
        <v>249919416913</v>
      </c>
      <c r="C3534" s="1" t="str">
        <f>T("1941094533064295400")</f>
        <v>1941094533064295400</v>
      </c>
      <c r="AC3534" s="1" t="s">
        <v>344</v>
      </c>
      <c r="AD3534" s="1" t="s">
        <v>441</v>
      </c>
      <c r="AE3534" s="1" t="s">
        <v>530</v>
      </c>
      <c r="AF3534" s="1" t="s">
        <v>144</v>
      </c>
      <c r="AG3534" s="1">
        <v>25</v>
      </c>
      <c r="AO3534" s="2">
        <v>46288</v>
      </c>
      <c r="AP3534" s="1" t="s">
        <v>248</v>
      </c>
      <c r="AS3534" s="1" t="s">
        <v>71</v>
      </c>
      <c r="AU3534" s="1" t="s">
        <v>72</v>
      </c>
      <c r="AV3534" s="1" t="s">
        <v>126</v>
      </c>
      <c r="AX3534" s="1">
        <v>0</v>
      </c>
      <c r="BA3534" s="1">
        <v>9</v>
      </c>
      <c r="BB3534" s="1">
        <v>0</v>
      </c>
      <c r="BC3534" s="1">
        <v>0</v>
      </c>
      <c r="BE3534" s="1">
        <v>27661848</v>
      </c>
    </row>
    <row r="3535" spans="1:57" x14ac:dyDescent="0.25">
      <c r="A3535" s="1" t="str">
        <f>T("1949390041915266956")</f>
        <v>1949390041915266956</v>
      </c>
      <c r="B3535" s="1" t="str">
        <f>T("249914726516")</f>
        <v>249914726516</v>
      </c>
      <c r="C3535" s="1" t="str">
        <f>T("1941094533064295800")</f>
        <v>1941094533064295800</v>
      </c>
      <c r="AC3535" s="1" t="s">
        <v>344</v>
      </c>
      <c r="AD3535" s="1" t="s">
        <v>430</v>
      </c>
      <c r="AE3535" s="1" t="s">
        <v>530</v>
      </c>
      <c r="AF3535" s="1" t="s">
        <v>107</v>
      </c>
      <c r="AG3535" s="1">
        <v>40</v>
      </c>
      <c r="AO3535" s="2">
        <v>46288</v>
      </c>
      <c r="AP3535" s="1" t="s">
        <v>248</v>
      </c>
      <c r="AS3535" s="1" t="s">
        <v>71</v>
      </c>
      <c r="AU3535" s="1" t="s">
        <v>72</v>
      </c>
      <c r="AV3535" s="1" t="s">
        <v>126</v>
      </c>
      <c r="AX3535" s="1">
        <v>0</v>
      </c>
      <c r="BA3535" s="1">
        <v>9</v>
      </c>
      <c r="BB3535" s="1">
        <v>0</v>
      </c>
      <c r="BC3535" s="1">
        <v>0</v>
      </c>
      <c r="BE3535" s="1">
        <v>27661848</v>
      </c>
    </row>
    <row r="3536" spans="1:57" x14ac:dyDescent="0.25">
      <c r="A3536" s="1" t="str">
        <f>T("1949390041973989268")</f>
        <v>1949390041973989268</v>
      </c>
      <c r="B3536" s="1" t="str">
        <f>T("249914615185")</f>
        <v>249914615185</v>
      </c>
      <c r="C3536" s="1" t="str">
        <f>T("1941094533064296400")</f>
        <v>1941094533064296400</v>
      </c>
      <c r="AC3536" s="1" t="s">
        <v>344</v>
      </c>
      <c r="AD3536" s="1" t="s">
        <v>357</v>
      </c>
      <c r="AE3536" s="1" t="s">
        <v>812</v>
      </c>
      <c r="AF3536" s="1" t="s">
        <v>107</v>
      </c>
      <c r="AG3536" s="1">
        <v>35</v>
      </c>
      <c r="AO3536" s="2">
        <v>46288</v>
      </c>
      <c r="AP3536" s="1" t="s">
        <v>248</v>
      </c>
      <c r="AS3536" s="1" t="s">
        <v>71</v>
      </c>
      <c r="AU3536" s="1" t="s">
        <v>72</v>
      </c>
      <c r="AV3536" s="1" t="s">
        <v>73</v>
      </c>
      <c r="AX3536" s="1">
        <v>0</v>
      </c>
      <c r="BA3536" s="1">
        <v>9</v>
      </c>
      <c r="BB3536" s="1">
        <v>0</v>
      </c>
      <c r="BC3536" s="1">
        <v>0</v>
      </c>
      <c r="BE3536" s="1">
        <v>27661848</v>
      </c>
    </row>
    <row r="3537" spans="1:57" x14ac:dyDescent="0.25">
      <c r="A3537" s="1" t="str">
        <f>T("1949390042045290204")</f>
        <v>1949390042045290204</v>
      </c>
      <c r="B3537" s="1" t="str">
        <f>T("249968844853")</f>
        <v>249968844853</v>
      </c>
      <c r="C3537" s="1" t="str">
        <f>T("1941094533064296800")</f>
        <v>1941094533064296800</v>
      </c>
      <c r="AC3537" s="1" t="s">
        <v>344</v>
      </c>
      <c r="AD3537" s="1" t="s">
        <v>357</v>
      </c>
      <c r="AE3537" s="1" t="s">
        <v>812</v>
      </c>
      <c r="AF3537" s="1" t="s">
        <v>107</v>
      </c>
      <c r="AG3537" s="1">
        <v>33</v>
      </c>
      <c r="AO3537" s="2">
        <v>46288</v>
      </c>
      <c r="AP3537" s="1" t="s">
        <v>248</v>
      </c>
      <c r="AS3537" s="1" t="s">
        <v>71</v>
      </c>
      <c r="AU3537" s="1" t="s">
        <v>72</v>
      </c>
      <c r="AV3537" s="1" t="s">
        <v>73</v>
      </c>
      <c r="AX3537" s="1">
        <v>0</v>
      </c>
      <c r="BA3537" s="1">
        <v>9</v>
      </c>
      <c r="BB3537" s="1">
        <v>0</v>
      </c>
      <c r="BC3537" s="1">
        <v>0</v>
      </c>
      <c r="BE3537" s="1">
        <v>27661848</v>
      </c>
    </row>
    <row r="3538" spans="1:57" x14ac:dyDescent="0.25">
      <c r="A3538" s="1" t="str">
        <f>T("1949390042112400832")</f>
        <v>1949390042112400832</v>
      </c>
      <c r="B3538" s="1" t="str">
        <f>T("249904922898")</f>
        <v>249904922898</v>
      </c>
      <c r="C3538" s="1" t="str">
        <f>T("1941094533064297200")</f>
        <v>1941094533064297200</v>
      </c>
      <c r="AC3538" s="1" t="s">
        <v>344</v>
      </c>
      <c r="AD3538" s="1" t="s">
        <v>430</v>
      </c>
      <c r="AE3538" s="1" t="s">
        <v>530</v>
      </c>
      <c r="AF3538" s="1" t="s">
        <v>144</v>
      </c>
      <c r="AG3538" s="1">
        <v>23</v>
      </c>
      <c r="AO3538" s="2">
        <v>46288</v>
      </c>
      <c r="AP3538" s="1" t="s">
        <v>248</v>
      </c>
      <c r="AS3538" s="1" t="s">
        <v>71</v>
      </c>
      <c r="AU3538" s="1" t="s">
        <v>72</v>
      </c>
      <c r="AV3538" s="1" t="s">
        <v>73</v>
      </c>
      <c r="AX3538" s="1">
        <v>0</v>
      </c>
      <c r="BA3538" s="1">
        <v>9</v>
      </c>
      <c r="BB3538" s="1">
        <v>0</v>
      </c>
      <c r="BC3538" s="1">
        <v>0</v>
      </c>
      <c r="BE3538" s="1">
        <v>27661848</v>
      </c>
    </row>
    <row r="3539" spans="1:57" x14ac:dyDescent="0.25">
      <c r="A3539" s="1" t="str">
        <f>T("1949390042175314052")</f>
        <v>1949390042175314052</v>
      </c>
      <c r="B3539" s="1" t="str">
        <f>T("249904757928")</f>
        <v>249904757928</v>
      </c>
      <c r="C3539" s="1" t="str">
        <f>T("1941094533064297800")</f>
        <v>1941094533064297800</v>
      </c>
      <c r="AC3539" s="1" t="s">
        <v>344</v>
      </c>
      <c r="AD3539" s="1" t="s">
        <v>430</v>
      </c>
      <c r="AE3539" s="1" t="s">
        <v>530</v>
      </c>
      <c r="AF3539" s="1" t="s">
        <v>107</v>
      </c>
      <c r="AG3539" s="1">
        <v>55</v>
      </c>
      <c r="AO3539" s="2">
        <v>46288</v>
      </c>
      <c r="AP3539" s="1" t="s">
        <v>248</v>
      </c>
      <c r="AS3539" s="1" t="s">
        <v>71</v>
      </c>
      <c r="AU3539" s="1" t="s">
        <v>72</v>
      </c>
      <c r="AV3539" s="1" t="s">
        <v>437</v>
      </c>
      <c r="AX3539" s="1">
        <v>0</v>
      </c>
      <c r="BA3539" s="1">
        <v>9</v>
      </c>
      <c r="BB3539" s="1">
        <v>0</v>
      </c>
      <c r="BC3539" s="1">
        <v>0</v>
      </c>
      <c r="BE3539" s="1">
        <v>27661848</v>
      </c>
    </row>
    <row r="3540" spans="1:57" x14ac:dyDescent="0.25">
      <c r="A3540" s="1" t="str">
        <f>T("1949390042246615688")</f>
        <v>1949390042246615688</v>
      </c>
      <c r="B3540" s="1" t="str">
        <f>T("249924998800")</f>
        <v>249924998800</v>
      </c>
      <c r="C3540" s="1" t="str">
        <f>T("1941094533064298300")</f>
        <v>1941094533064298300</v>
      </c>
      <c r="AA3540" s="1">
        <v>1</v>
      </c>
      <c r="AC3540" s="1" t="s">
        <v>344</v>
      </c>
      <c r="AD3540" s="1" t="s">
        <v>372</v>
      </c>
      <c r="AE3540" s="1" t="s">
        <v>820</v>
      </c>
      <c r="AF3540" s="1" t="s">
        <v>107</v>
      </c>
      <c r="AG3540" s="1">
        <v>63</v>
      </c>
      <c r="AO3540" s="2">
        <v>46288</v>
      </c>
      <c r="AP3540" s="1" t="s">
        <v>248</v>
      </c>
      <c r="AQ3540" s="2">
        <v>46288</v>
      </c>
      <c r="AR3540" s="1" t="s">
        <v>819</v>
      </c>
      <c r="AS3540" s="1" t="s">
        <v>71</v>
      </c>
      <c r="AU3540" s="1" t="s">
        <v>79</v>
      </c>
      <c r="AV3540" s="1" t="s">
        <v>80</v>
      </c>
      <c r="AW3540" s="1">
        <v>8.3000000000000007</v>
      </c>
      <c r="AX3540" s="1">
        <v>0</v>
      </c>
      <c r="AZ3540" s="1" t="s">
        <v>81</v>
      </c>
      <c r="BA3540" s="1">
        <v>2</v>
      </c>
      <c r="BB3540" s="1">
        <v>0</v>
      </c>
      <c r="BC3540" s="1">
        <v>0</v>
      </c>
      <c r="BE3540" s="1">
        <v>27661848</v>
      </c>
    </row>
    <row r="3541" spans="1:57" x14ac:dyDescent="0.25">
      <c r="A3541" s="1" t="str">
        <f>T("1949390042313727816")</f>
        <v>1949390042313727816</v>
      </c>
      <c r="B3541" s="1" t="str">
        <f>T("249129687564")</f>
        <v>249129687564</v>
      </c>
      <c r="C3541" s="1" t="str">
        <f>T("1941094533068489008")</f>
        <v>1941094533068489008</v>
      </c>
      <c r="AA3541" s="1">
        <v>1</v>
      </c>
      <c r="AC3541" s="1" t="s">
        <v>344</v>
      </c>
      <c r="AD3541" s="1" t="s">
        <v>372</v>
      </c>
      <c r="AE3541" s="1" t="s">
        <v>814</v>
      </c>
      <c r="AF3541" s="1" t="s">
        <v>107</v>
      </c>
      <c r="AG3541" s="1">
        <v>29</v>
      </c>
      <c r="AO3541" s="2">
        <v>46288</v>
      </c>
      <c r="AP3541" s="1" t="s">
        <v>248</v>
      </c>
      <c r="AQ3541" s="2">
        <v>46288</v>
      </c>
      <c r="AR3541" s="1" t="s">
        <v>898</v>
      </c>
      <c r="AS3541" s="1" t="s">
        <v>71</v>
      </c>
      <c r="AU3541" s="1" t="s">
        <v>79</v>
      </c>
      <c r="AV3541" s="1" t="s">
        <v>80</v>
      </c>
      <c r="AW3541" s="1">
        <v>36.76</v>
      </c>
      <c r="AX3541" s="1">
        <v>0</v>
      </c>
      <c r="AZ3541" s="1" t="s">
        <v>81</v>
      </c>
      <c r="BA3541" s="1">
        <v>4</v>
      </c>
      <c r="BB3541" s="1">
        <v>0</v>
      </c>
      <c r="BC3541" s="1">
        <v>0</v>
      </c>
      <c r="BE3541" s="1">
        <v>27661848</v>
      </c>
    </row>
    <row r="3542" spans="1:57" x14ac:dyDescent="0.25">
      <c r="A3542" s="1" t="str">
        <f>T("1949390042376640936")</f>
        <v>1949390042376640936</v>
      </c>
      <c r="B3542" s="1" t="str">
        <f>T("249968423470")</f>
        <v>249968423470</v>
      </c>
      <c r="C3542" s="1" t="str">
        <f>T("1941094533068489408")</f>
        <v>1941094533068489408</v>
      </c>
      <c r="AC3542" s="1" t="s">
        <v>344</v>
      </c>
      <c r="AD3542" s="1" t="s">
        <v>372</v>
      </c>
      <c r="AE3542" s="1" t="s">
        <v>373</v>
      </c>
      <c r="AF3542" s="1" t="s">
        <v>107</v>
      </c>
      <c r="AG3542" s="1">
        <v>26</v>
      </c>
      <c r="AO3542" s="2">
        <v>46288</v>
      </c>
      <c r="AP3542" s="1" t="s">
        <v>248</v>
      </c>
      <c r="AS3542" s="1" t="s">
        <v>71</v>
      </c>
      <c r="AU3542" s="1" t="s">
        <v>72</v>
      </c>
      <c r="AV3542" s="1" t="s">
        <v>437</v>
      </c>
      <c r="AX3542" s="1">
        <v>0</v>
      </c>
      <c r="BA3542" s="1">
        <v>9</v>
      </c>
      <c r="BB3542" s="1">
        <v>0</v>
      </c>
      <c r="BC3542" s="1">
        <v>0</v>
      </c>
      <c r="BE3542" s="1">
        <v>27661848</v>
      </c>
    </row>
    <row r="3543" spans="1:57" x14ac:dyDescent="0.25">
      <c r="A3543" s="1" t="str">
        <f>T("1949390042452139680")</f>
        <v>1949390042452139680</v>
      </c>
      <c r="B3543" s="1" t="str">
        <f>T("249918814491")</f>
        <v>249918814491</v>
      </c>
      <c r="C3543" s="1" t="str">
        <f>T("1941094533068490308")</f>
        <v>1941094533068490308</v>
      </c>
      <c r="AC3543" s="1" t="s">
        <v>344</v>
      </c>
      <c r="AD3543" s="1" t="s">
        <v>372</v>
      </c>
      <c r="AE3543" s="1" t="s">
        <v>813</v>
      </c>
      <c r="AF3543" s="1" t="s">
        <v>107</v>
      </c>
      <c r="AG3543" s="1">
        <v>67</v>
      </c>
      <c r="AO3543" s="2">
        <v>46288</v>
      </c>
      <c r="AP3543" s="1" t="s">
        <v>248</v>
      </c>
      <c r="AS3543" s="1" t="s">
        <v>71</v>
      </c>
      <c r="AU3543" s="1" t="s">
        <v>72</v>
      </c>
      <c r="AV3543" s="1" t="s">
        <v>437</v>
      </c>
      <c r="AX3543" s="1">
        <v>0</v>
      </c>
      <c r="BA3543" s="1">
        <v>9</v>
      </c>
      <c r="BB3543" s="1">
        <v>0</v>
      </c>
      <c r="BC3543" s="1">
        <v>0</v>
      </c>
      <c r="BE3543" s="1">
        <v>27661848</v>
      </c>
    </row>
    <row r="3544" spans="1:57" x14ac:dyDescent="0.25">
      <c r="A3544" s="1" t="str">
        <f>T("1949390042519247708")</f>
        <v>1949390042519247708</v>
      </c>
      <c r="B3544" s="1" t="str">
        <f>T("249907924350")</f>
        <v>249907924350</v>
      </c>
      <c r="C3544" s="1" t="str">
        <f>T("1941094533068490708")</f>
        <v>1941094533068490708</v>
      </c>
      <c r="AC3544" s="1" t="s">
        <v>344</v>
      </c>
      <c r="AD3544" s="1" t="s">
        <v>372</v>
      </c>
      <c r="AE3544" s="1" t="s">
        <v>820</v>
      </c>
      <c r="AF3544" s="1" t="s">
        <v>107</v>
      </c>
      <c r="AG3544" s="1">
        <v>45</v>
      </c>
      <c r="AO3544" s="2">
        <v>46288</v>
      </c>
      <c r="AP3544" s="1" t="s">
        <v>248</v>
      </c>
      <c r="AS3544" s="1" t="s">
        <v>71</v>
      </c>
      <c r="AU3544" s="1" t="s">
        <v>72</v>
      </c>
      <c r="AV3544" s="1" t="s">
        <v>73</v>
      </c>
      <c r="AX3544" s="1">
        <v>0</v>
      </c>
      <c r="BA3544" s="1">
        <v>9</v>
      </c>
      <c r="BB3544" s="1">
        <v>0</v>
      </c>
      <c r="BC3544" s="1">
        <v>0</v>
      </c>
      <c r="BE3544" s="1">
        <v>27661848</v>
      </c>
    </row>
    <row r="3545" spans="1:57" x14ac:dyDescent="0.25">
      <c r="A3545" s="1" t="str">
        <f>T("1949390042590550644")</f>
        <v>1949390042590550644</v>
      </c>
      <c r="B3545" s="1" t="str">
        <f>T("249921062594")</f>
        <v>249921062594</v>
      </c>
      <c r="C3545" s="1" t="str">
        <f>T("1941094533068491108")</f>
        <v>1941094533068491108</v>
      </c>
      <c r="M3545" s="1" t="s">
        <v>59</v>
      </c>
      <c r="O3545" s="1" t="s">
        <v>65</v>
      </c>
      <c r="P3545" s="1" t="s">
        <v>111</v>
      </c>
      <c r="Q3545" s="1" t="s">
        <v>62</v>
      </c>
      <c r="AA3545" s="1">
        <v>1</v>
      </c>
      <c r="AC3545" s="1" t="s">
        <v>344</v>
      </c>
      <c r="AD3545" s="1" t="s">
        <v>372</v>
      </c>
      <c r="AE3545" s="1" t="s">
        <v>814</v>
      </c>
      <c r="AF3545" s="1" t="s">
        <v>144</v>
      </c>
      <c r="AG3545" s="1">
        <v>26</v>
      </c>
      <c r="AO3545" s="2">
        <v>46288</v>
      </c>
      <c r="AP3545" s="1" t="s">
        <v>248</v>
      </c>
      <c r="AQ3545" s="2">
        <v>46288</v>
      </c>
      <c r="AR3545" s="1" t="s">
        <v>899</v>
      </c>
      <c r="AS3545" s="1" t="s">
        <v>71</v>
      </c>
      <c r="AU3545" s="1" t="s">
        <v>79</v>
      </c>
      <c r="AV3545" s="1" t="s">
        <v>80</v>
      </c>
      <c r="AW3545" s="1">
        <v>129.78</v>
      </c>
      <c r="AX3545" s="1">
        <v>0</v>
      </c>
      <c r="AZ3545" s="1" t="s">
        <v>81</v>
      </c>
      <c r="BA3545" s="1">
        <v>2</v>
      </c>
      <c r="BB3545" s="1">
        <v>0</v>
      </c>
      <c r="BC3545" s="1">
        <v>0</v>
      </c>
      <c r="BE3545" s="1">
        <v>27661848</v>
      </c>
    </row>
    <row r="3546" spans="1:57" x14ac:dyDescent="0.25">
      <c r="A3546" s="1" t="str">
        <f>T("1949390042666047088")</f>
        <v>1949390042666047088</v>
      </c>
      <c r="B3546" s="1" t="str">
        <f>T("249966902801")</f>
        <v>249966902801</v>
      </c>
      <c r="C3546" s="1" t="str">
        <f>T("1941094533068491908")</f>
        <v>1941094533068491908</v>
      </c>
      <c r="AC3546" s="1" t="s">
        <v>344</v>
      </c>
      <c r="AD3546" s="1" t="s">
        <v>430</v>
      </c>
      <c r="AE3546" s="1" t="s">
        <v>530</v>
      </c>
      <c r="AF3546" s="1" t="s">
        <v>144</v>
      </c>
      <c r="AG3546" s="1">
        <v>42</v>
      </c>
      <c r="AO3546" s="2">
        <v>46288</v>
      </c>
      <c r="AP3546" s="1" t="s">
        <v>248</v>
      </c>
      <c r="AS3546" s="1" t="s">
        <v>71</v>
      </c>
      <c r="AU3546" s="1" t="s">
        <v>72</v>
      </c>
      <c r="AV3546" s="1" t="s">
        <v>437</v>
      </c>
      <c r="AX3546" s="1">
        <v>0</v>
      </c>
      <c r="BA3546" s="1">
        <v>9</v>
      </c>
      <c r="BB3546" s="1">
        <v>0</v>
      </c>
      <c r="BC3546" s="1">
        <v>0</v>
      </c>
      <c r="BE3546" s="1">
        <v>27661848</v>
      </c>
    </row>
    <row r="3547" spans="1:57" x14ac:dyDescent="0.25">
      <c r="A3547" s="1" t="str">
        <f>T("1949390042728963008")</f>
        <v>1949390042728963008</v>
      </c>
      <c r="B3547" s="1" t="str">
        <f>T("249963811024")</f>
        <v>249963811024</v>
      </c>
      <c r="C3547" s="1" t="str">
        <f>T("1941094533068492408")</f>
        <v>1941094533068492408</v>
      </c>
      <c r="AC3547" s="1" t="s">
        <v>344</v>
      </c>
      <c r="AD3547" s="1" t="s">
        <v>441</v>
      </c>
      <c r="AE3547" s="1" t="s">
        <v>530</v>
      </c>
      <c r="AF3547" s="1" t="s">
        <v>144</v>
      </c>
      <c r="AG3547" s="1">
        <v>30</v>
      </c>
      <c r="AO3547" s="2">
        <v>46288</v>
      </c>
      <c r="AP3547" s="1" t="s">
        <v>248</v>
      </c>
      <c r="AS3547" s="1" t="s">
        <v>71</v>
      </c>
      <c r="AU3547" s="1" t="s">
        <v>72</v>
      </c>
      <c r="AV3547" s="1" t="s">
        <v>437</v>
      </c>
      <c r="AX3547" s="1">
        <v>0</v>
      </c>
      <c r="BA3547" s="1">
        <v>9</v>
      </c>
      <c r="BB3547" s="1">
        <v>0</v>
      </c>
      <c r="BC3547" s="1">
        <v>0</v>
      </c>
      <c r="BE3547" s="1">
        <v>27661848</v>
      </c>
    </row>
    <row r="3548" spans="1:57" x14ac:dyDescent="0.25">
      <c r="A3548" s="1" t="str">
        <f>T("1949390042800265344")</f>
        <v>1949390042800265344</v>
      </c>
      <c r="B3548" s="1" t="str">
        <f>T("249900586993")</f>
        <v>249900586993</v>
      </c>
      <c r="C3548" s="1" t="str">
        <f>T("1941094533072683016")</f>
        <v>1941094533072683016</v>
      </c>
      <c r="AC3548" s="1" t="s">
        <v>344</v>
      </c>
      <c r="AD3548" s="1" t="s">
        <v>441</v>
      </c>
      <c r="AE3548" s="1" t="s">
        <v>530</v>
      </c>
      <c r="AF3548" s="1" t="s">
        <v>107</v>
      </c>
      <c r="AG3548" s="1">
        <v>30</v>
      </c>
      <c r="AO3548" s="2">
        <v>46288</v>
      </c>
      <c r="AP3548" s="1" t="s">
        <v>248</v>
      </c>
      <c r="AS3548" s="1" t="s">
        <v>71</v>
      </c>
      <c r="AU3548" s="1" t="s">
        <v>72</v>
      </c>
      <c r="AV3548" s="1" t="s">
        <v>437</v>
      </c>
      <c r="AX3548" s="1">
        <v>0</v>
      </c>
      <c r="BA3548" s="1">
        <v>9</v>
      </c>
      <c r="BB3548" s="1">
        <v>0</v>
      </c>
      <c r="BC3548" s="1">
        <v>0</v>
      </c>
      <c r="BE3548" s="1">
        <v>27661848</v>
      </c>
    </row>
    <row r="3549" spans="1:57" x14ac:dyDescent="0.25">
      <c r="A3549" s="1" t="str">
        <f>T("1949390042871567980")</f>
        <v>1949390042871567980</v>
      </c>
      <c r="B3549" s="1" t="str">
        <f>T("249967120497")</f>
        <v>249967120497</v>
      </c>
      <c r="C3549" s="1" t="str">
        <f>T("1941094533072683516")</f>
        <v>1941094533072683516</v>
      </c>
      <c r="AC3549" s="1" t="s">
        <v>344</v>
      </c>
      <c r="AD3549" s="1" t="s">
        <v>441</v>
      </c>
      <c r="AE3549" s="1" t="s">
        <v>530</v>
      </c>
      <c r="AF3549" s="1" t="s">
        <v>107</v>
      </c>
      <c r="AG3549" s="1">
        <v>48</v>
      </c>
      <c r="AO3549" s="2">
        <v>46288</v>
      </c>
      <c r="AP3549" s="1" t="s">
        <v>248</v>
      </c>
      <c r="AS3549" s="1" t="s">
        <v>71</v>
      </c>
      <c r="AU3549" s="1" t="s">
        <v>72</v>
      </c>
      <c r="AV3549" s="1" t="s">
        <v>126</v>
      </c>
      <c r="AX3549" s="1">
        <v>0</v>
      </c>
      <c r="BA3549" s="1">
        <v>9</v>
      </c>
      <c r="BB3549" s="1">
        <v>0</v>
      </c>
      <c r="BC3549" s="1">
        <v>0</v>
      </c>
      <c r="BE3549" s="1">
        <v>27661848</v>
      </c>
    </row>
    <row r="3550" spans="1:57" x14ac:dyDescent="0.25">
      <c r="A3550" s="1" t="str">
        <f>T("1949390042942871016")</f>
        <v>1949390042942871016</v>
      </c>
      <c r="B3550" s="1" t="str">
        <f>T("249906479590")</f>
        <v>249906479590</v>
      </c>
      <c r="C3550" s="1" t="str">
        <f>T("1941094533072683916")</f>
        <v>1941094533072683916</v>
      </c>
      <c r="AC3550" s="1" t="s">
        <v>344</v>
      </c>
      <c r="AD3550" s="1" t="s">
        <v>372</v>
      </c>
      <c r="AE3550" s="1" t="s">
        <v>813</v>
      </c>
      <c r="AF3550" s="1" t="s">
        <v>144</v>
      </c>
      <c r="AG3550" s="1">
        <v>27</v>
      </c>
      <c r="AO3550" s="2">
        <v>46288</v>
      </c>
      <c r="AP3550" s="1" t="s">
        <v>248</v>
      </c>
      <c r="AS3550" s="1" t="s">
        <v>71</v>
      </c>
      <c r="AU3550" s="1" t="s">
        <v>72</v>
      </c>
      <c r="AV3550" s="1" t="s">
        <v>73</v>
      </c>
      <c r="AX3550" s="1">
        <v>0</v>
      </c>
      <c r="BA3550" s="1">
        <v>9</v>
      </c>
      <c r="BB3550" s="1">
        <v>0</v>
      </c>
      <c r="BC3550" s="1">
        <v>0</v>
      </c>
      <c r="BE3550" s="1">
        <v>27661848</v>
      </c>
    </row>
    <row r="3551" spans="1:57" x14ac:dyDescent="0.25">
      <c r="A3551" s="1" t="str">
        <f>T("1949390043026757676")</f>
        <v>1949390043026757676</v>
      </c>
      <c r="B3551" s="1" t="str">
        <f>T("249917557420")</f>
        <v>249917557420</v>
      </c>
      <c r="C3551" s="1" t="str">
        <f>T("1941094533072684316")</f>
        <v>1941094533072684316</v>
      </c>
      <c r="AC3551" s="1" t="s">
        <v>344</v>
      </c>
      <c r="AD3551" s="1" t="s">
        <v>430</v>
      </c>
      <c r="AE3551" s="1" t="s">
        <v>530</v>
      </c>
      <c r="AF3551" s="1" t="s">
        <v>107</v>
      </c>
      <c r="AG3551" s="1">
        <v>31</v>
      </c>
      <c r="AO3551" s="2">
        <v>46288</v>
      </c>
      <c r="AP3551" s="1" t="s">
        <v>248</v>
      </c>
      <c r="AS3551" s="1" t="s">
        <v>71</v>
      </c>
      <c r="AU3551" s="1" t="s">
        <v>72</v>
      </c>
      <c r="AV3551" s="1" t="s">
        <v>73</v>
      </c>
      <c r="AX3551" s="1">
        <v>0</v>
      </c>
      <c r="BA3551" s="1">
        <v>9</v>
      </c>
      <c r="BB3551" s="1">
        <v>0</v>
      </c>
      <c r="BC3551" s="1">
        <v>0</v>
      </c>
      <c r="BE3551" s="1">
        <v>27661848</v>
      </c>
    </row>
    <row r="3552" spans="1:57" x14ac:dyDescent="0.25">
      <c r="A3552" s="1" t="str">
        <f>T("1949390043181946272")</f>
        <v>1949390043181946272</v>
      </c>
      <c r="B3552" s="1" t="str">
        <f>T("249969816890")</f>
        <v>249969816890</v>
      </c>
      <c r="C3552" s="1" t="str">
        <f>T("1941094533072684816")</f>
        <v>1941094533072684816</v>
      </c>
      <c r="AC3552" s="1" t="s">
        <v>344</v>
      </c>
      <c r="AD3552" s="1" t="s">
        <v>372</v>
      </c>
      <c r="AE3552" s="1" t="s">
        <v>814</v>
      </c>
      <c r="AF3552" s="1" t="s">
        <v>144</v>
      </c>
      <c r="AG3552" s="1">
        <v>40</v>
      </c>
      <c r="AO3552" s="2">
        <v>46288</v>
      </c>
      <c r="AP3552" s="1" t="s">
        <v>248</v>
      </c>
      <c r="AS3552" s="1" t="s">
        <v>71</v>
      </c>
      <c r="AU3552" s="1" t="s">
        <v>72</v>
      </c>
      <c r="AV3552" s="1" t="s">
        <v>73</v>
      </c>
      <c r="AX3552" s="1">
        <v>0</v>
      </c>
      <c r="BA3552" s="1">
        <v>9</v>
      </c>
      <c r="BB3552" s="1">
        <v>0</v>
      </c>
      <c r="BC3552" s="1">
        <v>0</v>
      </c>
      <c r="BE3552" s="1">
        <v>27661848</v>
      </c>
    </row>
    <row r="3553" spans="1:57" x14ac:dyDescent="0.25">
      <c r="A3553" s="1" t="str">
        <f>T("1949390043261637424")</f>
        <v>1949390043261637424</v>
      </c>
      <c r="B3553" s="1" t="str">
        <f>T("249911035212")</f>
        <v>249911035212</v>
      </c>
      <c r="C3553" s="1" t="str">
        <f>T("1941094533072685216")</f>
        <v>1941094533072685216</v>
      </c>
      <c r="AC3553" s="1" t="s">
        <v>344</v>
      </c>
      <c r="AD3553" s="1" t="s">
        <v>441</v>
      </c>
      <c r="AE3553" s="1" t="s">
        <v>530</v>
      </c>
      <c r="AF3553" s="1" t="s">
        <v>107</v>
      </c>
      <c r="AG3553" s="1">
        <v>25</v>
      </c>
      <c r="AO3553" s="2">
        <v>46288</v>
      </c>
      <c r="AP3553" s="1" t="s">
        <v>248</v>
      </c>
      <c r="AS3553" s="1" t="s">
        <v>71</v>
      </c>
      <c r="AU3553" s="1" t="s">
        <v>72</v>
      </c>
      <c r="AV3553" s="1" t="s">
        <v>437</v>
      </c>
      <c r="AX3553" s="1">
        <v>0</v>
      </c>
      <c r="BA3553" s="1">
        <v>9</v>
      </c>
      <c r="BB3553" s="1">
        <v>0</v>
      </c>
      <c r="BC3553" s="1">
        <v>0</v>
      </c>
      <c r="BE3553" s="1">
        <v>27661848</v>
      </c>
    </row>
    <row r="3554" spans="1:57" x14ac:dyDescent="0.25">
      <c r="A3554" s="1" t="str">
        <f>T("1949390043324553444")</f>
        <v>1949390043324553444</v>
      </c>
      <c r="B3554" s="1" t="str">
        <f>T("249915080843")</f>
        <v>249915080843</v>
      </c>
      <c r="C3554" s="1" t="str">
        <f>T("1941094533072685716")</f>
        <v>1941094533072685716</v>
      </c>
      <c r="AC3554" s="1" t="s">
        <v>344</v>
      </c>
      <c r="AD3554" s="1" t="s">
        <v>372</v>
      </c>
      <c r="AE3554" s="1" t="s">
        <v>813</v>
      </c>
      <c r="AF3554" s="1" t="s">
        <v>144</v>
      </c>
      <c r="AG3554" s="1">
        <v>37</v>
      </c>
      <c r="AO3554" s="2">
        <v>46288</v>
      </c>
      <c r="AP3554" s="1" t="s">
        <v>248</v>
      </c>
      <c r="AS3554" s="1" t="s">
        <v>71</v>
      </c>
      <c r="AU3554" s="1" t="s">
        <v>72</v>
      </c>
      <c r="AV3554" s="1" t="s">
        <v>73</v>
      </c>
      <c r="AX3554" s="1">
        <v>0</v>
      </c>
      <c r="BA3554" s="1">
        <v>9</v>
      </c>
      <c r="BB3554" s="1">
        <v>0</v>
      </c>
      <c r="BC3554" s="1">
        <v>0</v>
      </c>
      <c r="BE3554" s="1">
        <v>27661848</v>
      </c>
    </row>
    <row r="3555" spans="1:57" x14ac:dyDescent="0.25">
      <c r="A3555" s="1" t="str">
        <f>T("1949390043383274556")</f>
        <v>1949390043383274556</v>
      </c>
      <c r="B3555" s="1" t="str">
        <f>T("249905626348")</f>
        <v>249905626348</v>
      </c>
      <c r="C3555" s="1" t="str">
        <f>T("1941094533072686216")</f>
        <v>1941094533072686216</v>
      </c>
      <c r="AC3555" s="1" t="s">
        <v>344</v>
      </c>
      <c r="AD3555" s="1" t="s">
        <v>372</v>
      </c>
      <c r="AE3555" s="1" t="s">
        <v>373</v>
      </c>
      <c r="AF3555" s="1" t="s">
        <v>107</v>
      </c>
      <c r="AG3555" s="1">
        <v>35</v>
      </c>
      <c r="AO3555" s="2">
        <v>46288</v>
      </c>
      <c r="AP3555" s="1" t="s">
        <v>248</v>
      </c>
      <c r="AS3555" s="1" t="s">
        <v>71</v>
      </c>
      <c r="AU3555" s="1" t="s">
        <v>72</v>
      </c>
      <c r="AV3555" s="1" t="s">
        <v>126</v>
      </c>
      <c r="AX3555" s="1">
        <v>0</v>
      </c>
      <c r="BA3555" s="1">
        <v>9</v>
      </c>
      <c r="BB3555" s="1">
        <v>0</v>
      </c>
      <c r="BC3555" s="1">
        <v>0</v>
      </c>
      <c r="BE3555" s="1">
        <v>27661848</v>
      </c>
    </row>
    <row r="3556" spans="1:57" x14ac:dyDescent="0.25">
      <c r="A3556" s="1" t="str">
        <f>T("1949390043450380584")</f>
        <v>1949390043450380584</v>
      </c>
      <c r="B3556" s="1" t="str">
        <f>T("249902793337")</f>
        <v>249902793337</v>
      </c>
      <c r="C3556" s="1" t="str">
        <f>T("1941094533072686616")</f>
        <v>1941094533072686616</v>
      </c>
      <c r="AC3556" s="1" t="s">
        <v>344</v>
      </c>
      <c r="AD3556" s="1" t="s">
        <v>441</v>
      </c>
      <c r="AE3556" s="1" t="s">
        <v>530</v>
      </c>
      <c r="AF3556" s="1" t="s">
        <v>144</v>
      </c>
      <c r="AG3556" s="1">
        <v>58</v>
      </c>
      <c r="AO3556" s="2">
        <v>46288</v>
      </c>
      <c r="AP3556" s="1" t="s">
        <v>248</v>
      </c>
      <c r="AS3556" s="1" t="s">
        <v>71</v>
      </c>
      <c r="AU3556" s="1" t="s">
        <v>72</v>
      </c>
      <c r="AV3556" s="1" t="s">
        <v>437</v>
      </c>
      <c r="AX3556" s="1">
        <v>0</v>
      </c>
      <c r="BA3556" s="1">
        <v>9</v>
      </c>
      <c r="BB3556" s="1">
        <v>0</v>
      </c>
      <c r="BC3556" s="1">
        <v>0</v>
      </c>
      <c r="BE3556" s="1">
        <v>27661848</v>
      </c>
    </row>
    <row r="3557" spans="1:57" x14ac:dyDescent="0.25">
      <c r="A3557" s="1" t="str">
        <f>T("1949390043517489312")</f>
        <v>1949390043517489312</v>
      </c>
      <c r="B3557" s="1" t="str">
        <f>T("249906876739")</f>
        <v>249906876739</v>
      </c>
      <c r="C3557" s="1" t="str">
        <f>T("1941094533072687016")</f>
        <v>1941094533072687016</v>
      </c>
      <c r="AC3557" s="1" t="s">
        <v>344</v>
      </c>
      <c r="AD3557" s="1" t="s">
        <v>441</v>
      </c>
      <c r="AE3557" s="1" t="s">
        <v>530</v>
      </c>
      <c r="AF3557" s="1" t="s">
        <v>107</v>
      </c>
      <c r="AG3557" s="1">
        <v>40</v>
      </c>
      <c r="AO3557" s="2">
        <v>46288</v>
      </c>
      <c r="AP3557" s="1" t="s">
        <v>248</v>
      </c>
      <c r="AS3557" s="1" t="s">
        <v>71</v>
      </c>
      <c r="AU3557" s="1" t="s">
        <v>72</v>
      </c>
      <c r="AV3557" s="1" t="s">
        <v>126</v>
      </c>
      <c r="AX3557" s="1">
        <v>0</v>
      </c>
      <c r="BA3557" s="1">
        <v>9</v>
      </c>
      <c r="BB3557" s="1">
        <v>0</v>
      </c>
      <c r="BC3557" s="1">
        <v>0</v>
      </c>
      <c r="BE3557" s="1">
        <v>27661848</v>
      </c>
    </row>
    <row r="3558" spans="1:57" x14ac:dyDescent="0.25">
      <c r="A3558" s="1" t="str">
        <f>T("1949390043584601340")</f>
        <v>1949390043584601340</v>
      </c>
      <c r="B3558" s="1" t="str">
        <f>T("249964623093")</f>
        <v>249964623093</v>
      </c>
      <c r="C3558" s="1" t="str">
        <f>T("1941094533076877624")</f>
        <v>1941094533076877624</v>
      </c>
      <c r="AC3558" s="1" t="s">
        <v>344</v>
      </c>
      <c r="AD3558" s="1" t="s">
        <v>441</v>
      </c>
      <c r="AE3558" s="1" t="s">
        <v>530</v>
      </c>
      <c r="AF3558" s="1" t="s">
        <v>144</v>
      </c>
      <c r="AG3558" s="1">
        <v>32</v>
      </c>
      <c r="AO3558" s="2">
        <v>46288</v>
      </c>
      <c r="AP3558" s="1" t="s">
        <v>248</v>
      </c>
      <c r="AS3558" s="1" t="s">
        <v>71</v>
      </c>
      <c r="AU3558" s="1" t="s">
        <v>72</v>
      </c>
      <c r="AV3558" s="1" t="s">
        <v>437</v>
      </c>
      <c r="AX3558" s="1">
        <v>0</v>
      </c>
      <c r="BA3558" s="1">
        <v>9</v>
      </c>
      <c r="BB3558" s="1">
        <v>0</v>
      </c>
      <c r="BC3558" s="1">
        <v>0</v>
      </c>
      <c r="BE3558" s="1">
        <v>27661848</v>
      </c>
    </row>
    <row r="3559" spans="1:57" x14ac:dyDescent="0.25">
      <c r="A3559" s="1" t="str">
        <f>T("1949390043647513360")</f>
        <v>1949390043647513360</v>
      </c>
      <c r="B3559" s="1" t="str">
        <f>T("249962727804")</f>
        <v>249962727804</v>
      </c>
      <c r="C3559" s="1" t="str">
        <f>T("1941094533076877924")</f>
        <v>1941094533076877924</v>
      </c>
      <c r="AC3559" s="1" t="s">
        <v>344</v>
      </c>
      <c r="AD3559" s="1" t="s">
        <v>430</v>
      </c>
      <c r="AE3559" s="1" t="s">
        <v>530</v>
      </c>
      <c r="AF3559" s="1" t="s">
        <v>144</v>
      </c>
      <c r="AG3559" s="1">
        <v>50</v>
      </c>
      <c r="AO3559" s="2">
        <v>46288</v>
      </c>
      <c r="AP3559" s="1" t="s">
        <v>248</v>
      </c>
      <c r="AS3559" s="1" t="s">
        <v>71</v>
      </c>
      <c r="AU3559" s="1" t="s">
        <v>72</v>
      </c>
      <c r="AV3559" s="1" t="s">
        <v>73</v>
      </c>
      <c r="AX3559" s="1">
        <v>0</v>
      </c>
      <c r="BA3559" s="1">
        <v>9</v>
      </c>
      <c r="BB3559" s="1">
        <v>0</v>
      </c>
      <c r="BC3559" s="1">
        <v>0</v>
      </c>
      <c r="BE3559" s="1">
        <v>27661848</v>
      </c>
    </row>
    <row r="3560" spans="1:57" x14ac:dyDescent="0.25">
      <c r="A3560" s="1" t="str">
        <f>T("1949390043714622288")</f>
        <v>1949390043714622288</v>
      </c>
      <c r="B3560" s="1" t="str">
        <f>T("249915830770")</f>
        <v>249915830770</v>
      </c>
      <c r="C3560" s="1" t="str">
        <f>T("1941094533076878424")</f>
        <v>1941094533076878424</v>
      </c>
      <c r="AC3560" s="1" t="s">
        <v>344</v>
      </c>
      <c r="AD3560" s="1" t="s">
        <v>372</v>
      </c>
      <c r="AE3560" s="1" t="s">
        <v>373</v>
      </c>
      <c r="AF3560" s="1" t="s">
        <v>107</v>
      </c>
      <c r="AG3560" s="1">
        <v>25</v>
      </c>
      <c r="AO3560" s="2">
        <v>46288</v>
      </c>
      <c r="AP3560" s="1" t="s">
        <v>248</v>
      </c>
      <c r="AS3560" s="1" t="s">
        <v>71</v>
      </c>
      <c r="AU3560" s="1" t="s">
        <v>72</v>
      </c>
      <c r="AV3560" s="1" t="s">
        <v>126</v>
      </c>
      <c r="AX3560" s="1">
        <v>0</v>
      </c>
      <c r="BA3560" s="1">
        <v>9</v>
      </c>
      <c r="BB3560" s="1">
        <v>0</v>
      </c>
      <c r="BC3560" s="1">
        <v>0</v>
      </c>
      <c r="BE3560" s="1">
        <v>27661848</v>
      </c>
    </row>
    <row r="3561" spans="1:57" x14ac:dyDescent="0.25">
      <c r="A3561" s="1" t="str">
        <f>T("1949390043773344800")</f>
        <v>1949390043773344800</v>
      </c>
      <c r="B3561" s="1" t="str">
        <f>T("249965496933")</f>
        <v>249965496933</v>
      </c>
      <c r="C3561" s="1" t="str">
        <f>T("1941094533076878724")</f>
        <v>1941094533076878724</v>
      </c>
      <c r="AC3561" s="1" t="s">
        <v>344</v>
      </c>
      <c r="AD3561" s="1" t="s">
        <v>430</v>
      </c>
      <c r="AE3561" s="1" t="s">
        <v>530</v>
      </c>
      <c r="AF3561" s="1" t="s">
        <v>107</v>
      </c>
      <c r="AG3561" s="1">
        <v>24</v>
      </c>
      <c r="AO3561" s="2">
        <v>46288</v>
      </c>
      <c r="AP3561" s="1" t="s">
        <v>248</v>
      </c>
      <c r="AS3561" s="1" t="s">
        <v>71</v>
      </c>
      <c r="AU3561" s="1" t="s">
        <v>72</v>
      </c>
      <c r="AV3561" s="1" t="s">
        <v>126</v>
      </c>
      <c r="AX3561" s="1">
        <v>0</v>
      </c>
      <c r="BA3561" s="1">
        <v>9</v>
      </c>
      <c r="BB3561" s="1">
        <v>0</v>
      </c>
      <c r="BC3561" s="1">
        <v>0</v>
      </c>
      <c r="BE3561" s="1">
        <v>27661848</v>
      </c>
    </row>
    <row r="3562" spans="1:57" x14ac:dyDescent="0.25">
      <c r="A3562" s="1" t="str">
        <f>T("1949390043840450728")</f>
        <v>1949390043840450728</v>
      </c>
      <c r="B3562" s="1" t="str">
        <f>T("249961337903")</f>
        <v>249961337903</v>
      </c>
      <c r="C3562" s="1" t="str">
        <f>T("1941094533076879124")</f>
        <v>1941094533076879124</v>
      </c>
      <c r="AC3562" s="1" t="s">
        <v>344</v>
      </c>
      <c r="AD3562" s="1" t="s">
        <v>441</v>
      </c>
      <c r="AE3562" s="1" t="s">
        <v>530</v>
      </c>
      <c r="AF3562" s="1" t="s">
        <v>144</v>
      </c>
      <c r="AG3562" s="1">
        <v>30</v>
      </c>
      <c r="AO3562" s="2">
        <v>46288</v>
      </c>
      <c r="AP3562" s="1" t="s">
        <v>248</v>
      </c>
      <c r="AS3562" s="1" t="s">
        <v>71</v>
      </c>
      <c r="AU3562" s="1" t="s">
        <v>72</v>
      </c>
      <c r="AV3562" s="1" t="s">
        <v>73</v>
      </c>
      <c r="AX3562" s="1">
        <v>0</v>
      </c>
      <c r="BA3562" s="1">
        <v>9</v>
      </c>
      <c r="BB3562" s="1">
        <v>0</v>
      </c>
      <c r="BC3562" s="1">
        <v>0</v>
      </c>
      <c r="BE3562" s="1">
        <v>27661848</v>
      </c>
    </row>
    <row r="3563" spans="1:57" x14ac:dyDescent="0.25">
      <c r="A3563" s="1" t="str">
        <f>T("1949390043899171040")</f>
        <v>1949390043899171040</v>
      </c>
      <c r="B3563" s="1" t="str">
        <f>T("249911284182")</f>
        <v>249911284182</v>
      </c>
      <c r="C3563" s="1" t="str">
        <f>T("1941094533076879624")</f>
        <v>1941094533076879624</v>
      </c>
      <c r="AC3563" s="1" t="s">
        <v>344</v>
      </c>
      <c r="AD3563" s="1" t="s">
        <v>372</v>
      </c>
      <c r="AE3563" s="1" t="s">
        <v>814</v>
      </c>
      <c r="AF3563" s="1" t="s">
        <v>144</v>
      </c>
      <c r="AG3563" s="1">
        <v>45</v>
      </c>
      <c r="AO3563" s="2">
        <v>46288</v>
      </c>
      <c r="AP3563" s="1" t="s">
        <v>248</v>
      </c>
      <c r="AS3563" s="1" t="s">
        <v>71</v>
      </c>
      <c r="AU3563" s="1" t="s">
        <v>72</v>
      </c>
      <c r="AV3563" s="1" t="s">
        <v>437</v>
      </c>
      <c r="AX3563" s="1">
        <v>0</v>
      </c>
      <c r="BA3563" s="1">
        <v>9</v>
      </c>
      <c r="BB3563" s="1">
        <v>0</v>
      </c>
      <c r="BC3563" s="1">
        <v>0</v>
      </c>
      <c r="BE3563" s="1">
        <v>27661848</v>
      </c>
    </row>
    <row r="3564" spans="1:57" x14ac:dyDescent="0.25">
      <c r="A3564" s="1" t="str">
        <f>T("1949390043953700644")</f>
        <v>1949390043953700644</v>
      </c>
      <c r="B3564" s="1" t="str">
        <f>T("249960900865")</f>
        <v>249960900865</v>
      </c>
      <c r="C3564" s="1" t="str">
        <f>T("1941094533076880224")</f>
        <v>1941094533076880224</v>
      </c>
      <c r="AC3564" s="1" t="s">
        <v>344</v>
      </c>
      <c r="AD3564" s="1" t="s">
        <v>441</v>
      </c>
      <c r="AE3564" s="1" t="s">
        <v>530</v>
      </c>
      <c r="AF3564" s="1" t="s">
        <v>144</v>
      </c>
      <c r="AG3564" s="1">
        <v>22</v>
      </c>
      <c r="AO3564" s="2">
        <v>46288</v>
      </c>
      <c r="AP3564" s="1" t="s">
        <v>248</v>
      </c>
      <c r="AS3564" s="1" t="s">
        <v>71</v>
      </c>
      <c r="AU3564" s="1" t="s">
        <v>72</v>
      </c>
      <c r="AV3564" s="1" t="s">
        <v>437</v>
      </c>
      <c r="AX3564" s="1">
        <v>0</v>
      </c>
      <c r="BA3564" s="1">
        <v>9</v>
      </c>
      <c r="BB3564" s="1">
        <v>0</v>
      </c>
      <c r="BC3564" s="1">
        <v>0</v>
      </c>
      <c r="BE3564" s="1">
        <v>27661848</v>
      </c>
    </row>
    <row r="3565" spans="1:57" x14ac:dyDescent="0.25">
      <c r="A3565" s="1" t="str">
        <f>T("1949390044016612564")</f>
        <v>1949390044016612564</v>
      </c>
      <c r="B3565" s="1" t="str">
        <f>T("249903202720")</f>
        <v>249903202720</v>
      </c>
      <c r="C3565" s="1" t="str">
        <f>T("1941094533076880824")</f>
        <v>1941094533076880824</v>
      </c>
      <c r="AC3565" s="1" t="s">
        <v>344</v>
      </c>
      <c r="AD3565" s="1" t="s">
        <v>430</v>
      </c>
      <c r="AE3565" s="1" t="s">
        <v>530</v>
      </c>
      <c r="AF3565" s="1" t="s">
        <v>144</v>
      </c>
      <c r="AG3565" s="1">
        <v>50</v>
      </c>
      <c r="AO3565" s="2">
        <v>46288</v>
      </c>
      <c r="AP3565" s="1" t="s">
        <v>248</v>
      </c>
      <c r="AS3565" s="1" t="s">
        <v>71</v>
      </c>
      <c r="AU3565" s="1" t="s">
        <v>72</v>
      </c>
      <c r="AV3565" s="1" t="s">
        <v>126</v>
      </c>
      <c r="AX3565" s="1">
        <v>0</v>
      </c>
      <c r="BA3565" s="1">
        <v>9</v>
      </c>
      <c r="BB3565" s="1">
        <v>0</v>
      </c>
      <c r="BC3565" s="1">
        <v>0</v>
      </c>
      <c r="BE3565" s="1">
        <v>27661848</v>
      </c>
    </row>
    <row r="3566" spans="1:57" x14ac:dyDescent="0.25">
      <c r="A3566" s="1" t="str">
        <f>T("1949390044079526984")</f>
        <v>1949390044079526984</v>
      </c>
      <c r="B3566" s="1" t="str">
        <f>T("249919410089")</f>
        <v>249919410089</v>
      </c>
      <c r="C3566" s="1" t="str">
        <f>T("1941094533076881324")</f>
        <v>1941094533076881324</v>
      </c>
      <c r="AC3566" s="1" t="s">
        <v>344</v>
      </c>
      <c r="AD3566" s="1" t="s">
        <v>430</v>
      </c>
      <c r="AE3566" s="1" t="s">
        <v>530</v>
      </c>
      <c r="AF3566" s="1" t="s">
        <v>144</v>
      </c>
      <c r="AG3566" s="1">
        <v>42</v>
      </c>
      <c r="AO3566" s="2">
        <v>46288</v>
      </c>
      <c r="AP3566" s="1" t="s">
        <v>248</v>
      </c>
      <c r="AS3566" s="1" t="s">
        <v>71</v>
      </c>
      <c r="AU3566" s="1" t="s">
        <v>72</v>
      </c>
      <c r="AV3566" s="1" t="s">
        <v>126</v>
      </c>
      <c r="AX3566" s="1">
        <v>0</v>
      </c>
      <c r="BA3566" s="1">
        <v>9</v>
      </c>
      <c r="BB3566" s="1">
        <v>0</v>
      </c>
      <c r="BC3566" s="1">
        <v>0</v>
      </c>
      <c r="BE3566" s="1">
        <v>27661848</v>
      </c>
    </row>
    <row r="3567" spans="1:57" x14ac:dyDescent="0.25">
      <c r="A3567" s="1" t="str">
        <f>T("1949390044142444004")</f>
        <v>1949390044142444004</v>
      </c>
      <c r="B3567" s="1" t="str">
        <f>T("249904094904")</f>
        <v>249904094904</v>
      </c>
      <c r="C3567" s="1" t="str">
        <f>T("1941094533081072132")</f>
        <v>1941094533081072132</v>
      </c>
      <c r="AC3567" s="1" t="s">
        <v>344</v>
      </c>
      <c r="AD3567" s="1" t="s">
        <v>441</v>
      </c>
      <c r="AE3567" s="1" t="s">
        <v>530</v>
      </c>
      <c r="AF3567" s="1" t="s">
        <v>107</v>
      </c>
      <c r="AG3567" s="1">
        <v>48</v>
      </c>
      <c r="AO3567" s="2">
        <v>46288</v>
      </c>
      <c r="AP3567" s="1" t="s">
        <v>248</v>
      </c>
      <c r="AS3567" s="1" t="s">
        <v>71</v>
      </c>
      <c r="AU3567" s="1" t="s">
        <v>72</v>
      </c>
      <c r="AV3567" s="1" t="s">
        <v>437</v>
      </c>
      <c r="AX3567" s="1">
        <v>0</v>
      </c>
      <c r="BA3567" s="1">
        <v>9</v>
      </c>
      <c r="BB3567" s="1">
        <v>0</v>
      </c>
      <c r="BC3567" s="1">
        <v>0</v>
      </c>
      <c r="BE3567" s="1">
        <v>27661848</v>
      </c>
    </row>
    <row r="3568" spans="1:57" x14ac:dyDescent="0.25">
      <c r="A3568" s="1" t="str">
        <f>T("1949390044205358524")</f>
        <v>1949390044205358524</v>
      </c>
      <c r="B3568" s="1" t="str">
        <f>T("249963816194")</f>
        <v>249963816194</v>
      </c>
      <c r="C3568" s="1" t="str">
        <f>T("1941094533081072532")</f>
        <v>1941094533081072532</v>
      </c>
      <c r="AC3568" s="1" t="s">
        <v>344</v>
      </c>
      <c r="AD3568" s="1" t="s">
        <v>441</v>
      </c>
      <c r="AE3568" s="1" t="s">
        <v>530</v>
      </c>
      <c r="AF3568" s="1" t="s">
        <v>144</v>
      </c>
      <c r="AG3568" s="1">
        <v>55</v>
      </c>
      <c r="AO3568" s="2">
        <v>46288</v>
      </c>
      <c r="AP3568" s="1" t="s">
        <v>248</v>
      </c>
      <c r="AS3568" s="1" t="s">
        <v>71</v>
      </c>
      <c r="AU3568" s="1" t="s">
        <v>72</v>
      </c>
      <c r="AV3568" s="1" t="s">
        <v>73</v>
      </c>
      <c r="AX3568" s="1">
        <v>0</v>
      </c>
      <c r="BA3568" s="1">
        <v>9</v>
      </c>
      <c r="BB3568" s="1">
        <v>0</v>
      </c>
      <c r="BC3568" s="1">
        <v>0</v>
      </c>
      <c r="BE3568" s="1">
        <v>27661848</v>
      </c>
    </row>
    <row r="3569" spans="1:57" x14ac:dyDescent="0.25">
      <c r="A3569" s="1" t="str">
        <f>T("1949390044264079236")</f>
        <v>1949390044264079236</v>
      </c>
      <c r="B3569" s="1" t="str">
        <f>T("249115340003")</f>
        <v>249115340003</v>
      </c>
      <c r="C3569" s="1" t="str">
        <f>T("1941094533081072932")</f>
        <v>1941094533081072932</v>
      </c>
      <c r="AC3569" s="1" t="s">
        <v>344</v>
      </c>
      <c r="AD3569" s="1" t="s">
        <v>372</v>
      </c>
      <c r="AE3569" s="1" t="s">
        <v>820</v>
      </c>
      <c r="AF3569" s="1" t="s">
        <v>107</v>
      </c>
      <c r="AG3569" s="1">
        <v>56</v>
      </c>
      <c r="AO3569" s="2">
        <v>46288</v>
      </c>
      <c r="AP3569" s="1" t="s">
        <v>248</v>
      </c>
      <c r="AQ3569" s="2">
        <v>46288</v>
      </c>
      <c r="AR3569" s="1" t="s">
        <v>900</v>
      </c>
      <c r="AS3569" s="1" t="s">
        <v>71</v>
      </c>
      <c r="AU3569" s="1" t="s">
        <v>79</v>
      </c>
      <c r="AV3569" s="1" t="s">
        <v>80</v>
      </c>
      <c r="AW3569" s="1">
        <v>8.6199999999999992</v>
      </c>
      <c r="AX3569" s="1">
        <v>0</v>
      </c>
      <c r="AZ3569" s="1" t="s">
        <v>81</v>
      </c>
      <c r="BA3569" s="1">
        <v>2</v>
      </c>
      <c r="BB3569" s="1">
        <v>0</v>
      </c>
      <c r="BC3569" s="1">
        <v>0</v>
      </c>
      <c r="BE3569" s="1">
        <v>27661848</v>
      </c>
    </row>
    <row r="3570" spans="1:57" x14ac:dyDescent="0.25">
      <c r="A3570" s="1" t="str">
        <f>T("1949390044339574280")</f>
        <v>1949390044339574280</v>
      </c>
      <c r="B3570" s="1" t="str">
        <f>T("249901104507")</f>
        <v>249901104507</v>
      </c>
      <c r="C3570" s="1" t="str">
        <f>T("1941094533081073932")</f>
        <v>1941094533081073932</v>
      </c>
      <c r="AC3570" s="1" t="s">
        <v>344</v>
      </c>
      <c r="AD3570" s="1" t="s">
        <v>441</v>
      </c>
      <c r="AE3570" s="1" t="s">
        <v>530</v>
      </c>
      <c r="AF3570" s="1" t="s">
        <v>107</v>
      </c>
      <c r="AG3570" s="1">
        <v>65</v>
      </c>
      <c r="AO3570" s="2">
        <v>46288</v>
      </c>
      <c r="AP3570" s="1" t="s">
        <v>248</v>
      </c>
      <c r="AS3570" s="1" t="s">
        <v>71</v>
      </c>
      <c r="AU3570" s="1" t="s">
        <v>72</v>
      </c>
      <c r="AV3570" s="1" t="s">
        <v>437</v>
      </c>
      <c r="AX3570" s="1">
        <v>0</v>
      </c>
      <c r="BA3570" s="1">
        <v>9</v>
      </c>
      <c r="BB3570" s="1">
        <v>0</v>
      </c>
      <c r="BC3570" s="1">
        <v>0</v>
      </c>
      <c r="BE3570" s="1">
        <v>27661848</v>
      </c>
    </row>
    <row r="3571" spans="1:57" x14ac:dyDescent="0.25">
      <c r="A3571" s="1" t="str">
        <f>T("1949390044398295292")</f>
        <v>1949390044398295292</v>
      </c>
      <c r="B3571" s="1" t="str">
        <f>T("249965891756")</f>
        <v>249965891756</v>
      </c>
      <c r="C3571" s="1" t="str">
        <f>T("1941094533081074632")</f>
        <v>1941094533081074632</v>
      </c>
      <c r="AC3571" s="1" t="s">
        <v>344</v>
      </c>
      <c r="AD3571" s="1" t="s">
        <v>441</v>
      </c>
      <c r="AE3571" s="1" t="s">
        <v>530</v>
      </c>
      <c r="AF3571" s="1" t="s">
        <v>107</v>
      </c>
      <c r="AG3571" s="1">
        <v>34</v>
      </c>
      <c r="AO3571" s="2">
        <v>46288</v>
      </c>
      <c r="AP3571" s="1" t="s">
        <v>248</v>
      </c>
      <c r="AS3571" s="1" t="s">
        <v>71</v>
      </c>
      <c r="AU3571" s="1" t="s">
        <v>72</v>
      </c>
      <c r="AV3571" s="1" t="s">
        <v>126</v>
      </c>
      <c r="AX3571" s="1">
        <v>0</v>
      </c>
      <c r="BA3571" s="1">
        <v>9</v>
      </c>
      <c r="BB3571" s="1">
        <v>0</v>
      </c>
      <c r="BC3571" s="1">
        <v>0</v>
      </c>
      <c r="BE3571" s="1">
        <v>27661848</v>
      </c>
    </row>
    <row r="3572" spans="1:57" x14ac:dyDescent="0.25">
      <c r="A3572" s="1" t="str">
        <f>T("1949390044465404120")</f>
        <v>1949390044465404120</v>
      </c>
      <c r="B3572" s="1" t="str">
        <f>T("249992769510")</f>
        <v>249992769510</v>
      </c>
      <c r="C3572" s="1" t="str">
        <f>T("1941094533081075132")</f>
        <v>1941094533081075132</v>
      </c>
      <c r="AA3572" s="1">
        <v>1</v>
      </c>
      <c r="AC3572" s="1" t="s">
        <v>344</v>
      </c>
      <c r="AD3572" s="1" t="s">
        <v>372</v>
      </c>
      <c r="AE3572" s="1" t="s">
        <v>814</v>
      </c>
      <c r="AF3572" s="1" t="s">
        <v>144</v>
      </c>
      <c r="AG3572" s="1">
        <v>35</v>
      </c>
      <c r="AO3572" s="2">
        <v>46288</v>
      </c>
      <c r="AP3572" s="1" t="s">
        <v>248</v>
      </c>
      <c r="AS3572" s="1" t="s">
        <v>71</v>
      </c>
      <c r="AU3572" s="1" t="s">
        <v>72</v>
      </c>
      <c r="AV3572" s="1" t="s">
        <v>73</v>
      </c>
      <c r="AX3572" s="1">
        <v>0</v>
      </c>
      <c r="BA3572" s="1">
        <v>9</v>
      </c>
      <c r="BB3572" s="1">
        <v>0</v>
      </c>
      <c r="BC3572" s="1">
        <v>0</v>
      </c>
      <c r="BE3572" s="1">
        <v>27661848</v>
      </c>
    </row>
    <row r="3573" spans="1:57" x14ac:dyDescent="0.25">
      <c r="A3573" s="1" t="str">
        <f>T("1949390044503151592")</f>
        <v>1949390044503151592</v>
      </c>
      <c r="B3573" s="1" t="str">
        <f>T("249994397979")</f>
        <v>249994397979</v>
      </c>
      <c r="C3573" s="1" t="str">
        <f>T("1941094533081074332")</f>
        <v>1941094533081074332</v>
      </c>
      <c r="AA3573" s="1">
        <v>1</v>
      </c>
      <c r="AC3573" s="1" t="s">
        <v>344</v>
      </c>
      <c r="AD3573" s="1" t="s">
        <v>372</v>
      </c>
      <c r="AE3573" s="1" t="s">
        <v>818</v>
      </c>
      <c r="AF3573" s="1" t="s">
        <v>107</v>
      </c>
      <c r="AG3573" s="1">
        <v>45</v>
      </c>
      <c r="AO3573" s="2">
        <v>46288</v>
      </c>
      <c r="AP3573" s="1" t="s">
        <v>248</v>
      </c>
      <c r="AQ3573" s="2">
        <v>46288</v>
      </c>
      <c r="AR3573" s="1" t="s">
        <v>901</v>
      </c>
      <c r="AS3573" s="1" t="s">
        <v>71</v>
      </c>
      <c r="AU3573" s="1" t="s">
        <v>79</v>
      </c>
      <c r="AV3573" s="1" t="s">
        <v>80</v>
      </c>
      <c r="AW3573" s="1">
        <v>11.74</v>
      </c>
      <c r="AX3573" s="1">
        <v>0</v>
      </c>
      <c r="AZ3573" s="1" t="s">
        <v>81</v>
      </c>
      <c r="BA3573" s="1">
        <v>3</v>
      </c>
      <c r="BB3573" s="1">
        <v>0</v>
      </c>
      <c r="BC3573" s="1">
        <v>0</v>
      </c>
      <c r="BE3573" s="1">
        <v>27661848</v>
      </c>
    </row>
    <row r="3574" spans="1:57" x14ac:dyDescent="0.25">
      <c r="A3574" s="1" t="str">
        <f>T("1949390044536708156")</f>
        <v>1949390044536708156</v>
      </c>
      <c r="B3574" s="1" t="str">
        <f>T("249990167895")</f>
        <v>249990167895</v>
      </c>
      <c r="C3574" s="1" t="str">
        <f>T("1941094533081075532")</f>
        <v>1941094533081075532</v>
      </c>
      <c r="AC3574" s="1" t="s">
        <v>344</v>
      </c>
      <c r="AD3574" s="1" t="s">
        <v>372</v>
      </c>
      <c r="AE3574" s="1" t="s">
        <v>814</v>
      </c>
      <c r="AF3574" s="1" t="s">
        <v>144</v>
      </c>
      <c r="AG3574" s="1">
        <v>70</v>
      </c>
      <c r="AO3574" s="2">
        <v>46288</v>
      </c>
      <c r="AP3574" s="1" t="s">
        <v>248</v>
      </c>
      <c r="AS3574" s="1" t="s">
        <v>71</v>
      </c>
      <c r="AU3574" s="1" t="s">
        <v>72</v>
      </c>
      <c r="AV3574" s="1" t="s">
        <v>73</v>
      </c>
      <c r="AX3574" s="1">
        <v>0</v>
      </c>
      <c r="BA3574" s="1">
        <v>9</v>
      </c>
      <c r="BB3574" s="1">
        <v>0</v>
      </c>
      <c r="BC3574" s="1">
        <v>0</v>
      </c>
      <c r="BE3574" s="1">
        <v>27661848</v>
      </c>
    </row>
    <row r="3575" spans="1:57" x14ac:dyDescent="0.25">
      <c r="A3575" s="1" t="str">
        <f>T("1949390044616397908")</f>
        <v>1949390044616397908</v>
      </c>
      <c r="B3575" s="1" t="str">
        <f>T("249929337311")</f>
        <v>249929337311</v>
      </c>
      <c r="C3575" s="1" t="str">
        <f>T("1941094533085266940")</f>
        <v>1941094533085266940</v>
      </c>
      <c r="AC3575" s="1" t="s">
        <v>344</v>
      </c>
      <c r="AD3575" s="1" t="s">
        <v>372</v>
      </c>
      <c r="AE3575" s="1" t="s">
        <v>814</v>
      </c>
      <c r="AF3575" s="1" t="s">
        <v>144</v>
      </c>
      <c r="AG3575" s="1">
        <v>40</v>
      </c>
      <c r="AO3575" s="2">
        <v>46288</v>
      </c>
      <c r="AP3575" s="1" t="s">
        <v>248</v>
      </c>
      <c r="AS3575" s="1" t="s">
        <v>71</v>
      </c>
      <c r="AU3575" s="1" t="s">
        <v>72</v>
      </c>
      <c r="AV3575" s="1" t="s">
        <v>73</v>
      </c>
      <c r="AX3575" s="1">
        <v>0</v>
      </c>
      <c r="BA3575" s="1">
        <v>9</v>
      </c>
      <c r="BB3575" s="1">
        <v>0</v>
      </c>
      <c r="BC3575" s="1">
        <v>0</v>
      </c>
      <c r="BE3575" s="1">
        <v>27661848</v>
      </c>
    </row>
    <row r="3576" spans="1:57" x14ac:dyDescent="0.25">
      <c r="A3576" s="1" t="str">
        <f>T("1949390044620593516")</f>
        <v>1949390044620593516</v>
      </c>
      <c r="B3576" s="1" t="str">
        <f>T("249961780806")</f>
        <v>249961780806</v>
      </c>
      <c r="C3576" s="1" t="str">
        <f>T("1941094533085267340")</f>
        <v>1941094533085267340</v>
      </c>
      <c r="AC3576" s="1" t="s">
        <v>344</v>
      </c>
      <c r="AD3576" s="1" t="s">
        <v>441</v>
      </c>
      <c r="AE3576" s="1" t="s">
        <v>530</v>
      </c>
      <c r="AF3576" s="1" t="s">
        <v>107</v>
      </c>
      <c r="AG3576" s="1">
        <v>62</v>
      </c>
      <c r="AO3576" s="2">
        <v>46288</v>
      </c>
      <c r="AP3576" s="1" t="s">
        <v>248</v>
      </c>
      <c r="AS3576" s="1" t="s">
        <v>71</v>
      </c>
      <c r="AU3576" s="1" t="s">
        <v>72</v>
      </c>
      <c r="AV3576" s="1" t="s">
        <v>437</v>
      </c>
      <c r="AX3576" s="1">
        <v>0</v>
      </c>
      <c r="BA3576" s="1">
        <v>9</v>
      </c>
      <c r="BB3576" s="1">
        <v>0</v>
      </c>
      <c r="BC3576" s="1">
        <v>0</v>
      </c>
      <c r="BE3576" s="1">
        <v>27661848</v>
      </c>
    </row>
    <row r="3577" spans="1:57" x14ac:dyDescent="0.25">
      <c r="A3577" s="1" t="str">
        <f>T("1949390044721257508")</f>
        <v>1949390044721257508</v>
      </c>
      <c r="B3577" s="1" t="str">
        <f>T("249903125243")</f>
        <v>249903125243</v>
      </c>
      <c r="C3577" s="1" t="str">
        <f>T("1941094533085268040")</f>
        <v>1941094533085268040</v>
      </c>
      <c r="AC3577" s="1" t="s">
        <v>344</v>
      </c>
      <c r="AD3577" s="1" t="s">
        <v>372</v>
      </c>
      <c r="AE3577" s="1" t="s">
        <v>813</v>
      </c>
      <c r="AF3577" s="1" t="s">
        <v>107</v>
      </c>
      <c r="AG3577" s="1">
        <v>70</v>
      </c>
      <c r="AO3577" s="2">
        <v>46288</v>
      </c>
      <c r="AP3577" s="1" t="s">
        <v>248</v>
      </c>
      <c r="AS3577" s="1" t="s">
        <v>71</v>
      </c>
      <c r="AU3577" s="1" t="s">
        <v>72</v>
      </c>
      <c r="AV3577" s="1" t="s">
        <v>73</v>
      </c>
      <c r="AX3577" s="1">
        <v>0</v>
      </c>
      <c r="BA3577" s="1">
        <v>9</v>
      </c>
      <c r="BB3577" s="1">
        <v>0</v>
      </c>
      <c r="BC3577" s="1">
        <v>0</v>
      </c>
      <c r="BE3577" s="1">
        <v>27661848</v>
      </c>
    </row>
    <row r="3578" spans="1:57" x14ac:dyDescent="0.25">
      <c r="A3578" s="1" t="str">
        <f>T("1949390044738034340")</f>
        <v>1949390044738034340</v>
      </c>
      <c r="B3578" s="1" t="str">
        <f>T("249112652872")</f>
        <v>249112652872</v>
      </c>
      <c r="C3578" s="1" t="str">
        <f>T("1941094533085268640")</f>
        <v>1941094533085268640</v>
      </c>
      <c r="M3578" s="1" t="s">
        <v>59</v>
      </c>
      <c r="O3578" s="1" t="s">
        <v>65</v>
      </c>
      <c r="P3578" s="1" t="s">
        <v>83</v>
      </c>
      <c r="Q3578" s="1" t="s">
        <v>92</v>
      </c>
      <c r="R3578" s="1" t="s">
        <v>84</v>
      </c>
      <c r="S3578" s="1" t="s">
        <v>94</v>
      </c>
      <c r="U3578" s="1" t="s">
        <v>65</v>
      </c>
      <c r="V3578" s="1" t="s">
        <v>102</v>
      </c>
      <c r="W3578" s="1" t="s">
        <v>60</v>
      </c>
      <c r="AA3578" s="1">
        <v>1</v>
      </c>
      <c r="AC3578" s="1" t="s">
        <v>344</v>
      </c>
      <c r="AD3578" s="1" t="s">
        <v>372</v>
      </c>
      <c r="AE3578" s="1" t="s">
        <v>820</v>
      </c>
      <c r="AF3578" s="1" t="s">
        <v>107</v>
      </c>
      <c r="AG3578" s="1">
        <v>27</v>
      </c>
      <c r="AO3578" s="2">
        <v>46288</v>
      </c>
      <c r="AP3578" s="1" t="s">
        <v>248</v>
      </c>
      <c r="AS3578" s="1" t="s">
        <v>71</v>
      </c>
      <c r="AU3578" s="1" t="s">
        <v>72</v>
      </c>
      <c r="AV3578" s="1" t="s">
        <v>73</v>
      </c>
      <c r="AX3578" s="1">
        <v>0</v>
      </c>
      <c r="BA3578" s="1">
        <v>9</v>
      </c>
      <c r="BB3578" s="1">
        <v>0</v>
      </c>
      <c r="BC3578" s="1">
        <v>0</v>
      </c>
      <c r="BE3578" s="1">
        <v>27661848</v>
      </c>
    </row>
    <row r="3579" spans="1:57" x14ac:dyDescent="0.25">
      <c r="A3579" s="1" t="str">
        <f>T("1949390044796754852")</f>
        <v>1949390044796754852</v>
      </c>
      <c r="B3579" s="1" t="str">
        <f>T("249914019217")</f>
        <v>249914019217</v>
      </c>
      <c r="C3579" s="1" t="str">
        <f>T("1941094533085269140")</f>
        <v>1941094533085269140</v>
      </c>
      <c r="AC3579" s="1" t="s">
        <v>344</v>
      </c>
      <c r="AD3579" s="1" t="s">
        <v>430</v>
      </c>
      <c r="AE3579" s="1" t="s">
        <v>530</v>
      </c>
      <c r="AF3579" s="1" t="s">
        <v>107</v>
      </c>
      <c r="AG3579" s="1">
        <v>40</v>
      </c>
      <c r="AO3579" s="2">
        <v>46288</v>
      </c>
      <c r="AP3579" s="1" t="s">
        <v>248</v>
      </c>
      <c r="AS3579" s="1" t="s">
        <v>71</v>
      </c>
      <c r="AU3579" s="1" t="s">
        <v>72</v>
      </c>
      <c r="AV3579" s="1" t="s">
        <v>437</v>
      </c>
      <c r="AX3579" s="1">
        <v>0</v>
      </c>
      <c r="BA3579" s="1">
        <v>9</v>
      </c>
      <c r="BB3579" s="1">
        <v>0</v>
      </c>
      <c r="BC3579" s="1">
        <v>0</v>
      </c>
      <c r="BE3579" s="1">
        <v>27661848</v>
      </c>
    </row>
    <row r="3580" spans="1:57" x14ac:dyDescent="0.25">
      <c r="A3580" s="1" t="str">
        <f>T("1949390044809334976")</f>
        <v>1949390044809334976</v>
      </c>
      <c r="B3580" s="1" t="str">
        <f>T("249910130982")</f>
        <v>249910130982</v>
      </c>
      <c r="C3580" s="1" t="str">
        <f>T("1941094533085269740")</f>
        <v>1941094533085269740</v>
      </c>
      <c r="AC3580" s="1" t="s">
        <v>344</v>
      </c>
      <c r="AD3580" s="1" t="s">
        <v>441</v>
      </c>
      <c r="AE3580" s="1" t="s">
        <v>530</v>
      </c>
      <c r="AF3580" s="1" t="s">
        <v>107</v>
      </c>
      <c r="AG3580" s="1">
        <v>66</v>
      </c>
      <c r="AO3580" s="2">
        <v>46288</v>
      </c>
      <c r="AP3580" s="1" t="s">
        <v>248</v>
      </c>
      <c r="AS3580" s="1" t="s">
        <v>71</v>
      </c>
      <c r="AU3580" s="1" t="s">
        <v>72</v>
      </c>
      <c r="AV3580" s="1" t="s">
        <v>126</v>
      </c>
      <c r="AX3580" s="1">
        <v>0</v>
      </c>
      <c r="BA3580" s="1">
        <v>9</v>
      </c>
      <c r="BB3580" s="1">
        <v>0</v>
      </c>
      <c r="BC3580" s="1">
        <v>0</v>
      </c>
      <c r="BE3580" s="1">
        <v>27661848</v>
      </c>
    </row>
    <row r="3581" spans="1:57" x14ac:dyDescent="0.25">
      <c r="A3581" s="1" t="str">
        <f>T("1949390044863861180")</f>
        <v>1949390044863861180</v>
      </c>
      <c r="B3581" s="1" t="str">
        <f>T("249904932650")</f>
        <v>249904932650</v>
      </c>
      <c r="C3581" s="1" t="str">
        <f>T("1941094533089460448")</f>
        <v>1941094533089460448</v>
      </c>
      <c r="AC3581" s="1" t="s">
        <v>344</v>
      </c>
      <c r="AD3581" s="1" t="s">
        <v>372</v>
      </c>
      <c r="AE3581" s="1" t="s">
        <v>815</v>
      </c>
      <c r="AF3581" s="1" t="s">
        <v>107</v>
      </c>
      <c r="AG3581" s="1">
        <v>57</v>
      </c>
      <c r="AO3581" s="2">
        <v>46288</v>
      </c>
      <c r="AP3581" s="1" t="s">
        <v>248</v>
      </c>
      <c r="AS3581" s="1" t="s">
        <v>71</v>
      </c>
      <c r="AU3581" s="1" t="s">
        <v>72</v>
      </c>
      <c r="AV3581" s="1" t="s">
        <v>73</v>
      </c>
      <c r="AX3581" s="1">
        <v>0</v>
      </c>
      <c r="BA3581" s="1">
        <v>9</v>
      </c>
      <c r="BB3581" s="1">
        <v>0</v>
      </c>
      <c r="BC3581" s="1">
        <v>0</v>
      </c>
      <c r="BE3581" s="1">
        <v>27661848</v>
      </c>
    </row>
    <row r="3582" spans="1:57" x14ac:dyDescent="0.25">
      <c r="A3582" s="1" t="str">
        <f>T("1949390044872251196")</f>
        <v>1949390044872251196</v>
      </c>
      <c r="B3582" s="1" t="str">
        <f>T("249128478682")</f>
        <v>249128478682</v>
      </c>
      <c r="C3582" s="1" t="str">
        <f>T("1941094533089460948")</f>
        <v>1941094533089460948</v>
      </c>
      <c r="AA3582" s="1">
        <v>1</v>
      </c>
      <c r="AC3582" s="1" t="s">
        <v>344</v>
      </c>
      <c r="AD3582" s="1" t="s">
        <v>372</v>
      </c>
      <c r="AE3582" s="1" t="s">
        <v>820</v>
      </c>
      <c r="AF3582" s="1" t="s">
        <v>107</v>
      </c>
      <c r="AG3582" s="1">
        <v>27</v>
      </c>
      <c r="AO3582" s="2">
        <v>46288</v>
      </c>
      <c r="AP3582" s="1" t="s">
        <v>248</v>
      </c>
      <c r="AQ3582" s="2">
        <v>46288</v>
      </c>
      <c r="AR3582" s="1" t="s">
        <v>902</v>
      </c>
      <c r="AS3582" s="1" t="s">
        <v>71</v>
      </c>
      <c r="AU3582" s="1" t="s">
        <v>79</v>
      </c>
      <c r="AV3582" s="1" t="s">
        <v>80</v>
      </c>
      <c r="AW3582" s="1">
        <v>69.78</v>
      </c>
      <c r="AX3582" s="1">
        <v>0</v>
      </c>
      <c r="AZ3582" s="1" t="s">
        <v>81</v>
      </c>
      <c r="BA3582" s="1">
        <v>3</v>
      </c>
      <c r="BB3582" s="1">
        <v>0</v>
      </c>
      <c r="BC3582" s="1">
        <v>0</v>
      </c>
      <c r="BE3582" s="1">
        <v>27661848</v>
      </c>
    </row>
    <row r="3583" spans="1:57" x14ac:dyDescent="0.25">
      <c r="A3583" s="1" t="str">
        <f>T("1949390044926777500")</f>
        <v>1949390044926777500</v>
      </c>
      <c r="B3583" s="1" t="str">
        <f>T("249966610866")</f>
        <v>249966610866</v>
      </c>
      <c r="C3583" s="1" t="str">
        <f>T("1941094533089461648")</f>
        <v>1941094533089461648</v>
      </c>
      <c r="AC3583" s="1" t="s">
        <v>344</v>
      </c>
      <c r="AD3583" s="1" t="s">
        <v>441</v>
      </c>
      <c r="AE3583" s="1" t="s">
        <v>530</v>
      </c>
      <c r="AF3583" s="1" t="s">
        <v>144</v>
      </c>
      <c r="AG3583" s="1">
        <v>35</v>
      </c>
      <c r="AO3583" s="2">
        <v>46288</v>
      </c>
      <c r="AP3583" s="1" t="s">
        <v>248</v>
      </c>
      <c r="AS3583" s="1" t="s">
        <v>71</v>
      </c>
      <c r="AU3583" s="1" t="s">
        <v>72</v>
      </c>
      <c r="AV3583" s="1" t="s">
        <v>126</v>
      </c>
      <c r="AX3583" s="1">
        <v>0</v>
      </c>
      <c r="BA3583" s="1">
        <v>9</v>
      </c>
      <c r="BB3583" s="1">
        <v>0</v>
      </c>
      <c r="BC3583" s="1">
        <v>0</v>
      </c>
      <c r="BE3583" s="1">
        <v>27661848</v>
      </c>
    </row>
    <row r="3584" spans="1:57" x14ac:dyDescent="0.25">
      <c r="A3584" s="1" t="str">
        <f>T("1949390044930973308")</f>
        <v>1949390044930973308</v>
      </c>
      <c r="B3584" s="1" t="str">
        <f>T("249960104918")</f>
        <v>249960104918</v>
      </c>
      <c r="C3584" s="1" t="str">
        <f>T("1941094533089462148")</f>
        <v>1941094533089462148</v>
      </c>
      <c r="AC3584" s="1" t="s">
        <v>344</v>
      </c>
      <c r="AD3584" s="1" t="s">
        <v>372</v>
      </c>
      <c r="AE3584" s="1" t="s">
        <v>813</v>
      </c>
      <c r="AF3584" s="1" t="s">
        <v>107</v>
      </c>
      <c r="AG3584" s="1">
        <v>45</v>
      </c>
      <c r="AO3584" s="2">
        <v>46288</v>
      </c>
      <c r="AP3584" s="1" t="s">
        <v>248</v>
      </c>
      <c r="AS3584" s="1" t="s">
        <v>71</v>
      </c>
      <c r="AU3584" s="1" t="s">
        <v>72</v>
      </c>
      <c r="AV3584" s="1" t="s">
        <v>126</v>
      </c>
      <c r="AX3584" s="1">
        <v>0</v>
      </c>
      <c r="BA3584" s="1">
        <v>9</v>
      </c>
      <c r="BB3584" s="1">
        <v>0</v>
      </c>
      <c r="BC3584" s="1">
        <v>0</v>
      </c>
      <c r="BE3584" s="1">
        <v>27661848</v>
      </c>
    </row>
    <row r="3585" spans="1:57" x14ac:dyDescent="0.25">
      <c r="A3585" s="1" t="str">
        <f>T("1949390044985499312")</f>
        <v>1949390044985499312</v>
      </c>
      <c r="B3585" s="1" t="str">
        <f>T("249965365745")</f>
        <v>249965365745</v>
      </c>
      <c r="C3585" s="1" t="str">
        <f>T("1941094533089462548")</f>
        <v>1941094533089462548</v>
      </c>
      <c r="AC3585" s="1" t="s">
        <v>344</v>
      </c>
      <c r="AD3585" s="1" t="s">
        <v>372</v>
      </c>
      <c r="AE3585" s="1" t="s">
        <v>818</v>
      </c>
      <c r="AF3585" s="1" t="s">
        <v>144</v>
      </c>
      <c r="AG3585" s="1">
        <v>50</v>
      </c>
      <c r="AO3585" s="2">
        <v>46288</v>
      </c>
      <c r="AP3585" s="1" t="s">
        <v>248</v>
      </c>
      <c r="AS3585" s="1" t="s">
        <v>71</v>
      </c>
      <c r="AU3585" s="1" t="s">
        <v>72</v>
      </c>
      <c r="AV3585" s="1" t="s">
        <v>126</v>
      </c>
      <c r="AX3585" s="1">
        <v>0</v>
      </c>
      <c r="BA3585" s="1">
        <v>9</v>
      </c>
      <c r="BB3585" s="1">
        <v>0</v>
      </c>
      <c r="BC3585" s="1">
        <v>0</v>
      </c>
      <c r="BE3585" s="1">
        <v>27661848</v>
      </c>
    </row>
    <row r="3586" spans="1:57" x14ac:dyDescent="0.25">
      <c r="A3586" s="1" t="str">
        <f>T("1949390045002276344")</f>
        <v>1949390045002276344</v>
      </c>
      <c r="B3586" s="1" t="str">
        <f>T("249923968935")</f>
        <v>249923968935</v>
      </c>
      <c r="C3586" s="1" t="str">
        <f>T("1941094533089462948")</f>
        <v>1941094533089462948</v>
      </c>
      <c r="AC3586" s="1" t="s">
        <v>344</v>
      </c>
      <c r="AD3586" s="1" t="s">
        <v>372</v>
      </c>
      <c r="AE3586" s="1" t="s">
        <v>815</v>
      </c>
      <c r="AF3586" s="1" t="s">
        <v>107</v>
      </c>
      <c r="AG3586" s="1">
        <v>70</v>
      </c>
      <c r="AO3586" s="2">
        <v>46288</v>
      </c>
      <c r="AP3586" s="1" t="s">
        <v>248</v>
      </c>
      <c r="AS3586" s="1" t="s">
        <v>71</v>
      </c>
      <c r="AU3586" s="1" t="s">
        <v>72</v>
      </c>
      <c r="AV3586" s="1" t="s">
        <v>73</v>
      </c>
      <c r="AX3586" s="1">
        <v>0</v>
      </c>
      <c r="BA3586" s="1">
        <v>9</v>
      </c>
      <c r="BB3586" s="1">
        <v>0</v>
      </c>
      <c r="BC3586" s="1">
        <v>0</v>
      </c>
      <c r="BE3586" s="1">
        <v>27661848</v>
      </c>
    </row>
    <row r="3587" spans="1:57" x14ac:dyDescent="0.25">
      <c r="A3587" s="1" t="str">
        <f>T("1949390045052606840")</f>
        <v>1949390045052606840</v>
      </c>
      <c r="B3587" s="1" t="str">
        <f>T("249913214202")</f>
        <v>249913214202</v>
      </c>
      <c r="C3587" s="1" t="str">
        <f>T("1941094533093657356")</f>
        <v>1941094533093657356</v>
      </c>
      <c r="AC3587" s="1" t="s">
        <v>344</v>
      </c>
      <c r="AD3587" s="1" t="s">
        <v>430</v>
      </c>
      <c r="AE3587" s="1" t="s">
        <v>530</v>
      </c>
      <c r="AF3587" s="1" t="s">
        <v>144</v>
      </c>
      <c r="AG3587" s="1">
        <v>35</v>
      </c>
      <c r="AO3587" s="2">
        <v>46288</v>
      </c>
      <c r="AP3587" s="1" t="s">
        <v>248</v>
      </c>
      <c r="AS3587" s="1" t="s">
        <v>71</v>
      </c>
      <c r="AU3587" s="1" t="s">
        <v>72</v>
      </c>
      <c r="AV3587" s="1" t="s">
        <v>73</v>
      </c>
      <c r="AX3587" s="1">
        <v>0</v>
      </c>
      <c r="BA3587" s="1">
        <v>9</v>
      </c>
      <c r="BB3587" s="1">
        <v>0</v>
      </c>
      <c r="BC3587" s="1">
        <v>0</v>
      </c>
      <c r="BE3587" s="1">
        <v>27661848</v>
      </c>
    </row>
    <row r="3588" spans="1:57" x14ac:dyDescent="0.25">
      <c r="A3588" s="1" t="str">
        <f>T("1949390045081968296")</f>
        <v>1949390045081968296</v>
      </c>
      <c r="B3588" s="1" t="str">
        <f>T("249961316783")</f>
        <v>249961316783</v>
      </c>
      <c r="C3588" s="1" t="str">
        <f>T("1941094533097851264")</f>
        <v>1941094533097851264</v>
      </c>
      <c r="AC3588" s="1" t="s">
        <v>344</v>
      </c>
      <c r="AD3588" s="1" t="s">
        <v>430</v>
      </c>
      <c r="AE3588" s="1" t="s">
        <v>530</v>
      </c>
      <c r="AF3588" s="1" t="s">
        <v>107</v>
      </c>
      <c r="AG3588" s="1">
        <v>22</v>
      </c>
      <c r="AO3588" s="2">
        <v>46288</v>
      </c>
      <c r="AP3588" s="1" t="s">
        <v>248</v>
      </c>
      <c r="AS3588" s="1" t="s">
        <v>71</v>
      </c>
      <c r="AU3588" s="1" t="s">
        <v>72</v>
      </c>
      <c r="AV3588" s="1" t="s">
        <v>437</v>
      </c>
      <c r="AX3588" s="1">
        <v>0</v>
      </c>
      <c r="BA3588" s="1">
        <v>9</v>
      </c>
      <c r="BB3588" s="1">
        <v>0</v>
      </c>
      <c r="BC3588" s="1">
        <v>0</v>
      </c>
      <c r="BE3588" s="1">
        <v>27661848</v>
      </c>
    </row>
    <row r="3589" spans="1:57" x14ac:dyDescent="0.25">
      <c r="A3589" s="1" t="str">
        <f>T("1949390045115519260")</f>
        <v>1949390045115519260</v>
      </c>
      <c r="B3589" s="1" t="str">
        <f>T("249955789664")</f>
        <v>249955789664</v>
      </c>
      <c r="C3589" s="1" t="str">
        <f>T("1941094533102044072")</f>
        <v>1941094533102044072</v>
      </c>
      <c r="AC3589" s="1" t="s">
        <v>344</v>
      </c>
      <c r="AD3589" s="1" t="s">
        <v>430</v>
      </c>
      <c r="AE3589" s="1" t="s">
        <v>530</v>
      </c>
      <c r="AF3589" s="1" t="s">
        <v>107</v>
      </c>
      <c r="AG3589" s="1">
        <v>27</v>
      </c>
      <c r="AO3589" s="2">
        <v>46288</v>
      </c>
      <c r="AP3589" s="1" t="s">
        <v>248</v>
      </c>
      <c r="AS3589" s="1" t="s">
        <v>71</v>
      </c>
      <c r="AU3589" s="1" t="s">
        <v>72</v>
      </c>
      <c r="AV3589" s="1" t="s">
        <v>73</v>
      </c>
      <c r="AX3589" s="1">
        <v>0</v>
      </c>
      <c r="BA3589" s="1">
        <v>9</v>
      </c>
      <c r="BB3589" s="1">
        <v>0</v>
      </c>
      <c r="BC3589" s="1">
        <v>0</v>
      </c>
      <c r="BE3589" s="1">
        <v>27661848</v>
      </c>
    </row>
    <row r="3590" spans="1:57" x14ac:dyDescent="0.25">
      <c r="A3590" s="1" t="str">
        <f>T("1949390045170046664")</f>
        <v>1949390045170046664</v>
      </c>
      <c r="B3590" s="1" t="str">
        <f>T("249963727921")</f>
        <v>249963727921</v>
      </c>
      <c r="C3590" s="1" t="str">
        <f>T("1941094533102044572")</f>
        <v>1941094533102044572</v>
      </c>
      <c r="AC3590" s="1" t="s">
        <v>344</v>
      </c>
      <c r="AD3590" s="1" t="s">
        <v>441</v>
      </c>
      <c r="AE3590" s="1" t="s">
        <v>530</v>
      </c>
      <c r="AF3590" s="1" t="s">
        <v>144</v>
      </c>
      <c r="AG3590" s="1">
        <v>30</v>
      </c>
      <c r="AO3590" s="2">
        <v>46288</v>
      </c>
      <c r="AP3590" s="1" t="s">
        <v>248</v>
      </c>
      <c r="AS3590" s="1" t="s">
        <v>71</v>
      </c>
      <c r="AU3590" s="1" t="s">
        <v>72</v>
      </c>
      <c r="AV3590" s="1" t="s">
        <v>126</v>
      </c>
      <c r="AX3590" s="1">
        <v>0</v>
      </c>
      <c r="BA3590" s="1">
        <v>9</v>
      </c>
      <c r="BB3590" s="1">
        <v>0</v>
      </c>
      <c r="BC3590" s="1">
        <v>0</v>
      </c>
      <c r="BE3590" s="1">
        <v>27661848</v>
      </c>
    </row>
    <row r="3591" spans="1:57" x14ac:dyDescent="0.25">
      <c r="A3591" s="1" t="str">
        <f>T("1949390045178436180")</f>
        <v>1949390045178436180</v>
      </c>
      <c r="B3591" s="1" t="str">
        <f>T("249910269690")</f>
        <v>249910269690</v>
      </c>
      <c r="C3591" s="1" t="str">
        <f>T("1941094533102046472")</f>
        <v>1941094533102046472</v>
      </c>
      <c r="AC3591" s="1" t="s">
        <v>344</v>
      </c>
      <c r="AD3591" s="1" t="s">
        <v>430</v>
      </c>
      <c r="AE3591" s="1" t="s">
        <v>530</v>
      </c>
      <c r="AF3591" s="1" t="s">
        <v>144</v>
      </c>
      <c r="AG3591" s="1">
        <v>27</v>
      </c>
      <c r="AO3591" s="2">
        <v>46288</v>
      </c>
      <c r="AP3591" s="1" t="s">
        <v>248</v>
      </c>
      <c r="AS3591" s="1" t="s">
        <v>71</v>
      </c>
      <c r="AU3591" s="1" t="s">
        <v>72</v>
      </c>
      <c r="AV3591" s="1" t="s">
        <v>437</v>
      </c>
      <c r="AX3591" s="1">
        <v>0</v>
      </c>
      <c r="BA3591" s="1">
        <v>9</v>
      </c>
      <c r="BB3591" s="1">
        <v>0</v>
      </c>
      <c r="BC3591" s="1">
        <v>0</v>
      </c>
      <c r="BE3591" s="1">
        <v>27661848</v>
      </c>
    </row>
    <row r="3592" spans="1:57" x14ac:dyDescent="0.25">
      <c r="A3592" s="1" t="str">
        <f>T("1949390045241351800")</f>
        <v>1949390045241351800</v>
      </c>
      <c r="B3592" s="1" t="str">
        <f>T("249917935488")</f>
        <v>249917935488</v>
      </c>
      <c r="C3592" s="1" t="str">
        <f>T("1941094533106237780")</f>
        <v>1941094533106237780</v>
      </c>
      <c r="AC3592" s="1" t="s">
        <v>344</v>
      </c>
      <c r="AD3592" s="1" t="s">
        <v>372</v>
      </c>
      <c r="AE3592" s="1" t="s">
        <v>815</v>
      </c>
      <c r="AF3592" s="1" t="s">
        <v>144</v>
      </c>
      <c r="AG3592" s="1">
        <v>55</v>
      </c>
      <c r="AO3592" s="2">
        <v>46288</v>
      </c>
      <c r="AP3592" s="1" t="s">
        <v>248</v>
      </c>
      <c r="AS3592" s="1" t="s">
        <v>71</v>
      </c>
      <c r="AU3592" s="1" t="s">
        <v>72</v>
      </c>
      <c r="AV3592" s="1" t="s">
        <v>126</v>
      </c>
      <c r="AX3592" s="1">
        <v>0</v>
      </c>
      <c r="BA3592" s="1">
        <v>9</v>
      </c>
      <c r="BB3592" s="1">
        <v>0</v>
      </c>
      <c r="BC3592" s="1">
        <v>0</v>
      </c>
      <c r="BE3592" s="1">
        <v>27661848</v>
      </c>
    </row>
    <row r="3593" spans="1:57" x14ac:dyDescent="0.25">
      <c r="A3593" s="1" t="str">
        <f>T("1949390045245543308")</f>
        <v>1949390045245543308</v>
      </c>
      <c r="B3593" s="1" t="str">
        <f>T("249962880118")</f>
        <v>249962880118</v>
      </c>
      <c r="C3593" s="1" t="str">
        <f>T("1941094533106239580")</f>
        <v>1941094533106239580</v>
      </c>
      <c r="AC3593" s="1" t="s">
        <v>344</v>
      </c>
      <c r="AD3593" s="1" t="s">
        <v>430</v>
      </c>
      <c r="AE3593" s="1" t="s">
        <v>530</v>
      </c>
      <c r="AF3593" s="1" t="s">
        <v>107</v>
      </c>
      <c r="AG3593" s="1">
        <v>65</v>
      </c>
      <c r="AO3593" s="2">
        <v>46288</v>
      </c>
      <c r="AP3593" s="1" t="s">
        <v>248</v>
      </c>
      <c r="AS3593" s="1" t="s">
        <v>71</v>
      </c>
      <c r="AU3593" s="1" t="s">
        <v>72</v>
      </c>
      <c r="AV3593" s="1" t="s">
        <v>126</v>
      </c>
      <c r="AX3593" s="1">
        <v>0</v>
      </c>
      <c r="BA3593" s="1">
        <v>9</v>
      </c>
      <c r="BB3593" s="1">
        <v>0</v>
      </c>
      <c r="BC3593" s="1">
        <v>0</v>
      </c>
      <c r="BE3593" s="1">
        <v>27661848</v>
      </c>
    </row>
    <row r="3594" spans="1:57" x14ac:dyDescent="0.25">
      <c r="A3594" s="1" t="str">
        <f>T("1949390045270709056")</f>
        <v>1949390045270709056</v>
      </c>
      <c r="B3594" s="1" t="str">
        <f>T("249903079389")</f>
        <v>249903079389</v>
      </c>
      <c r="C3594" s="1" t="str">
        <f>T("1941094533097852164")</f>
        <v>1941094533097852164</v>
      </c>
      <c r="AC3594" s="1" t="s">
        <v>344</v>
      </c>
      <c r="AD3594" s="1" t="s">
        <v>430</v>
      </c>
      <c r="AE3594" s="1" t="s">
        <v>530</v>
      </c>
      <c r="AF3594" s="1" t="s">
        <v>107</v>
      </c>
      <c r="AG3594" s="1">
        <v>27</v>
      </c>
      <c r="AO3594" s="2">
        <v>46288</v>
      </c>
      <c r="AP3594" s="1" t="s">
        <v>248</v>
      </c>
      <c r="AS3594" s="1" t="s">
        <v>71</v>
      </c>
      <c r="AU3594" s="1" t="s">
        <v>72</v>
      </c>
      <c r="AV3594" s="1" t="s">
        <v>73</v>
      </c>
      <c r="AX3594" s="1">
        <v>0</v>
      </c>
      <c r="BA3594" s="1">
        <v>9</v>
      </c>
      <c r="BB3594" s="1">
        <v>0</v>
      </c>
      <c r="BC3594" s="1">
        <v>0</v>
      </c>
      <c r="BE3594" s="1">
        <v>27661848</v>
      </c>
    </row>
    <row r="3595" spans="1:57" x14ac:dyDescent="0.25">
      <c r="A3595" s="1" t="str">
        <f>T("1949390045321042452")</f>
        <v>1949390045321042452</v>
      </c>
      <c r="B3595" s="1" t="str">
        <f>T("249966244424")</f>
        <v>249966244424</v>
      </c>
      <c r="C3595" s="1" t="str">
        <f>T("1941094533106240180")</f>
        <v>1941094533106240180</v>
      </c>
      <c r="AC3595" s="1" t="s">
        <v>344</v>
      </c>
      <c r="AD3595" s="1" t="s">
        <v>441</v>
      </c>
      <c r="AE3595" s="1" t="s">
        <v>530</v>
      </c>
      <c r="AF3595" s="1" t="s">
        <v>144</v>
      </c>
      <c r="AG3595" s="1">
        <v>55</v>
      </c>
      <c r="AO3595" s="2">
        <v>46288</v>
      </c>
      <c r="AP3595" s="1" t="s">
        <v>248</v>
      </c>
      <c r="AS3595" s="1" t="s">
        <v>71</v>
      </c>
      <c r="AU3595" s="1" t="s">
        <v>72</v>
      </c>
      <c r="AV3595" s="1" t="s">
        <v>126</v>
      </c>
      <c r="AX3595" s="1">
        <v>0</v>
      </c>
      <c r="BA3595" s="1">
        <v>9</v>
      </c>
      <c r="BB3595" s="1">
        <v>0</v>
      </c>
      <c r="BC3595" s="1">
        <v>0</v>
      </c>
      <c r="BE3595" s="1">
        <v>27661848</v>
      </c>
    </row>
    <row r="3596" spans="1:57" x14ac:dyDescent="0.25">
      <c r="A3596" s="1" t="str">
        <f>T("1949390045337819184")</f>
        <v>1949390045337819184</v>
      </c>
      <c r="B3596" s="1" t="str">
        <f>T("249903216925")</f>
        <v>249903216925</v>
      </c>
      <c r="C3596" s="1" t="str">
        <f>T("1941094533106240980")</f>
        <v>1941094533106240980</v>
      </c>
      <c r="AC3596" s="1" t="s">
        <v>344</v>
      </c>
      <c r="AD3596" s="1" t="s">
        <v>430</v>
      </c>
      <c r="AE3596" s="1" t="s">
        <v>530</v>
      </c>
      <c r="AF3596" s="1" t="s">
        <v>107</v>
      </c>
      <c r="AG3596" s="1">
        <v>65</v>
      </c>
      <c r="AO3596" s="2">
        <v>46288</v>
      </c>
      <c r="AP3596" s="1" t="s">
        <v>248</v>
      </c>
      <c r="AS3596" s="1" t="s">
        <v>71</v>
      </c>
      <c r="AU3596" s="1" t="s">
        <v>72</v>
      </c>
      <c r="AV3596" s="1" t="s">
        <v>437</v>
      </c>
      <c r="AX3596" s="1">
        <v>0</v>
      </c>
      <c r="BA3596" s="1">
        <v>9</v>
      </c>
      <c r="BB3596" s="1">
        <v>0</v>
      </c>
      <c r="BC3596" s="1">
        <v>0</v>
      </c>
      <c r="BE3596" s="1">
        <v>27661848</v>
      </c>
    </row>
    <row r="3597" spans="1:57" x14ac:dyDescent="0.25">
      <c r="A3597" s="1" t="str">
        <f>T("1949390045375568256")</f>
        <v>1949390045375568256</v>
      </c>
      <c r="B3597" s="1" t="str">
        <f>T("249966612404")</f>
        <v>249966612404</v>
      </c>
      <c r="C3597" s="1" t="str">
        <f>T("1941094533110431888")</f>
        <v>1941094533110431888</v>
      </c>
      <c r="AC3597" s="1" t="s">
        <v>344</v>
      </c>
      <c r="AD3597" s="1" t="s">
        <v>441</v>
      </c>
      <c r="AE3597" s="1" t="s">
        <v>530</v>
      </c>
      <c r="AF3597" s="1" t="s">
        <v>107</v>
      </c>
      <c r="AG3597" s="1">
        <v>35</v>
      </c>
      <c r="AO3597" s="2">
        <v>46288</v>
      </c>
      <c r="AP3597" s="1" t="s">
        <v>248</v>
      </c>
      <c r="AS3597" s="1" t="s">
        <v>71</v>
      </c>
      <c r="AU3597" s="1" t="s">
        <v>72</v>
      </c>
      <c r="AV3597" s="1" t="s">
        <v>437</v>
      </c>
      <c r="AX3597" s="1">
        <v>0</v>
      </c>
      <c r="BA3597" s="1">
        <v>9</v>
      </c>
      <c r="BB3597" s="1">
        <v>0</v>
      </c>
      <c r="BC3597" s="1">
        <v>0</v>
      </c>
      <c r="BE3597" s="1">
        <v>27661848</v>
      </c>
    </row>
    <row r="3598" spans="1:57" x14ac:dyDescent="0.25">
      <c r="A3598" s="1" t="str">
        <f>T("1949390045375569256")</f>
        <v>1949390045375569256</v>
      </c>
      <c r="B3598" s="1" t="str">
        <f>T("249917836965")</f>
        <v>249917836965</v>
      </c>
      <c r="C3598" s="1" t="str">
        <f>T("1941094533110432488")</f>
        <v>1941094533110432488</v>
      </c>
      <c r="AC3598" s="1" t="s">
        <v>344</v>
      </c>
      <c r="AD3598" s="1" t="s">
        <v>441</v>
      </c>
      <c r="AE3598" s="1" t="s">
        <v>530</v>
      </c>
      <c r="AF3598" s="1" t="s">
        <v>107</v>
      </c>
      <c r="AG3598" s="1">
        <v>46</v>
      </c>
      <c r="AO3598" s="2">
        <v>46288</v>
      </c>
      <c r="AP3598" s="1" t="s">
        <v>248</v>
      </c>
      <c r="AS3598" s="1" t="s">
        <v>71</v>
      </c>
      <c r="AU3598" s="1" t="s">
        <v>72</v>
      </c>
      <c r="AV3598" s="1" t="s">
        <v>73</v>
      </c>
      <c r="AX3598" s="1">
        <v>0</v>
      </c>
      <c r="BA3598" s="1">
        <v>9</v>
      </c>
      <c r="BB3598" s="1">
        <v>0</v>
      </c>
      <c r="BC3598" s="1">
        <v>0</v>
      </c>
      <c r="BE3598" s="1">
        <v>27661848</v>
      </c>
    </row>
    <row r="3599" spans="1:57" x14ac:dyDescent="0.25">
      <c r="A3599" s="1" t="str">
        <f>T("1949390045400734004")</f>
        <v>1949390045400734004</v>
      </c>
      <c r="B3599" s="1" t="str">
        <f>T("249119682218")</f>
        <v>249119682218</v>
      </c>
      <c r="C3599" s="1" t="str">
        <f>T("1941094533114626596")</f>
        <v>1941094533114626596</v>
      </c>
      <c r="AC3599" s="1" t="s">
        <v>344</v>
      </c>
      <c r="AD3599" s="1" t="s">
        <v>372</v>
      </c>
      <c r="AE3599" s="1" t="s">
        <v>820</v>
      </c>
      <c r="AF3599" s="1" t="s">
        <v>107</v>
      </c>
      <c r="AG3599" s="1">
        <v>54</v>
      </c>
      <c r="AO3599" s="2">
        <v>46288</v>
      </c>
      <c r="AP3599" s="1" t="s">
        <v>248</v>
      </c>
      <c r="AS3599" s="1" t="s">
        <v>71</v>
      </c>
      <c r="AU3599" s="1" t="s">
        <v>72</v>
      </c>
      <c r="AV3599" s="1" t="s">
        <v>73</v>
      </c>
      <c r="AX3599" s="1">
        <v>0</v>
      </c>
      <c r="BA3599" s="1">
        <v>9</v>
      </c>
      <c r="BB3599" s="1">
        <v>0</v>
      </c>
      <c r="BC3599" s="1">
        <v>0</v>
      </c>
      <c r="BE3599" s="1">
        <v>27661848</v>
      </c>
    </row>
    <row r="3600" spans="1:57" x14ac:dyDescent="0.25">
      <c r="A3600" s="1" t="str">
        <f>T("1949390045434286668")</f>
        <v>1949390045434286668</v>
      </c>
      <c r="B3600" s="1" t="str">
        <f>T("249904425323")</f>
        <v>249904425323</v>
      </c>
      <c r="C3600" s="1" t="str">
        <f>T("1941094533114627796")</f>
        <v>1941094533114627796</v>
      </c>
      <c r="AC3600" s="1" t="s">
        <v>344</v>
      </c>
      <c r="AD3600" s="1" t="s">
        <v>372</v>
      </c>
      <c r="AE3600" s="1" t="s">
        <v>815</v>
      </c>
      <c r="AF3600" s="1" t="s">
        <v>107</v>
      </c>
      <c r="AG3600" s="1">
        <v>55</v>
      </c>
      <c r="AO3600" s="2">
        <v>46288</v>
      </c>
      <c r="AP3600" s="1" t="s">
        <v>248</v>
      </c>
      <c r="AS3600" s="1" t="s">
        <v>71</v>
      </c>
      <c r="AU3600" s="1" t="s">
        <v>72</v>
      </c>
      <c r="AV3600" s="1" t="s">
        <v>73</v>
      </c>
      <c r="AX3600" s="1">
        <v>0</v>
      </c>
      <c r="BA3600" s="1">
        <v>9</v>
      </c>
      <c r="BB3600" s="1">
        <v>0</v>
      </c>
      <c r="BC3600" s="1">
        <v>0</v>
      </c>
      <c r="BE3600" s="1">
        <v>27661848</v>
      </c>
    </row>
    <row r="3601" spans="1:57" x14ac:dyDescent="0.25">
      <c r="A3601" s="1" t="str">
        <f>T("1949390045434289368")</f>
        <v>1949390045434289368</v>
      </c>
      <c r="B3601" s="1" t="str">
        <f>T("249919218495")</f>
        <v>249919218495</v>
      </c>
      <c r="C3601" s="1" t="str">
        <f>T("1941094533114627396")</f>
        <v>1941094533114627396</v>
      </c>
      <c r="AC3601" s="1" t="s">
        <v>344</v>
      </c>
      <c r="AD3601" s="1" t="s">
        <v>441</v>
      </c>
      <c r="AE3601" s="1" t="s">
        <v>530</v>
      </c>
      <c r="AF3601" s="1" t="s">
        <v>107</v>
      </c>
      <c r="AG3601" s="1">
        <v>45</v>
      </c>
      <c r="AO3601" s="2">
        <v>46288</v>
      </c>
      <c r="AP3601" s="1" t="s">
        <v>248</v>
      </c>
      <c r="AS3601" s="1" t="s">
        <v>71</v>
      </c>
      <c r="AU3601" s="1" t="s">
        <v>72</v>
      </c>
      <c r="AV3601" s="1" t="s">
        <v>73</v>
      </c>
      <c r="AX3601" s="1">
        <v>0</v>
      </c>
      <c r="BA3601" s="1">
        <v>9</v>
      </c>
      <c r="BB3601" s="1">
        <v>0</v>
      </c>
      <c r="BC3601" s="1">
        <v>0</v>
      </c>
      <c r="BE3601" s="1">
        <v>27661848</v>
      </c>
    </row>
    <row r="3602" spans="1:57" x14ac:dyDescent="0.25">
      <c r="A3602" s="1" t="str">
        <f>T("1949390045472036540")</f>
        <v>1949390045472036540</v>
      </c>
      <c r="B3602" s="1" t="str">
        <f>T("249964404670")</f>
        <v>249964404670</v>
      </c>
      <c r="C3602" s="1" t="str">
        <f>T("1941094533114628796")</f>
        <v>1941094533114628796</v>
      </c>
      <c r="AC3602" s="1" t="s">
        <v>344</v>
      </c>
      <c r="AD3602" s="1" t="s">
        <v>441</v>
      </c>
      <c r="AE3602" s="1" t="s">
        <v>530</v>
      </c>
      <c r="AF3602" s="1" t="s">
        <v>107</v>
      </c>
      <c r="AG3602" s="1">
        <v>55</v>
      </c>
      <c r="AO3602" s="2">
        <v>46288</v>
      </c>
      <c r="AP3602" s="1" t="s">
        <v>248</v>
      </c>
      <c r="AS3602" s="1" t="s">
        <v>71</v>
      </c>
      <c r="AU3602" s="1" t="s">
        <v>72</v>
      </c>
      <c r="AV3602" s="1" t="s">
        <v>437</v>
      </c>
      <c r="AX3602" s="1">
        <v>0</v>
      </c>
      <c r="BA3602" s="1">
        <v>9</v>
      </c>
      <c r="BB3602" s="1">
        <v>0</v>
      </c>
      <c r="BC3602" s="1">
        <v>0</v>
      </c>
      <c r="BE3602" s="1">
        <v>27661848</v>
      </c>
    </row>
    <row r="3603" spans="1:57" x14ac:dyDescent="0.25">
      <c r="A3603" s="1" t="str">
        <f>T("1949390045493008580")</f>
        <v>1949390045493008580</v>
      </c>
      <c r="B3603" s="1" t="str">
        <f>T("249909314664")</f>
        <v>249909314664</v>
      </c>
      <c r="C3603" s="1" t="str">
        <f>T("1941094533114629596")</f>
        <v>1941094533114629596</v>
      </c>
      <c r="AC3603" s="1" t="s">
        <v>344</v>
      </c>
      <c r="AD3603" s="1" t="s">
        <v>372</v>
      </c>
      <c r="AE3603" s="1" t="s">
        <v>815</v>
      </c>
      <c r="AF3603" s="1" t="s">
        <v>144</v>
      </c>
      <c r="AG3603" s="1">
        <v>50</v>
      </c>
      <c r="AO3603" s="2">
        <v>46288</v>
      </c>
      <c r="AP3603" s="1" t="s">
        <v>248</v>
      </c>
      <c r="AS3603" s="1" t="s">
        <v>71</v>
      </c>
      <c r="AU3603" s="1" t="s">
        <v>72</v>
      </c>
      <c r="AV3603" s="1" t="s">
        <v>437</v>
      </c>
      <c r="AX3603" s="1">
        <v>0</v>
      </c>
      <c r="BA3603" s="1">
        <v>9</v>
      </c>
      <c r="BB3603" s="1">
        <v>0</v>
      </c>
      <c r="BC3603" s="1">
        <v>0</v>
      </c>
      <c r="BE3603" s="1">
        <v>27661848</v>
      </c>
    </row>
    <row r="3604" spans="1:57" x14ac:dyDescent="0.25">
      <c r="A3604" s="1" t="str">
        <f>T("1949390045497202388")</f>
        <v>1949390045497202388</v>
      </c>
      <c r="B3604" s="1" t="str">
        <f>T("249964855407")</f>
        <v>249964855407</v>
      </c>
      <c r="C3604" s="1" t="str">
        <f>T("1941094533118823504")</f>
        <v>1941094533118823504</v>
      </c>
      <c r="AC3604" s="1" t="s">
        <v>344</v>
      </c>
      <c r="AD3604" s="1" t="s">
        <v>430</v>
      </c>
      <c r="AE3604" s="1" t="s">
        <v>530</v>
      </c>
      <c r="AF3604" s="1" t="s">
        <v>144</v>
      </c>
      <c r="AG3604" s="1">
        <v>50</v>
      </c>
      <c r="AO3604" s="2">
        <v>46288</v>
      </c>
      <c r="AP3604" s="1" t="s">
        <v>248</v>
      </c>
      <c r="AS3604" s="1" t="s">
        <v>71</v>
      </c>
      <c r="AU3604" s="1" t="s">
        <v>72</v>
      </c>
      <c r="AV3604" s="1" t="s">
        <v>437</v>
      </c>
      <c r="AX3604" s="1">
        <v>0</v>
      </c>
      <c r="BA3604" s="1">
        <v>9</v>
      </c>
      <c r="BB3604" s="1">
        <v>0</v>
      </c>
      <c r="BC3604" s="1">
        <v>0</v>
      </c>
      <c r="BE3604" s="1">
        <v>27661848</v>
      </c>
    </row>
    <row r="3605" spans="1:57" x14ac:dyDescent="0.25">
      <c r="A3605" s="1" t="str">
        <f>T("1949390045539145268")</f>
        <v>1949390045539145268</v>
      </c>
      <c r="B3605" s="1" t="str">
        <f>T("249907485229")</f>
        <v>249907485229</v>
      </c>
      <c r="C3605" s="1" t="str">
        <f>T("1941094533123015712")</f>
        <v>1941094533123015712</v>
      </c>
      <c r="AC3605" s="1" t="s">
        <v>344</v>
      </c>
      <c r="AD3605" s="1" t="s">
        <v>441</v>
      </c>
      <c r="AE3605" s="1" t="s">
        <v>530</v>
      </c>
      <c r="AF3605" s="1" t="s">
        <v>107</v>
      </c>
      <c r="AG3605" s="1">
        <v>32</v>
      </c>
      <c r="AO3605" s="2">
        <v>46288</v>
      </c>
      <c r="AP3605" s="1" t="s">
        <v>248</v>
      </c>
      <c r="AS3605" s="1" t="s">
        <v>71</v>
      </c>
      <c r="AU3605" s="1" t="s">
        <v>72</v>
      </c>
      <c r="AV3605" s="1" t="s">
        <v>437</v>
      </c>
      <c r="AX3605" s="1">
        <v>0</v>
      </c>
      <c r="BA3605" s="1">
        <v>9</v>
      </c>
      <c r="BB3605" s="1">
        <v>0</v>
      </c>
      <c r="BC3605" s="1">
        <v>0</v>
      </c>
      <c r="BE3605" s="1">
        <v>27661848</v>
      </c>
    </row>
    <row r="3606" spans="1:57" x14ac:dyDescent="0.25">
      <c r="A3606" s="1" t="str">
        <f>T("1949390045564313116")</f>
        <v>1949390045564313116</v>
      </c>
      <c r="B3606" s="1" t="str">
        <f>T("249907388524")</f>
        <v>249907388524</v>
      </c>
      <c r="C3606" s="1" t="str">
        <f>T("1941094533127209220")</f>
        <v>1941094533127209220</v>
      </c>
      <c r="AC3606" s="1" t="s">
        <v>344</v>
      </c>
      <c r="AD3606" s="1" t="s">
        <v>441</v>
      </c>
      <c r="AE3606" s="1" t="s">
        <v>530</v>
      </c>
      <c r="AF3606" s="1" t="s">
        <v>107</v>
      </c>
      <c r="AG3606" s="1">
        <v>30</v>
      </c>
      <c r="AO3606" s="2">
        <v>46288</v>
      </c>
      <c r="AP3606" s="1" t="s">
        <v>248</v>
      </c>
      <c r="AS3606" s="1" t="s">
        <v>71</v>
      </c>
      <c r="AU3606" s="1" t="s">
        <v>72</v>
      </c>
      <c r="AV3606" s="1" t="s">
        <v>73</v>
      </c>
      <c r="AX3606" s="1">
        <v>0</v>
      </c>
      <c r="BA3606" s="1">
        <v>9</v>
      </c>
      <c r="BB3606" s="1">
        <v>0</v>
      </c>
      <c r="BC3606" s="1">
        <v>0</v>
      </c>
      <c r="BE3606" s="1">
        <v>27661848</v>
      </c>
    </row>
    <row r="3607" spans="1:57" x14ac:dyDescent="0.25">
      <c r="A3607" s="1" t="str">
        <f>T("1949390045568503924")</f>
        <v>1949390045568503924</v>
      </c>
      <c r="B3607" s="1" t="str">
        <f>T("249915729948")</f>
        <v>249915729948</v>
      </c>
      <c r="C3607" s="1" t="str">
        <f>T("1941094533123016612")</f>
        <v>1941094533123016612</v>
      </c>
      <c r="AC3607" s="1" t="s">
        <v>344</v>
      </c>
      <c r="AD3607" s="1" t="s">
        <v>372</v>
      </c>
      <c r="AE3607" s="1" t="s">
        <v>815</v>
      </c>
      <c r="AF3607" s="1" t="s">
        <v>107</v>
      </c>
      <c r="AG3607" s="1">
        <v>57</v>
      </c>
      <c r="AO3607" s="2">
        <v>46288</v>
      </c>
      <c r="AP3607" s="1" t="s">
        <v>248</v>
      </c>
      <c r="AS3607" s="1" t="s">
        <v>71</v>
      </c>
      <c r="AU3607" s="1" t="s">
        <v>72</v>
      </c>
      <c r="AV3607" s="1" t="s">
        <v>73</v>
      </c>
      <c r="AX3607" s="1">
        <v>0</v>
      </c>
      <c r="BA3607" s="1">
        <v>9</v>
      </c>
      <c r="BB3607" s="1">
        <v>0</v>
      </c>
      <c r="BC3607" s="1">
        <v>0</v>
      </c>
      <c r="BE3607" s="1">
        <v>27661848</v>
      </c>
    </row>
    <row r="3608" spans="1:57" x14ac:dyDescent="0.25">
      <c r="A3608" s="1" t="str">
        <f>T("1949390045614641212")</f>
        <v>1949390045614641212</v>
      </c>
      <c r="B3608" s="1" t="str">
        <f>T("249917350611")</f>
        <v>249917350611</v>
      </c>
      <c r="C3608" s="1" t="str">
        <f>T("1941094533127209820")</f>
        <v>1941094533127209820</v>
      </c>
      <c r="AC3608" s="1" t="s">
        <v>344</v>
      </c>
      <c r="AD3608" s="1" t="s">
        <v>372</v>
      </c>
      <c r="AE3608" s="1" t="s">
        <v>818</v>
      </c>
      <c r="AF3608" s="1" t="s">
        <v>107</v>
      </c>
      <c r="AG3608" s="1">
        <v>60</v>
      </c>
      <c r="AO3608" s="2">
        <v>46288</v>
      </c>
      <c r="AP3608" s="1" t="s">
        <v>248</v>
      </c>
      <c r="AS3608" s="1" t="s">
        <v>71</v>
      </c>
      <c r="AU3608" s="1" t="s">
        <v>72</v>
      </c>
      <c r="AV3608" s="1" t="s">
        <v>437</v>
      </c>
      <c r="AX3608" s="1">
        <v>0</v>
      </c>
      <c r="BA3608" s="1">
        <v>9</v>
      </c>
      <c r="BB3608" s="1">
        <v>0</v>
      </c>
      <c r="BC3608" s="1">
        <v>0</v>
      </c>
      <c r="BE3608" s="1">
        <v>27661848</v>
      </c>
    </row>
    <row r="3609" spans="1:57" x14ac:dyDescent="0.25">
      <c r="A3609" s="1" t="str">
        <f>T("1949390045623032128")</f>
        <v>1949390045623032128</v>
      </c>
      <c r="B3609" s="1" t="str">
        <f>T("249917538171")</f>
        <v>249917538171</v>
      </c>
      <c r="C3609" s="1" t="str">
        <f>T("1941094533127212620")</f>
        <v>1941094533127212620</v>
      </c>
      <c r="AC3609" s="1" t="s">
        <v>344</v>
      </c>
      <c r="AD3609" s="1" t="s">
        <v>430</v>
      </c>
      <c r="AE3609" s="1" t="s">
        <v>530</v>
      </c>
      <c r="AF3609" s="1" t="s">
        <v>107</v>
      </c>
      <c r="AG3609" s="1">
        <v>53</v>
      </c>
      <c r="AO3609" s="2">
        <v>46288</v>
      </c>
      <c r="AP3609" s="1" t="s">
        <v>248</v>
      </c>
      <c r="AS3609" s="1" t="s">
        <v>71</v>
      </c>
      <c r="AU3609" s="1" t="s">
        <v>72</v>
      </c>
      <c r="AV3609" s="1" t="s">
        <v>73</v>
      </c>
      <c r="AX3609" s="1">
        <v>0</v>
      </c>
      <c r="BA3609" s="1">
        <v>9</v>
      </c>
      <c r="BB3609" s="1">
        <v>0</v>
      </c>
      <c r="BC3609" s="1">
        <v>0</v>
      </c>
      <c r="BE3609" s="1">
        <v>27661848</v>
      </c>
    </row>
    <row r="3610" spans="1:57" x14ac:dyDescent="0.25">
      <c r="A3610" s="1" t="str">
        <f>T("1949390045623033328")</f>
        <v>1949390045623033328</v>
      </c>
      <c r="B3610" s="1" t="str">
        <f>T("249967301005")</f>
        <v>249967301005</v>
      </c>
      <c r="C3610" s="1" t="str">
        <f>T("1941094533131405828")</f>
        <v>1941094533131405828</v>
      </c>
      <c r="AC3610" s="1" t="s">
        <v>344</v>
      </c>
      <c r="AD3610" s="1" t="s">
        <v>372</v>
      </c>
      <c r="AE3610" s="1" t="s">
        <v>813</v>
      </c>
      <c r="AF3610" s="1" t="s">
        <v>107</v>
      </c>
      <c r="AG3610" s="1">
        <v>45</v>
      </c>
      <c r="AO3610" s="2">
        <v>46288</v>
      </c>
      <c r="AP3610" s="1" t="s">
        <v>248</v>
      </c>
      <c r="AS3610" s="1" t="s">
        <v>71</v>
      </c>
      <c r="AU3610" s="1" t="s">
        <v>72</v>
      </c>
      <c r="AV3610" s="1" t="s">
        <v>73</v>
      </c>
      <c r="AX3610" s="1">
        <v>0</v>
      </c>
      <c r="BA3610" s="1">
        <v>9</v>
      </c>
      <c r="BB3610" s="1">
        <v>0</v>
      </c>
      <c r="BC3610" s="1">
        <v>0</v>
      </c>
      <c r="BE3610" s="1">
        <v>27661848</v>
      </c>
    </row>
    <row r="3611" spans="1:57" x14ac:dyDescent="0.25">
      <c r="A3611" s="1" t="str">
        <f>T("1949390045669169416")</f>
        <v>1949390045669169416</v>
      </c>
      <c r="B3611" s="1" t="str">
        <f>T("249905056415")</f>
        <v>249905056415</v>
      </c>
      <c r="C3611" s="1" t="str">
        <f>T("1941094533131406528")</f>
        <v>1941094533131406528</v>
      </c>
      <c r="AC3611" s="1" t="s">
        <v>344</v>
      </c>
      <c r="AD3611" s="1" t="s">
        <v>372</v>
      </c>
      <c r="AE3611" s="1" t="s">
        <v>815</v>
      </c>
      <c r="AF3611" s="1" t="s">
        <v>107</v>
      </c>
      <c r="AG3611" s="1">
        <v>27</v>
      </c>
      <c r="AO3611" s="2">
        <v>46288</v>
      </c>
      <c r="AP3611" s="1" t="s">
        <v>248</v>
      </c>
      <c r="AS3611" s="1" t="s">
        <v>71</v>
      </c>
      <c r="AU3611" s="1" t="s">
        <v>72</v>
      </c>
      <c r="AV3611" s="1" t="s">
        <v>437</v>
      </c>
      <c r="AX3611" s="1">
        <v>0</v>
      </c>
      <c r="BA3611" s="1">
        <v>9</v>
      </c>
      <c r="BB3611" s="1">
        <v>0</v>
      </c>
      <c r="BC3611" s="1">
        <v>0</v>
      </c>
      <c r="BE3611" s="1">
        <v>27661848</v>
      </c>
    </row>
    <row r="3612" spans="1:57" x14ac:dyDescent="0.25">
      <c r="A3612" s="1" t="str">
        <f>T("1949390045677559432")</f>
        <v>1949390045677559432</v>
      </c>
      <c r="B3612" s="1" t="str">
        <f>T("249969597652")</f>
        <v>249969597652</v>
      </c>
      <c r="C3612" s="1" t="str">
        <f>T("1941094533135598436")</f>
        <v>1941094533135598436</v>
      </c>
      <c r="AC3612" s="1" t="s">
        <v>344</v>
      </c>
      <c r="AD3612" s="1" t="s">
        <v>430</v>
      </c>
      <c r="AE3612" s="1" t="s">
        <v>530</v>
      </c>
      <c r="AF3612" s="1" t="s">
        <v>144</v>
      </c>
      <c r="AG3612" s="1">
        <v>50</v>
      </c>
      <c r="AO3612" s="2">
        <v>46288</v>
      </c>
      <c r="AP3612" s="1" t="s">
        <v>248</v>
      </c>
      <c r="AS3612" s="1" t="s">
        <v>71</v>
      </c>
      <c r="AU3612" s="1" t="s">
        <v>72</v>
      </c>
      <c r="AV3612" s="1" t="s">
        <v>437</v>
      </c>
      <c r="AX3612" s="1">
        <v>0</v>
      </c>
      <c r="BA3612" s="1">
        <v>9</v>
      </c>
      <c r="BB3612" s="1">
        <v>0</v>
      </c>
      <c r="BC3612" s="1">
        <v>0</v>
      </c>
      <c r="BE3612" s="1">
        <v>27661848</v>
      </c>
    </row>
    <row r="3613" spans="1:57" x14ac:dyDescent="0.25">
      <c r="A3613" s="1" t="str">
        <f>T("1949390045685947048")</f>
        <v>1949390045685947048</v>
      </c>
      <c r="B3613" s="1" t="str">
        <f>T("249962911167")</f>
        <v>249962911167</v>
      </c>
      <c r="C3613" s="1" t="str">
        <f>T("1941094533135599136")</f>
        <v>1941094533135599136</v>
      </c>
      <c r="AC3613" s="1" t="s">
        <v>344</v>
      </c>
      <c r="AD3613" s="1" t="s">
        <v>441</v>
      </c>
      <c r="AE3613" s="1" t="s">
        <v>530</v>
      </c>
      <c r="AF3613" s="1" t="s">
        <v>107</v>
      </c>
      <c r="AG3613" s="1">
        <v>40</v>
      </c>
      <c r="AO3613" s="2">
        <v>46288</v>
      </c>
      <c r="AP3613" s="1" t="s">
        <v>248</v>
      </c>
      <c r="AS3613" s="1" t="s">
        <v>71</v>
      </c>
      <c r="AU3613" s="1" t="s">
        <v>72</v>
      </c>
      <c r="AV3613" s="1" t="s">
        <v>73</v>
      </c>
      <c r="AX3613" s="1">
        <v>0</v>
      </c>
      <c r="BA3613" s="1">
        <v>9</v>
      </c>
      <c r="BB3613" s="1">
        <v>0</v>
      </c>
      <c r="BC3613" s="1">
        <v>0</v>
      </c>
      <c r="BE3613" s="1">
        <v>27661848</v>
      </c>
    </row>
    <row r="3614" spans="1:57" x14ac:dyDescent="0.25">
      <c r="A3614" s="1" t="str">
        <f>T("1949390045748859768")</f>
        <v>1949390045748859768</v>
      </c>
      <c r="B3614" s="1" t="str">
        <f>T("249178879020")</f>
        <v>249178879020</v>
      </c>
      <c r="C3614" s="1" t="str">
        <f>T("1941094533135599636")</f>
        <v>1941094533135599636</v>
      </c>
      <c r="AC3614" s="1" t="s">
        <v>344</v>
      </c>
      <c r="AD3614" s="1" t="s">
        <v>372</v>
      </c>
      <c r="AE3614" s="1" t="s">
        <v>820</v>
      </c>
      <c r="AF3614" s="1" t="s">
        <v>107</v>
      </c>
      <c r="AG3614" s="1">
        <v>45</v>
      </c>
      <c r="AO3614" s="2">
        <v>46288</v>
      </c>
      <c r="AP3614" s="1" t="s">
        <v>248</v>
      </c>
      <c r="AS3614" s="1" t="s">
        <v>71</v>
      </c>
      <c r="AU3614" s="1" t="s">
        <v>72</v>
      </c>
      <c r="AV3614" s="1" t="s">
        <v>73</v>
      </c>
      <c r="AX3614" s="1">
        <v>0</v>
      </c>
      <c r="BA3614" s="1">
        <v>9</v>
      </c>
      <c r="BB3614" s="1">
        <v>0</v>
      </c>
      <c r="BC3614" s="1">
        <v>0</v>
      </c>
      <c r="BE3614" s="1">
        <v>27661848</v>
      </c>
    </row>
    <row r="3615" spans="1:57" x14ac:dyDescent="0.25">
      <c r="A3615" s="1" t="str">
        <f>T("1949390045761442592")</f>
        <v>1949390045761442592</v>
      </c>
      <c r="B3615" s="1" t="str">
        <f>T("249909508619")</f>
        <v>249909508619</v>
      </c>
      <c r="C3615" s="1" t="str">
        <f>T("1941094533135600136")</f>
        <v>1941094533135600136</v>
      </c>
      <c r="AC3615" s="1" t="s">
        <v>344</v>
      </c>
      <c r="AD3615" s="1" t="s">
        <v>372</v>
      </c>
      <c r="AE3615" s="1" t="s">
        <v>813</v>
      </c>
      <c r="AF3615" s="1" t="s">
        <v>107</v>
      </c>
      <c r="AG3615" s="1">
        <v>50</v>
      </c>
      <c r="AO3615" s="2">
        <v>46288</v>
      </c>
      <c r="AP3615" s="1" t="s">
        <v>248</v>
      </c>
      <c r="AS3615" s="1" t="s">
        <v>71</v>
      </c>
      <c r="AU3615" s="1" t="s">
        <v>72</v>
      </c>
      <c r="AV3615" s="1" t="s">
        <v>73</v>
      </c>
      <c r="AX3615" s="1">
        <v>0</v>
      </c>
      <c r="BA3615" s="1">
        <v>9</v>
      </c>
      <c r="BB3615" s="1">
        <v>0</v>
      </c>
      <c r="BC3615" s="1">
        <v>0</v>
      </c>
      <c r="BE3615" s="1">
        <v>27661848</v>
      </c>
    </row>
    <row r="3616" spans="1:57" x14ac:dyDescent="0.25">
      <c r="A3616" s="1" t="str">
        <f>T("1949390045765637800")</f>
        <v>1949390045765637800</v>
      </c>
      <c r="B3616" s="1" t="str">
        <f>T("249904182215")</f>
        <v>249904182215</v>
      </c>
      <c r="C3616" s="1" t="str">
        <f>T("1941094533135600536")</f>
        <v>1941094533135600536</v>
      </c>
      <c r="AC3616" s="1" t="s">
        <v>344</v>
      </c>
      <c r="AD3616" s="1" t="s">
        <v>441</v>
      </c>
      <c r="AE3616" s="1" t="s">
        <v>530</v>
      </c>
      <c r="AF3616" s="1" t="s">
        <v>107</v>
      </c>
      <c r="AG3616" s="1">
        <v>75</v>
      </c>
      <c r="AO3616" s="2">
        <v>46288</v>
      </c>
      <c r="AP3616" s="1" t="s">
        <v>248</v>
      </c>
      <c r="AS3616" s="1" t="s">
        <v>71</v>
      </c>
      <c r="AU3616" s="1" t="s">
        <v>72</v>
      </c>
      <c r="AV3616" s="1" t="s">
        <v>437</v>
      </c>
      <c r="AX3616" s="1">
        <v>0</v>
      </c>
      <c r="BA3616" s="1">
        <v>9</v>
      </c>
      <c r="BB3616" s="1">
        <v>0</v>
      </c>
      <c r="BC3616" s="1">
        <v>0</v>
      </c>
      <c r="BE3616" s="1">
        <v>27661848</v>
      </c>
    </row>
    <row r="3617" spans="1:57" x14ac:dyDescent="0.25">
      <c r="A3617" s="1" t="str">
        <f>T("1949390045815968296")</f>
        <v>1949390045815968296</v>
      </c>
      <c r="B3617" s="1" t="str">
        <f>T("249962289221")</f>
        <v>249962289221</v>
      </c>
      <c r="C3617" s="1" t="str">
        <f>T("1941094533143987252")</f>
        <v>1941094533143987252</v>
      </c>
      <c r="AC3617" s="1" t="s">
        <v>344</v>
      </c>
      <c r="AD3617" s="1" t="s">
        <v>441</v>
      </c>
      <c r="AE3617" s="1" t="s">
        <v>530</v>
      </c>
      <c r="AF3617" s="1" t="s">
        <v>107</v>
      </c>
      <c r="AG3617" s="1">
        <v>35</v>
      </c>
      <c r="AO3617" s="2">
        <v>46288</v>
      </c>
      <c r="AP3617" s="1" t="s">
        <v>248</v>
      </c>
      <c r="AS3617" s="1" t="s">
        <v>71</v>
      </c>
      <c r="AU3617" s="1" t="s">
        <v>72</v>
      </c>
      <c r="AV3617" s="1" t="s">
        <v>73</v>
      </c>
      <c r="AX3617" s="1">
        <v>0</v>
      </c>
      <c r="BA3617" s="1">
        <v>9</v>
      </c>
      <c r="BB3617" s="1">
        <v>0</v>
      </c>
      <c r="BC3617" s="1">
        <v>0</v>
      </c>
      <c r="BE3617" s="1">
        <v>27661848</v>
      </c>
    </row>
    <row r="3618" spans="1:57" x14ac:dyDescent="0.25">
      <c r="A3618" s="1" t="str">
        <f>T("1949390045824358212")</f>
        <v>1949390045824358212</v>
      </c>
      <c r="B3618" s="1" t="str">
        <f>T("249925135472")</f>
        <v>249925135472</v>
      </c>
      <c r="C3618" s="1" t="str">
        <f>T("1941094533143988052")</f>
        <v>1941094533143988052</v>
      </c>
      <c r="AC3618" s="1" t="s">
        <v>344</v>
      </c>
      <c r="AD3618" s="1" t="s">
        <v>372</v>
      </c>
      <c r="AE3618" s="1" t="s">
        <v>820</v>
      </c>
      <c r="AF3618" s="1" t="s">
        <v>107</v>
      </c>
      <c r="AG3618" s="1">
        <v>31</v>
      </c>
      <c r="AO3618" s="2">
        <v>46288</v>
      </c>
      <c r="AP3618" s="1" t="s">
        <v>248</v>
      </c>
      <c r="AS3618" s="1" t="s">
        <v>71</v>
      </c>
      <c r="AU3618" s="1" t="s">
        <v>72</v>
      </c>
      <c r="AV3618" s="1" t="s">
        <v>73</v>
      </c>
      <c r="AX3618" s="1">
        <v>0</v>
      </c>
      <c r="BA3618" s="1">
        <v>9</v>
      </c>
      <c r="BB3618" s="1">
        <v>0</v>
      </c>
      <c r="BC3618" s="1">
        <v>0</v>
      </c>
      <c r="BE3618" s="1">
        <v>27661848</v>
      </c>
    </row>
    <row r="3619" spans="1:57" x14ac:dyDescent="0.25">
      <c r="A3619" s="1" t="str">
        <f>T("1949390045832747328")</f>
        <v>1949390045832747328</v>
      </c>
      <c r="B3619" s="1" t="str">
        <f>T("249968817256")</f>
        <v>249968817256</v>
      </c>
      <c r="C3619" s="1" t="str">
        <f>T("1941094533143988552")</f>
        <v>1941094533143988552</v>
      </c>
      <c r="AC3619" s="1" t="s">
        <v>344</v>
      </c>
      <c r="AD3619" s="1" t="s">
        <v>372</v>
      </c>
      <c r="AE3619" s="1" t="s">
        <v>818</v>
      </c>
      <c r="AF3619" s="1" t="s">
        <v>144</v>
      </c>
      <c r="AG3619" s="1">
        <v>31</v>
      </c>
      <c r="AO3619" s="2">
        <v>46288</v>
      </c>
      <c r="AP3619" s="1" t="s">
        <v>248</v>
      </c>
      <c r="AS3619" s="1" t="s">
        <v>71</v>
      </c>
      <c r="AU3619" s="1" t="s">
        <v>72</v>
      </c>
      <c r="AV3619" s="1" t="s">
        <v>437</v>
      </c>
      <c r="AX3619" s="1">
        <v>0</v>
      </c>
      <c r="BA3619" s="1">
        <v>9</v>
      </c>
      <c r="BB3619" s="1">
        <v>0</v>
      </c>
      <c r="BC3619" s="1">
        <v>0</v>
      </c>
      <c r="BE3619" s="1">
        <v>27661848</v>
      </c>
    </row>
    <row r="3620" spans="1:57" x14ac:dyDescent="0.25">
      <c r="A3620" s="1" t="str">
        <f>T("1949390045874692008")</f>
        <v>1949390045874692008</v>
      </c>
      <c r="B3620" s="1" t="str">
        <f>T("249918785803")</f>
        <v>249918785803</v>
      </c>
      <c r="C3620" s="1" t="str">
        <f>T("1941094533143989752")</f>
        <v>1941094533143989752</v>
      </c>
      <c r="AC3620" s="1" t="s">
        <v>344</v>
      </c>
      <c r="AD3620" s="1" t="s">
        <v>430</v>
      </c>
      <c r="AE3620" s="1" t="s">
        <v>530</v>
      </c>
      <c r="AF3620" s="1" t="s">
        <v>107</v>
      </c>
      <c r="AG3620" s="1">
        <v>65</v>
      </c>
      <c r="AO3620" s="2">
        <v>46288</v>
      </c>
      <c r="AP3620" s="1" t="s">
        <v>248</v>
      </c>
      <c r="AS3620" s="1" t="s">
        <v>71</v>
      </c>
      <c r="AU3620" s="1" t="s">
        <v>72</v>
      </c>
      <c r="AV3620" s="1" t="s">
        <v>73</v>
      </c>
      <c r="AX3620" s="1">
        <v>0</v>
      </c>
      <c r="BA3620" s="1">
        <v>9</v>
      </c>
      <c r="BB3620" s="1">
        <v>0</v>
      </c>
      <c r="BC3620" s="1">
        <v>0</v>
      </c>
      <c r="BE3620" s="1">
        <v>27661848</v>
      </c>
    </row>
    <row r="3621" spans="1:57" x14ac:dyDescent="0.25">
      <c r="A3621" s="1" t="str">
        <f>T("1949390045878883116")</f>
        <v>1949390045878883116</v>
      </c>
      <c r="B3621" s="1" t="str">
        <f>T("249916817793")</f>
        <v>249916817793</v>
      </c>
      <c r="C3621" s="1" t="str">
        <f>T("1941094533148182860")</f>
        <v>1941094533148182860</v>
      </c>
      <c r="AC3621" s="1" t="s">
        <v>344</v>
      </c>
      <c r="AD3621" s="1" t="s">
        <v>372</v>
      </c>
      <c r="AE3621" s="1" t="s">
        <v>813</v>
      </c>
      <c r="AF3621" s="1" t="s">
        <v>107</v>
      </c>
      <c r="AG3621" s="1">
        <v>52</v>
      </c>
      <c r="AO3621" s="2">
        <v>46288</v>
      </c>
      <c r="AP3621" s="1" t="s">
        <v>248</v>
      </c>
      <c r="AS3621" s="1" t="s">
        <v>71</v>
      </c>
      <c r="AU3621" s="1" t="s">
        <v>72</v>
      </c>
      <c r="AV3621" s="1" t="s">
        <v>73</v>
      </c>
      <c r="AX3621" s="1">
        <v>0</v>
      </c>
      <c r="BA3621" s="1">
        <v>9</v>
      </c>
      <c r="BB3621" s="1">
        <v>0</v>
      </c>
      <c r="BC3621" s="1">
        <v>0</v>
      </c>
      <c r="BE3621" s="1">
        <v>27661848</v>
      </c>
    </row>
    <row r="3622" spans="1:57" x14ac:dyDescent="0.25">
      <c r="A3622" s="1" t="str">
        <f>T("1949390045891468540")</f>
        <v>1949390045891468540</v>
      </c>
      <c r="B3622" s="1" t="str">
        <f>T("249963625543")</f>
        <v>249963625543</v>
      </c>
      <c r="C3622" s="1" t="str">
        <f>T("1941094533148183360")</f>
        <v>1941094533148183360</v>
      </c>
      <c r="AC3622" s="1" t="s">
        <v>344</v>
      </c>
      <c r="AD3622" s="1" t="s">
        <v>372</v>
      </c>
      <c r="AE3622" s="1" t="s">
        <v>813</v>
      </c>
      <c r="AF3622" s="1" t="s">
        <v>144</v>
      </c>
      <c r="AG3622" s="1">
        <v>50</v>
      </c>
      <c r="AO3622" s="2">
        <v>46288</v>
      </c>
      <c r="AP3622" s="1" t="s">
        <v>248</v>
      </c>
      <c r="AS3622" s="1" t="s">
        <v>71</v>
      </c>
      <c r="AU3622" s="1" t="s">
        <v>72</v>
      </c>
      <c r="AV3622" s="1" t="s">
        <v>73</v>
      </c>
      <c r="AX3622" s="1">
        <v>0</v>
      </c>
      <c r="BA3622" s="1">
        <v>9</v>
      </c>
      <c r="BB3622" s="1">
        <v>0</v>
      </c>
      <c r="BC3622" s="1">
        <v>0</v>
      </c>
      <c r="BE3622" s="1">
        <v>27661848</v>
      </c>
    </row>
    <row r="3623" spans="1:57" x14ac:dyDescent="0.25">
      <c r="A3623" s="1" t="str">
        <f>T("1949390045933411620")</f>
        <v>1949390045933411620</v>
      </c>
      <c r="B3623" s="1" t="str">
        <f>T("249911108074")</f>
        <v>249911108074</v>
      </c>
      <c r="C3623" s="1" t="str">
        <f>T("1941094533148183860")</f>
        <v>1941094533148183860</v>
      </c>
      <c r="AC3623" s="1" t="s">
        <v>344</v>
      </c>
      <c r="AD3623" s="1" t="s">
        <v>372</v>
      </c>
      <c r="AE3623" s="1" t="s">
        <v>818</v>
      </c>
      <c r="AF3623" s="1" t="s">
        <v>107</v>
      </c>
      <c r="AG3623" s="1">
        <v>50</v>
      </c>
      <c r="AO3623" s="2">
        <v>46288</v>
      </c>
      <c r="AP3623" s="1" t="s">
        <v>248</v>
      </c>
      <c r="AS3623" s="1" t="s">
        <v>71</v>
      </c>
      <c r="AU3623" s="1" t="s">
        <v>72</v>
      </c>
      <c r="AV3623" s="1" t="s">
        <v>73</v>
      </c>
      <c r="AX3623" s="1">
        <v>0</v>
      </c>
      <c r="BA3623" s="1">
        <v>9</v>
      </c>
      <c r="BB3623" s="1">
        <v>0</v>
      </c>
      <c r="BC3623" s="1">
        <v>0</v>
      </c>
      <c r="BE3623" s="1">
        <v>27661848</v>
      </c>
    </row>
    <row r="3624" spans="1:57" x14ac:dyDescent="0.25">
      <c r="A3624" s="1" t="str">
        <f>T("1949390045937606528")</f>
        <v>1949390045937606528</v>
      </c>
      <c r="B3624" s="1" t="str">
        <f>T("249903280299")</f>
        <v>249903280299</v>
      </c>
      <c r="C3624" s="1" t="str">
        <f>T("1941094533148184160")</f>
        <v>1941094533148184160</v>
      </c>
      <c r="AC3624" s="1" t="s">
        <v>344</v>
      </c>
      <c r="AD3624" s="1" t="s">
        <v>357</v>
      </c>
      <c r="AE3624" s="1" t="s">
        <v>812</v>
      </c>
      <c r="AF3624" s="1" t="s">
        <v>107</v>
      </c>
      <c r="AG3624" s="1">
        <v>64</v>
      </c>
      <c r="AO3624" s="2">
        <v>46288</v>
      </c>
      <c r="AP3624" s="1" t="s">
        <v>248</v>
      </c>
      <c r="AS3624" s="1" t="s">
        <v>71</v>
      </c>
      <c r="AU3624" s="1" t="s">
        <v>72</v>
      </c>
      <c r="AV3624" s="1" t="s">
        <v>73</v>
      </c>
      <c r="AX3624" s="1">
        <v>0</v>
      </c>
      <c r="BA3624" s="1">
        <v>9</v>
      </c>
      <c r="BB3624" s="1">
        <v>0</v>
      </c>
      <c r="BC3624" s="1">
        <v>0</v>
      </c>
      <c r="BE3624" s="1">
        <v>27661848</v>
      </c>
    </row>
    <row r="3625" spans="1:57" x14ac:dyDescent="0.25">
      <c r="A3625" s="1" t="str">
        <f>T("1949390045950187152")</f>
        <v>1949390045950187152</v>
      </c>
      <c r="B3625" s="1" t="str">
        <f>T("249909916775")</f>
        <v>249909916775</v>
      </c>
      <c r="C3625" s="1" t="str">
        <f>T("1941094533152374868")</f>
        <v>1941094533152374868</v>
      </c>
      <c r="AC3625" s="1" t="s">
        <v>344</v>
      </c>
      <c r="AD3625" s="1" t="s">
        <v>372</v>
      </c>
      <c r="AE3625" s="1" t="s">
        <v>813</v>
      </c>
      <c r="AF3625" s="1" t="s">
        <v>107</v>
      </c>
      <c r="AG3625" s="1">
        <v>68</v>
      </c>
      <c r="AO3625" s="2">
        <v>46288</v>
      </c>
      <c r="AP3625" s="1" t="s">
        <v>248</v>
      </c>
      <c r="AS3625" s="1" t="s">
        <v>71</v>
      </c>
      <c r="AU3625" s="1" t="s">
        <v>72</v>
      </c>
      <c r="AV3625" s="1" t="s">
        <v>437</v>
      </c>
      <c r="AX3625" s="1">
        <v>0</v>
      </c>
      <c r="BA3625" s="1">
        <v>9</v>
      </c>
      <c r="BB3625" s="1">
        <v>0</v>
      </c>
      <c r="BC3625" s="1">
        <v>0</v>
      </c>
      <c r="BE3625" s="1">
        <v>27661848</v>
      </c>
    </row>
    <row r="3626" spans="1:57" x14ac:dyDescent="0.25">
      <c r="A3626" s="1" t="str">
        <f>T("1949390045983742316")</f>
        <v>1949390045983742316</v>
      </c>
      <c r="B3626" s="1" t="str">
        <f>T("249114790763")</f>
        <v>249114790763</v>
      </c>
      <c r="C3626" s="1" t="str">
        <f>T("1941094533152375268")</f>
        <v>1941094533152375268</v>
      </c>
      <c r="AC3626" s="1" t="s">
        <v>344</v>
      </c>
      <c r="AD3626" s="1" t="s">
        <v>441</v>
      </c>
      <c r="AE3626" s="1" t="s">
        <v>530</v>
      </c>
      <c r="AF3626" s="1" t="s">
        <v>107</v>
      </c>
      <c r="AG3626" s="1">
        <v>22</v>
      </c>
      <c r="AO3626" s="2">
        <v>46288</v>
      </c>
      <c r="AP3626" s="1" t="s">
        <v>248</v>
      </c>
      <c r="AS3626" s="1" t="s">
        <v>71</v>
      </c>
      <c r="AU3626" s="1" t="s">
        <v>72</v>
      </c>
      <c r="AV3626" s="1" t="s">
        <v>73</v>
      </c>
      <c r="AX3626" s="1">
        <v>0</v>
      </c>
      <c r="BA3626" s="1">
        <v>9</v>
      </c>
      <c r="BB3626" s="1">
        <v>0</v>
      </c>
      <c r="BC3626" s="1">
        <v>0</v>
      </c>
      <c r="BE3626" s="1">
        <v>27661848</v>
      </c>
    </row>
    <row r="3627" spans="1:57" x14ac:dyDescent="0.25">
      <c r="A3627" s="1" t="str">
        <f>T("1949390045996325940")</f>
        <v>1949390045996325940</v>
      </c>
      <c r="B3627" s="1" t="str">
        <f>T("249913581189")</f>
        <v>249913581189</v>
      </c>
      <c r="C3627" s="1" t="str">
        <f>T("1941094533152375668")</f>
        <v>1941094533152375668</v>
      </c>
      <c r="AC3627" s="1" t="s">
        <v>344</v>
      </c>
      <c r="AD3627" s="1" t="s">
        <v>372</v>
      </c>
      <c r="AE3627" s="1" t="s">
        <v>813</v>
      </c>
      <c r="AF3627" s="1" t="s">
        <v>107</v>
      </c>
      <c r="AG3627" s="1">
        <v>80</v>
      </c>
      <c r="AO3627" s="2">
        <v>46288</v>
      </c>
      <c r="AP3627" s="1" t="s">
        <v>248</v>
      </c>
      <c r="AS3627" s="1" t="s">
        <v>71</v>
      </c>
      <c r="AU3627" s="1" t="s">
        <v>72</v>
      </c>
      <c r="AV3627" s="1" t="s">
        <v>73</v>
      </c>
      <c r="AX3627" s="1">
        <v>0</v>
      </c>
      <c r="BA3627" s="1">
        <v>9</v>
      </c>
      <c r="BB3627" s="1">
        <v>0</v>
      </c>
      <c r="BC3627" s="1">
        <v>0</v>
      </c>
      <c r="BE3627" s="1">
        <v>27661848</v>
      </c>
    </row>
    <row r="3628" spans="1:57" x14ac:dyDescent="0.25">
      <c r="A3628" s="1" t="str">
        <f>T("1949390046000518648")</f>
        <v>1949390046000518648</v>
      </c>
      <c r="B3628" s="1" t="str">
        <f>T("249921133360")</f>
        <v>249921133360</v>
      </c>
      <c r="C3628" s="1" t="str">
        <f>T("1941094533152377368")</f>
        <v>1941094533152377368</v>
      </c>
      <c r="AC3628" s="1" t="s">
        <v>344</v>
      </c>
      <c r="AD3628" s="1" t="s">
        <v>372</v>
      </c>
      <c r="AE3628" s="1" t="s">
        <v>820</v>
      </c>
      <c r="AF3628" s="1" t="s">
        <v>144</v>
      </c>
      <c r="AG3628" s="1">
        <v>37</v>
      </c>
      <c r="AO3628" s="2">
        <v>46288</v>
      </c>
      <c r="AP3628" s="1" t="s">
        <v>248</v>
      </c>
      <c r="AS3628" s="1" t="s">
        <v>71</v>
      </c>
      <c r="AU3628" s="1" t="s">
        <v>72</v>
      </c>
      <c r="AV3628" s="1" t="s">
        <v>73</v>
      </c>
      <c r="AX3628" s="1">
        <v>0</v>
      </c>
      <c r="BA3628" s="1">
        <v>9</v>
      </c>
      <c r="BB3628" s="1">
        <v>0</v>
      </c>
      <c r="BC3628" s="1">
        <v>0</v>
      </c>
      <c r="BE3628" s="1">
        <v>27661848</v>
      </c>
    </row>
    <row r="3629" spans="1:57" x14ac:dyDescent="0.25">
      <c r="A3629" s="1" t="str">
        <f>T("1949390046055043852")</f>
        <v>1949390046055043852</v>
      </c>
      <c r="B3629" s="1" t="str">
        <f>T("249906195128")</f>
        <v>249906195128</v>
      </c>
      <c r="C3629" s="1" t="str">
        <f>T("1941094533152377668")</f>
        <v>1941094533152377668</v>
      </c>
      <c r="AC3629" s="1" t="s">
        <v>344</v>
      </c>
      <c r="AD3629" s="1" t="s">
        <v>441</v>
      </c>
      <c r="AE3629" s="1" t="s">
        <v>530</v>
      </c>
      <c r="AF3629" s="1" t="s">
        <v>107</v>
      </c>
      <c r="AG3629" s="1">
        <v>65</v>
      </c>
      <c r="AO3629" s="2">
        <v>46288</v>
      </c>
      <c r="AP3629" s="1" t="s">
        <v>248</v>
      </c>
      <c r="AS3629" s="1" t="s">
        <v>71</v>
      </c>
      <c r="AU3629" s="1" t="s">
        <v>72</v>
      </c>
      <c r="AV3629" s="1" t="s">
        <v>437</v>
      </c>
      <c r="AX3629" s="1">
        <v>0</v>
      </c>
      <c r="BA3629" s="1">
        <v>9</v>
      </c>
      <c r="BB3629" s="1">
        <v>0</v>
      </c>
      <c r="BC3629" s="1">
        <v>0</v>
      </c>
      <c r="BE3629" s="1">
        <v>27661848</v>
      </c>
    </row>
    <row r="3630" spans="1:57" x14ac:dyDescent="0.25">
      <c r="A3630" s="1" t="str">
        <f>T("1949390046071820384")</f>
        <v>1949390046071820384</v>
      </c>
      <c r="B3630" s="1" t="str">
        <f>T("249908234129")</f>
        <v>249908234129</v>
      </c>
      <c r="C3630" s="1" t="str">
        <f>T("1941094533152378268")</f>
        <v>1941094533152378268</v>
      </c>
      <c r="AC3630" s="1" t="s">
        <v>344</v>
      </c>
      <c r="AD3630" s="1" t="s">
        <v>430</v>
      </c>
      <c r="AE3630" s="1" t="s">
        <v>530</v>
      </c>
      <c r="AF3630" s="1" t="s">
        <v>107</v>
      </c>
      <c r="AG3630" s="1">
        <v>72</v>
      </c>
      <c r="AO3630" s="2">
        <v>46288</v>
      </c>
      <c r="AP3630" s="1" t="s">
        <v>248</v>
      </c>
      <c r="AS3630" s="1" t="s">
        <v>71</v>
      </c>
      <c r="AU3630" s="1" t="s">
        <v>72</v>
      </c>
      <c r="AV3630" s="1" t="s">
        <v>73</v>
      </c>
      <c r="AX3630" s="1">
        <v>0</v>
      </c>
      <c r="BA3630" s="1">
        <v>9</v>
      </c>
      <c r="BB3630" s="1">
        <v>0</v>
      </c>
      <c r="BC3630" s="1">
        <v>0</v>
      </c>
      <c r="BE3630" s="1">
        <v>27661848</v>
      </c>
    </row>
    <row r="3631" spans="1:57" x14ac:dyDescent="0.25">
      <c r="A3631" s="1" t="str">
        <f>T("1949450434738068624")</f>
        <v>1949450434738068624</v>
      </c>
      <c r="B3631" s="1" t="str">
        <f>T("249909435539")</f>
        <v>249909435539</v>
      </c>
      <c r="C3631" s="1" t="str">
        <f>T("1941094533156569376")</f>
        <v>1941094533156569376</v>
      </c>
      <c r="AC3631" s="1" t="s">
        <v>344</v>
      </c>
      <c r="AD3631" s="1" t="s">
        <v>441</v>
      </c>
      <c r="AE3631" s="1" t="s">
        <v>530</v>
      </c>
      <c r="AF3631" s="1" t="s">
        <v>107</v>
      </c>
      <c r="AG3631" s="1">
        <v>40</v>
      </c>
      <c r="AO3631" s="2">
        <v>46288</v>
      </c>
      <c r="AP3631" s="1" t="s">
        <v>301</v>
      </c>
      <c r="AS3631" s="1" t="s">
        <v>71</v>
      </c>
      <c r="AU3631" s="1" t="s">
        <v>75</v>
      </c>
      <c r="AV3631" s="1" t="s">
        <v>590</v>
      </c>
      <c r="AX3631" s="1">
        <v>0</v>
      </c>
      <c r="BA3631" s="1">
        <v>7</v>
      </c>
      <c r="BB3631" s="1">
        <v>0</v>
      </c>
      <c r="BC3631" s="1">
        <v>0</v>
      </c>
      <c r="BE3631" s="1">
        <v>27661856</v>
      </c>
    </row>
    <row r="3632" spans="1:57" x14ac:dyDescent="0.25">
      <c r="A3632" s="1" t="str">
        <f>T("1949450434746455640")</f>
        <v>1949450434746455640</v>
      </c>
      <c r="B3632" s="1" t="str">
        <f>T("249119682288")</f>
        <v>249119682288</v>
      </c>
      <c r="C3632" s="1" t="str">
        <f>T("1941094533156569776")</f>
        <v>1941094533156569776</v>
      </c>
      <c r="AA3632" s="1">
        <v>1</v>
      </c>
      <c r="AC3632" s="1" t="s">
        <v>344</v>
      </c>
      <c r="AD3632" s="1" t="s">
        <v>372</v>
      </c>
      <c r="AE3632" s="1" t="s">
        <v>820</v>
      </c>
      <c r="AF3632" s="1" t="s">
        <v>107</v>
      </c>
      <c r="AG3632" s="1">
        <v>63</v>
      </c>
      <c r="AO3632" s="2">
        <v>46288</v>
      </c>
      <c r="AP3632" s="1" t="s">
        <v>301</v>
      </c>
      <c r="AQ3632" s="2">
        <v>46288</v>
      </c>
      <c r="AR3632" s="1" t="s">
        <v>711</v>
      </c>
      <c r="AS3632" s="1" t="s">
        <v>71</v>
      </c>
      <c r="AU3632" s="1" t="s">
        <v>79</v>
      </c>
      <c r="AV3632" s="1" t="s">
        <v>80</v>
      </c>
      <c r="AW3632" s="1">
        <v>39.82</v>
      </c>
      <c r="AX3632" s="1">
        <v>0</v>
      </c>
      <c r="AZ3632" s="1" t="s">
        <v>81</v>
      </c>
      <c r="BA3632" s="1">
        <v>1</v>
      </c>
      <c r="BB3632" s="1">
        <v>0</v>
      </c>
      <c r="BC3632" s="1">
        <v>0</v>
      </c>
      <c r="BE3632" s="1">
        <v>27661856</v>
      </c>
    </row>
    <row r="3633" spans="1:57" x14ac:dyDescent="0.25">
      <c r="A3633" s="1" t="str">
        <f>T("1949450434754843356")</f>
        <v>1949450434754843356</v>
      </c>
      <c r="B3633" s="1" t="str">
        <f>T("249925485724")</f>
        <v>249925485724</v>
      </c>
      <c r="C3633" s="1" t="str">
        <f>T("1941094533152378668")</f>
        <v>1941094533152378668</v>
      </c>
      <c r="AC3633" s="1" t="s">
        <v>344</v>
      </c>
      <c r="AD3633" s="1" t="s">
        <v>372</v>
      </c>
      <c r="AE3633" s="1" t="s">
        <v>814</v>
      </c>
      <c r="AF3633" s="1" t="s">
        <v>144</v>
      </c>
      <c r="AG3633" s="1">
        <v>35</v>
      </c>
      <c r="AO3633" s="2">
        <v>46288</v>
      </c>
      <c r="AP3633" s="1" t="s">
        <v>301</v>
      </c>
      <c r="AQ3633" s="2">
        <v>46288</v>
      </c>
      <c r="AR3633" s="1" t="s">
        <v>903</v>
      </c>
      <c r="AS3633" s="1" t="s">
        <v>71</v>
      </c>
      <c r="AU3633" s="1" t="s">
        <v>79</v>
      </c>
      <c r="AV3633" s="1" t="s">
        <v>80</v>
      </c>
      <c r="AW3633" s="1">
        <v>14.5</v>
      </c>
      <c r="AX3633" s="1">
        <v>0</v>
      </c>
      <c r="AZ3633" s="1" t="s">
        <v>81</v>
      </c>
      <c r="BA3633" s="1">
        <v>2</v>
      </c>
      <c r="BB3633" s="1">
        <v>0</v>
      </c>
      <c r="BC3633" s="1">
        <v>0</v>
      </c>
      <c r="BE3633" s="1">
        <v>27661856</v>
      </c>
    </row>
    <row r="3634" spans="1:57" x14ac:dyDescent="0.25">
      <c r="A3634" s="1" t="str">
        <f>T("1949450434897452428")</f>
        <v>1949450434897452428</v>
      </c>
      <c r="B3634" s="1" t="str">
        <f>T("249913979738")</f>
        <v>249913979738</v>
      </c>
      <c r="C3634" s="1" t="str">
        <f>T("1941094533156571176")</f>
        <v>1941094533156571176</v>
      </c>
      <c r="AC3634" s="1" t="s">
        <v>344</v>
      </c>
      <c r="AD3634" s="1" t="s">
        <v>372</v>
      </c>
      <c r="AE3634" s="1" t="s">
        <v>373</v>
      </c>
      <c r="AF3634" s="1" t="s">
        <v>107</v>
      </c>
      <c r="AG3634" s="1">
        <v>46</v>
      </c>
      <c r="AO3634" s="2">
        <v>46288</v>
      </c>
      <c r="AP3634" s="1" t="s">
        <v>301</v>
      </c>
      <c r="AS3634" s="1" t="s">
        <v>71</v>
      </c>
      <c r="AU3634" s="1" t="s">
        <v>72</v>
      </c>
      <c r="AV3634" s="1" t="s">
        <v>73</v>
      </c>
      <c r="AX3634" s="1">
        <v>0</v>
      </c>
      <c r="BA3634" s="1">
        <v>9</v>
      </c>
      <c r="BB3634" s="1">
        <v>0</v>
      </c>
      <c r="BC3634" s="1">
        <v>0</v>
      </c>
      <c r="BE3634" s="1">
        <v>27661856</v>
      </c>
    </row>
    <row r="3635" spans="1:57" x14ac:dyDescent="0.25">
      <c r="A3635" s="1" t="str">
        <f>T("1949450434918421168")</f>
        <v>1949450434918421168</v>
      </c>
      <c r="B3635" s="1" t="str">
        <f>T("249992173411")</f>
        <v>249992173411</v>
      </c>
      <c r="C3635" s="1" t="str">
        <f>T("1941094533156571676")</f>
        <v>1941094533156571676</v>
      </c>
      <c r="AC3635" s="1" t="s">
        <v>344</v>
      </c>
      <c r="AD3635" s="1" t="s">
        <v>372</v>
      </c>
      <c r="AE3635" s="1" t="s">
        <v>820</v>
      </c>
      <c r="AF3635" s="1" t="s">
        <v>144</v>
      </c>
      <c r="AG3635" s="1">
        <v>29</v>
      </c>
      <c r="AO3635" s="2">
        <v>46288</v>
      </c>
      <c r="AP3635" s="1" t="s">
        <v>301</v>
      </c>
      <c r="AS3635" s="1" t="s">
        <v>71</v>
      </c>
      <c r="AU3635" s="1" t="s">
        <v>72</v>
      </c>
      <c r="AV3635" s="1" t="s">
        <v>73</v>
      </c>
      <c r="AX3635" s="1">
        <v>0</v>
      </c>
      <c r="BA3635" s="1">
        <v>9</v>
      </c>
      <c r="BB3635" s="1">
        <v>0</v>
      </c>
      <c r="BC3635" s="1">
        <v>0</v>
      </c>
      <c r="BE3635" s="1">
        <v>27661856</v>
      </c>
    </row>
    <row r="3636" spans="1:57" x14ac:dyDescent="0.25">
      <c r="A3636" s="1" t="str">
        <f>T("1949450434968754264")</f>
        <v>1949450434968754264</v>
      </c>
      <c r="B3636" s="1" t="str">
        <f>T("249996806702")</f>
        <v>249996806702</v>
      </c>
      <c r="C3636" s="1" t="str">
        <f>T("1941094533160764084")</f>
        <v>1941094533160764084</v>
      </c>
      <c r="AC3636" s="1" t="s">
        <v>344</v>
      </c>
      <c r="AD3636" s="1" t="s">
        <v>372</v>
      </c>
      <c r="AE3636" s="1" t="s">
        <v>818</v>
      </c>
      <c r="AF3636" s="1" t="s">
        <v>107</v>
      </c>
      <c r="AG3636" s="1">
        <v>70</v>
      </c>
      <c r="AO3636" s="2">
        <v>46288</v>
      </c>
      <c r="AP3636" s="1" t="s">
        <v>301</v>
      </c>
      <c r="AQ3636" s="2">
        <v>46288</v>
      </c>
      <c r="AR3636" s="1" t="s">
        <v>904</v>
      </c>
      <c r="AS3636" s="1" t="s">
        <v>71</v>
      </c>
      <c r="AU3636" s="1" t="s">
        <v>79</v>
      </c>
      <c r="AV3636" s="1" t="s">
        <v>80</v>
      </c>
      <c r="AW3636" s="1">
        <v>37.32</v>
      </c>
      <c r="AX3636" s="1">
        <v>0</v>
      </c>
      <c r="AZ3636" s="1" t="s">
        <v>81</v>
      </c>
      <c r="BA3636" s="1">
        <v>1</v>
      </c>
      <c r="BB3636" s="1">
        <v>0</v>
      </c>
      <c r="BC3636" s="1">
        <v>0</v>
      </c>
      <c r="BE3636" s="1">
        <v>27661856</v>
      </c>
    </row>
    <row r="3637" spans="1:57" x14ac:dyDescent="0.25">
      <c r="A3637" s="1" t="str">
        <f>T("1949450434968755764")</f>
        <v>1949450434968755764</v>
      </c>
      <c r="B3637" s="1" t="str">
        <f>T("249992790803")</f>
        <v>249992790803</v>
      </c>
      <c r="C3637" s="1" t="str">
        <f>T("1941094533156572076")</f>
        <v>1941094533156572076</v>
      </c>
      <c r="AA3637" s="1">
        <v>1</v>
      </c>
      <c r="AC3637" s="1" t="s">
        <v>344</v>
      </c>
      <c r="AD3637" s="1" t="s">
        <v>372</v>
      </c>
      <c r="AE3637" s="1" t="s">
        <v>814</v>
      </c>
      <c r="AF3637" s="1" t="s">
        <v>144</v>
      </c>
      <c r="AG3637" s="1">
        <v>80</v>
      </c>
      <c r="AO3637" s="2">
        <v>46288</v>
      </c>
      <c r="AP3637" s="1" t="s">
        <v>301</v>
      </c>
      <c r="AQ3637" s="2">
        <v>46288</v>
      </c>
      <c r="AR3637" s="1" t="s">
        <v>319</v>
      </c>
      <c r="AS3637" s="1" t="s">
        <v>71</v>
      </c>
      <c r="AU3637" s="1" t="s">
        <v>79</v>
      </c>
      <c r="AV3637" s="1" t="s">
        <v>80</v>
      </c>
      <c r="AW3637" s="1">
        <v>123.86</v>
      </c>
      <c r="AX3637" s="1">
        <v>0</v>
      </c>
      <c r="AZ3637" s="1" t="s">
        <v>81</v>
      </c>
      <c r="BA3637" s="1">
        <v>1</v>
      </c>
      <c r="BB3637" s="1">
        <v>0</v>
      </c>
      <c r="BC3637" s="1">
        <v>0</v>
      </c>
      <c r="BE3637" s="1">
        <v>27661856</v>
      </c>
    </row>
    <row r="3638" spans="1:57" x14ac:dyDescent="0.25">
      <c r="A3638" s="1" t="str">
        <f>T("1949450435027476276")</f>
        <v>1949450435027476276</v>
      </c>
      <c r="B3638" s="1" t="str">
        <f>T("249908531869")</f>
        <v>249908531869</v>
      </c>
      <c r="C3638" s="1" t="str">
        <f>T("1941094533160765684")</f>
        <v>1941094533160765684</v>
      </c>
      <c r="AC3638" s="1" t="s">
        <v>344</v>
      </c>
      <c r="AD3638" s="1" t="s">
        <v>430</v>
      </c>
      <c r="AE3638" s="1" t="s">
        <v>530</v>
      </c>
      <c r="AF3638" s="1" t="s">
        <v>144</v>
      </c>
      <c r="AG3638" s="1">
        <v>53</v>
      </c>
      <c r="AO3638" s="2">
        <v>46288</v>
      </c>
      <c r="AP3638" s="1" t="s">
        <v>301</v>
      </c>
      <c r="AS3638" s="1" t="s">
        <v>71</v>
      </c>
      <c r="AU3638" s="1" t="s">
        <v>72</v>
      </c>
      <c r="AV3638" s="1" t="s">
        <v>73</v>
      </c>
      <c r="AX3638" s="1">
        <v>0</v>
      </c>
      <c r="BA3638" s="1">
        <v>9</v>
      </c>
      <c r="BB3638" s="1">
        <v>0</v>
      </c>
      <c r="BC3638" s="1">
        <v>0</v>
      </c>
      <c r="BE3638" s="1">
        <v>27661856</v>
      </c>
    </row>
    <row r="3639" spans="1:57" x14ac:dyDescent="0.25">
      <c r="A3639" s="1" t="str">
        <f>T("1949450435031668184")</f>
        <v>1949450435031668184</v>
      </c>
      <c r="B3639" s="1" t="str">
        <f>T("249906295958")</f>
        <v>249906295958</v>
      </c>
      <c r="C3639" s="1" t="str">
        <f>T("1941094533160766284")</f>
        <v>1941094533160766284</v>
      </c>
      <c r="AC3639" s="1" t="s">
        <v>344</v>
      </c>
      <c r="AD3639" s="1" t="s">
        <v>441</v>
      </c>
      <c r="AE3639" s="1" t="s">
        <v>530</v>
      </c>
      <c r="AF3639" s="1" t="s">
        <v>144</v>
      </c>
      <c r="AG3639" s="1">
        <v>40</v>
      </c>
      <c r="AO3639" s="2">
        <v>46288</v>
      </c>
      <c r="AP3639" s="1" t="s">
        <v>301</v>
      </c>
      <c r="AS3639" s="1" t="s">
        <v>71</v>
      </c>
      <c r="AU3639" s="1" t="s">
        <v>72</v>
      </c>
      <c r="AV3639" s="1" t="s">
        <v>437</v>
      </c>
      <c r="AX3639" s="1">
        <v>0</v>
      </c>
      <c r="BA3639" s="1">
        <v>9</v>
      </c>
      <c r="BB3639" s="1">
        <v>0</v>
      </c>
      <c r="BC3639" s="1">
        <v>0</v>
      </c>
      <c r="BE3639" s="1">
        <v>27661856</v>
      </c>
    </row>
    <row r="3640" spans="1:57" x14ac:dyDescent="0.25">
      <c r="A3640" s="1" t="str">
        <f>T("1949450435035862692")</f>
        <v>1949450435035862692</v>
      </c>
      <c r="B3640" s="1" t="str">
        <f>T("249900305306")</f>
        <v>249900305306</v>
      </c>
      <c r="C3640" s="1" t="str">
        <f>T("1941094533160766984")</f>
        <v>1941094533160766984</v>
      </c>
      <c r="AC3640" s="1" t="s">
        <v>344</v>
      </c>
      <c r="AD3640" s="1" t="s">
        <v>372</v>
      </c>
      <c r="AE3640" s="1" t="s">
        <v>813</v>
      </c>
      <c r="AF3640" s="1" t="s">
        <v>107</v>
      </c>
      <c r="AG3640" s="1">
        <v>80</v>
      </c>
      <c r="AO3640" s="2">
        <v>46288</v>
      </c>
      <c r="AP3640" s="1" t="s">
        <v>301</v>
      </c>
      <c r="AS3640" s="1" t="s">
        <v>71</v>
      </c>
      <c r="AU3640" s="1" t="s">
        <v>72</v>
      </c>
      <c r="AV3640" s="1" t="s">
        <v>73</v>
      </c>
      <c r="AX3640" s="1">
        <v>0</v>
      </c>
      <c r="BA3640" s="1">
        <v>9</v>
      </c>
      <c r="BB3640" s="1">
        <v>0</v>
      </c>
      <c r="BC3640" s="1">
        <v>0</v>
      </c>
      <c r="BE3640" s="1">
        <v>27661856</v>
      </c>
    </row>
    <row r="3641" spans="1:57" x14ac:dyDescent="0.25">
      <c r="A3641" s="1" t="str">
        <f>T("1949450435090387096")</f>
        <v>1949450435090387096</v>
      </c>
      <c r="B3641" s="1" t="str">
        <f>T("249923165347")</f>
        <v>249923165347</v>
      </c>
      <c r="C3641" s="1" t="str">
        <f>T("1941094533164957792")</f>
        <v>1941094533164957792</v>
      </c>
      <c r="M3641" s="1" t="s">
        <v>59</v>
      </c>
      <c r="AA3641" s="1">
        <v>1</v>
      </c>
      <c r="AC3641" s="1" t="s">
        <v>344</v>
      </c>
      <c r="AD3641" s="1" t="s">
        <v>372</v>
      </c>
      <c r="AE3641" s="1" t="s">
        <v>815</v>
      </c>
      <c r="AF3641" s="1" t="s">
        <v>107</v>
      </c>
      <c r="AG3641" s="1">
        <v>60</v>
      </c>
      <c r="AO3641" s="2">
        <v>46288</v>
      </c>
      <c r="AP3641" s="1" t="s">
        <v>301</v>
      </c>
      <c r="AQ3641" s="2">
        <v>46288</v>
      </c>
      <c r="AR3641" s="1" t="s">
        <v>905</v>
      </c>
      <c r="AS3641" s="1" t="s">
        <v>71</v>
      </c>
      <c r="AU3641" s="1" t="s">
        <v>79</v>
      </c>
      <c r="AV3641" s="1" t="s">
        <v>80</v>
      </c>
      <c r="AW3641" s="1">
        <v>135.19999999999999</v>
      </c>
      <c r="AX3641" s="1">
        <v>0</v>
      </c>
      <c r="AZ3641" s="1" t="s">
        <v>81</v>
      </c>
      <c r="BA3641" s="1">
        <v>1</v>
      </c>
      <c r="BB3641" s="1">
        <v>0</v>
      </c>
      <c r="BC3641" s="1">
        <v>0</v>
      </c>
      <c r="BE3641" s="1">
        <v>27661856</v>
      </c>
    </row>
    <row r="3642" spans="1:57" x14ac:dyDescent="0.25">
      <c r="A3642" s="1" t="str">
        <f>T("1949450435102970620")</f>
        <v>1949450435102970620</v>
      </c>
      <c r="B3642" s="1" t="str">
        <f>T("249964201277")</f>
        <v>249964201277</v>
      </c>
      <c r="C3642" s="1" t="str">
        <f>T("1941094533164958192")</f>
        <v>1941094533164958192</v>
      </c>
      <c r="AC3642" s="1" t="s">
        <v>344</v>
      </c>
      <c r="AD3642" s="1" t="s">
        <v>430</v>
      </c>
      <c r="AE3642" s="1" t="s">
        <v>530</v>
      </c>
      <c r="AF3642" s="1" t="s">
        <v>144</v>
      </c>
      <c r="AG3642" s="1">
        <v>43</v>
      </c>
      <c r="AO3642" s="2">
        <v>46288</v>
      </c>
      <c r="AP3642" s="1" t="s">
        <v>301</v>
      </c>
      <c r="AS3642" s="1" t="s">
        <v>71</v>
      </c>
      <c r="AU3642" s="1" t="s">
        <v>72</v>
      </c>
      <c r="AV3642" s="1" t="s">
        <v>437</v>
      </c>
      <c r="AX3642" s="1">
        <v>0</v>
      </c>
      <c r="BA3642" s="1">
        <v>9</v>
      </c>
      <c r="BB3642" s="1">
        <v>0</v>
      </c>
      <c r="BC3642" s="1">
        <v>0</v>
      </c>
      <c r="BE3642" s="1">
        <v>27661856</v>
      </c>
    </row>
    <row r="3643" spans="1:57" x14ac:dyDescent="0.25">
      <c r="A3643" s="1" t="str">
        <f>T("1949450435102973020")</f>
        <v>1949450435102973020</v>
      </c>
      <c r="B3643" s="1" t="str">
        <f>T("249969980267")</f>
        <v>249969980267</v>
      </c>
      <c r="C3643" s="1" t="str">
        <f>T("1941094533164958492")</f>
        <v>1941094533164958492</v>
      </c>
      <c r="AC3643" s="1" t="s">
        <v>344</v>
      </c>
      <c r="AD3643" s="1" t="s">
        <v>441</v>
      </c>
      <c r="AE3643" s="1" t="s">
        <v>530</v>
      </c>
      <c r="AF3643" s="1" t="s">
        <v>144</v>
      </c>
      <c r="AG3643" s="1">
        <v>62</v>
      </c>
      <c r="AO3643" s="2">
        <v>46288</v>
      </c>
      <c r="AP3643" s="1" t="s">
        <v>301</v>
      </c>
      <c r="AS3643" s="1" t="s">
        <v>71</v>
      </c>
      <c r="AU3643" s="1" t="s">
        <v>72</v>
      </c>
      <c r="AV3643" s="1" t="s">
        <v>437</v>
      </c>
      <c r="AX3643" s="1">
        <v>0</v>
      </c>
      <c r="BA3643" s="1">
        <v>9</v>
      </c>
      <c r="BB3643" s="1">
        <v>0</v>
      </c>
      <c r="BC3643" s="1">
        <v>0</v>
      </c>
      <c r="BE3643" s="1">
        <v>27661856</v>
      </c>
    </row>
    <row r="3644" spans="1:57" x14ac:dyDescent="0.25">
      <c r="A3644" s="1" t="str">
        <f>T("1949450435157497924")</f>
        <v>1949450435157497924</v>
      </c>
      <c r="B3644" s="1" t="str">
        <f>T("249916655283")</f>
        <v>249916655283</v>
      </c>
      <c r="C3644" s="1" t="str">
        <f>T("1941094533164958992")</f>
        <v>1941094533164958992</v>
      </c>
      <c r="AC3644" s="1" t="s">
        <v>344</v>
      </c>
      <c r="AD3644" s="1" t="s">
        <v>372</v>
      </c>
      <c r="AE3644" s="1" t="s">
        <v>813</v>
      </c>
      <c r="AF3644" s="1" t="s">
        <v>144</v>
      </c>
      <c r="AG3644" s="1">
        <v>30</v>
      </c>
      <c r="AO3644" s="2">
        <v>46288</v>
      </c>
      <c r="AP3644" s="1" t="s">
        <v>301</v>
      </c>
      <c r="AS3644" s="1" t="s">
        <v>71</v>
      </c>
      <c r="AU3644" s="1" t="s">
        <v>72</v>
      </c>
      <c r="AV3644" s="1" t="s">
        <v>437</v>
      </c>
      <c r="AX3644" s="1">
        <v>0</v>
      </c>
      <c r="BA3644" s="1">
        <v>9</v>
      </c>
      <c r="BB3644" s="1">
        <v>0</v>
      </c>
      <c r="BC3644" s="1">
        <v>0</v>
      </c>
      <c r="BE3644" s="1">
        <v>27661856</v>
      </c>
    </row>
    <row r="3645" spans="1:57" x14ac:dyDescent="0.25">
      <c r="A3645" s="1" t="str">
        <f>T("1949450435165884940")</f>
        <v>1949450435165884940</v>
      </c>
      <c r="B3645" s="1" t="str">
        <f>T("249912293539")</f>
        <v>249912293539</v>
      </c>
      <c r="C3645" s="1" t="str">
        <f>T("1941094533169152600")</f>
        <v>1941094533169152600</v>
      </c>
      <c r="AC3645" s="1" t="s">
        <v>344</v>
      </c>
      <c r="AD3645" s="1" t="s">
        <v>430</v>
      </c>
      <c r="AE3645" s="1" t="s">
        <v>530</v>
      </c>
      <c r="AF3645" s="1" t="s">
        <v>107</v>
      </c>
      <c r="AG3645" s="1">
        <v>67</v>
      </c>
      <c r="AO3645" s="2">
        <v>46288</v>
      </c>
      <c r="AP3645" s="1" t="s">
        <v>301</v>
      </c>
      <c r="AS3645" s="1" t="s">
        <v>71</v>
      </c>
      <c r="AU3645" s="1" t="s">
        <v>72</v>
      </c>
      <c r="AV3645" s="1" t="s">
        <v>437</v>
      </c>
      <c r="AX3645" s="1">
        <v>0</v>
      </c>
      <c r="BA3645" s="1">
        <v>9</v>
      </c>
      <c r="BB3645" s="1">
        <v>0</v>
      </c>
      <c r="BC3645" s="1">
        <v>0</v>
      </c>
      <c r="BE3645" s="1">
        <v>27661856</v>
      </c>
    </row>
    <row r="3646" spans="1:57" x14ac:dyDescent="0.25">
      <c r="A3646" s="1" t="str">
        <f>T("1949450435170082148")</f>
        <v>1949450435170082148</v>
      </c>
      <c r="B3646" s="1" t="str">
        <f>T("249994725567")</f>
        <v>249994725567</v>
      </c>
      <c r="C3646" s="1" t="str">
        <f>T("1941094533169153100")</f>
        <v>1941094533169153100</v>
      </c>
      <c r="AC3646" s="1" t="s">
        <v>344</v>
      </c>
      <c r="AD3646" s="1" t="s">
        <v>372</v>
      </c>
      <c r="AE3646" s="1" t="s">
        <v>820</v>
      </c>
      <c r="AF3646" s="1" t="s">
        <v>107</v>
      </c>
      <c r="AG3646" s="1">
        <v>52</v>
      </c>
      <c r="AO3646" s="2">
        <v>46288</v>
      </c>
      <c r="AP3646" s="1" t="s">
        <v>301</v>
      </c>
      <c r="AS3646" s="1" t="s">
        <v>71</v>
      </c>
      <c r="AU3646" s="1" t="s">
        <v>72</v>
      </c>
      <c r="AV3646" s="1" t="s">
        <v>73</v>
      </c>
      <c r="AX3646" s="1">
        <v>0</v>
      </c>
      <c r="BA3646" s="1">
        <v>9</v>
      </c>
      <c r="BB3646" s="1">
        <v>0</v>
      </c>
      <c r="BC3646" s="1">
        <v>0</v>
      </c>
      <c r="BE3646" s="1">
        <v>27661856</v>
      </c>
    </row>
    <row r="3647" spans="1:57" x14ac:dyDescent="0.25">
      <c r="A3647" s="1" t="str">
        <f>T("1949450435182661972")</f>
        <v>1949450435182661972</v>
      </c>
      <c r="B3647" s="1" t="str">
        <f>T("249968519975")</f>
        <v>249968519975</v>
      </c>
      <c r="C3647" s="1" t="str">
        <f>T("1941094533164959392")</f>
        <v>1941094533164959392</v>
      </c>
      <c r="AC3647" s="1" t="s">
        <v>344</v>
      </c>
      <c r="AD3647" s="1" t="s">
        <v>441</v>
      </c>
      <c r="AE3647" s="1" t="s">
        <v>530</v>
      </c>
      <c r="AF3647" s="1" t="s">
        <v>107</v>
      </c>
      <c r="AG3647" s="1">
        <v>45</v>
      </c>
      <c r="AO3647" s="2">
        <v>46288</v>
      </c>
      <c r="AP3647" s="1" t="s">
        <v>301</v>
      </c>
      <c r="AS3647" s="1" t="s">
        <v>71</v>
      </c>
      <c r="AU3647" s="1" t="s">
        <v>72</v>
      </c>
      <c r="AV3647" s="1" t="s">
        <v>437</v>
      </c>
      <c r="AX3647" s="1">
        <v>0</v>
      </c>
      <c r="BA3647" s="1">
        <v>9</v>
      </c>
      <c r="BB3647" s="1">
        <v>0</v>
      </c>
      <c r="BC3647" s="1">
        <v>0</v>
      </c>
      <c r="BE3647" s="1">
        <v>27661856</v>
      </c>
    </row>
    <row r="3648" spans="1:57" x14ac:dyDescent="0.25">
      <c r="A3648" s="1" t="str">
        <f>T("1949450435228800160")</f>
        <v>1949450435228800160</v>
      </c>
      <c r="B3648" s="1" t="str">
        <f>T("249917915393")</f>
        <v>249917915393</v>
      </c>
      <c r="C3648" s="1" t="str">
        <f>T("1941094533169153500")</f>
        <v>1941094533169153500</v>
      </c>
      <c r="AC3648" s="1" t="s">
        <v>344</v>
      </c>
      <c r="AD3648" s="1" t="s">
        <v>430</v>
      </c>
      <c r="AE3648" s="1" t="s">
        <v>530</v>
      </c>
      <c r="AF3648" s="1" t="s">
        <v>107</v>
      </c>
      <c r="AG3648" s="1">
        <v>32</v>
      </c>
      <c r="AO3648" s="2">
        <v>46288</v>
      </c>
      <c r="AP3648" s="1" t="s">
        <v>301</v>
      </c>
      <c r="AS3648" s="1" t="s">
        <v>71</v>
      </c>
      <c r="AU3648" s="1" t="s">
        <v>72</v>
      </c>
      <c r="AV3648" s="1" t="s">
        <v>437</v>
      </c>
      <c r="AX3648" s="1">
        <v>0</v>
      </c>
      <c r="BA3648" s="1">
        <v>9</v>
      </c>
      <c r="BB3648" s="1">
        <v>0</v>
      </c>
      <c r="BC3648" s="1">
        <v>0</v>
      </c>
      <c r="BE3648" s="1">
        <v>27661856</v>
      </c>
    </row>
    <row r="3649" spans="1:57" x14ac:dyDescent="0.25">
      <c r="A3649" s="1" t="str">
        <f>T("1949450435228802260")</f>
        <v>1949450435228802260</v>
      </c>
      <c r="B3649" s="1" t="str">
        <f>T("249911873642")</f>
        <v>249911873642</v>
      </c>
      <c r="C3649" s="1" t="str">
        <f>T("1941094533169153900")</f>
        <v>1941094533169153900</v>
      </c>
      <c r="AC3649" s="1" t="s">
        <v>344</v>
      </c>
      <c r="AD3649" s="1" t="s">
        <v>372</v>
      </c>
      <c r="AE3649" s="1" t="s">
        <v>814</v>
      </c>
      <c r="AF3649" s="1" t="s">
        <v>107</v>
      </c>
      <c r="AG3649" s="1">
        <v>50</v>
      </c>
      <c r="AO3649" s="2">
        <v>46288</v>
      </c>
      <c r="AP3649" s="1" t="s">
        <v>301</v>
      </c>
      <c r="AS3649" s="1" t="s">
        <v>71</v>
      </c>
      <c r="AU3649" s="1" t="s">
        <v>72</v>
      </c>
      <c r="AV3649" s="1" t="s">
        <v>73</v>
      </c>
      <c r="AX3649" s="1">
        <v>0</v>
      </c>
      <c r="BA3649" s="1">
        <v>9</v>
      </c>
      <c r="BB3649" s="1">
        <v>0</v>
      </c>
      <c r="BC3649" s="1">
        <v>0</v>
      </c>
      <c r="BE3649" s="1">
        <v>27661856</v>
      </c>
    </row>
    <row r="3650" spans="1:57" x14ac:dyDescent="0.25">
      <c r="A3650" s="1" t="str">
        <f>T("1949450435245578692")</f>
        <v>1949450435245578692</v>
      </c>
      <c r="B3650" s="1" t="str">
        <f>T("249904456164")</f>
        <v>249904456164</v>
      </c>
      <c r="C3650" s="1" t="str">
        <f>T("1941094533181737024")</f>
        <v>1941094533181737024</v>
      </c>
      <c r="AC3650" s="1" t="s">
        <v>344</v>
      </c>
      <c r="AD3650" s="1" t="s">
        <v>430</v>
      </c>
      <c r="AE3650" s="1" t="s">
        <v>530</v>
      </c>
      <c r="AF3650" s="1" t="s">
        <v>107</v>
      </c>
      <c r="AG3650" s="1">
        <v>40</v>
      </c>
      <c r="AO3650" s="2">
        <v>46288</v>
      </c>
      <c r="AP3650" s="1" t="s">
        <v>301</v>
      </c>
      <c r="AS3650" s="1" t="s">
        <v>71</v>
      </c>
      <c r="AU3650" s="1" t="s">
        <v>72</v>
      </c>
      <c r="AV3650" s="1" t="s">
        <v>437</v>
      </c>
      <c r="AX3650" s="1">
        <v>0</v>
      </c>
      <c r="BA3650" s="1">
        <v>9</v>
      </c>
      <c r="BB3650" s="1">
        <v>0</v>
      </c>
      <c r="BC3650" s="1">
        <v>0</v>
      </c>
      <c r="BE3650" s="1">
        <v>27661856</v>
      </c>
    </row>
    <row r="3651" spans="1:57" x14ac:dyDescent="0.25">
      <c r="A3651" s="1" t="str">
        <f>T("1949450435270742740")</f>
        <v>1949450435270742740</v>
      </c>
      <c r="B3651" s="1" t="str">
        <f>T("249907565147")</f>
        <v>249907565147</v>
      </c>
      <c r="C3651" s="1" t="str">
        <f>T("1941094533181737824")</f>
        <v>1941094533181737824</v>
      </c>
      <c r="AC3651" s="1" t="s">
        <v>344</v>
      </c>
      <c r="AD3651" s="1" t="s">
        <v>441</v>
      </c>
      <c r="AE3651" s="1" t="s">
        <v>530</v>
      </c>
      <c r="AF3651" s="1" t="s">
        <v>107</v>
      </c>
      <c r="AG3651" s="1">
        <v>40</v>
      </c>
      <c r="AO3651" s="2">
        <v>46288</v>
      </c>
      <c r="AP3651" s="1" t="s">
        <v>301</v>
      </c>
      <c r="AS3651" s="1" t="s">
        <v>71</v>
      </c>
      <c r="AU3651" s="1" t="s">
        <v>72</v>
      </c>
      <c r="AV3651" s="1" t="s">
        <v>437</v>
      </c>
      <c r="AX3651" s="1">
        <v>0</v>
      </c>
      <c r="BA3651" s="1">
        <v>9</v>
      </c>
      <c r="BB3651" s="1">
        <v>0</v>
      </c>
      <c r="BC3651" s="1">
        <v>0</v>
      </c>
      <c r="BE3651" s="1">
        <v>27661856</v>
      </c>
    </row>
    <row r="3652" spans="1:57" x14ac:dyDescent="0.25">
      <c r="A3652" s="1" t="str">
        <f>T("1949450435287522672")</f>
        <v>1949450435287522672</v>
      </c>
      <c r="B3652" s="1" t="str">
        <f>T("249904396167")</f>
        <v>249904396167</v>
      </c>
      <c r="C3652" s="1" t="str">
        <f>T("1941094533181738424")</f>
        <v>1941094533181738424</v>
      </c>
      <c r="AC3652" s="1" t="s">
        <v>344</v>
      </c>
      <c r="AD3652" s="1" t="s">
        <v>441</v>
      </c>
      <c r="AE3652" s="1" t="s">
        <v>530</v>
      </c>
      <c r="AF3652" s="1" t="s">
        <v>107</v>
      </c>
      <c r="AG3652" s="1">
        <v>60</v>
      </c>
      <c r="AO3652" s="2">
        <v>46288</v>
      </c>
      <c r="AP3652" s="1" t="s">
        <v>301</v>
      </c>
      <c r="AS3652" s="1" t="s">
        <v>71</v>
      </c>
      <c r="AU3652" s="1" t="s">
        <v>72</v>
      </c>
      <c r="AV3652" s="1" t="s">
        <v>73</v>
      </c>
      <c r="AX3652" s="1">
        <v>0</v>
      </c>
      <c r="BA3652" s="1">
        <v>9</v>
      </c>
      <c r="BB3652" s="1">
        <v>0</v>
      </c>
      <c r="BC3652" s="1">
        <v>0</v>
      </c>
      <c r="BE3652" s="1">
        <v>27661856</v>
      </c>
    </row>
    <row r="3653" spans="1:57" x14ac:dyDescent="0.25">
      <c r="A3653" s="1" t="str">
        <f>T("1949450435291715480")</f>
        <v>1949450435291715480</v>
      </c>
      <c r="B3653" s="1" t="str">
        <f>T("249903350812")</f>
        <v>249903350812</v>
      </c>
      <c r="C3653" s="1" t="str">
        <f>T("1941094533185930132")</f>
        <v>1941094533185930132</v>
      </c>
      <c r="AC3653" s="1" t="s">
        <v>344</v>
      </c>
      <c r="AD3653" s="1" t="s">
        <v>357</v>
      </c>
      <c r="AE3653" s="1" t="s">
        <v>817</v>
      </c>
      <c r="AF3653" s="1" t="s">
        <v>107</v>
      </c>
      <c r="AG3653" s="1">
        <v>74</v>
      </c>
      <c r="AO3653" s="2">
        <v>46288</v>
      </c>
      <c r="AP3653" s="1" t="s">
        <v>301</v>
      </c>
      <c r="AS3653" s="1" t="s">
        <v>71</v>
      </c>
      <c r="AU3653" s="1" t="s">
        <v>72</v>
      </c>
      <c r="AV3653" s="1" t="s">
        <v>73</v>
      </c>
      <c r="AX3653" s="1">
        <v>0</v>
      </c>
      <c r="BA3653" s="1">
        <v>9</v>
      </c>
      <c r="BB3653" s="1">
        <v>0</v>
      </c>
      <c r="BC3653" s="1">
        <v>0</v>
      </c>
      <c r="BE3653" s="1">
        <v>27661856</v>
      </c>
    </row>
    <row r="3654" spans="1:57" x14ac:dyDescent="0.25">
      <c r="A3654" s="1" t="str">
        <f>T("1949450435300103996")</f>
        <v>1949450435300103996</v>
      </c>
      <c r="B3654" s="1" t="str">
        <f>T("249913777913")</f>
        <v>249913777913</v>
      </c>
      <c r="C3654" s="1" t="str">
        <f>T("1941094533185930632")</f>
        <v>1941094533185930632</v>
      </c>
      <c r="AC3654" s="1" t="s">
        <v>344</v>
      </c>
      <c r="AD3654" s="1" t="s">
        <v>372</v>
      </c>
      <c r="AE3654" s="1" t="s">
        <v>815</v>
      </c>
      <c r="AF3654" s="1" t="s">
        <v>144</v>
      </c>
      <c r="AG3654" s="1">
        <v>35</v>
      </c>
      <c r="AO3654" s="2">
        <v>46288</v>
      </c>
      <c r="AP3654" s="1" t="s">
        <v>301</v>
      </c>
      <c r="AS3654" s="1" t="s">
        <v>71</v>
      </c>
      <c r="AU3654" s="1" t="s">
        <v>72</v>
      </c>
      <c r="AV3654" s="1" t="s">
        <v>73</v>
      </c>
      <c r="AX3654" s="1">
        <v>0</v>
      </c>
      <c r="BA3654" s="1">
        <v>9</v>
      </c>
      <c r="BB3654" s="1">
        <v>0</v>
      </c>
      <c r="BC3654" s="1">
        <v>0</v>
      </c>
      <c r="BE3654" s="1">
        <v>27661856</v>
      </c>
    </row>
    <row r="3655" spans="1:57" x14ac:dyDescent="0.25">
      <c r="A3655" s="1" t="str">
        <f>T("1949450435321074836")</f>
        <v>1949450435321074836</v>
      </c>
      <c r="B3655" s="1" t="str">
        <f>T("249927027736")</f>
        <v>249927027736</v>
      </c>
      <c r="C3655" s="1" t="str">
        <f>T("1941094533185932832")</f>
        <v>1941094533185932832</v>
      </c>
      <c r="AA3655" s="1">
        <v>1</v>
      </c>
      <c r="AC3655" s="1" t="s">
        <v>344</v>
      </c>
      <c r="AD3655" s="1" t="s">
        <v>372</v>
      </c>
      <c r="AE3655" s="1" t="s">
        <v>813</v>
      </c>
      <c r="AF3655" s="1" t="s">
        <v>144</v>
      </c>
      <c r="AG3655" s="1">
        <v>35</v>
      </c>
      <c r="AO3655" s="2">
        <v>46288</v>
      </c>
      <c r="AP3655" s="1" t="s">
        <v>301</v>
      </c>
      <c r="AQ3655" s="2">
        <v>46288</v>
      </c>
      <c r="AR3655" s="1" t="s">
        <v>302</v>
      </c>
      <c r="AS3655" s="1" t="s">
        <v>71</v>
      </c>
      <c r="AU3655" s="1" t="s">
        <v>78</v>
      </c>
      <c r="AV3655" s="1" t="s">
        <v>80</v>
      </c>
      <c r="AW3655" s="1">
        <v>134.47999999999999</v>
      </c>
      <c r="AX3655" s="1">
        <v>0</v>
      </c>
      <c r="AZ3655" s="1" t="s">
        <v>81</v>
      </c>
      <c r="BA3655" s="1">
        <v>1</v>
      </c>
      <c r="BB3655" s="1">
        <v>0</v>
      </c>
      <c r="BC3655" s="1">
        <v>0</v>
      </c>
      <c r="BE3655" s="1">
        <v>27661856</v>
      </c>
    </row>
    <row r="3656" spans="1:57" x14ac:dyDescent="0.25">
      <c r="A3656" s="1" t="str">
        <f>T("1949450435350433892")</f>
        <v>1949450435350433892</v>
      </c>
      <c r="B3656" s="1" t="str">
        <f>T("249914895258")</f>
        <v>249914895258</v>
      </c>
      <c r="C3656" s="1" t="str">
        <f>T("1941094533190124040")</f>
        <v>1941094533190124040</v>
      </c>
      <c r="AC3656" s="1" t="s">
        <v>344</v>
      </c>
      <c r="AD3656" s="1" t="s">
        <v>441</v>
      </c>
      <c r="AE3656" s="1" t="s">
        <v>530</v>
      </c>
      <c r="AF3656" s="1" t="s">
        <v>107</v>
      </c>
      <c r="AG3656" s="1">
        <v>35</v>
      </c>
      <c r="AO3656" s="2">
        <v>46288</v>
      </c>
      <c r="AP3656" s="1" t="s">
        <v>301</v>
      </c>
      <c r="AS3656" s="1" t="s">
        <v>71</v>
      </c>
      <c r="AU3656" s="1" t="s">
        <v>72</v>
      </c>
      <c r="AV3656" s="1" t="s">
        <v>73</v>
      </c>
      <c r="AX3656" s="1">
        <v>0</v>
      </c>
      <c r="BA3656" s="1">
        <v>9</v>
      </c>
      <c r="BB3656" s="1">
        <v>0</v>
      </c>
      <c r="BC3656" s="1">
        <v>0</v>
      </c>
      <c r="BE3656" s="1">
        <v>27661856</v>
      </c>
    </row>
    <row r="3657" spans="1:57" x14ac:dyDescent="0.25">
      <c r="A3657" s="1" t="str">
        <f>T("1949450435350437792")</f>
        <v>1949450435350437792</v>
      </c>
      <c r="B3657" s="1" t="str">
        <f>T("249912671242")</f>
        <v>249912671242</v>
      </c>
      <c r="C3657" s="1" t="str">
        <f>T("1941094533190127140")</f>
        <v>1941094533190127140</v>
      </c>
      <c r="AC3657" s="1" t="s">
        <v>344</v>
      </c>
      <c r="AD3657" s="1" t="s">
        <v>372</v>
      </c>
      <c r="AE3657" s="1" t="s">
        <v>820</v>
      </c>
      <c r="AF3657" s="1" t="s">
        <v>107</v>
      </c>
      <c r="AG3657" s="1">
        <v>22</v>
      </c>
      <c r="AO3657" s="2">
        <v>46288</v>
      </c>
      <c r="AP3657" s="1" t="s">
        <v>301</v>
      </c>
      <c r="AS3657" s="1" t="s">
        <v>71</v>
      </c>
      <c r="AU3657" s="1" t="s">
        <v>72</v>
      </c>
      <c r="AV3657" s="1" t="s">
        <v>73</v>
      </c>
      <c r="AX3657" s="1">
        <v>0</v>
      </c>
      <c r="BA3657" s="1">
        <v>9</v>
      </c>
      <c r="BB3657" s="1">
        <v>0</v>
      </c>
      <c r="BC3657" s="1">
        <v>0</v>
      </c>
      <c r="BE3657" s="1">
        <v>27661856</v>
      </c>
    </row>
    <row r="3658" spans="1:57" x14ac:dyDescent="0.25">
      <c r="A3658" s="1" t="str">
        <f>T("1949450435354631700")</f>
        <v>1949450435354631700</v>
      </c>
      <c r="B3658" s="1" t="str">
        <f>T("249963399427")</f>
        <v>249963399427</v>
      </c>
      <c r="C3658" s="1" t="str">
        <f>T("1941094533194317948")</f>
        <v>1941094533194317948</v>
      </c>
      <c r="AC3658" s="1" t="s">
        <v>344</v>
      </c>
      <c r="AD3658" s="1" t="s">
        <v>441</v>
      </c>
      <c r="AE3658" s="1" t="s">
        <v>530</v>
      </c>
      <c r="AF3658" s="1" t="s">
        <v>107</v>
      </c>
      <c r="AG3658" s="1">
        <v>46</v>
      </c>
      <c r="AO3658" s="2">
        <v>46288</v>
      </c>
      <c r="AP3658" s="1" t="s">
        <v>301</v>
      </c>
      <c r="AS3658" s="1" t="s">
        <v>71</v>
      </c>
      <c r="AU3658" s="1" t="s">
        <v>72</v>
      </c>
      <c r="AV3658" s="1" t="s">
        <v>73</v>
      </c>
      <c r="AX3658" s="1">
        <v>0</v>
      </c>
      <c r="BA3658" s="1">
        <v>9</v>
      </c>
      <c r="BB3658" s="1">
        <v>0</v>
      </c>
      <c r="BC3658" s="1">
        <v>0</v>
      </c>
      <c r="BE3658" s="1">
        <v>27661856</v>
      </c>
    </row>
    <row r="3659" spans="1:57" x14ac:dyDescent="0.25">
      <c r="A3659" s="1" t="str">
        <f>T("1949450435379795948")</f>
        <v>1949450435379795948</v>
      </c>
      <c r="B3659" s="1" t="str">
        <f>T("249919374855")</f>
        <v>249919374855</v>
      </c>
      <c r="C3659" s="1" t="str">
        <f>T("1941094533194318548")</f>
        <v>1941094533194318548</v>
      </c>
      <c r="AC3659" s="1" t="s">
        <v>344</v>
      </c>
      <c r="AD3659" s="1" t="s">
        <v>441</v>
      </c>
      <c r="AE3659" s="1" t="s">
        <v>530</v>
      </c>
      <c r="AF3659" s="1" t="s">
        <v>107</v>
      </c>
      <c r="AG3659" s="1">
        <v>40</v>
      </c>
      <c r="AO3659" s="2">
        <v>46288</v>
      </c>
      <c r="AP3659" s="1" t="s">
        <v>301</v>
      </c>
      <c r="AS3659" s="1" t="s">
        <v>71</v>
      </c>
      <c r="AU3659" s="1" t="s">
        <v>72</v>
      </c>
      <c r="AV3659" s="1" t="s">
        <v>73</v>
      </c>
      <c r="AX3659" s="1">
        <v>0</v>
      </c>
      <c r="BA3659" s="1">
        <v>9</v>
      </c>
      <c r="BB3659" s="1">
        <v>0</v>
      </c>
      <c r="BC3659" s="1">
        <v>0</v>
      </c>
      <c r="BE3659" s="1">
        <v>27661856</v>
      </c>
    </row>
    <row r="3660" spans="1:57" x14ac:dyDescent="0.25">
      <c r="A3660" s="1" t="str">
        <f>T("1949450435409157504")</f>
        <v>1949450435409157504</v>
      </c>
      <c r="B3660" s="1" t="str">
        <f>T("249915652364")</f>
        <v>249915652364</v>
      </c>
      <c r="C3660" s="1" t="str">
        <f>T("1941094533194319648")</f>
        <v>1941094533194319648</v>
      </c>
      <c r="AC3660" s="1" t="s">
        <v>344</v>
      </c>
      <c r="AD3660" s="1" t="s">
        <v>372</v>
      </c>
      <c r="AE3660" s="1" t="s">
        <v>820</v>
      </c>
      <c r="AF3660" s="1" t="s">
        <v>107</v>
      </c>
      <c r="AG3660" s="1">
        <v>41</v>
      </c>
      <c r="AO3660" s="2">
        <v>46288</v>
      </c>
      <c r="AP3660" s="1" t="s">
        <v>301</v>
      </c>
      <c r="AS3660" s="1" t="s">
        <v>71</v>
      </c>
      <c r="AU3660" s="1" t="s">
        <v>72</v>
      </c>
      <c r="AV3660" s="1" t="s">
        <v>437</v>
      </c>
      <c r="AX3660" s="1">
        <v>0</v>
      </c>
      <c r="BA3660" s="1">
        <v>9</v>
      </c>
      <c r="BB3660" s="1">
        <v>0</v>
      </c>
      <c r="BC3660" s="1">
        <v>0</v>
      </c>
      <c r="BE3660" s="1">
        <v>27661856</v>
      </c>
    </row>
    <row r="3661" spans="1:57" x14ac:dyDescent="0.25">
      <c r="A3661" s="1" t="str">
        <f>T("1949450435413352212")</f>
        <v>1949450435413352212</v>
      </c>
      <c r="B3661" s="1" t="str">
        <f>T("249916122262")</f>
        <v>249916122262</v>
      </c>
      <c r="C3661" s="1" t="str">
        <f>T("1941094533194319148")</f>
        <v>1941094533194319148</v>
      </c>
      <c r="AC3661" s="1" t="s">
        <v>344</v>
      </c>
      <c r="AD3661" s="1" t="s">
        <v>430</v>
      </c>
      <c r="AE3661" s="1" t="s">
        <v>530</v>
      </c>
      <c r="AF3661" s="1" t="s">
        <v>144</v>
      </c>
      <c r="AG3661" s="1">
        <v>44</v>
      </c>
      <c r="AO3661" s="2">
        <v>46288</v>
      </c>
      <c r="AP3661" s="1" t="s">
        <v>301</v>
      </c>
      <c r="AS3661" s="1" t="s">
        <v>71</v>
      </c>
      <c r="AU3661" s="1" t="s">
        <v>75</v>
      </c>
      <c r="AV3661" s="1" t="s">
        <v>590</v>
      </c>
      <c r="AX3661" s="1">
        <v>0</v>
      </c>
      <c r="BA3661" s="1">
        <v>8</v>
      </c>
      <c r="BB3661" s="1">
        <v>0</v>
      </c>
      <c r="BC3661" s="1">
        <v>0</v>
      </c>
      <c r="BE3661" s="1">
        <v>27661856</v>
      </c>
    </row>
    <row r="3662" spans="1:57" x14ac:dyDescent="0.25">
      <c r="A3662" s="1" t="str">
        <f>T("1949450435417544920")</f>
        <v>1949450435417544920</v>
      </c>
      <c r="B3662" s="1" t="str">
        <f>T("249969186389")</f>
        <v>249969186389</v>
      </c>
      <c r="C3662" s="1" t="str">
        <f>T("1941094533206904172")</f>
        <v>1941094533206904172</v>
      </c>
      <c r="AC3662" s="1" t="s">
        <v>344</v>
      </c>
      <c r="AD3662" s="1" t="s">
        <v>441</v>
      </c>
      <c r="AE3662" s="1" t="s">
        <v>530</v>
      </c>
      <c r="AF3662" s="1" t="s">
        <v>107</v>
      </c>
      <c r="AG3662" s="1">
        <v>57</v>
      </c>
      <c r="AO3662" s="2">
        <v>46288</v>
      </c>
      <c r="AP3662" s="1" t="s">
        <v>301</v>
      </c>
      <c r="AS3662" s="1" t="s">
        <v>71</v>
      </c>
      <c r="AU3662" s="1" t="s">
        <v>72</v>
      </c>
      <c r="AV3662" s="1" t="s">
        <v>437</v>
      </c>
      <c r="AX3662" s="1">
        <v>0</v>
      </c>
      <c r="BA3662" s="1">
        <v>9</v>
      </c>
      <c r="BB3662" s="1">
        <v>0</v>
      </c>
      <c r="BC3662" s="1">
        <v>0</v>
      </c>
      <c r="BE3662" s="1">
        <v>27661856</v>
      </c>
    </row>
    <row r="3663" spans="1:57" x14ac:dyDescent="0.25">
      <c r="A3663" s="1" t="str">
        <f>T("1949450435442710668")</f>
        <v>1949450435442710668</v>
      </c>
      <c r="B3663" s="1" t="str">
        <f>T("249908347479")</f>
        <v>249908347479</v>
      </c>
      <c r="C3663" s="1" t="str">
        <f>T("1941094533211098480")</f>
        <v>1941094533211098480</v>
      </c>
      <c r="AC3663" s="1" t="s">
        <v>344</v>
      </c>
      <c r="AD3663" s="1" t="s">
        <v>441</v>
      </c>
      <c r="AE3663" s="1" t="s">
        <v>530</v>
      </c>
      <c r="AF3663" s="1" t="s">
        <v>107</v>
      </c>
      <c r="AG3663" s="1">
        <v>40</v>
      </c>
      <c r="AO3663" s="2">
        <v>46288</v>
      </c>
      <c r="AP3663" s="1" t="s">
        <v>301</v>
      </c>
      <c r="AS3663" s="1" t="s">
        <v>71</v>
      </c>
      <c r="AU3663" s="1" t="s">
        <v>72</v>
      </c>
      <c r="AV3663" s="1" t="s">
        <v>73</v>
      </c>
      <c r="AX3663" s="1">
        <v>0</v>
      </c>
      <c r="BA3663" s="1">
        <v>9</v>
      </c>
      <c r="BB3663" s="1">
        <v>0</v>
      </c>
      <c r="BC3663" s="1">
        <v>0</v>
      </c>
      <c r="BE3663" s="1">
        <v>27661856</v>
      </c>
    </row>
    <row r="3664" spans="1:57" x14ac:dyDescent="0.25">
      <c r="A3664" s="1" t="str">
        <f>T("1949450435472071324")</f>
        <v>1949450435472071324</v>
      </c>
      <c r="B3664" s="1" t="str">
        <f>T("249965445769")</f>
        <v>249965445769</v>
      </c>
      <c r="C3664" s="1" t="str">
        <f>T("1941094533215293188")</f>
        <v>1941094533215293188</v>
      </c>
      <c r="AC3664" s="1" t="s">
        <v>344</v>
      </c>
      <c r="AD3664" s="1" t="s">
        <v>430</v>
      </c>
      <c r="AE3664" s="1" t="s">
        <v>530</v>
      </c>
      <c r="AF3664" s="1" t="s">
        <v>107</v>
      </c>
      <c r="AG3664" s="1">
        <v>31</v>
      </c>
      <c r="AO3664" s="2">
        <v>46288</v>
      </c>
      <c r="AP3664" s="1" t="s">
        <v>301</v>
      </c>
      <c r="AS3664" s="1" t="s">
        <v>71</v>
      </c>
      <c r="AU3664" s="1" t="s">
        <v>72</v>
      </c>
      <c r="AV3664" s="1" t="s">
        <v>437</v>
      </c>
      <c r="AX3664" s="1">
        <v>0</v>
      </c>
      <c r="BA3664" s="1">
        <v>9</v>
      </c>
      <c r="BB3664" s="1">
        <v>0</v>
      </c>
      <c r="BC3664" s="1">
        <v>0</v>
      </c>
      <c r="BE3664" s="1">
        <v>27661856</v>
      </c>
    </row>
    <row r="3665" spans="1:57" x14ac:dyDescent="0.25">
      <c r="A3665" s="1" t="str">
        <f>T("1949450435476263432")</f>
        <v>1949450435476263432</v>
      </c>
      <c r="B3665" s="1" t="str">
        <f>T("249964160815")</f>
        <v>249964160815</v>
      </c>
      <c r="C3665" s="1" t="str">
        <f>T("1941094533219484196")</f>
        <v>1941094533219484196</v>
      </c>
      <c r="AC3665" s="1" t="s">
        <v>344</v>
      </c>
      <c r="AD3665" s="1" t="s">
        <v>441</v>
      </c>
      <c r="AE3665" s="1" t="s">
        <v>530</v>
      </c>
      <c r="AF3665" s="1" t="s">
        <v>107</v>
      </c>
      <c r="AG3665" s="1">
        <v>35</v>
      </c>
      <c r="AO3665" s="2">
        <v>46288</v>
      </c>
      <c r="AP3665" s="1" t="s">
        <v>301</v>
      </c>
      <c r="AS3665" s="1" t="s">
        <v>71</v>
      </c>
      <c r="AU3665" s="1" t="s">
        <v>72</v>
      </c>
      <c r="AV3665" s="1" t="s">
        <v>437</v>
      </c>
      <c r="AX3665" s="1">
        <v>0</v>
      </c>
      <c r="BA3665" s="1">
        <v>9</v>
      </c>
      <c r="BB3665" s="1">
        <v>0</v>
      </c>
      <c r="BC3665" s="1">
        <v>0</v>
      </c>
      <c r="BE3665" s="1">
        <v>27661856</v>
      </c>
    </row>
    <row r="3666" spans="1:57" x14ac:dyDescent="0.25">
      <c r="A3666" s="1" t="str">
        <f>T("1949450435484654348")</f>
        <v>1949450435484654348</v>
      </c>
      <c r="B3666" s="1" t="str">
        <f>T("249900196680")</f>
        <v>249900196680</v>
      </c>
      <c r="C3666" s="1" t="str">
        <f>T("1941094533219484796")</f>
        <v>1941094533219484796</v>
      </c>
      <c r="AC3666" s="1" t="s">
        <v>344</v>
      </c>
      <c r="AD3666" s="1" t="s">
        <v>430</v>
      </c>
      <c r="AE3666" s="1" t="s">
        <v>530</v>
      </c>
      <c r="AF3666" s="1" t="s">
        <v>107</v>
      </c>
      <c r="AG3666" s="1">
        <v>34</v>
      </c>
      <c r="AO3666" s="2">
        <v>46288</v>
      </c>
      <c r="AP3666" s="1" t="s">
        <v>301</v>
      </c>
      <c r="AS3666" s="1" t="s">
        <v>71</v>
      </c>
      <c r="AU3666" s="1" t="s">
        <v>72</v>
      </c>
      <c r="AV3666" s="1" t="s">
        <v>73</v>
      </c>
      <c r="AX3666" s="1">
        <v>0</v>
      </c>
      <c r="BA3666" s="1">
        <v>9</v>
      </c>
      <c r="BB3666" s="1">
        <v>0</v>
      </c>
      <c r="BC3666" s="1">
        <v>0</v>
      </c>
      <c r="BE3666" s="1">
        <v>27661856</v>
      </c>
    </row>
    <row r="3667" spans="1:57" x14ac:dyDescent="0.25">
      <c r="A3667" s="1" t="str">
        <f>T("1949450435505626988")</f>
        <v>1949450435505626988</v>
      </c>
      <c r="B3667" s="1" t="str">
        <f>T("249902335447")</f>
        <v>249902335447</v>
      </c>
      <c r="C3667" s="1" t="str">
        <f>T("1941094533219485396")</f>
        <v>1941094533219485396</v>
      </c>
      <c r="AC3667" s="1" t="s">
        <v>344</v>
      </c>
      <c r="AD3667" s="1" t="s">
        <v>372</v>
      </c>
      <c r="AE3667" s="1" t="s">
        <v>815</v>
      </c>
      <c r="AF3667" s="1" t="s">
        <v>107</v>
      </c>
      <c r="AG3667" s="1">
        <v>70</v>
      </c>
      <c r="AO3667" s="2">
        <v>46288</v>
      </c>
      <c r="AP3667" s="1" t="s">
        <v>301</v>
      </c>
      <c r="AS3667" s="1" t="s">
        <v>71</v>
      </c>
      <c r="AU3667" s="1" t="s">
        <v>72</v>
      </c>
      <c r="AV3667" s="1" t="s">
        <v>437</v>
      </c>
      <c r="AX3667" s="1">
        <v>0</v>
      </c>
      <c r="BA3667" s="1">
        <v>9</v>
      </c>
      <c r="BB3667" s="1">
        <v>0</v>
      </c>
      <c r="BC3667" s="1">
        <v>0</v>
      </c>
      <c r="BE3667" s="1">
        <v>27661856</v>
      </c>
    </row>
    <row r="3668" spans="1:57" x14ac:dyDescent="0.25">
      <c r="A3668" s="1" t="str">
        <f>T("1949450435534983744")</f>
        <v>1949450435534983744</v>
      </c>
      <c r="B3668" s="1" t="str">
        <f>T("249905886488")</f>
        <v>249905886488</v>
      </c>
      <c r="C3668" s="1" t="str">
        <f>T("1941094533219486496")</f>
        <v>1941094533219486496</v>
      </c>
      <c r="AC3668" s="1" t="s">
        <v>344</v>
      </c>
      <c r="AD3668" s="1" t="s">
        <v>372</v>
      </c>
      <c r="AE3668" s="1" t="s">
        <v>373</v>
      </c>
      <c r="AF3668" s="1" t="s">
        <v>144</v>
      </c>
      <c r="AG3668" s="1">
        <v>33</v>
      </c>
      <c r="AO3668" s="2">
        <v>46288</v>
      </c>
      <c r="AP3668" s="1" t="s">
        <v>301</v>
      </c>
      <c r="AS3668" s="1" t="s">
        <v>71</v>
      </c>
      <c r="AU3668" s="1" t="s">
        <v>72</v>
      </c>
      <c r="AV3668" s="1" t="s">
        <v>73</v>
      </c>
      <c r="AX3668" s="1">
        <v>0</v>
      </c>
      <c r="BA3668" s="1">
        <v>9</v>
      </c>
      <c r="BB3668" s="1">
        <v>0</v>
      </c>
      <c r="BC3668" s="1">
        <v>0</v>
      </c>
      <c r="BE3668" s="1">
        <v>27661856</v>
      </c>
    </row>
    <row r="3669" spans="1:57" x14ac:dyDescent="0.25">
      <c r="A3669" s="1" t="str">
        <f>T("1949450435534984044")</f>
        <v>1949450435534984044</v>
      </c>
      <c r="B3669" s="1" t="str">
        <f>T("249909137803")</f>
        <v>249909137803</v>
      </c>
      <c r="C3669" s="1" t="str">
        <f>T("1941094533219485996")</f>
        <v>1941094533219485996</v>
      </c>
      <c r="AC3669" s="1" t="s">
        <v>344</v>
      </c>
      <c r="AD3669" s="1" t="s">
        <v>372</v>
      </c>
      <c r="AE3669" s="1" t="s">
        <v>814</v>
      </c>
      <c r="AF3669" s="1" t="s">
        <v>144</v>
      </c>
      <c r="AG3669" s="1">
        <v>28</v>
      </c>
      <c r="AO3669" s="2">
        <v>46288</v>
      </c>
      <c r="AP3669" s="1" t="s">
        <v>301</v>
      </c>
      <c r="AS3669" s="1" t="s">
        <v>71</v>
      </c>
      <c r="AU3669" s="1" t="s">
        <v>72</v>
      </c>
      <c r="AV3669" s="1" t="s">
        <v>437</v>
      </c>
      <c r="AX3669" s="1">
        <v>0</v>
      </c>
      <c r="BA3669" s="1">
        <v>9</v>
      </c>
      <c r="BB3669" s="1">
        <v>0</v>
      </c>
      <c r="BC3669" s="1">
        <v>0</v>
      </c>
      <c r="BE3669" s="1">
        <v>27661856</v>
      </c>
    </row>
    <row r="3670" spans="1:57" x14ac:dyDescent="0.25">
      <c r="A3670" s="1" t="str">
        <f>T("1949450435547566968")</f>
        <v>1949450435547566968</v>
      </c>
      <c r="B3670" s="1" t="str">
        <f>T("249904576046")</f>
        <v>249904576046</v>
      </c>
      <c r="C3670" s="1" t="str">
        <f>T("1941094533223678304")</f>
        <v>1941094533223678304</v>
      </c>
      <c r="AC3670" s="1" t="s">
        <v>344</v>
      </c>
      <c r="AD3670" s="1" t="s">
        <v>441</v>
      </c>
      <c r="AE3670" s="1" t="s">
        <v>530</v>
      </c>
      <c r="AF3670" s="1" t="s">
        <v>107</v>
      </c>
      <c r="AG3670" s="1">
        <v>41</v>
      </c>
      <c r="AO3670" s="2">
        <v>46288</v>
      </c>
      <c r="AP3670" s="1" t="s">
        <v>301</v>
      </c>
      <c r="AS3670" s="1" t="s">
        <v>71</v>
      </c>
      <c r="AU3670" s="1" t="s">
        <v>72</v>
      </c>
      <c r="AV3670" s="1" t="s">
        <v>73</v>
      </c>
      <c r="AX3670" s="1">
        <v>0</v>
      </c>
      <c r="BA3670" s="1">
        <v>9</v>
      </c>
      <c r="BB3670" s="1">
        <v>0</v>
      </c>
      <c r="BC3670" s="1">
        <v>0</v>
      </c>
      <c r="BE3670" s="1">
        <v>27661856</v>
      </c>
    </row>
    <row r="3671" spans="1:57" x14ac:dyDescent="0.25">
      <c r="A3671" s="1" t="str">
        <f>T("1949450435560150392")</f>
        <v>1949450435560150392</v>
      </c>
      <c r="B3671" s="1" t="str">
        <f>T("249911913857")</f>
        <v>249911913857</v>
      </c>
      <c r="C3671" s="1" t="str">
        <f>T("1941094533223679004")</f>
        <v>1941094533223679004</v>
      </c>
      <c r="AC3671" s="1" t="s">
        <v>344</v>
      </c>
      <c r="AD3671" s="1" t="s">
        <v>430</v>
      </c>
      <c r="AE3671" s="1" t="s">
        <v>530</v>
      </c>
      <c r="AF3671" s="1" t="s">
        <v>144</v>
      </c>
      <c r="AG3671" s="1">
        <v>44</v>
      </c>
      <c r="AO3671" s="2">
        <v>46288</v>
      </c>
      <c r="AP3671" s="1" t="s">
        <v>301</v>
      </c>
      <c r="AS3671" s="1" t="s">
        <v>71</v>
      </c>
      <c r="AU3671" s="1" t="s">
        <v>72</v>
      </c>
      <c r="AV3671" s="1" t="s">
        <v>73</v>
      </c>
      <c r="AX3671" s="1">
        <v>0</v>
      </c>
      <c r="BA3671" s="1">
        <v>9</v>
      </c>
      <c r="BB3671" s="1">
        <v>0</v>
      </c>
      <c r="BC3671" s="1">
        <v>0</v>
      </c>
      <c r="BE3671" s="1">
        <v>27661856</v>
      </c>
    </row>
    <row r="3672" spans="1:57" x14ac:dyDescent="0.25">
      <c r="A3672" s="1" t="str">
        <f>T("1949450435585314940")</f>
        <v>1949450435585314940</v>
      </c>
      <c r="B3672" s="1" t="str">
        <f>T("249998282814")</f>
        <v>249998282814</v>
      </c>
      <c r="C3672" s="1" t="str">
        <f>T("1941094533223679804")</f>
        <v>1941094533223679804</v>
      </c>
      <c r="AC3672" s="1" t="s">
        <v>344</v>
      </c>
      <c r="AD3672" s="1" t="s">
        <v>372</v>
      </c>
      <c r="AE3672" s="1" t="s">
        <v>813</v>
      </c>
      <c r="AF3672" s="1" t="s">
        <v>107</v>
      </c>
      <c r="AG3672" s="1">
        <v>65</v>
      </c>
      <c r="AO3672" s="2">
        <v>46288</v>
      </c>
      <c r="AP3672" s="1" t="s">
        <v>301</v>
      </c>
      <c r="AS3672" s="1" t="s">
        <v>71</v>
      </c>
      <c r="AU3672" s="1" t="s">
        <v>72</v>
      </c>
      <c r="AV3672" s="1" t="s">
        <v>73</v>
      </c>
      <c r="AX3672" s="1">
        <v>0</v>
      </c>
      <c r="BA3672" s="1">
        <v>9</v>
      </c>
      <c r="BB3672" s="1">
        <v>0</v>
      </c>
      <c r="BC3672" s="1">
        <v>0</v>
      </c>
      <c r="BE3672" s="1">
        <v>27661856</v>
      </c>
    </row>
    <row r="3673" spans="1:57" x14ac:dyDescent="0.25">
      <c r="A3673" s="1" t="str">
        <f>T("1949450435593704656")</f>
        <v>1949450435593704656</v>
      </c>
      <c r="B3673" s="1" t="str">
        <f>T("249964087829")</f>
        <v>249964087829</v>
      </c>
      <c r="C3673" s="1" t="str">
        <f>T("1941094533223680304")</f>
        <v>1941094533223680304</v>
      </c>
      <c r="AC3673" s="1" t="s">
        <v>344</v>
      </c>
      <c r="AD3673" s="1" t="s">
        <v>441</v>
      </c>
      <c r="AE3673" s="1" t="s">
        <v>530</v>
      </c>
      <c r="AF3673" s="1" t="s">
        <v>107</v>
      </c>
      <c r="AG3673" s="1">
        <v>25</v>
      </c>
      <c r="AO3673" s="2">
        <v>46288</v>
      </c>
      <c r="AP3673" s="1" t="s">
        <v>301</v>
      </c>
      <c r="AS3673" s="1" t="s">
        <v>71</v>
      </c>
      <c r="AU3673" s="1" t="s">
        <v>72</v>
      </c>
      <c r="AV3673" s="1" t="s">
        <v>437</v>
      </c>
      <c r="AX3673" s="1">
        <v>0</v>
      </c>
      <c r="BA3673" s="1">
        <v>9</v>
      </c>
      <c r="BB3673" s="1">
        <v>0</v>
      </c>
      <c r="BC3673" s="1">
        <v>0</v>
      </c>
      <c r="BE3673" s="1">
        <v>27661856</v>
      </c>
    </row>
    <row r="3674" spans="1:57" x14ac:dyDescent="0.25">
      <c r="A3674" s="1" t="str">
        <f>T("1949450435610481888")</f>
        <v>1949450435610481888</v>
      </c>
      <c r="B3674" s="1" t="str">
        <f>T("249904877375")</f>
        <v>249904877375</v>
      </c>
      <c r="C3674" s="1" t="str">
        <f>T("1941094533223681004")</f>
        <v>1941094533223681004</v>
      </c>
      <c r="AC3674" s="1" t="s">
        <v>344</v>
      </c>
      <c r="AD3674" s="1" t="s">
        <v>441</v>
      </c>
      <c r="AE3674" s="1" t="s">
        <v>530</v>
      </c>
      <c r="AF3674" s="1" t="s">
        <v>107</v>
      </c>
      <c r="AG3674" s="1">
        <v>53</v>
      </c>
      <c r="AO3674" s="2">
        <v>46288</v>
      </c>
      <c r="AP3674" s="1" t="s">
        <v>301</v>
      </c>
      <c r="AS3674" s="1" t="s">
        <v>71</v>
      </c>
      <c r="AU3674" s="1" t="s">
        <v>72</v>
      </c>
      <c r="AV3674" s="1" t="s">
        <v>437</v>
      </c>
      <c r="AX3674" s="1">
        <v>0</v>
      </c>
      <c r="BA3674" s="1">
        <v>9</v>
      </c>
      <c r="BB3674" s="1">
        <v>0</v>
      </c>
      <c r="BC3674" s="1">
        <v>0</v>
      </c>
      <c r="BE3674" s="1">
        <v>27661856</v>
      </c>
    </row>
    <row r="3675" spans="1:57" x14ac:dyDescent="0.25">
      <c r="A3675" s="1" t="str">
        <f>T("1949450435614678596")</f>
        <v>1949450435614678596</v>
      </c>
      <c r="B3675" s="1" t="str">
        <f>T("249961573953")</f>
        <v>249961573953</v>
      </c>
      <c r="C3675" s="1" t="str">
        <f>T("1941094533223681704")</f>
        <v>1941094533223681704</v>
      </c>
      <c r="AC3675" s="1" t="s">
        <v>344</v>
      </c>
      <c r="AD3675" s="1" t="s">
        <v>430</v>
      </c>
      <c r="AE3675" s="1" t="s">
        <v>530</v>
      </c>
      <c r="AF3675" s="1" t="s">
        <v>144</v>
      </c>
      <c r="AG3675" s="1">
        <v>48</v>
      </c>
      <c r="AO3675" s="2">
        <v>46288</v>
      </c>
      <c r="AP3675" s="1" t="s">
        <v>301</v>
      </c>
      <c r="AS3675" s="1" t="s">
        <v>71</v>
      </c>
      <c r="AU3675" s="1" t="s">
        <v>72</v>
      </c>
      <c r="AV3675" s="1" t="s">
        <v>73</v>
      </c>
      <c r="AX3675" s="1">
        <v>0</v>
      </c>
      <c r="BA3675" s="1">
        <v>9</v>
      </c>
      <c r="BB3675" s="1">
        <v>0</v>
      </c>
      <c r="BC3675" s="1">
        <v>0</v>
      </c>
      <c r="BE3675" s="1">
        <v>27661856</v>
      </c>
    </row>
    <row r="3676" spans="1:57" x14ac:dyDescent="0.25">
      <c r="A3676" s="1" t="str">
        <f>T("1949450435627261920")</f>
        <v>1949450435627261920</v>
      </c>
      <c r="B3676" s="1" t="str">
        <f>T("249925550547")</f>
        <v>249925550547</v>
      </c>
      <c r="C3676" s="1" t="str">
        <f>T("1941094533227872512")</f>
        <v>1941094533227872512</v>
      </c>
      <c r="AC3676" s="1" t="s">
        <v>344</v>
      </c>
      <c r="AD3676" s="1" t="s">
        <v>372</v>
      </c>
      <c r="AE3676" s="1" t="s">
        <v>820</v>
      </c>
      <c r="AF3676" s="1" t="s">
        <v>107</v>
      </c>
      <c r="AG3676" s="1">
        <v>38</v>
      </c>
      <c r="AO3676" s="2">
        <v>46288</v>
      </c>
      <c r="AP3676" s="1" t="s">
        <v>301</v>
      </c>
      <c r="AS3676" s="1" t="s">
        <v>71</v>
      </c>
      <c r="AU3676" s="1" t="s">
        <v>72</v>
      </c>
      <c r="AV3676" s="1" t="s">
        <v>73</v>
      </c>
      <c r="AX3676" s="1">
        <v>0</v>
      </c>
      <c r="BA3676" s="1">
        <v>9</v>
      </c>
      <c r="BB3676" s="1">
        <v>0</v>
      </c>
      <c r="BC3676" s="1">
        <v>0</v>
      </c>
      <c r="BE3676" s="1">
        <v>27661856</v>
      </c>
    </row>
    <row r="3677" spans="1:57" x14ac:dyDescent="0.25">
      <c r="A3677" s="1" t="str">
        <f>T("1949450435639843144")</f>
        <v>1949450435639843144</v>
      </c>
      <c r="B3677" s="1" t="str">
        <f>T("249914667996")</f>
        <v>249914667996</v>
      </c>
      <c r="C3677" s="1" t="str">
        <f>T("1941094533227873112")</f>
        <v>1941094533227873112</v>
      </c>
      <c r="AC3677" s="1" t="s">
        <v>344</v>
      </c>
      <c r="AD3677" s="1" t="s">
        <v>441</v>
      </c>
      <c r="AE3677" s="1" t="s">
        <v>530</v>
      </c>
      <c r="AF3677" s="1" t="s">
        <v>107</v>
      </c>
      <c r="AG3677" s="1">
        <v>55</v>
      </c>
      <c r="AO3677" s="2">
        <v>46288</v>
      </c>
      <c r="AP3677" s="1" t="s">
        <v>301</v>
      </c>
      <c r="AS3677" s="1" t="s">
        <v>71</v>
      </c>
      <c r="AU3677" s="1" t="s">
        <v>75</v>
      </c>
      <c r="AV3677" s="1" t="s">
        <v>590</v>
      </c>
      <c r="AX3677" s="1">
        <v>0</v>
      </c>
      <c r="BA3677" s="1">
        <v>9</v>
      </c>
      <c r="BB3677" s="1">
        <v>0</v>
      </c>
      <c r="BC3677" s="1">
        <v>0</v>
      </c>
      <c r="BE3677" s="1">
        <v>27661856</v>
      </c>
    </row>
    <row r="3678" spans="1:57" x14ac:dyDescent="0.25">
      <c r="A3678" s="1" t="str">
        <f>T("1949450435665007492")</f>
        <v>1949450435665007492</v>
      </c>
      <c r="B3678" s="1" t="str">
        <f>T("249114266638")</f>
        <v>249114266638</v>
      </c>
      <c r="C3678" s="1" t="str">
        <f>T("1941094533227873512")</f>
        <v>1941094533227873512</v>
      </c>
      <c r="AC3678" s="1" t="s">
        <v>344</v>
      </c>
      <c r="AD3678" s="1" t="s">
        <v>430</v>
      </c>
      <c r="AE3678" s="1" t="s">
        <v>530</v>
      </c>
      <c r="AF3678" s="1" t="s">
        <v>107</v>
      </c>
      <c r="AG3678" s="1">
        <v>26</v>
      </c>
      <c r="AO3678" s="2">
        <v>46288</v>
      </c>
      <c r="AP3678" s="1" t="s">
        <v>301</v>
      </c>
      <c r="AS3678" s="1" t="s">
        <v>71</v>
      </c>
      <c r="AU3678" s="1" t="s">
        <v>72</v>
      </c>
      <c r="AV3678" s="1" t="s">
        <v>412</v>
      </c>
      <c r="AX3678" s="1">
        <v>0</v>
      </c>
      <c r="BA3678" s="1">
        <v>9</v>
      </c>
      <c r="BB3678" s="1">
        <v>0</v>
      </c>
      <c r="BC3678" s="1">
        <v>0</v>
      </c>
      <c r="BE3678" s="1">
        <v>27661856</v>
      </c>
    </row>
    <row r="3679" spans="1:57" x14ac:dyDescent="0.25">
      <c r="A3679" s="1" t="str">
        <f>T("1949450435673397608")</f>
        <v>1949450435673397608</v>
      </c>
      <c r="B3679" s="1" t="str">
        <f>T("249905953320")</f>
        <v>249905953320</v>
      </c>
      <c r="C3679" s="1" t="str">
        <f>T("1941094533227874112")</f>
        <v>1941094533227874112</v>
      </c>
      <c r="AC3679" s="1" t="s">
        <v>344</v>
      </c>
      <c r="AD3679" s="1" t="s">
        <v>372</v>
      </c>
      <c r="AE3679" s="1" t="s">
        <v>813</v>
      </c>
      <c r="AF3679" s="1" t="s">
        <v>107</v>
      </c>
      <c r="AG3679" s="1">
        <v>37</v>
      </c>
      <c r="AO3679" s="2">
        <v>46288</v>
      </c>
      <c r="AP3679" s="1" t="s">
        <v>301</v>
      </c>
      <c r="AS3679" s="1" t="s">
        <v>71</v>
      </c>
      <c r="AU3679" s="1" t="s">
        <v>72</v>
      </c>
      <c r="AV3679" s="1" t="s">
        <v>73</v>
      </c>
      <c r="AX3679" s="1">
        <v>0</v>
      </c>
      <c r="BA3679" s="1">
        <v>9</v>
      </c>
      <c r="BB3679" s="1">
        <v>0</v>
      </c>
      <c r="BC3679" s="1">
        <v>0</v>
      </c>
      <c r="BE3679" s="1">
        <v>27661856</v>
      </c>
    </row>
    <row r="3680" spans="1:57" x14ac:dyDescent="0.25">
      <c r="A3680" s="1" t="str">
        <f>T("1949450435681786924")</f>
        <v>1949450435681786924</v>
      </c>
      <c r="B3680" s="1" t="str">
        <f>T("249116449353")</f>
        <v>249116449353</v>
      </c>
      <c r="C3680" s="1" t="str">
        <f>T("1941094533227874612")</f>
        <v>1941094533227874612</v>
      </c>
      <c r="AA3680" s="1">
        <v>1</v>
      </c>
      <c r="AC3680" s="1" t="s">
        <v>344</v>
      </c>
      <c r="AD3680" s="1" t="s">
        <v>372</v>
      </c>
      <c r="AE3680" s="1" t="s">
        <v>813</v>
      </c>
      <c r="AF3680" s="1" t="s">
        <v>144</v>
      </c>
      <c r="AG3680" s="1">
        <v>25</v>
      </c>
      <c r="AO3680" s="2">
        <v>46288</v>
      </c>
      <c r="AP3680" s="1" t="s">
        <v>301</v>
      </c>
      <c r="AQ3680" s="2">
        <v>46288</v>
      </c>
      <c r="AR3680" s="1" t="s">
        <v>906</v>
      </c>
      <c r="AS3680" s="1" t="s">
        <v>71</v>
      </c>
      <c r="AU3680" s="1" t="s">
        <v>79</v>
      </c>
      <c r="AV3680" s="1" t="s">
        <v>80</v>
      </c>
      <c r="AW3680" s="1">
        <v>44.1</v>
      </c>
      <c r="AX3680" s="1">
        <v>0</v>
      </c>
      <c r="AZ3680" s="1" t="s">
        <v>81</v>
      </c>
      <c r="BA3680" s="1">
        <v>5</v>
      </c>
      <c r="BB3680" s="1">
        <v>0</v>
      </c>
      <c r="BC3680" s="1">
        <v>0</v>
      </c>
      <c r="BE3680" s="1">
        <v>27661856</v>
      </c>
    </row>
    <row r="3681" spans="1:57" x14ac:dyDescent="0.25">
      <c r="A3681" s="1" t="str">
        <f>T("1949450435690173940")</f>
        <v>1949450435690173940</v>
      </c>
      <c r="B3681" s="1" t="str">
        <f>T("249122964679")</f>
        <v>249122964679</v>
      </c>
      <c r="C3681" s="1" t="str">
        <f>T("1941094533227875112")</f>
        <v>1941094533227875112</v>
      </c>
      <c r="AC3681" s="1" t="s">
        <v>344</v>
      </c>
      <c r="AD3681" s="1" t="s">
        <v>372</v>
      </c>
      <c r="AE3681" s="1" t="s">
        <v>818</v>
      </c>
      <c r="AF3681" s="1" t="s">
        <v>144</v>
      </c>
      <c r="AG3681" s="1">
        <v>70</v>
      </c>
      <c r="AO3681" s="2">
        <v>46288</v>
      </c>
      <c r="AP3681" s="1" t="s">
        <v>301</v>
      </c>
      <c r="AS3681" s="1" t="s">
        <v>71</v>
      </c>
      <c r="AU3681" s="1" t="s">
        <v>72</v>
      </c>
      <c r="AV3681" s="1" t="s">
        <v>115</v>
      </c>
      <c r="AX3681" s="1">
        <v>0</v>
      </c>
      <c r="BA3681" s="1">
        <v>9</v>
      </c>
      <c r="BB3681" s="1">
        <v>0</v>
      </c>
      <c r="BC3681" s="1">
        <v>0</v>
      </c>
      <c r="BE3681" s="1">
        <v>27661856</v>
      </c>
    </row>
    <row r="3682" spans="1:57" x14ac:dyDescent="0.25">
      <c r="A3682" s="1" t="str">
        <f>T("1949450435723727504")</f>
        <v>1949450435723727504</v>
      </c>
      <c r="B3682" s="1" t="str">
        <f>T("249915317856")</f>
        <v>249915317856</v>
      </c>
      <c r="C3682" s="1" t="str">
        <f>T("1941094533227875712")</f>
        <v>1941094533227875712</v>
      </c>
      <c r="AC3682" s="1" t="s">
        <v>344</v>
      </c>
      <c r="AD3682" s="1" t="s">
        <v>372</v>
      </c>
      <c r="AE3682" s="1" t="s">
        <v>813</v>
      </c>
      <c r="AF3682" s="1" t="s">
        <v>107</v>
      </c>
      <c r="AG3682" s="1">
        <v>55</v>
      </c>
      <c r="AO3682" s="2">
        <v>46288</v>
      </c>
      <c r="AP3682" s="1" t="s">
        <v>301</v>
      </c>
      <c r="AS3682" s="1" t="s">
        <v>71</v>
      </c>
      <c r="AU3682" s="1" t="s">
        <v>72</v>
      </c>
      <c r="AV3682" s="1" t="s">
        <v>73</v>
      </c>
      <c r="AX3682" s="1">
        <v>0</v>
      </c>
      <c r="BA3682" s="1">
        <v>9</v>
      </c>
      <c r="BB3682" s="1">
        <v>0</v>
      </c>
      <c r="BC3682" s="1">
        <v>0</v>
      </c>
      <c r="BE3682" s="1">
        <v>27661856</v>
      </c>
    </row>
    <row r="3683" spans="1:57" x14ac:dyDescent="0.25">
      <c r="A3683" s="1" t="str">
        <f>T("1949450435723729604")</f>
        <v>1949450435723729604</v>
      </c>
      <c r="B3683" s="1" t="str">
        <f>T("249905815503")</f>
        <v>249905815503</v>
      </c>
      <c r="C3683" s="1" t="str">
        <f>T("1941094533227876212")</f>
        <v>1941094533227876212</v>
      </c>
      <c r="AC3683" s="1" t="s">
        <v>344</v>
      </c>
      <c r="AD3683" s="1" t="s">
        <v>430</v>
      </c>
      <c r="AE3683" s="1" t="s">
        <v>530</v>
      </c>
      <c r="AF3683" s="1" t="s">
        <v>144</v>
      </c>
      <c r="AG3683" s="1">
        <v>40</v>
      </c>
      <c r="AO3683" s="2">
        <v>46288</v>
      </c>
      <c r="AP3683" s="1" t="s">
        <v>301</v>
      </c>
      <c r="AS3683" s="1" t="s">
        <v>71</v>
      </c>
      <c r="AU3683" s="1" t="s">
        <v>72</v>
      </c>
      <c r="AV3683" s="1" t="s">
        <v>73</v>
      </c>
      <c r="AX3683" s="1">
        <v>0</v>
      </c>
      <c r="BA3683" s="1">
        <v>9</v>
      </c>
      <c r="BB3683" s="1">
        <v>0</v>
      </c>
      <c r="BC3683" s="1">
        <v>0</v>
      </c>
      <c r="BE3683" s="1">
        <v>27661856</v>
      </c>
    </row>
    <row r="3684" spans="1:57" x14ac:dyDescent="0.25">
      <c r="A3684" s="1" t="str">
        <f>T("1949450435736310728")</f>
        <v>1949450435736310728</v>
      </c>
      <c r="B3684" s="1" t="str">
        <f>T("249919721474")</f>
        <v>249919721474</v>
      </c>
      <c r="C3684" s="1" t="str">
        <f>T("1941094533232066920")</f>
        <v>1941094533232066920</v>
      </c>
      <c r="AC3684" s="1" t="s">
        <v>344</v>
      </c>
      <c r="AD3684" s="1" t="s">
        <v>430</v>
      </c>
      <c r="AE3684" s="1" t="s">
        <v>530</v>
      </c>
      <c r="AF3684" s="1" t="s">
        <v>144</v>
      </c>
      <c r="AG3684" s="1">
        <v>48</v>
      </c>
      <c r="AO3684" s="2">
        <v>46288</v>
      </c>
      <c r="AP3684" s="1" t="s">
        <v>301</v>
      </c>
      <c r="AS3684" s="1" t="s">
        <v>71</v>
      </c>
      <c r="AU3684" s="1" t="s">
        <v>72</v>
      </c>
      <c r="AV3684" s="1" t="s">
        <v>437</v>
      </c>
      <c r="AX3684" s="1">
        <v>0</v>
      </c>
      <c r="BA3684" s="1">
        <v>9</v>
      </c>
      <c r="BB3684" s="1">
        <v>0</v>
      </c>
      <c r="BC3684" s="1">
        <v>0</v>
      </c>
      <c r="BE3684" s="1">
        <v>27661856</v>
      </c>
    </row>
    <row r="3685" spans="1:57" x14ac:dyDescent="0.25">
      <c r="A3685" s="1" t="str">
        <f>T("1949450435744702344")</f>
        <v>1949450435744702344</v>
      </c>
      <c r="B3685" s="1" t="str">
        <f>T("249110384307")</f>
        <v>249110384307</v>
      </c>
      <c r="C3685" s="1" t="str">
        <f>T("1941094533232067420")</f>
        <v>1941094533232067420</v>
      </c>
      <c r="AC3685" s="1" t="s">
        <v>344</v>
      </c>
      <c r="AD3685" s="1" t="s">
        <v>441</v>
      </c>
      <c r="AE3685" s="1" t="s">
        <v>530</v>
      </c>
      <c r="AF3685" s="1" t="s">
        <v>107</v>
      </c>
      <c r="AG3685" s="1">
        <v>46</v>
      </c>
      <c r="AO3685" s="2">
        <v>46288</v>
      </c>
      <c r="AP3685" s="1" t="s">
        <v>301</v>
      </c>
      <c r="AS3685" s="1" t="s">
        <v>71</v>
      </c>
      <c r="AU3685" s="1" t="s">
        <v>72</v>
      </c>
      <c r="AV3685" s="1" t="s">
        <v>115</v>
      </c>
      <c r="AX3685" s="1">
        <v>0</v>
      </c>
      <c r="BA3685" s="1">
        <v>9</v>
      </c>
      <c r="BB3685" s="1">
        <v>0</v>
      </c>
      <c r="BC3685" s="1">
        <v>0</v>
      </c>
      <c r="BE3685" s="1">
        <v>27661856</v>
      </c>
    </row>
    <row r="3686" spans="1:57" x14ac:dyDescent="0.25">
      <c r="A3686" s="1" t="str">
        <f>T("1949450435778254608")</f>
        <v>1949450435778254608</v>
      </c>
      <c r="B3686" s="1" t="str">
        <f>T("249911104268")</f>
        <v>249911104268</v>
      </c>
      <c r="C3686" s="1" t="str">
        <f>T("1941094533232067920")</f>
        <v>1941094533232067920</v>
      </c>
      <c r="AC3686" s="1" t="s">
        <v>344</v>
      </c>
      <c r="AD3686" s="1" t="s">
        <v>441</v>
      </c>
      <c r="AE3686" s="1" t="s">
        <v>530</v>
      </c>
      <c r="AF3686" s="1" t="s">
        <v>107</v>
      </c>
      <c r="AG3686" s="1">
        <v>25</v>
      </c>
      <c r="AO3686" s="2">
        <v>46288</v>
      </c>
      <c r="AP3686" s="1" t="s">
        <v>301</v>
      </c>
      <c r="AS3686" s="1" t="s">
        <v>71</v>
      </c>
      <c r="AU3686" s="1" t="s">
        <v>72</v>
      </c>
      <c r="AV3686" s="1" t="s">
        <v>437</v>
      </c>
      <c r="AX3686" s="1">
        <v>0</v>
      </c>
      <c r="BA3686" s="1">
        <v>9</v>
      </c>
      <c r="BB3686" s="1">
        <v>0</v>
      </c>
      <c r="BC3686" s="1">
        <v>0</v>
      </c>
      <c r="BE3686" s="1">
        <v>27661856</v>
      </c>
    </row>
    <row r="3687" spans="1:57" x14ac:dyDescent="0.25">
      <c r="A3687" s="1" t="str">
        <f>T("1949450435786643624")</f>
        <v>1949450435786643624</v>
      </c>
      <c r="B3687" s="1" t="str">
        <f>T("249117294272")</f>
        <v>249117294272</v>
      </c>
      <c r="C3687" s="1" t="str">
        <f>T("1941094533232068820")</f>
        <v>1941094533232068820</v>
      </c>
      <c r="AA3687" s="1">
        <v>1</v>
      </c>
      <c r="AC3687" s="1" t="s">
        <v>344</v>
      </c>
      <c r="AD3687" s="1" t="s">
        <v>372</v>
      </c>
      <c r="AE3687" s="1" t="s">
        <v>814</v>
      </c>
      <c r="AF3687" s="1" t="s">
        <v>107</v>
      </c>
      <c r="AG3687" s="1">
        <v>45</v>
      </c>
      <c r="AO3687" s="2">
        <v>46288</v>
      </c>
      <c r="AP3687" s="1" t="s">
        <v>301</v>
      </c>
      <c r="AQ3687" s="2">
        <v>46288</v>
      </c>
      <c r="AR3687" s="1" t="s">
        <v>703</v>
      </c>
      <c r="AS3687" s="1" t="s">
        <v>71</v>
      </c>
      <c r="AU3687" s="1" t="s">
        <v>78</v>
      </c>
      <c r="AV3687" s="1" t="s">
        <v>80</v>
      </c>
      <c r="AW3687" s="1">
        <v>134.6</v>
      </c>
      <c r="AX3687" s="1">
        <v>0</v>
      </c>
      <c r="AZ3687" s="1" t="s">
        <v>81</v>
      </c>
      <c r="BA3687" s="1">
        <v>1</v>
      </c>
      <c r="BB3687" s="1">
        <v>0</v>
      </c>
      <c r="BC3687" s="1">
        <v>0</v>
      </c>
      <c r="BE3687" s="1">
        <v>27661856</v>
      </c>
    </row>
    <row r="3688" spans="1:57" x14ac:dyDescent="0.25">
      <c r="A3688" s="1" t="str">
        <f>T("1949450435786644024")</f>
        <v>1949450435786644024</v>
      </c>
      <c r="B3688" s="1" t="str">
        <f>T("249913922843")</f>
        <v>249913922843</v>
      </c>
      <c r="C3688" s="1" t="str">
        <f>T("1941094533232068320")</f>
        <v>1941094533232068320</v>
      </c>
      <c r="AC3688" s="1" t="s">
        <v>344</v>
      </c>
      <c r="AD3688" s="1" t="s">
        <v>372</v>
      </c>
      <c r="AE3688" s="1" t="s">
        <v>818</v>
      </c>
      <c r="AF3688" s="1" t="s">
        <v>144</v>
      </c>
      <c r="AG3688" s="1">
        <v>73</v>
      </c>
      <c r="AO3688" s="2">
        <v>46288</v>
      </c>
      <c r="AP3688" s="1" t="s">
        <v>301</v>
      </c>
      <c r="AS3688" s="1" t="s">
        <v>71</v>
      </c>
      <c r="AU3688" s="1" t="s">
        <v>72</v>
      </c>
      <c r="AV3688" s="1" t="s">
        <v>73</v>
      </c>
      <c r="AX3688" s="1">
        <v>0</v>
      </c>
      <c r="BA3688" s="1">
        <v>9</v>
      </c>
      <c r="BB3688" s="1">
        <v>0</v>
      </c>
      <c r="BC3688" s="1">
        <v>0</v>
      </c>
      <c r="BE3688" s="1">
        <v>27661856</v>
      </c>
    </row>
    <row r="3689" spans="1:57" x14ac:dyDescent="0.25">
      <c r="A3689" s="1" t="str">
        <f>T("1949450435811808272")</f>
        <v>1949450435811808272</v>
      </c>
      <c r="B3689" s="1" t="str">
        <f>T("249125217459")</f>
        <v>249125217459</v>
      </c>
      <c r="C3689" s="1" t="str">
        <f>T("1941094533232069220")</f>
        <v>1941094533232069220</v>
      </c>
      <c r="AA3689" s="1">
        <v>1</v>
      </c>
      <c r="AC3689" s="1" t="s">
        <v>344</v>
      </c>
      <c r="AD3689" s="1" t="s">
        <v>441</v>
      </c>
      <c r="AE3689" s="1" t="s">
        <v>530</v>
      </c>
      <c r="AF3689" s="1" t="s">
        <v>107</v>
      </c>
      <c r="AG3689" s="1">
        <v>62</v>
      </c>
      <c r="AO3689" s="2">
        <v>46288</v>
      </c>
      <c r="AP3689" s="1" t="s">
        <v>301</v>
      </c>
      <c r="AQ3689" s="2">
        <v>46288</v>
      </c>
      <c r="AR3689" s="1" t="s">
        <v>907</v>
      </c>
      <c r="AS3689" s="1" t="s">
        <v>71</v>
      </c>
      <c r="AU3689" s="1" t="s">
        <v>79</v>
      </c>
      <c r="AV3689" s="1" t="s">
        <v>80</v>
      </c>
      <c r="AW3689" s="1">
        <v>62.978999999999999</v>
      </c>
      <c r="AX3689" s="1">
        <v>0</v>
      </c>
      <c r="AZ3689" s="1" t="s">
        <v>81</v>
      </c>
      <c r="BA3689" s="1">
        <v>7</v>
      </c>
      <c r="BB3689" s="1">
        <v>0</v>
      </c>
      <c r="BC3689" s="1">
        <v>0</v>
      </c>
      <c r="BE3689" s="1">
        <v>27661856</v>
      </c>
    </row>
    <row r="3690" spans="1:57" x14ac:dyDescent="0.25">
      <c r="A3690" s="1" t="str">
        <f>T("1949450435841170928")</f>
        <v>1949450435841170928</v>
      </c>
      <c r="B3690" s="1" t="str">
        <f>T("249960480854")</f>
        <v>249960480854</v>
      </c>
      <c r="C3690" s="1" t="str">
        <f>T("1941094533232069820")</f>
        <v>1941094533232069820</v>
      </c>
      <c r="AC3690" s="1" t="s">
        <v>344</v>
      </c>
      <c r="AD3690" s="1" t="s">
        <v>430</v>
      </c>
      <c r="AE3690" s="1" t="s">
        <v>530</v>
      </c>
      <c r="AF3690" s="1" t="s">
        <v>107</v>
      </c>
      <c r="AG3690" s="1">
        <v>25</v>
      </c>
      <c r="AO3690" s="2">
        <v>46288</v>
      </c>
      <c r="AP3690" s="1" t="s">
        <v>301</v>
      </c>
      <c r="AS3690" s="1" t="s">
        <v>71</v>
      </c>
      <c r="AU3690" s="1" t="s">
        <v>72</v>
      </c>
      <c r="AV3690" s="1" t="s">
        <v>73</v>
      </c>
      <c r="AX3690" s="1">
        <v>0</v>
      </c>
      <c r="BA3690" s="1">
        <v>9</v>
      </c>
      <c r="BB3690" s="1">
        <v>0</v>
      </c>
      <c r="BC3690" s="1">
        <v>0</v>
      </c>
      <c r="BE3690" s="1">
        <v>27661856</v>
      </c>
    </row>
    <row r="3691" spans="1:57" x14ac:dyDescent="0.25">
      <c r="A3691" s="1" t="str">
        <f>T("1949450435845363136")</f>
        <v>1949450435845363136</v>
      </c>
      <c r="B3691" s="1" t="str">
        <f>T("249965598156")</f>
        <v>249965598156</v>
      </c>
      <c r="C3691" s="1" t="str">
        <f>T("1941094533232070320")</f>
        <v>1941094533232070320</v>
      </c>
      <c r="AC3691" s="1" t="s">
        <v>344</v>
      </c>
      <c r="AD3691" s="1" t="s">
        <v>441</v>
      </c>
      <c r="AE3691" s="1" t="s">
        <v>530</v>
      </c>
      <c r="AF3691" s="1" t="s">
        <v>144</v>
      </c>
      <c r="AG3691" s="1">
        <v>30</v>
      </c>
      <c r="AO3691" s="2">
        <v>46288</v>
      </c>
      <c r="AP3691" s="1" t="s">
        <v>301</v>
      </c>
      <c r="AS3691" s="1" t="s">
        <v>71</v>
      </c>
      <c r="AU3691" s="1" t="s">
        <v>72</v>
      </c>
      <c r="AV3691" s="1" t="s">
        <v>73</v>
      </c>
      <c r="AX3691" s="1">
        <v>0</v>
      </c>
      <c r="BA3691" s="1">
        <v>9</v>
      </c>
      <c r="BB3691" s="1">
        <v>0</v>
      </c>
      <c r="BC3691" s="1">
        <v>0</v>
      </c>
      <c r="BE3691" s="1">
        <v>27661856</v>
      </c>
    </row>
    <row r="3692" spans="1:57" x14ac:dyDescent="0.25">
      <c r="A3692" s="1" t="str">
        <f>T("1949450435853753652")</f>
        <v>1949450435853753652</v>
      </c>
      <c r="B3692" s="1" t="str">
        <f>T("249967973901")</f>
        <v>249967973901</v>
      </c>
      <c r="C3692" s="1" t="str">
        <f>T("1941094533236261028")</f>
        <v>1941094533236261028</v>
      </c>
      <c r="AC3692" s="1" t="s">
        <v>344</v>
      </c>
      <c r="AD3692" s="1" t="s">
        <v>372</v>
      </c>
      <c r="AE3692" s="1" t="s">
        <v>813</v>
      </c>
      <c r="AF3692" s="1" t="s">
        <v>107</v>
      </c>
      <c r="AG3692" s="1">
        <v>45</v>
      </c>
      <c r="AO3692" s="2">
        <v>46288</v>
      </c>
      <c r="AP3692" s="1" t="s">
        <v>301</v>
      </c>
      <c r="AS3692" s="1" t="s">
        <v>71</v>
      </c>
      <c r="AU3692" s="1" t="s">
        <v>72</v>
      </c>
      <c r="AV3692" s="1" t="s">
        <v>73</v>
      </c>
      <c r="AX3692" s="1">
        <v>0</v>
      </c>
      <c r="BA3692" s="1">
        <v>9</v>
      </c>
      <c r="BB3692" s="1">
        <v>0</v>
      </c>
      <c r="BC3692" s="1">
        <v>0</v>
      </c>
      <c r="BE3692" s="1">
        <v>27661856</v>
      </c>
    </row>
    <row r="3693" spans="1:57" x14ac:dyDescent="0.25">
      <c r="A3693" s="1" t="str">
        <f>T("1949450435874725292")</f>
        <v>1949450435874725292</v>
      </c>
      <c r="B3693" s="1" t="str">
        <f>T("249909350999")</f>
        <v>249909350999</v>
      </c>
      <c r="C3693" s="1" t="str">
        <f>T("1941094533236261428")</f>
        <v>1941094533236261428</v>
      </c>
      <c r="AC3693" s="1" t="s">
        <v>344</v>
      </c>
      <c r="AD3693" s="1" t="s">
        <v>372</v>
      </c>
      <c r="AE3693" s="1" t="s">
        <v>373</v>
      </c>
      <c r="AF3693" s="1" t="s">
        <v>107</v>
      </c>
      <c r="AG3693" s="1">
        <v>58</v>
      </c>
      <c r="AO3693" s="2">
        <v>46288</v>
      </c>
      <c r="AP3693" s="1" t="s">
        <v>301</v>
      </c>
      <c r="AS3693" s="1" t="s">
        <v>71</v>
      </c>
      <c r="AU3693" s="1" t="s">
        <v>72</v>
      </c>
      <c r="AV3693" s="1" t="s">
        <v>73</v>
      </c>
      <c r="AX3693" s="1">
        <v>0</v>
      </c>
      <c r="BA3693" s="1">
        <v>9</v>
      </c>
      <c r="BB3693" s="1">
        <v>0</v>
      </c>
      <c r="BC3693" s="1">
        <v>0</v>
      </c>
      <c r="BE3693" s="1">
        <v>27661856</v>
      </c>
    </row>
    <row r="3694" spans="1:57" x14ac:dyDescent="0.25">
      <c r="A3694" s="1" t="str">
        <f>T("1949450435908279956")</f>
        <v>1949450435908279956</v>
      </c>
      <c r="B3694" s="1" t="str">
        <f>T("249916770578")</f>
        <v>249916770578</v>
      </c>
      <c r="C3694" s="1" t="str">
        <f>T("1941094533236262328")</f>
        <v>1941094533236262328</v>
      </c>
      <c r="AC3694" s="1" t="s">
        <v>344</v>
      </c>
      <c r="AD3694" s="1" t="s">
        <v>441</v>
      </c>
      <c r="AE3694" s="1" t="s">
        <v>530</v>
      </c>
      <c r="AF3694" s="1" t="s">
        <v>107</v>
      </c>
      <c r="AG3694" s="1">
        <v>25</v>
      </c>
      <c r="AO3694" s="2">
        <v>46288</v>
      </c>
      <c r="AP3694" s="1" t="s">
        <v>301</v>
      </c>
      <c r="AS3694" s="1" t="s">
        <v>71</v>
      </c>
      <c r="AU3694" s="1" t="s">
        <v>72</v>
      </c>
      <c r="AV3694" s="1" t="s">
        <v>73</v>
      </c>
      <c r="AX3694" s="1">
        <v>0</v>
      </c>
      <c r="BA3694" s="1">
        <v>9</v>
      </c>
      <c r="BB3694" s="1">
        <v>0</v>
      </c>
      <c r="BC3694" s="1">
        <v>0</v>
      </c>
      <c r="BE3694" s="1">
        <v>27661856</v>
      </c>
    </row>
    <row r="3695" spans="1:57" x14ac:dyDescent="0.25">
      <c r="A3695" s="1" t="str">
        <f>T("1949450435916668272")</f>
        <v>1949450435916668272</v>
      </c>
      <c r="B3695" s="1" t="str">
        <f>T("249910318343")</f>
        <v>249910318343</v>
      </c>
      <c r="C3695" s="1" t="str">
        <f>T("1941094533236261828")</f>
        <v>1941094533236261828</v>
      </c>
      <c r="AC3695" s="1" t="s">
        <v>344</v>
      </c>
      <c r="AD3695" s="1" t="s">
        <v>430</v>
      </c>
      <c r="AE3695" s="1" t="s">
        <v>530</v>
      </c>
      <c r="AF3695" s="1" t="s">
        <v>107</v>
      </c>
      <c r="AG3695" s="1">
        <v>35</v>
      </c>
      <c r="AO3695" s="2">
        <v>46288</v>
      </c>
      <c r="AP3695" s="1" t="s">
        <v>301</v>
      </c>
      <c r="AS3695" s="1" t="s">
        <v>71</v>
      </c>
      <c r="AU3695" s="1" t="s">
        <v>72</v>
      </c>
      <c r="AV3695" s="1" t="s">
        <v>73</v>
      </c>
      <c r="AX3695" s="1">
        <v>0</v>
      </c>
      <c r="BA3695" s="1">
        <v>9</v>
      </c>
      <c r="BB3695" s="1">
        <v>0</v>
      </c>
      <c r="BC3695" s="1">
        <v>0</v>
      </c>
      <c r="BE3695" s="1">
        <v>27661856</v>
      </c>
    </row>
    <row r="3696" spans="1:57" x14ac:dyDescent="0.25">
      <c r="A3696" s="1" t="str">
        <f>T("1949450435925054688")</f>
        <v>1949450435925054688</v>
      </c>
      <c r="B3696" s="1" t="str">
        <f>T("249904651366")</f>
        <v>249904651366</v>
      </c>
      <c r="C3696" s="1" t="str">
        <f>T("1941094533236262828")</f>
        <v>1941094533236262828</v>
      </c>
      <c r="AC3696" s="1" t="s">
        <v>344</v>
      </c>
      <c r="AD3696" s="1" t="s">
        <v>441</v>
      </c>
      <c r="AE3696" s="1" t="s">
        <v>530</v>
      </c>
      <c r="AF3696" s="1" t="s">
        <v>107</v>
      </c>
      <c r="AG3696" s="1">
        <v>40</v>
      </c>
      <c r="AO3696" s="2">
        <v>46288</v>
      </c>
      <c r="AP3696" s="1" t="s">
        <v>301</v>
      </c>
      <c r="AS3696" s="1" t="s">
        <v>71</v>
      </c>
      <c r="AU3696" s="1" t="s">
        <v>72</v>
      </c>
      <c r="AV3696" s="1" t="s">
        <v>437</v>
      </c>
      <c r="AX3696" s="1">
        <v>0</v>
      </c>
      <c r="BA3696" s="1">
        <v>9</v>
      </c>
      <c r="BB3696" s="1">
        <v>0</v>
      </c>
      <c r="BC3696" s="1">
        <v>0</v>
      </c>
      <c r="BE3696" s="1">
        <v>27661856</v>
      </c>
    </row>
    <row r="3697" spans="1:57" x14ac:dyDescent="0.25">
      <c r="A3697" s="1" t="str">
        <f>T("1949450435941833620")</f>
        <v>1949450435941833620</v>
      </c>
      <c r="B3697" s="1" t="str">
        <f>T("249911730981")</f>
        <v>249911730981</v>
      </c>
      <c r="C3697" s="1" t="str">
        <f>T("1941094533236263228")</f>
        <v>1941094533236263228</v>
      </c>
      <c r="AC3697" s="1" t="s">
        <v>344</v>
      </c>
      <c r="AD3697" s="1" t="s">
        <v>372</v>
      </c>
      <c r="AE3697" s="1" t="s">
        <v>818</v>
      </c>
      <c r="AF3697" s="1" t="s">
        <v>144</v>
      </c>
      <c r="AG3697" s="1">
        <v>39</v>
      </c>
      <c r="AO3697" s="2">
        <v>46288</v>
      </c>
      <c r="AP3697" s="1" t="s">
        <v>301</v>
      </c>
      <c r="AS3697" s="1" t="s">
        <v>71</v>
      </c>
      <c r="AU3697" s="1" t="s">
        <v>72</v>
      </c>
      <c r="AV3697" s="1" t="s">
        <v>73</v>
      </c>
      <c r="AX3697" s="1">
        <v>0</v>
      </c>
      <c r="BA3697" s="1">
        <v>9</v>
      </c>
      <c r="BB3697" s="1">
        <v>0</v>
      </c>
      <c r="BC3697" s="1">
        <v>0</v>
      </c>
      <c r="BE3697" s="1">
        <v>27661856</v>
      </c>
    </row>
    <row r="3698" spans="1:57" x14ac:dyDescent="0.25">
      <c r="A3698" s="1" t="str">
        <f>T("1949450435975388484")</f>
        <v>1949450435975388484</v>
      </c>
      <c r="B3698" s="1" t="str">
        <f>T("249967952884")</f>
        <v>249967952884</v>
      </c>
      <c r="C3698" s="1" t="str">
        <f>T("1941094533236264028")</f>
        <v>1941094533236264028</v>
      </c>
      <c r="AC3698" s="1" t="s">
        <v>344</v>
      </c>
      <c r="AD3698" s="1" t="s">
        <v>441</v>
      </c>
      <c r="AE3698" s="1" t="s">
        <v>530</v>
      </c>
      <c r="AF3698" s="1" t="s">
        <v>144</v>
      </c>
      <c r="AG3698" s="1">
        <v>60</v>
      </c>
      <c r="AO3698" s="2">
        <v>46288</v>
      </c>
      <c r="AP3698" s="1" t="s">
        <v>301</v>
      </c>
      <c r="AS3698" s="1" t="s">
        <v>71</v>
      </c>
      <c r="AU3698" s="1" t="s">
        <v>72</v>
      </c>
      <c r="AV3698" s="1" t="s">
        <v>73</v>
      </c>
      <c r="AX3698" s="1">
        <v>0</v>
      </c>
      <c r="BA3698" s="1">
        <v>9</v>
      </c>
      <c r="BB3698" s="1">
        <v>0</v>
      </c>
      <c r="BC3698" s="1">
        <v>0</v>
      </c>
      <c r="BE3698" s="1">
        <v>27661856</v>
      </c>
    </row>
    <row r="3699" spans="1:57" x14ac:dyDescent="0.25">
      <c r="A3699" s="1" t="str">
        <f>T("1949450435979580992")</f>
        <v>1949450435979580992</v>
      </c>
      <c r="B3699" s="1" t="str">
        <f>T("249906965455")</f>
        <v>249906965455</v>
      </c>
      <c r="C3699" s="1" t="str">
        <f>T("1941094533236264428")</f>
        <v>1941094533236264428</v>
      </c>
      <c r="AC3699" s="1" t="s">
        <v>344</v>
      </c>
      <c r="AD3699" s="1" t="s">
        <v>372</v>
      </c>
      <c r="AE3699" s="1" t="s">
        <v>813</v>
      </c>
      <c r="AF3699" s="1" t="s">
        <v>107</v>
      </c>
      <c r="AG3699" s="1">
        <v>45</v>
      </c>
      <c r="AO3699" s="2">
        <v>46288</v>
      </c>
      <c r="AP3699" s="1" t="s">
        <v>301</v>
      </c>
      <c r="AS3699" s="1" t="s">
        <v>71</v>
      </c>
      <c r="AU3699" s="1" t="s">
        <v>72</v>
      </c>
      <c r="AV3699" s="1" t="s">
        <v>73</v>
      </c>
      <c r="AX3699" s="1">
        <v>0</v>
      </c>
      <c r="BA3699" s="1">
        <v>9</v>
      </c>
      <c r="BB3699" s="1">
        <v>0</v>
      </c>
      <c r="BC3699" s="1">
        <v>0</v>
      </c>
      <c r="BE3699" s="1">
        <v>27661856</v>
      </c>
    </row>
    <row r="3700" spans="1:57" x14ac:dyDescent="0.25">
      <c r="A3700" s="1" t="str">
        <f>T("1949450435979581092")</f>
        <v>1949450435979581092</v>
      </c>
      <c r="B3700" s="1" t="str">
        <f>T("249901119032")</f>
        <v>249901119032</v>
      </c>
      <c r="C3700" s="1" t="str">
        <f>T("1941094533236263628")</f>
        <v>1941094533236263628</v>
      </c>
      <c r="AC3700" s="1" t="s">
        <v>344</v>
      </c>
      <c r="AD3700" s="1" t="s">
        <v>372</v>
      </c>
      <c r="AE3700" s="1" t="s">
        <v>813</v>
      </c>
      <c r="AF3700" s="1" t="s">
        <v>107</v>
      </c>
      <c r="AG3700" s="1">
        <v>45</v>
      </c>
      <c r="AO3700" s="2">
        <v>46288</v>
      </c>
      <c r="AP3700" s="1" t="s">
        <v>301</v>
      </c>
      <c r="AS3700" s="1" t="s">
        <v>71</v>
      </c>
      <c r="AU3700" s="1" t="s">
        <v>72</v>
      </c>
      <c r="AV3700" s="1" t="s">
        <v>437</v>
      </c>
      <c r="AX3700" s="1">
        <v>0</v>
      </c>
      <c r="BA3700" s="1">
        <v>9</v>
      </c>
      <c r="BB3700" s="1">
        <v>0</v>
      </c>
      <c r="BC3700" s="1">
        <v>0</v>
      </c>
      <c r="BE3700" s="1">
        <v>27661856</v>
      </c>
    </row>
    <row r="3701" spans="1:57" x14ac:dyDescent="0.25">
      <c r="A3701" s="1" t="str">
        <f>T("1949450436008939648")</f>
        <v>1949450436008939648</v>
      </c>
      <c r="B3701" s="1" t="str">
        <f>T("249961616278")</f>
        <v>249961616278</v>
      </c>
      <c r="C3701" s="1" t="str">
        <f>T("1941094533236264928")</f>
        <v>1941094533236264928</v>
      </c>
      <c r="AC3701" s="1" t="s">
        <v>344</v>
      </c>
      <c r="AD3701" s="1" t="s">
        <v>430</v>
      </c>
      <c r="AE3701" s="1" t="s">
        <v>530</v>
      </c>
      <c r="AF3701" s="1" t="s">
        <v>144</v>
      </c>
      <c r="AG3701" s="1">
        <v>43</v>
      </c>
      <c r="AO3701" s="2">
        <v>46288</v>
      </c>
      <c r="AP3701" s="1" t="s">
        <v>301</v>
      </c>
      <c r="AS3701" s="1" t="s">
        <v>71</v>
      </c>
      <c r="AU3701" s="1" t="s">
        <v>72</v>
      </c>
      <c r="AV3701" s="1" t="s">
        <v>437</v>
      </c>
      <c r="AX3701" s="1">
        <v>0</v>
      </c>
      <c r="BA3701" s="1">
        <v>9</v>
      </c>
      <c r="BB3701" s="1">
        <v>0</v>
      </c>
      <c r="BC3701" s="1">
        <v>0</v>
      </c>
      <c r="BE3701" s="1">
        <v>27661856</v>
      </c>
    </row>
    <row r="3702" spans="1:57" x14ac:dyDescent="0.25">
      <c r="A3702" s="1" t="str">
        <f>T("1949450436034109396")</f>
        <v>1949450436034109396</v>
      </c>
      <c r="B3702" s="1" t="str">
        <f>T("249908192219")</f>
        <v>249908192219</v>
      </c>
      <c r="C3702" s="1" t="str">
        <f>T("1941094533240455636")</f>
        <v>1941094533240455636</v>
      </c>
      <c r="AC3702" s="1" t="s">
        <v>344</v>
      </c>
      <c r="AD3702" s="1" t="s">
        <v>357</v>
      </c>
      <c r="AE3702" s="1" t="s">
        <v>812</v>
      </c>
      <c r="AF3702" s="1" t="s">
        <v>107</v>
      </c>
      <c r="AG3702" s="1">
        <v>52</v>
      </c>
      <c r="AO3702" s="2">
        <v>46288</v>
      </c>
      <c r="AP3702" s="1" t="s">
        <v>301</v>
      </c>
      <c r="AS3702" s="1" t="s">
        <v>71</v>
      </c>
      <c r="AU3702" s="1" t="s">
        <v>72</v>
      </c>
      <c r="AV3702" s="1" t="s">
        <v>437</v>
      </c>
      <c r="AX3702" s="1">
        <v>0</v>
      </c>
      <c r="BA3702" s="1">
        <v>9</v>
      </c>
      <c r="BB3702" s="1">
        <v>0</v>
      </c>
      <c r="BC3702" s="1">
        <v>0</v>
      </c>
      <c r="BE3702" s="1">
        <v>27661856</v>
      </c>
    </row>
    <row r="3703" spans="1:57" x14ac:dyDescent="0.25">
      <c r="A3703" s="1" t="str">
        <f>T("1949450436038302604")</f>
        <v>1949450436038302604</v>
      </c>
      <c r="B3703" s="1" t="str">
        <f>T("249961012250")</f>
        <v>249961012250</v>
      </c>
      <c r="C3703" s="1" t="str">
        <f>T("1941094533240456036")</f>
        <v>1941094533240456036</v>
      </c>
      <c r="AC3703" s="1" t="s">
        <v>344</v>
      </c>
      <c r="AD3703" s="1" t="s">
        <v>430</v>
      </c>
      <c r="AE3703" s="1" t="s">
        <v>530</v>
      </c>
      <c r="AF3703" s="1" t="s">
        <v>107</v>
      </c>
      <c r="AG3703" s="1">
        <v>65</v>
      </c>
      <c r="AO3703" s="2">
        <v>46288</v>
      </c>
      <c r="AP3703" s="1" t="s">
        <v>301</v>
      </c>
      <c r="AS3703" s="1" t="s">
        <v>71</v>
      </c>
      <c r="AU3703" s="1" t="s">
        <v>72</v>
      </c>
      <c r="AV3703" s="1" t="s">
        <v>73</v>
      </c>
      <c r="AX3703" s="1">
        <v>0</v>
      </c>
      <c r="BA3703" s="1">
        <v>9</v>
      </c>
      <c r="BB3703" s="1">
        <v>0</v>
      </c>
      <c r="BC3703" s="1">
        <v>0</v>
      </c>
      <c r="BE3703" s="1">
        <v>27661856</v>
      </c>
    </row>
    <row r="3704" spans="1:57" x14ac:dyDescent="0.25">
      <c r="A3704" s="1" t="str">
        <f>T("1949450436050883928")</f>
        <v>1949450436050883928</v>
      </c>
      <c r="B3704" s="1" t="str">
        <f>T("249969070783")</f>
        <v>249969070783</v>
      </c>
      <c r="C3704" s="1" t="str">
        <f>T("1941094533240456436")</f>
        <v>1941094533240456436</v>
      </c>
      <c r="AC3704" s="1" t="s">
        <v>344</v>
      </c>
      <c r="AD3704" s="1" t="s">
        <v>441</v>
      </c>
      <c r="AE3704" s="1" t="s">
        <v>530</v>
      </c>
      <c r="AF3704" s="1" t="s">
        <v>107</v>
      </c>
      <c r="AG3704" s="1">
        <v>40</v>
      </c>
      <c r="AO3704" s="2">
        <v>46288</v>
      </c>
      <c r="AP3704" s="1" t="s">
        <v>301</v>
      </c>
      <c r="AS3704" s="1" t="s">
        <v>71</v>
      </c>
      <c r="AU3704" s="1" t="s">
        <v>72</v>
      </c>
      <c r="AV3704" s="1" t="s">
        <v>437</v>
      </c>
      <c r="AX3704" s="1">
        <v>0</v>
      </c>
      <c r="BA3704" s="1">
        <v>9</v>
      </c>
      <c r="BB3704" s="1">
        <v>0</v>
      </c>
      <c r="BC3704" s="1">
        <v>0</v>
      </c>
      <c r="BE3704" s="1">
        <v>27661856</v>
      </c>
    </row>
    <row r="3705" spans="1:57" x14ac:dyDescent="0.25">
      <c r="A3705" s="1" t="str">
        <f>T("1949450436071854468")</f>
        <v>1949450436071854468</v>
      </c>
      <c r="B3705" s="1" t="str">
        <f>T("249910014730")</f>
        <v>249910014730</v>
      </c>
      <c r="C3705" s="1" t="str">
        <f>T("1941094533240456836")</f>
        <v>1941094533240456836</v>
      </c>
      <c r="AC3705" s="1" t="s">
        <v>344</v>
      </c>
      <c r="AD3705" s="1" t="s">
        <v>430</v>
      </c>
      <c r="AE3705" s="1" t="s">
        <v>530</v>
      </c>
      <c r="AF3705" s="1" t="s">
        <v>107</v>
      </c>
      <c r="AG3705" s="1">
        <v>23</v>
      </c>
      <c r="AO3705" s="2">
        <v>46288</v>
      </c>
      <c r="AP3705" s="1" t="s">
        <v>301</v>
      </c>
      <c r="AS3705" s="1" t="s">
        <v>71</v>
      </c>
      <c r="AU3705" s="1" t="s">
        <v>72</v>
      </c>
      <c r="AV3705" s="1" t="s">
        <v>437</v>
      </c>
      <c r="AX3705" s="1">
        <v>0</v>
      </c>
      <c r="BA3705" s="1">
        <v>9</v>
      </c>
      <c r="BB3705" s="1">
        <v>0</v>
      </c>
      <c r="BC3705" s="1">
        <v>0</v>
      </c>
      <c r="BE3705" s="1">
        <v>27661856</v>
      </c>
    </row>
    <row r="3706" spans="1:57" x14ac:dyDescent="0.25">
      <c r="A3706" s="1" t="str">
        <f>T("1949450436092827108")</f>
        <v>1949450436092827108</v>
      </c>
      <c r="B3706" s="1" t="str">
        <f>T("249904780369")</f>
        <v>249904780369</v>
      </c>
      <c r="C3706" s="1" t="str">
        <f>T("1941094533240457536")</f>
        <v>1941094533240457536</v>
      </c>
      <c r="AC3706" s="1" t="s">
        <v>344</v>
      </c>
      <c r="AD3706" s="1" t="s">
        <v>441</v>
      </c>
      <c r="AE3706" s="1" t="s">
        <v>530</v>
      </c>
      <c r="AF3706" s="1" t="s">
        <v>107</v>
      </c>
      <c r="AG3706" s="1">
        <v>65</v>
      </c>
      <c r="AO3706" s="2">
        <v>46288</v>
      </c>
      <c r="AP3706" s="1" t="s">
        <v>301</v>
      </c>
      <c r="AS3706" s="1" t="s">
        <v>71</v>
      </c>
      <c r="AU3706" s="1" t="s">
        <v>75</v>
      </c>
      <c r="AV3706" s="1" t="s">
        <v>590</v>
      </c>
      <c r="AX3706" s="1">
        <v>0</v>
      </c>
      <c r="BA3706" s="1">
        <v>7</v>
      </c>
      <c r="BB3706" s="1">
        <v>0</v>
      </c>
      <c r="BC3706" s="1">
        <v>0</v>
      </c>
      <c r="BE3706" s="1">
        <v>27661856</v>
      </c>
    </row>
    <row r="3707" spans="1:57" x14ac:dyDescent="0.25">
      <c r="A3707" s="1" t="str">
        <f>T("1949450436092827308")</f>
        <v>1949450436092827308</v>
      </c>
      <c r="B3707" s="1" t="str">
        <f>T("249918115916")</f>
        <v>249918115916</v>
      </c>
      <c r="C3707" s="1" t="str">
        <f>T("1941094533240457136")</f>
        <v>1941094533240457136</v>
      </c>
      <c r="AC3707" s="1" t="s">
        <v>344</v>
      </c>
      <c r="AD3707" s="1" t="s">
        <v>372</v>
      </c>
      <c r="AE3707" s="1" t="s">
        <v>818</v>
      </c>
      <c r="AF3707" s="1" t="s">
        <v>144</v>
      </c>
      <c r="AG3707" s="1">
        <v>65</v>
      </c>
      <c r="AO3707" s="2">
        <v>46288</v>
      </c>
      <c r="AP3707" s="1" t="s">
        <v>301</v>
      </c>
      <c r="AS3707" s="1" t="s">
        <v>71</v>
      </c>
      <c r="AU3707" s="1" t="s">
        <v>72</v>
      </c>
      <c r="AV3707" s="1" t="s">
        <v>437</v>
      </c>
      <c r="AX3707" s="1">
        <v>0</v>
      </c>
      <c r="BA3707" s="1">
        <v>9</v>
      </c>
      <c r="BB3707" s="1">
        <v>0</v>
      </c>
      <c r="BC3707" s="1">
        <v>0</v>
      </c>
      <c r="BE3707" s="1">
        <v>27661856</v>
      </c>
    </row>
    <row r="3708" spans="1:57" x14ac:dyDescent="0.25">
      <c r="A3708" s="1" t="str">
        <f>T("1949450436109603240")</f>
        <v>1949450436109603240</v>
      </c>
      <c r="B3708" s="1" t="str">
        <f>T("249922676714")</f>
        <v>249922676714</v>
      </c>
      <c r="C3708" s="1" t="str">
        <f>T("1941094533240457936")</f>
        <v>1941094533240457936</v>
      </c>
      <c r="AC3708" s="1" t="s">
        <v>344</v>
      </c>
      <c r="AD3708" s="1" t="s">
        <v>372</v>
      </c>
      <c r="AE3708" s="1" t="s">
        <v>814</v>
      </c>
      <c r="AF3708" s="1" t="s">
        <v>144</v>
      </c>
      <c r="AG3708" s="1">
        <v>55</v>
      </c>
      <c r="AO3708" s="2">
        <v>46288</v>
      </c>
      <c r="AP3708" s="1" t="s">
        <v>301</v>
      </c>
      <c r="AQ3708" s="2">
        <v>46288</v>
      </c>
      <c r="AR3708" s="1" t="s">
        <v>908</v>
      </c>
      <c r="AS3708" s="1" t="s">
        <v>71</v>
      </c>
      <c r="AU3708" s="1" t="s">
        <v>79</v>
      </c>
      <c r="AV3708" s="1" t="s">
        <v>80</v>
      </c>
      <c r="AW3708" s="1">
        <v>26.619</v>
      </c>
      <c r="AX3708" s="1">
        <v>0</v>
      </c>
      <c r="AZ3708" s="1" t="s">
        <v>81</v>
      </c>
      <c r="BA3708" s="1">
        <v>3</v>
      </c>
      <c r="BB3708" s="1">
        <v>0</v>
      </c>
      <c r="BC3708" s="1">
        <v>0</v>
      </c>
      <c r="BE3708" s="1">
        <v>27661856</v>
      </c>
    </row>
    <row r="3709" spans="1:57" x14ac:dyDescent="0.25">
      <c r="A3709" s="1" t="str">
        <f>T("1949450436122188264")</f>
        <v>1949450436122188264</v>
      </c>
      <c r="B3709" s="1" t="str">
        <f>T("249964799944")</f>
        <v>249964799944</v>
      </c>
      <c r="C3709" s="1" t="str">
        <f>T("1941094533248845152")</f>
        <v>1941094533248845152</v>
      </c>
      <c r="AC3709" s="1" t="s">
        <v>344</v>
      </c>
      <c r="AD3709" s="1" t="s">
        <v>441</v>
      </c>
      <c r="AE3709" s="1" t="s">
        <v>530</v>
      </c>
      <c r="AF3709" s="1" t="s">
        <v>107</v>
      </c>
      <c r="AG3709" s="1">
        <v>40</v>
      </c>
      <c r="AO3709" s="2">
        <v>46288</v>
      </c>
      <c r="AP3709" s="1" t="s">
        <v>301</v>
      </c>
      <c r="AS3709" s="1" t="s">
        <v>71</v>
      </c>
      <c r="AU3709" s="1" t="s">
        <v>72</v>
      </c>
      <c r="AV3709" s="1" t="s">
        <v>437</v>
      </c>
      <c r="AX3709" s="1">
        <v>0</v>
      </c>
      <c r="BA3709" s="1">
        <v>9</v>
      </c>
      <c r="BB3709" s="1">
        <v>0</v>
      </c>
      <c r="BC3709" s="1">
        <v>0</v>
      </c>
      <c r="BE3709" s="1">
        <v>27661856</v>
      </c>
    </row>
    <row r="3710" spans="1:57" x14ac:dyDescent="0.25">
      <c r="A3710" s="1" t="str">
        <f>T("1949450436147353812")</f>
        <v>1949450436147353812</v>
      </c>
      <c r="B3710" s="1" t="str">
        <f>T("249917474510")</f>
        <v>249917474510</v>
      </c>
      <c r="C3710" s="1" t="str">
        <f>T("1941094533248845952")</f>
        <v>1941094533248845952</v>
      </c>
      <c r="AC3710" s="1" t="s">
        <v>344</v>
      </c>
      <c r="AD3710" s="1" t="s">
        <v>441</v>
      </c>
      <c r="AE3710" s="1" t="s">
        <v>530</v>
      </c>
      <c r="AF3710" s="1" t="s">
        <v>107</v>
      </c>
      <c r="AG3710" s="1">
        <v>70</v>
      </c>
      <c r="AO3710" s="2">
        <v>46288</v>
      </c>
      <c r="AP3710" s="1" t="s">
        <v>301</v>
      </c>
      <c r="AS3710" s="1" t="s">
        <v>71</v>
      </c>
      <c r="AU3710" s="1" t="s">
        <v>72</v>
      </c>
      <c r="AV3710" s="1" t="s">
        <v>437</v>
      </c>
      <c r="AX3710" s="1">
        <v>0</v>
      </c>
      <c r="BA3710" s="1">
        <v>9</v>
      </c>
      <c r="BB3710" s="1">
        <v>0</v>
      </c>
      <c r="BC3710" s="1">
        <v>0</v>
      </c>
      <c r="BE3710" s="1">
        <v>27661856</v>
      </c>
    </row>
    <row r="3711" spans="1:57" x14ac:dyDescent="0.25">
      <c r="A3711" s="1" t="str">
        <f>T("1949450436151547820")</f>
        <v>1949450436151547820</v>
      </c>
      <c r="B3711" s="1" t="str">
        <f>T("249919994150")</f>
        <v>249919994150</v>
      </c>
      <c r="C3711" s="1" t="str">
        <f>T("1941094533248846452")</f>
        <v>1941094533248846452</v>
      </c>
      <c r="AC3711" s="1" t="s">
        <v>344</v>
      </c>
      <c r="AD3711" s="1" t="s">
        <v>441</v>
      </c>
      <c r="AE3711" s="1" t="s">
        <v>530</v>
      </c>
      <c r="AF3711" s="1" t="s">
        <v>107</v>
      </c>
      <c r="AG3711" s="1">
        <v>38</v>
      </c>
      <c r="AO3711" s="2">
        <v>46288</v>
      </c>
      <c r="AP3711" s="1" t="s">
        <v>301</v>
      </c>
      <c r="AS3711" s="1" t="s">
        <v>71</v>
      </c>
      <c r="AU3711" s="1" t="s">
        <v>72</v>
      </c>
      <c r="AV3711" s="1" t="s">
        <v>73</v>
      </c>
      <c r="AX3711" s="1">
        <v>0</v>
      </c>
      <c r="BA3711" s="1">
        <v>9</v>
      </c>
      <c r="BB3711" s="1">
        <v>0</v>
      </c>
      <c r="BC3711" s="1">
        <v>0</v>
      </c>
      <c r="BE3711" s="1">
        <v>27661856</v>
      </c>
    </row>
    <row r="3712" spans="1:57" x14ac:dyDescent="0.25">
      <c r="A3712" s="1" t="str">
        <f>T("1949450436164129744")</f>
        <v>1949450436164129744</v>
      </c>
      <c r="B3712" s="1" t="str">
        <f>T("249905312769")</f>
        <v>249905312769</v>
      </c>
      <c r="C3712" s="1" t="str">
        <f>T("1941094533248846952")</f>
        <v>1941094533248846952</v>
      </c>
      <c r="AC3712" s="1" t="s">
        <v>344</v>
      </c>
      <c r="AD3712" s="1" t="s">
        <v>430</v>
      </c>
      <c r="AE3712" s="1" t="s">
        <v>530</v>
      </c>
      <c r="AF3712" s="1" t="s">
        <v>144</v>
      </c>
      <c r="AG3712" s="1">
        <v>25</v>
      </c>
      <c r="AO3712" s="2">
        <v>46288</v>
      </c>
      <c r="AP3712" s="1" t="s">
        <v>301</v>
      </c>
      <c r="AS3712" s="1" t="s">
        <v>71</v>
      </c>
      <c r="AU3712" s="1" t="s">
        <v>72</v>
      </c>
      <c r="AV3712" s="1" t="s">
        <v>73</v>
      </c>
      <c r="AX3712" s="1">
        <v>0</v>
      </c>
      <c r="BA3712" s="1">
        <v>9</v>
      </c>
      <c r="BB3712" s="1">
        <v>0</v>
      </c>
      <c r="BC3712" s="1">
        <v>0</v>
      </c>
      <c r="BE3712" s="1">
        <v>27661856</v>
      </c>
    </row>
    <row r="3713" spans="1:57" x14ac:dyDescent="0.25">
      <c r="A3713" s="1" t="str">
        <f>T("1949450436168326852")</f>
        <v>1949450436168326852</v>
      </c>
      <c r="B3713" s="1" t="str">
        <f>T("249917549625")</f>
        <v>249917549625</v>
      </c>
      <c r="C3713" s="1" t="str">
        <f>T("1941094533253039460")</f>
        <v>1941094533253039460</v>
      </c>
      <c r="AC3713" s="1" t="s">
        <v>344</v>
      </c>
      <c r="AD3713" s="1" t="s">
        <v>430</v>
      </c>
      <c r="AE3713" s="1" t="s">
        <v>530</v>
      </c>
      <c r="AF3713" s="1" t="s">
        <v>144</v>
      </c>
      <c r="AG3713" s="1">
        <v>47</v>
      </c>
      <c r="AO3713" s="2">
        <v>46288</v>
      </c>
      <c r="AP3713" s="1" t="s">
        <v>301</v>
      </c>
      <c r="AS3713" s="1" t="s">
        <v>71</v>
      </c>
      <c r="AU3713" s="1" t="s">
        <v>75</v>
      </c>
      <c r="AV3713" s="1" t="s">
        <v>590</v>
      </c>
      <c r="AX3713" s="1">
        <v>0</v>
      </c>
      <c r="BA3713" s="1">
        <v>8</v>
      </c>
      <c r="BB3713" s="1">
        <v>0</v>
      </c>
      <c r="BC3713" s="1">
        <v>0</v>
      </c>
      <c r="BE3713" s="1">
        <v>27661856</v>
      </c>
    </row>
    <row r="3714" spans="1:57" x14ac:dyDescent="0.25">
      <c r="A3714" s="1" t="str">
        <f>T("1949450436201879816")</f>
        <v>1949450436201879816</v>
      </c>
      <c r="B3714" s="1" t="str">
        <f>T("249918403115")</f>
        <v>249918403115</v>
      </c>
      <c r="C3714" s="1" t="str">
        <f>T("1941094533253041560")</f>
        <v>1941094533253041560</v>
      </c>
      <c r="AC3714" s="1" t="s">
        <v>344</v>
      </c>
      <c r="AD3714" s="1" t="s">
        <v>372</v>
      </c>
      <c r="AE3714" s="1" t="s">
        <v>815</v>
      </c>
      <c r="AF3714" s="1" t="s">
        <v>144</v>
      </c>
      <c r="AG3714" s="1">
        <v>41</v>
      </c>
      <c r="AO3714" s="2">
        <v>46288</v>
      </c>
      <c r="AP3714" s="1" t="s">
        <v>301</v>
      </c>
      <c r="AS3714" s="1" t="s">
        <v>71</v>
      </c>
      <c r="AU3714" s="1" t="s">
        <v>72</v>
      </c>
      <c r="AV3714" s="1" t="s">
        <v>73</v>
      </c>
      <c r="AX3714" s="1">
        <v>0</v>
      </c>
      <c r="BA3714" s="1">
        <v>9</v>
      </c>
      <c r="BB3714" s="1">
        <v>0</v>
      </c>
      <c r="BC3714" s="1">
        <v>0</v>
      </c>
      <c r="BE3714" s="1">
        <v>27661856</v>
      </c>
    </row>
    <row r="3715" spans="1:57" x14ac:dyDescent="0.25">
      <c r="A3715" s="1" t="str">
        <f>T("1949450436222853056")</f>
        <v>1949450436222853056</v>
      </c>
      <c r="B3715" s="1" t="str">
        <f>T("249991102918")</f>
        <v>249991102918</v>
      </c>
      <c r="C3715" s="1" t="str">
        <f>T("1941094533257233768")</f>
        <v>1941094533257233768</v>
      </c>
      <c r="AC3715" s="1" t="s">
        <v>344</v>
      </c>
      <c r="AD3715" s="1" t="s">
        <v>372</v>
      </c>
      <c r="AE3715" s="1" t="s">
        <v>814</v>
      </c>
      <c r="AF3715" s="1" t="s">
        <v>144</v>
      </c>
      <c r="AG3715" s="1">
        <v>35</v>
      </c>
      <c r="AO3715" s="2">
        <v>46288</v>
      </c>
      <c r="AP3715" s="1" t="s">
        <v>301</v>
      </c>
      <c r="AS3715" s="1" t="s">
        <v>71</v>
      </c>
      <c r="AU3715" s="1" t="s">
        <v>72</v>
      </c>
      <c r="AV3715" s="1" t="s">
        <v>73</v>
      </c>
      <c r="AX3715" s="1">
        <v>0</v>
      </c>
      <c r="BA3715" s="1">
        <v>9</v>
      </c>
      <c r="BB3715" s="1">
        <v>0</v>
      </c>
      <c r="BC3715" s="1">
        <v>0</v>
      </c>
      <c r="BE3715" s="1">
        <v>27661856</v>
      </c>
    </row>
    <row r="3716" spans="1:57" x14ac:dyDescent="0.25">
      <c r="A3716" s="1" t="str">
        <f>T("1949450436227044064")</f>
        <v>1949450436227044064</v>
      </c>
      <c r="B3716" s="1" t="str">
        <f>T("249962228392")</f>
        <v>249962228392</v>
      </c>
      <c r="C3716" s="1" t="str">
        <f>T("1941094533257233168")</f>
        <v>1941094533257233168</v>
      </c>
      <c r="AC3716" s="1" t="s">
        <v>344</v>
      </c>
      <c r="AD3716" s="1" t="s">
        <v>372</v>
      </c>
      <c r="AE3716" s="1" t="s">
        <v>815</v>
      </c>
      <c r="AF3716" s="1" t="s">
        <v>107</v>
      </c>
      <c r="AG3716" s="1">
        <v>46</v>
      </c>
      <c r="AO3716" s="2">
        <v>46288</v>
      </c>
      <c r="AP3716" s="1" t="s">
        <v>301</v>
      </c>
      <c r="AS3716" s="1" t="s">
        <v>71</v>
      </c>
      <c r="AU3716" s="1" t="s">
        <v>72</v>
      </c>
      <c r="AV3716" s="1" t="s">
        <v>437</v>
      </c>
      <c r="AX3716" s="1">
        <v>0</v>
      </c>
      <c r="BA3716" s="1">
        <v>9</v>
      </c>
      <c r="BB3716" s="1">
        <v>0</v>
      </c>
      <c r="BC3716" s="1">
        <v>0</v>
      </c>
      <c r="BE3716" s="1">
        <v>27661856</v>
      </c>
    </row>
    <row r="3717" spans="1:57" x14ac:dyDescent="0.25">
      <c r="A3717" s="1" t="str">
        <f>T("1949450436227047264")</f>
        <v>1949450436227047264</v>
      </c>
      <c r="B3717" s="1" t="str">
        <f>T("249918650937")</f>
        <v>249918650937</v>
      </c>
      <c r="C3717" s="1" t="str">
        <f>T("1941094533257234568")</f>
        <v>1941094533257234568</v>
      </c>
      <c r="AC3717" s="1" t="s">
        <v>344</v>
      </c>
      <c r="AD3717" s="1" t="s">
        <v>430</v>
      </c>
      <c r="AE3717" s="1" t="s">
        <v>530</v>
      </c>
      <c r="AF3717" s="1" t="s">
        <v>107</v>
      </c>
      <c r="AG3717" s="1">
        <v>60</v>
      </c>
      <c r="AO3717" s="2">
        <v>46288</v>
      </c>
      <c r="AP3717" s="1" t="s">
        <v>301</v>
      </c>
      <c r="AS3717" s="1" t="s">
        <v>71</v>
      </c>
      <c r="AU3717" s="1" t="s">
        <v>72</v>
      </c>
      <c r="AV3717" s="1" t="s">
        <v>73</v>
      </c>
      <c r="AX3717" s="1">
        <v>0</v>
      </c>
      <c r="BA3717" s="1">
        <v>9</v>
      </c>
      <c r="BB3717" s="1">
        <v>0</v>
      </c>
      <c r="BC3717" s="1">
        <v>0</v>
      </c>
      <c r="BE3717" s="1">
        <v>27661856</v>
      </c>
    </row>
    <row r="3718" spans="1:57" x14ac:dyDescent="0.25">
      <c r="A3718" s="1" t="str">
        <f>T("1949450436264794736")</f>
        <v>1949450436264794736</v>
      </c>
      <c r="B3718" s="1" t="str">
        <f>T("249961031656")</f>
        <v>249961031656</v>
      </c>
      <c r="C3718" s="1" t="str">
        <f>T("1941094533257235168")</f>
        <v>1941094533257235168</v>
      </c>
      <c r="AC3718" s="1" t="s">
        <v>344</v>
      </c>
      <c r="AD3718" s="1" t="s">
        <v>372</v>
      </c>
      <c r="AE3718" s="1" t="s">
        <v>373</v>
      </c>
      <c r="AF3718" s="1" t="s">
        <v>144</v>
      </c>
      <c r="AG3718" s="1">
        <v>35</v>
      </c>
      <c r="AO3718" s="2">
        <v>46288</v>
      </c>
      <c r="AP3718" s="1" t="s">
        <v>301</v>
      </c>
      <c r="AS3718" s="1" t="s">
        <v>71</v>
      </c>
      <c r="AU3718" s="1" t="s">
        <v>72</v>
      </c>
      <c r="AV3718" s="1" t="s">
        <v>437</v>
      </c>
      <c r="AX3718" s="1">
        <v>0</v>
      </c>
      <c r="BA3718" s="1">
        <v>9</v>
      </c>
      <c r="BB3718" s="1">
        <v>0</v>
      </c>
      <c r="BC3718" s="1">
        <v>0</v>
      </c>
      <c r="BE3718" s="1">
        <v>27661856</v>
      </c>
    </row>
    <row r="3719" spans="1:57" x14ac:dyDescent="0.25">
      <c r="A3719" s="1" t="str">
        <f>T("1949450436302544708")</f>
        <v>1949450436302544708</v>
      </c>
      <c r="B3719" s="1" t="str">
        <f>T("249901587744")</f>
        <v>249901587744</v>
      </c>
      <c r="C3719" s="1" t="str">
        <f>T("1941094533257235768")</f>
        <v>1941094533257235768</v>
      </c>
      <c r="AC3719" s="1" t="s">
        <v>344</v>
      </c>
      <c r="AD3719" s="1" t="s">
        <v>441</v>
      </c>
      <c r="AE3719" s="1" t="s">
        <v>530</v>
      </c>
      <c r="AF3719" s="1" t="s">
        <v>107</v>
      </c>
      <c r="AG3719" s="1">
        <v>43</v>
      </c>
      <c r="AO3719" s="2">
        <v>46288</v>
      </c>
      <c r="AP3719" s="1" t="s">
        <v>301</v>
      </c>
      <c r="AS3719" s="1" t="s">
        <v>71</v>
      </c>
      <c r="AU3719" s="1" t="s">
        <v>72</v>
      </c>
      <c r="AV3719" s="1" t="s">
        <v>437</v>
      </c>
      <c r="AX3719" s="1">
        <v>0</v>
      </c>
      <c r="BA3719" s="1">
        <v>9</v>
      </c>
      <c r="BB3719" s="1">
        <v>0</v>
      </c>
      <c r="BC3719" s="1">
        <v>0</v>
      </c>
      <c r="BE3719" s="1">
        <v>27661856</v>
      </c>
    </row>
    <row r="3720" spans="1:57" x14ac:dyDescent="0.25">
      <c r="A3720" s="1" t="str">
        <f>T("1949450436315124532")</f>
        <v>1949450436315124532</v>
      </c>
      <c r="B3720" s="1" t="str">
        <f>T("249916506301")</f>
        <v>249916506301</v>
      </c>
      <c r="C3720" s="1" t="str">
        <f>T("1941094533261427676")</f>
        <v>1941094533261427676</v>
      </c>
      <c r="AC3720" s="1" t="s">
        <v>344</v>
      </c>
      <c r="AD3720" s="1" t="s">
        <v>372</v>
      </c>
      <c r="AE3720" s="1" t="s">
        <v>813</v>
      </c>
      <c r="AF3720" s="1" t="s">
        <v>144</v>
      </c>
      <c r="AG3720" s="1">
        <v>70</v>
      </c>
      <c r="AO3720" s="2">
        <v>46288</v>
      </c>
      <c r="AP3720" s="1" t="s">
        <v>301</v>
      </c>
      <c r="AS3720" s="1" t="s">
        <v>71</v>
      </c>
      <c r="AU3720" s="1" t="s">
        <v>72</v>
      </c>
      <c r="AV3720" s="1" t="s">
        <v>437</v>
      </c>
      <c r="AX3720" s="1">
        <v>0</v>
      </c>
      <c r="BA3720" s="1">
        <v>9</v>
      </c>
      <c r="BB3720" s="1">
        <v>0</v>
      </c>
      <c r="BC3720" s="1">
        <v>0</v>
      </c>
      <c r="BE3720" s="1">
        <v>27661856</v>
      </c>
    </row>
    <row r="3721" spans="1:57" x14ac:dyDescent="0.25">
      <c r="A3721" s="1" t="str">
        <f>T("1949450436315124732")</f>
        <v>1949450436315124732</v>
      </c>
      <c r="B3721" s="1" t="str">
        <f>T("249916737290")</f>
        <v>249916737290</v>
      </c>
      <c r="C3721" s="1" t="str">
        <f>T("1941094533261427176")</f>
        <v>1941094533261427176</v>
      </c>
      <c r="AC3721" s="1" t="s">
        <v>344</v>
      </c>
      <c r="AD3721" s="1" t="s">
        <v>430</v>
      </c>
      <c r="AE3721" s="1" t="s">
        <v>530</v>
      </c>
      <c r="AF3721" s="1" t="s">
        <v>144</v>
      </c>
      <c r="AG3721" s="1">
        <v>39</v>
      </c>
      <c r="AO3721" s="2">
        <v>46288</v>
      </c>
      <c r="AP3721" s="1" t="s">
        <v>301</v>
      </c>
      <c r="AS3721" s="1" t="s">
        <v>71</v>
      </c>
      <c r="AU3721" s="1" t="s">
        <v>72</v>
      </c>
      <c r="AV3721" s="1" t="s">
        <v>437</v>
      </c>
      <c r="AX3721" s="1">
        <v>0</v>
      </c>
      <c r="BA3721" s="1">
        <v>9</v>
      </c>
      <c r="BB3721" s="1">
        <v>0</v>
      </c>
      <c r="BC3721" s="1">
        <v>0</v>
      </c>
      <c r="BE3721" s="1">
        <v>27661856</v>
      </c>
    </row>
    <row r="3722" spans="1:57" x14ac:dyDescent="0.25">
      <c r="A3722" s="1" t="str">
        <f>T("1949450436336098772")</f>
        <v>1949450436336098772</v>
      </c>
      <c r="B3722" s="1" t="str">
        <f>T("249902208427")</f>
        <v>249902208427</v>
      </c>
      <c r="C3722" s="1" t="str">
        <f>T("1941094533261428276")</f>
        <v>1941094533261428276</v>
      </c>
      <c r="AC3722" s="1" t="s">
        <v>344</v>
      </c>
      <c r="AD3722" s="1" t="s">
        <v>372</v>
      </c>
      <c r="AE3722" s="1" t="s">
        <v>814</v>
      </c>
      <c r="AF3722" s="1" t="s">
        <v>107</v>
      </c>
      <c r="AG3722" s="1">
        <v>60</v>
      </c>
      <c r="AO3722" s="2">
        <v>46288</v>
      </c>
      <c r="AP3722" s="1" t="s">
        <v>301</v>
      </c>
      <c r="AS3722" s="1" t="s">
        <v>71</v>
      </c>
      <c r="AU3722" s="1" t="s">
        <v>72</v>
      </c>
      <c r="AV3722" s="1" t="s">
        <v>73</v>
      </c>
      <c r="AX3722" s="1">
        <v>0</v>
      </c>
      <c r="BA3722" s="1">
        <v>9</v>
      </c>
      <c r="BB3722" s="1">
        <v>0</v>
      </c>
      <c r="BC3722" s="1">
        <v>0</v>
      </c>
      <c r="BE3722" s="1">
        <v>27661856</v>
      </c>
    </row>
    <row r="3723" spans="1:57" x14ac:dyDescent="0.25">
      <c r="A3723" s="1" t="str">
        <f>T("1949450436361263920")</f>
        <v>1949450436361263920</v>
      </c>
      <c r="B3723" s="1" t="str">
        <f>T("249961016661")</f>
        <v>249961016661</v>
      </c>
      <c r="C3723" s="1" t="str">
        <f>T("1941094533261428776")</f>
        <v>1941094533261428776</v>
      </c>
      <c r="AC3723" s="1" t="s">
        <v>344</v>
      </c>
      <c r="AD3723" s="1" t="s">
        <v>430</v>
      </c>
      <c r="AE3723" s="1" t="s">
        <v>530</v>
      </c>
      <c r="AF3723" s="1" t="s">
        <v>107</v>
      </c>
      <c r="AG3723" s="1">
        <v>38</v>
      </c>
      <c r="AO3723" s="2">
        <v>46288</v>
      </c>
      <c r="AP3723" s="1" t="s">
        <v>301</v>
      </c>
      <c r="AS3723" s="1" t="s">
        <v>71</v>
      </c>
      <c r="AU3723" s="1" t="s">
        <v>72</v>
      </c>
      <c r="AV3723" s="1" t="s">
        <v>73</v>
      </c>
      <c r="AX3723" s="1">
        <v>0</v>
      </c>
      <c r="BA3723" s="1">
        <v>9</v>
      </c>
      <c r="BB3723" s="1">
        <v>0</v>
      </c>
      <c r="BC3723" s="1">
        <v>0</v>
      </c>
      <c r="BE3723" s="1">
        <v>27661856</v>
      </c>
    </row>
    <row r="3724" spans="1:57" x14ac:dyDescent="0.25">
      <c r="A3724" s="1" t="str">
        <f>T("1949450436365458228")</f>
        <v>1949450436365458228</v>
      </c>
      <c r="B3724" s="1" t="str">
        <f>T("249925679323")</f>
        <v>249925679323</v>
      </c>
      <c r="C3724" s="1" t="str">
        <f>T("1941094533261429176")</f>
        <v>1941094533261429176</v>
      </c>
      <c r="AC3724" s="1" t="s">
        <v>344</v>
      </c>
      <c r="AD3724" s="1" t="s">
        <v>372</v>
      </c>
      <c r="AE3724" s="1" t="s">
        <v>813</v>
      </c>
      <c r="AF3724" s="1" t="s">
        <v>144</v>
      </c>
      <c r="AG3724" s="1">
        <v>27</v>
      </c>
      <c r="AO3724" s="2">
        <v>46288</v>
      </c>
      <c r="AP3724" s="1" t="s">
        <v>301</v>
      </c>
      <c r="AS3724" s="1" t="s">
        <v>71</v>
      </c>
      <c r="AU3724" s="1" t="s">
        <v>72</v>
      </c>
      <c r="AV3724" s="1" t="s">
        <v>73</v>
      </c>
      <c r="AX3724" s="1">
        <v>0</v>
      </c>
      <c r="BA3724" s="1">
        <v>9</v>
      </c>
      <c r="BB3724" s="1">
        <v>0</v>
      </c>
      <c r="BC3724" s="1">
        <v>0</v>
      </c>
      <c r="BE3724" s="1">
        <v>27661856</v>
      </c>
    </row>
    <row r="3725" spans="1:57" x14ac:dyDescent="0.25">
      <c r="A3725" s="1" t="str">
        <f>T("1949450436373846144")</f>
        <v>1949450436373846144</v>
      </c>
      <c r="B3725" s="1" t="str">
        <f>T("249919611487")</f>
        <v>249919611487</v>
      </c>
      <c r="C3725" s="1" t="str">
        <f>T("1941094533278204508")</f>
        <v>1941094533278204508</v>
      </c>
      <c r="AC3725" s="1" t="s">
        <v>344</v>
      </c>
      <c r="AD3725" s="1" t="s">
        <v>441</v>
      </c>
      <c r="AE3725" s="1" t="s">
        <v>530</v>
      </c>
      <c r="AF3725" s="1" t="s">
        <v>107</v>
      </c>
      <c r="AG3725" s="1">
        <v>26</v>
      </c>
      <c r="AO3725" s="2">
        <v>46288</v>
      </c>
      <c r="AP3725" s="1" t="s">
        <v>301</v>
      </c>
      <c r="AS3725" s="1" t="s">
        <v>71</v>
      </c>
      <c r="AU3725" s="1" t="s">
        <v>72</v>
      </c>
      <c r="AV3725" s="1" t="s">
        <v>73</v>
      </c>
      <c r="AX3725" s="1">
        <v>0</v>
      </c>
      <c r="BA3725" s="1">
        <v>9</v>
      </c>
      <c r="BB3725" s="1">
        <v>0</v>
      </c>
      <c r="BC3725" s="1">
        <v>0</v>
      </c>
      <c r="BE3725" s="1">
        <v>27661856</v>
      </c>
    </row>
    <row r="3726" spans="1:57" x14ac:dyDescent="0.25">
      <c r="A3726" s="1" t="str">
        <f>T("1949450436390623576")</f>
        <v>1949450436390623576</v>
      </c>
      <c r="B3726" s="1" t="str">
        <f>T("249913112688")</f>
        <v>249913112688</v>
      </c>
      <c r="C3726" s="1" t="str">
        <f>T("1941094533278205708")</f>
        <v>1941094533278205708</v>
      </c>
      <c r="AC3726" s="1" t="s">
        <v>344</v>
      </c>
      <c r="AD3726" s="1" t="s">
        <v>441</v>
      </c>
      <c r="AE3726" s="1" t="s">
        <v>530</v>
      </c>
      <c r="AF3726" s="1" t="s">
        <v>144</v>
      </c>
      <c r="AG3726" s="1">
        <v>69</v>
      </c>
      <c r="AO3726" s="2">
        <v>46288</v>
      </c>
      <c r="AP3726" s="1" t="s">
        <v>301</v>
      </c>
      <c r="AS3726" s="1" t="s">
        <v>71</v>
      </c>
      <c r="AU3726" s="1" t="s">
        <v>72</v>
      </c>
      <c r="AV3726" s="1" t="s">
        <v>437</v>
      </c>
      <c r="AX3726" s="1">
        <v>0</v>
      </c>
      <c r="BA3726" s="1">
        <v>9</v>
      </c>
      <c r="BB3726" s="1">
        <v>0</v>
      </c>
      <c r="BC3726" s="1">
        <v>0</v>
      </c>
      <c r="BE3726" s="1">
        <v>27661856</v>
      </c>
    </row>
    <row r="3727" spans="1:57" x14ac:dyDescent="0.25">
      <c r="A3727" s="1" t="str">
        <f>T("1949450436415787324")</f>
        <v>1949450436415787324</v>
      </c>
      <c r="B3727" s="1" t="str">
        <f>T("249960762158")</f>
        <v>249960762158</v>
      </c>
      <c r="C3727" s="1" t="str">
        <f>T("1941094533278206308")</f>
        <v>1941094533278206308</v>
      </c>
      <c r="AC3727" s="1" t="s">
        <v>344</v>
      </c>
      <c r="AD3727" s="1" t="s">
        <v>430</v>
      </c>
      <c r="AE3727" s="1" t="s">
        <v>530</v>
      </c>
      <c r="AF3727" s="1" t="s">
        <v>107</v>
      </c>
      <c r="AG3727" s="1">
        <v>18</v>
      </c>
      <c r="AO3727" s="2">
        <v>46288</v>
      </c>
      <c r="AP3727" s="1" t="s">
        <v>301</v>
      </c>
      <c r="AS3727" s="1" t="s">
        <v>71</v>
      </c>
      <c r="AU3727" s="1" t="s">
        <v>72</v>
      </c>
      <c r="AV3727" s="1" t="s">
        <v>437</v>
      </c>
      <c r="AX3727" s="1">
        <v>0</v>
      </c>
      <c r="BA3727" s="1">
        <v>9</v>
      </c>
      <c r="BB3727" s="1">
        <v>0</v>
      </c>
      <c r="BC3727" s="1">
        <v>0</v>
      </c>
      <c r="BE3727" s="1">
        <v>27661856</v>
      </c>
    </row>
    <row r="3728" spans="1:57" x14ac:dyDescent="0.25">
      <c r="A3728" s="1" t="str">
        <f>T("1949450436424178340")</f>
        <v>1949450436424178340</v>
      </c>
      <c r="B3728" s="1" t="str">
        <f>T("249960105464")</f>
        <v>249960105464</v>
      </c>
      <c r="C3728" s="1" t="str">
        <f>T("1941094533278206708")</f>
        <v>1941094533278206708</v>
      </c>
      <c r="AC3728" s="1" t="s">
        <v>344</v>
      </c>
      <c r="AD3728" s="1" t="s">
        <v>430</v>
      </c>
      <c r="AE3728" s="1" t="s">
        <v>530</v>
      </c>
      <c r="AF3728" s="1" t="s">
        <v>144</v>
      </c>
      <c r="AG3728" s="1">
        <v>20</v>
      </c>
      <c r="AO3728" s="2">
        <v>46288</v>
      </c>
      <c r="AP3728" s="1" t="s">
        <v>301</v>
      </c>
      <c r="AS3728" s="1" t="s">
        <v>71</v>
      </c>
      <c r="AU3728" s="1" t="s">
        <v>72</v>
      </c>
      <c r="AV3728" s="1" t="s">
        <v>437</v>
      </c>
      <c r="AX3728" s="1">
        <v>0</v>
      </c>
      <c r="BA3728" s="1">
        <v>9</v>
      </c>
      <c r="BB3728" s="1">
        <v>0</v>
      </c>
      <c r="BC3728" s="1">
        <v>0</v>
      </c>
      <c r="BE3728" s="1">
        <v>27661856</v>
      </c>
    </row>
    <row r="3729" spans="1:57" x14ac:dyDescent="0.25">
      <c r="A3729" s="1" t="str">
        <f>T("1949450436428371548")</f>
        <v>1949450436428371548</v>
      </c>
      <c r="B3729" s="1" t="str">
        <f>T("249966073373")</f>
        <v>249966073373</v>
      </c>
      <c r="C3729" s="1" t="str">
        <f>T("1941094533278207208")</f>
        <v>1941094533278207208</v>
      </c>
      <c r="AC3729" s="1" t="s">
        <v>344</v>
      </c>
      <c r="AD3729" s="1" t="s">
        <v>441</v>
      </c>
      <c r="AE3729" s="1" t="s">
        <v>530</v>
      </c>
      <c r="AF3729" s="1" t="s">
        <v>107</v>
      </c>
      <c r="AG3729" s="1">
        <v>45</v>
      </c>
      <c r="AO3729" s="2">
        <v>46288</v>
      </c>
      <c r="AP3729" s="1" t="s">
        <v>301</v>
      </c>
      <c r="AS3729" s="1" t="s">
        <v>71</v>
      </c>
      <c r="AU3729" s="1" t="s">
        <v>72</v>
      </c>
      <c r="AV3729" s="1" t="s">
        <v>73</v>
      </c>
      <c r="AX3729" s="1">
        <v>0</v>
      </c>
      <c r="BA3729" s="1">
        <v>9</v>
      </c>
      <c r="BB3729" s="1">
        <v>0</v>
      </c>
      <c r="BC3729" s="1">
        <v>0</v>
      </c>
      <c r="BE3729" s="1">
        <v>27661856</v>
      </c>
    </row>
    <row r="3730" spans="1:57" x14ac:dyDescent="0.25">
      <c r="A3730" s="1" t="str">
        <f>T("1949450436449345188")</f>
        <v>1949450436449345188</v>
      </c>
      <c r="B3730" s="1" t="str">
        <f>T("249914058972")</f>
        <v>249914058972</v>
      </c>
      <c r="C3730" s="1" t="str">
        <f>T("1941094533278207808")</f>
        <v>1941094533278207808</v>
      </c>
      <c r="AC3730" s="1" t="s">
        <v>344</v>
      </c>
      <c r="AD3730" s="1" t="s">
        <v>441</v>
      </c>
      <c r="AE3730" s="1" t="s">
        <v>530</v>
      </c>
      <c r="AF3730" s="1" t="s">
        <v>144</v>
      </c>
      <c r="AG3730" s="1">
        <v>45</v>
      </c>
      <c r="AO3730" s="2">
        <v>46288</v>
      </c>
      <c r="AP3730" s="1" t="s">
        <v>301</v>
      </c>
      <c r="AS3730" s="1" t="s">
        <v>71</v>
      </c>
      <c r="AU3730" s="1" t="s">
        <v>72</v>
      </c>
      <c r="AV3730" s="1" t="s">
        <v>437</v>
      </c>
      <c r="AX3730" s="1">
        <v>0</v>
      </c>
      <c r="BA3730" s="1">
        <v>9</v>
      </c>
      <c r="BB3730" s="1">
        <v>0</v>
      </c>
      <c r="BC3730" s="1">
        <v>0</v>
      </c>
      <c r="BE3730" s="1">
        <v>27661856</v>
      </c>
    </row>
    <row r="3731" spans="1:57" x14ac:dyDescent="0.25">
      <c r="A3731" s="1" t="str">
        <f>T("1949541037387750664")</f>
        <v>1949541037387750664</v>
      </c>
      <c r="B3731" s="1" t="str">
        <f>T("249961939850")</f>
        <v>249961939850</v>
      </c>
      <c r="C3731" s="1" t="str">
        <f>T("1941094533282398616")</f>
        <v>1941094533282398616</v>
      </c>
      <c r="AC3731" s="1" t="s">
        <v>344</v>
      </c>
      <c r="AD3731" s="1" t="s">
        <v>430</v>
      </c>
      <c r="AE3731" s="1" t="s">
        <v>530</v>
      </c>
      <c r="AF3731" s="1" t="s">
        <v>144</v>
      </c>
      <c r="AG3731" s="1">
        <v>30</v>
      </c>
      <c r="AO3731" s="2">
        <v>46288</v>
      </c>
      <c r="AP3731" s="1" t="s">
        <v>226</v>
      </c>
      <c r="AS3731" s="1" t="s">
        <v>71</v>
      </c>
      <c r="AU3731" s="1" t="s">
        <v>72</v>
      </c>
      <c r="AV3731" s="1" t="s">
        <v>437</v>
      </c>
      <c r="AX3731" s="1">
        <v>0</v>
      </c>
      <c r="BA3731" s="1">
        <v>9</v>
      </c>
      <c r="BB3731" s="1">
        <v>0</v>
      </c>
      <c r="BC3731" s="1">
        <v>0</v>
      </c>
      <c r="BE3731" s="1">
        <v>27661870</v>
      </c>
    </row>
    <row r="3732" spans="1:57" x14ac:dyDescent="0.25">
      <c r="A3732" s="1" t="str">
        <f>T("1949541037396138780")</f>
        <v>1949541037396138780</v>
      </c>
      <c r="B3732" s="1" t="str">
        <f>T("249907464619")</f>
        <v>249907464619</v>
      </c>
      <c r="C3732" s="1" t="str">
        <f>T("1941094533282398916")</f>
        <v>1941094533282398916</v>
      </c>
      <c r="AC3732" s="1" t="s">
        <v>344</v>
      </c>
      <c r="AD3732" s="1" t="s">
        <v>430</v>
      </c>
      <c r="AE3732" s="1" t="s">
        <v>530</v>
      </c>
      <c r="AF3732" s="1" t="s">
        <v>107</v>
      </c>
      <c r="AG3732" s="1">
        <v>37</v>
      </c>
      <c r="AO3732" s="2">
        <v>46288</v>
      </c>
      <c r="AP3732" s="1" t="s">
        <v>226</v>
      </c>
      <c r="AS3732" s="1" t="s">
        <v>71</v>
      </c>
      <c r="AU3732" s="1" t="s">
        <v>72</v>
      </c>
      <c r="AV3732" s="1" t="s">
        <v>73</v>
      </c>
      <c r="AX3732" s="1">
        <v>0</v>
      </c>
      <c r="BA3732" s="1">
        <v>9</v>
      </c>
      <c r="BB3732" s="1">
        <v>0</v>
      </c>
      <c r="BC3732" s="1">
        <v>0</v>
      </c>
      <c r="BE3732" s="1">
        <v>27661870</v>
      </c>
    </row>
    <row r="3733" spans="1:57" x14ac:dyDescent="0.25">
      <c r="A3733" s="1" t="str">
        <f>T("1949541037719101096")</f>
        <v>1949541037719101096</v>
      </c>
      <c r="B3733" s="1" t="str">
        <f>T("249909998639")</f>
        <v>249909998639</v>
      </c>
      <c r="C3733" s="1" t="str">
        <f>T("1941094533282399316")</f>
        <v>1941094533282399316</v>
      </c>
      <c r="AC3733" s="1" t="s">
        <v>344</v>
      </c>
      <c r="AD3733" s="1" t="s">
        <v>357</v>
      </c>
      <c r="AE3733" s="1" t="s">
        <v>817</v>
      </c>
      <c r="AF3733" s="1" t="s">
        <v>107</v>
      </c>
      <c r="AG3733" s="1">
        <v>44</v>
      </c>
      <c r="AO3733" s="2">
        <v>46288</v>
      </c>
      <c r="AP3733" s="1" t="s">
        <v>226</v>
      </c>
      <c r="AS3733" s="1" t="s">
        <v>71</v>
      </c>
      <c r="AU3733" s="1" t="s">
        <v>72</v>
      </c>
      <c r="AV3733" s="1" t="s">
        <v>73</v>
      </c>
      <c r="AX3733" s="1">
        <v>0</v>
      </c>
      <c r="BA3733" s="1">
        <v>9</v>
      </c>
      <c r="BB3733" s="1">
        <v>0</v>
      </c>
      <c r="BC3733" s="1">
        <v>0</v>
      </c>
      <c r="BE3733" s="1">
        <v>27661870</v>
      </c>
    </row>
    <row r="3734" spans="1:57" x14ac:dyDescent="0.25">
      <c r="A3734" s="1" t="str">
        <f>T("1949541037727487912")</f>
        <v>1949541037727487912</v>
      </c>
      <c r="B3734" s="1" t="str">
        <f>T("249969045262")</f>
        <v>249969045262</v>
      </c>
      <c r="C3734" s="1" t="str">
        <f>T("1941094533282399616")</f>
        <v>1941094533282399616</v>
      </c>
      <c r="AC3734" s="1" t="s">
        <v>344</v>
      </c>
      <c r="AD3734" s="1" t="s">
        <v>430</v>
      </c>
      <c r="AE3734" s="1" t="s">
        <v>530</v>
      </c>
      <c r="AF3734" s="1" t="s">
        <v>144</v>
      </c>
      <c r="AG3734" s="1">
        <v>43</v>
      </c>
      <c r="AO3734" s="2">
        <v>46288</v>
      </c>
      <c r="AP3734" s="1" t="s">
        <v>226</v>
      </c>
      <c r="AS3734" s="1" t="s">
        <v>71</v>
      </c>
      <c r="AU3734" s="1" t="s">
        <v>72</v>
      </c>
      <c r="AV3734" s="1" t="s">
        <v>126</v>
      </c>
      <c r="AX3734" s="1">
        <v>0</v>
      </c>
      <c r="BA3734" s="1">
        <v>9</v>
      </c>
      <c r="BB3734" s="1">
        <v>0</v>
      </c>
      <c r="BC3734" s="1">
        <v>0</v>
      </c>
      <c r="BE3734" s="1">
        <v>27661870</v>
      </c>
    </row>
    <row r="3735" spans="1:57" x14ac:dyDescent="0.25">
      <c r="A3735" s="1" t="str">
        <f>T("1949541037857512160")</f>
        <v>1949541037857512160</v>
      </c>
      <c r="B3735" s="1" t="str">
        <f>T("249996652490")</f>
        <v>249996652490</v>
      </c>
      <c r="C3735" s="1" t="str">
        <f>T("1941094533282400016")</f>
        <v>1941094533282400016</v>
      </c>
      <c r="AC3735" s="1" t="s">
        <v>344</v>
      </c>
      <c r="AD3735" s="1" t="s">
        <v>372</v>
      </c>
      <c r="AE3735" s="1" t="s">
        <v>820</v>
      </c>
      <c r="AF3735" s="1" t="s">
        <v>107</v>
      </c>
      <c r="AG3735" s="1">
        <v>30</v>
      </c>
      <c r="AO3735" s="2">
        <v>46288</v>
      </c>
      <c r="AP3735" s="1" t="s">
        <v>226</v>
      </c>
      <c r="AS3735" s="1" t="s">
        <v>71</v>
      </c>
      <c r="AU3735" s="1" t="s">
        <v>72</v>
      </c>
      <c r="AV3735" s="1" t="s">
        <v>73</v>
      </c>
      <c r="AX3735" s="1">
        <v>0</v>
      </c>
      <c r="BA3735" s="1">
        <v>9</v>
      </c>
      <c r="BB3735" s="1">
        <v>0</v>
      </c>
      <c r="BC3735" s="1">
        <v>0</v>
      </c>
      <c r="BE3735" s="1">
        <v>27661870</v>
      </c>
    </row>
    <row r="3736" spans="1:57" x14ac:dyDescent="0.25">
      <c r="A3736" s="1" t="str">
        <f>T("1949541037882677808")</f>
        <v>1949541037882677808</v>
      </c>
      <c r="B3736" s="1" t="str">
        <f>T("249916734748")</f>
        <v>249916734748</v>
      </c>
      <c r="C3736" s="1" t="str">
        <f>T("1941094533282400416")</f>
        <v>1941094533282400416</v>
      </c>
      <c r="AC3736" s="1" t="s">
        <v>344</v>
      </c>
      <c r="AD3736" s="1" t="s">
        <v>430</v>
      </c>
      <c r="AE3736" s="1" t="s">
        <v>530</v>
      </c>
      <c r="AF3736" s="1" t="s">
        <v>107</v>
      </c>
      <c r="AG3736" s="1">
        <v>65</v>
      </c>
      <c r="AO3736" s="2">
        <v>46288</v>
      </c>
      <c r="AP3736" s="1" t="s">
        <v>226</v>
      </c>
      <c r="AS3736" s="1" t="s">
        <v>71</v>
      </c>
      <c r="AU3736" s="1" t="s">
        <v>72</v>
      </c>
      <c r="AV3736" s="1" t="s">
        <v>437</v>
      </c>
      <c r="AX3736" s="1">
        <v>0</v>
      </c>
      <c r="BA3736" s="1">
        <v>9</v>
      </c>
      <c r="BB3736" s="1">
        <v>0</v>
      </c>
      <c r="BC3736" s="1">
        <v>0</v>
      </c>
      <c r="BE3736" s="1">
        <v>27661870</v>
      </c>
    </row>
    <row r="3737" spans="1:57" x14ac:dyDescent="0.25">
      <c r="A3737" s="1" t="str">
        <f>T("1949541037987534908")</f>
        <v>1949541037987534908</v>
      </c>
      <c r="B3737" s="1" t="str">
        <f>T("249911393772")</f>
        <v>249911393772</v>
      </c>
      <c r="C3737" s="1" t="str">
        <f>T("1941094533282400716")</f>
        <v>1941094533282400716</v>
      </c>
      <c r="AC3737" s="1" t="s">
        <v>344</v>
      </c>
      <c r="AD3737" s="1" t="s">
        <v>430</v>
      </c>
      <c r="AE3737" s="1" t="s">
        <v>530</v>
      </c>
      <c r="AF3737" s="1" t="s">
        <v>107</v>
      </c>
      <c r="AG3737" s="1">
        <v>29</v>
      </c>
      <c r="AO3737" s="2">
        <v>46288</v>
      </c>
      <c r="AP3737" s="1" t="s">
        <v>226</v>
      </c>
      <c r="AS3737" s="1" t="s">
        <v>71</v>
      </c>
      <c r="AU3737" s="1" t="s">
        <v>72</v>
      </c>
      <c r="AV3737" s="1" t="s">
        <v>437</v>
      </c>
      <c r="AX3737" s="1">
        <v>0</v>
      </c>
      <c r="BA3737" s="1">
        <v>9</v>
      </c>
      <c r="BB3737" s="1">
        <v>0</v>
      </c>
      <c r="BC3737" s="1">
        <v>0</v>
      </c>
      <c r="BE3737" s="1">
        <v>27661870</v>
      </c>
    </row>
    <row r="3738" spans="1:57" x14ac:dyDescent="0.25">
      <c r="A3738" s="1" t="str">
        <f>T("1949541038000119732")</f>
        <v>1949541038000119732</v>
      </c>
      <c r="B3738" s="1" t="str">
        <f>T("249112333347")</f>
        <v>249112333347</v>
      </c>
      <c r="C3738" s="1" t="str">
        <f>T("1941094533282401116")</f>
        <v>1941094533282401116</v>
      </c>
      <c r="M3738" s="1" t="s">
        <v>406</v>
      </c>
      <c r="O3738" s="1" t="s">
        <v>65</v>
      </c>
      <c r="P3738" s="1" t="s">
        <v>111</v>
      </c>
      <c r="Q3738" s="1" t="s">
        <v>112</v>
      </c>
      <c r="R3738" s="1" t="s">
        <v>93</v>
      </c>
      <c r="T3738" s="1" t="s">
        <v>95</v>
      </c>
      <c r="U3738" s="1" t="s">
        <v>65</v>
      </c>
      <c r="AA3738" s="1">
        <v>1</v>
      </c>
      <c r="AC3738" s="1" t="s">
        <v>344</v>
      </c>
      <c r="AD3738" s="1" t="s">
        <v>372</v>
      </c>
      <c r="AE3738" s="1" t="s">
        <v>820</v>
      </c>
      <c r="AF3738" s="1" t="s">
        <v>107</v>
      </c>
      <c r="AG3738" s="1">
        <v>46</v>
      </c>
      <c r="AO3738" s="2">
        <v>46288</v>
      </c>
      <c r="AP3738" s="1" t="s">
        <v>226</v>
      </c>
      <c r="AQ3738" s="2">
        <v>46289</v>
      </c>
      <c r="AR3738" s="1" t="s">
        <v>858</v>
      </c>
      <c r="AS3738" s="1" t="s">
        <v>71</v>
      </c>
      <c r="AU3738" s="1" t="s">
        <v>79</v>
      </c>
      <c r="AV3738" s="1" t="s">
        <v>80</v>
      </c>
      <c r="AW3738" s="1">
        <v>168.62</v>
      </c>
      <c r="AX3738" s="1">
        <v>0</v>
      </c>
      <c r="AZ3738" s="1" t="s">
        <v>81</v>
      </c>
      <c r="BA3738" s="1">
        <v>4</v>
      </c>
      <c r="BB3738" s="1">
        <v>0</v>
      </c>
      <c r="BC3738" s="1">
        <v>0</v>
      </c>
      <c r="BE3738" s="1">
        <v>27661870</v>
      </c>
    </row>
    <row r="3739" spans="1:57" x14ac:dyDescent="0.25">
      <c r="A3739" s="1" t="str">
        <f>T("1949541038226610464")</f>
        <v>1949541038226610464</v>
      </c>
      <c r="B3739" s="1" t="str">
        <f>T("249962893150")</f>
        <v>249962893150</v>
      </c>
      <c r="C3739" s="1" t="str">
        <f>T("1941094533282402016")</f>
        <v>1941094533282402016</v>
      </c>
      <c r="AC3739" s="1" t="s">
        <v>344</v>
      </c>
      <c r="AD3739" s="1" t="s">
        <v>441</v>
      </c>
      <c r="AE3739" s="1" t="s">
        <v>530</v>
      </c>
      <c r="AF3739" s="1" t="s">
        <v>107</v>
      </c>
      <c r="AG3739" s="1">
        <v>40</v>
      </c>
      <c r="AO3739" s="2">
        <v>46288</v>
      </c>
      <c r="AP3739" s="1" t="s">
        <v>226</v>
      </c>
      <c r="AS3739" s="1" t="s">
        <v>71</v>
      </c>
      <c r="AU3739" s="1" t="s">
        <v>72</v>
      </c>
      <c r="AV3739" s="1" t="s">
        <v>73</v>
      </c>
      <c r="AX3739" s="1">
        <v>0</v>
      </c>
      <c r="BA3739" s="1">
        <v>9</v>
      </c>
      <c r="BB3739" s="1">
        <v>0</v>
      </c>
      <c r="BC3739" s="1">
        <v>0</v>
      </c>
      <c r="BE3739" s="1">
        <v>27661870</v>
      </c>
    </row>
    <row r="3740" spans="1:57" x14ac:dyDescent="0.25">
      <c r="A3740" s="1" t="str">
        <f>T("1949541038234997080")</f>
        <v>1949541038234997080</v>
      </c>
      <c r="B3740" s="1" t="str">
        <f>T("249918575254")</f>
        <v>249918575254</v>
      </c>
      <c r="C3740" s="1" t="str">
        <f>T("1941094533282401516")</f>
        <v>1941094533282401516</v>
      </c>
      <c r="AC3740" s="1" t="s">
        <v>344</v>
      </c>
      <c r="AD3740" s="1" t="s">
        <v>372</v>
      </c>
      <c r="AE3740" s="1" t="s">
        <v>820</v>
      </c>
      <c r="AF3740" s="1" t="s">
        <v>144</v>
      </c>
      <c r="AG3740" s="1">
        <v>22</v>
      </c>
      <c r="AO3740" s="2">
        <v>46288</v>
      </c>
      <c r="AP3740" s="1" t="s">
        <v>226</v>
      </c>
      <c r="AS3740" s="1" t="s">
        <v>71</v>
      </c>
      <c r="AU3740" s="1" t="s">
        <v>72</v>
      </c>
      <c r="AV3740" s="1" t="s">
        <v>126</v>
      </c>
      <c r="AX3740" s="1">
        <v>0</v>
      </c>
      <c r="BA3740" s="1">
        <v>9</v>
      </c>
      <c r="BB3740" s="1">
        <v>0</v>
      </c>
      <c r="BC3740" s="1">
        <v>0</v>
      </c>
      <c r="BE3740" s="1">
        <v>27661870</v>
      </c>
    </row>
    <row r="3741" spans="1:57" x14ac:dyDescent="0.25">
      <c r="A3741" s="1" t="str">
        <f>T("1949541038260165328")</f>
        <v>1949541038260165328</v>
      </c>
      <c r="B3741" s="1" t="str">
        <f>T("249968001018")</f>
        <v>249968001018</v>
      </c>
      <c r="C3741" s="1" t="str">
        <f>T("1941094533286592624")</f>
        <v>1941094533286592624</v>
      </c>
      <c r="AC3741" s="1" t="s">
        <v>344</v>
      </c>
      <c r="AD3741" s="1" t="s">
        <v>441</v>
      </c>
      <c r="AE3741" s="1" t="s">
        <v>530</v>
      </c>
      <c r="AF3741" s="1" t="s">
        <v>107</v>
      </c>
      <c r="AG3741" s="1">
        <v>50</v>
      </c>
      <c r="AO3741" s="2">
        <v>46288</v>
      </c>
      <c r="AP3741" s="1" t="s">
        <v>226</v>
      </c>
      <c r="AS3741" s="1" t="s">
        <v>71</v>
      </c>
      <c r="AU3741" s="1" t="s">
        <v>72</v>
      </c>
      <c r="AV3741" s="1" t="s">
        <v>437</v>
      </c>
      <c r="AX3741" s="1">
        <v>0</v>
      </c>
      <c r="BA3741" s="1">
        <v>9</v>
      </c>
      <c r="BB3741" s="1">
        <v>0</v>
      </c>
      <c r="BC3741" s="1">
        <v>0</v>
      </c>
      <c r="BE3741" s="1">
        <v>27661870</v>
      </c>
    </row>
    <row r="3742" spans="1:57" x14ac:dyDescent="0.25">
      <c r="A3742" s="1" t="str">
        <f>T("1949541038444713880")</f>
        <v>1949541038444713880</v>
      </c>
      <c r="B3742" s="1" t="str">
        <f>T("249965929499")</f>
        <v>249965929499</v>
      </c>
      <c r="C3742" s="1" t="str">
        <f>T("1941094533286593024")</f>
        <v>1941094533286593024</v>
      </c>
      <c r="AC3742" s="1" t="s">
        <v>344</v>
      </c>
      <c r="AD3742" s="1" t="s">
        <v>441</v>
      </c>
      <c r="AE3742" s="1" t="s">
        <v>530</v>
      </c>
      <c r="AF3742" s="1" t="s">
        <v>144</v>
      </c>
      <c r="AG3742" s="1">
        <v>40</v>
      </c>
      <c r="AO3742" s="2">
        <v>46288</v>
      </c>
      <c r="AP3742" s="1" t="s">
        <v>226</v>
      </c>
      <c r="AS3742" s="1" t="s">
        <v>71</v>
      </c>
      <c r="AU3742" s="1" t="s">
        <v>72</v>
      </c>
      <c r="AV3742" s="1" t="s">
        <v>73</v>
      </c>
      <c r="AX3742" s="1">
        <v>0</v>
      </c>
      <c r="BA3742" s="1">
        <v>9</v>
      </c>
      <c r="BB3742" s="1">
        <v>0</v>
      </c>
      <c r="BC3742" s="1">
        <v>0</v>
      </c>
      <c r="BE3742" s="1">
        <v>27661870</v>
      </c>
    </row>
    <row r="3743" spans="1:57" x14ac:dyDescent="0.25">
      <c r="A3743" s="1" t="str">
        <f>T("1949541038457298504")</f>
        <v>1949541038457298504</v>
      </c>
      <c r="B3743" s="1" t="str">
        <f>T("249904277470")</f>
        <v>249904277470</v>
      </c>
      <c r="C3743" s="1" t="str">
        <f>T("1941094533286593324")</f>
        <v>1941094533286593324</v>
      </c>
      <c r="AC3743" s="1" t="s">
        <v>344</v>
      </c>
      <c r="AD3743" s="1" t="s">
        <v>430</v>
      </c>
      <c r="AE3743" s="1" t="s">
        <v>530</v>
      </c>
      <c r="AF3743" s="1" t="s">
        <v>107</v>
      </c>
      <c r="AG3743" s="1">
        <v>54</v>
      </c>
      <c r="AO3743" s="2">
        <v>46288</v>
      </c>
      <c r="AP3743" s="1" t="s">
        <v>226</v>
      </c>
      <c r="AS3743" s="1" t="s">
        <v>71</v>
      </c>
      <c r="AU3743" s="1" t="s">
        <v>72</v>
      </c>
      <c r="AV3743" s="1" t="s">
        <v>126</v>
      </c>
      <c r="AX3743" s="1">
        <v>0</v>
      </c>
      <c r="BA3743" s="1">
        <v>9</v>
      </c>
      <c r="BB3743" s="1">
        <v>0</v>
      </c>
      <c r="BC3743" s="1">
        <v>0</v>
      </c>
      <c r="BE3743" s="1">
        <v>27661870</v>
      </c>
    </row>
    <row r="3744" spans="1:57" x14ac:dyDescent="0.25">
      <c r="A3744" s="1" t="str">
        <f>T("1949541038759287480")</f>
        <v>1949541038759287480</v>
      </c>
      <c r="B3744" s="1" t="str">
        <f>T("249906739102")</f>
        <v>249906739102</v>
      </c>
      <c r="C3744" s="1" t="str">
        <f>T("1941094533286593724")</f>
        <v>1941094533286593724</v>
      </c>
      <c r="AC3744" s="1" t="s">
        <v>344</v>
      </c>
      <c r="AD3744" s="1" t="s">
        <v>441</v>
      </c>
      <c r="AE3744" s="1" t="s">
        <v>530</v>
      </c>
      <c r="AF3744" s="1" t="s">
        <v>107</v>
      </c>
      <c r="AG3744" s="1">
        <v>47</v>
      </c>
      <c r="AO3744" s="2">
        <v>46288</v>
      </c>
      <c r="AP3744" s="1" t="s">
        <v>226</v>
      </c>
      <c r="AS3744" s="1" t="s">
        <v>71</v>
      </c>
      <c r="AU3744" s="1" t="s">
        <v>72</v>
      </c>
      <c r="AV3744" s="1" t="s">
        <v>437</v>
      </c>
      <c r="AX3744" s="1">
        <v>0</v>
      </c>
      <c r="BA3744" s="1">
        <v>9</v>
      </c>
      <c r="BB3744" s="1">
        <v>0</v>
      </c>
      <c r="BC3744" s="1">
        <v>0</v>
      </c>
      <c r="BE3744" s="1">
        <v>27661870</v>
      </c>
    </row>
    <row r="3745" spans="1:57" x14ac:dyDescent="0.25">
      <c r="A3745" s="1" t="str">
        <f>T("1949541038818006092")</f>
        <v>1949541038818006092</v>
      </c>
      <c r="B3745" s="1" t="str">
        <f>T("249903016617")</f>
        <v>249903016617</v>
      </c>
      <c r="C3745" s="1" t="str">
        <f>T("1941094533286594024")</f>
        <v>1941094533286594024</v>
      </c>
      <c r="AC3745" s="1" t="s">
        <v>344</v>
      </c>
      <c r="AD3745" s="1" t="s">
        <v>441</v>
      </c>
      <c r="AE3745" s="1" t="s">
        <v>530</v>
      </c>
      <c r="AF3745" s="1" t="s">
        <v>107</v>
      </c>
      <c r="AG3745" s="1">
        <v>35</v>
      </c>
      <c r="AO3745" s="2">
        <v>46288</v>
      </c>
      <c r="AP3745" s="1" t="s">
        <v>226</v>
      </c>
      <c r="AS3745" s="1" t="s">
        <v>71</v>
      </c>
      <c r="AU3745" s="1" t="s">
        <v>72</v>
      </c>
      <c r="AV3745" s="1" t="s">
        <v>437</v>
      </c>
      <c r="AX3745" s="1">
        <v>0</v>
      </c>
      <c r="BA3745" s="1">
        <v>9</v>
      </c>
      <c r="BB3745" s="1">
        <v>0</v>
      </c>
      <c r="BC3745" s="1">
        <v>0</v>
      </c>
      <c r="BE3745" s="1">
        <v>27661870</v>
      </c>
    </row>
    <row r="3746" spans="1:57" x14ac:dyDescent="0.25">
      <c r="A3746" s="1" t="str">
        <f>T("1949541038927058001")</f>
        <v>1949541038927058001</v>
      </c>
      <c r="B3746" s="1" t="str">
        <f>T("249916249679")</f>
        <v>249916249679</v>
      </c>
      <c r="C3746" s="1" t="str">
        <f>T("1941094533286594524")</f>
        <v>1941094533286594524</v>
      </c>
      <c r="AC3746" s="1" t="s">
        <v>344</v>
      </c>
      <c r="AD3746" s="1" t="s">
        <v>430</v>
      </c>
      <c r="AE3746" s="1" t="s">
        <v>530</v>
      </c>
      <c r="AF3746" s="1" t="s">
        <v>144</v>
      </c>
      <c r="AG3746" s="1">
        <v>48</v>
      </c>
      <c r="AO3746" s="2">
        <v>46288</v>
      </c>
      <c r="AP3746" s="1" t="s">
        <v>226</v>
      </c>
      <c r="AS3746" s="1" t="s">
        <v>71</v>
      </c>
      <c r="AU3746" s="1" t="s">
        <v>72</v>
      </c>
      <c r="AV3746" s="1" t="s">
        <v>73</v>
      </c>
      <c r="AX3746" s="1">
        <v>0</v>
      </c>
      <c r="BA3746" s="1">
        <v>9</v>
      </c>
      <c r="BB3746" s="1">
        <v>0</v>
      </c>
      <c r="BC3746" s="1">
        <v>0</v>
      </c>
      <c r="BE3746" s="1">
        <v>27661870</v>
      </c>
    </row>
    <row r="3747" spans="1:57" x14ac:dyDescent="0.25">
      <c r="A3747" s="1" t="str">
        <f>T("1949541038989973120")</f>
        <v>1949541038989973120</v>
      </c>
      <c r="B3747" s="1" t="str">
        <f>T("249913900708")</f>
        <v>249913900708</v>
      </c>
      <c r="C3747" s="1" t="str">
        <f>T("1941094533290787432")</f>
        <v>1941094533290787432</v>
      </c>
      <c r="AC3747" s="1" t="s">
        <v>344</v>
      </c>
      <c r="AD3747" s="1" t="s">
        <v>372</v>
      </c>
      <c r="AE3747" s="1" t="s">
        <v>373</v>
      </c>
      <c r="AF3747" s="1" t="s">
        <v>107</v>
      </c>
      <c r="AG3747" s="1">
        <v>64</v>
      </c>
      <c r="AO3747" s="2">
        <v>46288</v>
      </c>
      <c r="AP3747" s="1" t="s">
        <v>226</v>
      </c>
      <c r="AS3747" s="1" t="s">
        <v>71</v>
      </c>
      <c r="AU3747" s="1" t="s">
        <v>72</v>
      </c>
      <c r="AV3747" s="1" t="s">
        <v>437</v>
      </c>
      <c r="AX3747" s="1">
        <v>0</v>
      </c>
      <c r="BA3747" s="1">
        <v>9</v>
      </c>
      <c r="BB3747" s="1">
        <v>0</v>
      </c>
      <c r="BC3747" s="1">
        <v>0</v>
      </c>
      <c r="BE3747" s="1">
        <v>27661870</v>
      </c>
    </row>
    <row r="3748" spans="1:57" x14ac:dyDescent="0.25">
      <c r="A3748" s="1" t="str">
        <f>T("1949541039124193076")</f>
        <v>1949541039124193076</v>
      </c>
      <c r="B3748" s="1" t="str">
        <f>T("249966859810")</f>
        <v>249966859810</v>
      </c>
      <c r="C3748" s="1" t="str">
        <f>T("1941094533290787932")</f>
        <v>1941094533290787932</v>
      </c>
      <c r="AC3748" s="1" t="s">
        <v>344</v>
      </c>
      <c r="AD3748" s="1" t="s">
        <v>372</v>
      </c>
      <c r="AE3748" s="1" t="s">
        <v>815</v>
      </c>
      <c r="AF3748" s="1" t="s">
        <v>144</v>
      </c>
      <c r="AG3748" s="1">
        <v>45</v>
      </c>
      <c r="AO3748" s="2">
        <v>46288</v>
      </c>
      <c r="AP3748" s="1" t="s">
        <v>226</v>
      </c>
      <c r="AS3748" s="1" t="s">
        <v>71</v>
      </c>
      <c r="AU3748" s="1" t="s">
        <v>72</v>
      </c>
      <c r="AV3748" s="1" t="s">
        <v>73</v>
      </c>
      <c r="AX3748" s="1">
        <v>0</v>
      </c>
      <c r="BA3748" s="1">
        <v>9</v>
      </c>
      <c r="BB3748" s="1">
        <v>0</v>
      </c>
      <c r="BC3748" s="1">
        <v>0</v>
      </c>
      <c r="BE3748" s="1">
        <v>27661870</v>
      </c>
    </row>
    <row r="3749" spans="1:57" x14ac:dyDescent="0.25">
      <c r="A3749" s="1" t="str">
        <f>T("1949541039195494812")</f>
        <v>1949541039195494812</v>
      </c>
      <c r="B3749" s="1" t="str">
        <f>T("249913554386")</f>
        <v>249913554386</v>
      </c>
      <c r="C3749" s="1" t="str">
        <f>T("1941094533290788432")</f>
        <v>1941094533290788432</v>
      </c>
      <c r="AC3749" s="1" t="s">
        <v>344</v>
      </c>
      <c r="AD3749" s="1" t="s">
        <v>430</v>
      </c>
      <c r="AE3749" s="1" t="s">
        <v>530</v>
      </c>
      <c r="AF3749" s="1" t="s">
        <v>107</v>
      </c>
      <c r="AG3749" s="1">
        <v>75</v>
      </c>
      <c r="AO3749" s="2">
        <v>46288</v>
      </c>
      <c r="AP3749" s="1" t="s">
        <v>226</v>
      </c>
      <c r="AS3749" s="1" t="s">
        <v>71</v>
      </c>
      <c r="AU3749" s="1" t="s">
        <v>72</v>
      </c>
      <c r="AV3749" s="1" t="s">
        <v>126</v>
      </c>
      <c r="AX3749" s="1">
        <v>0</v>
      </c>
      <c r="BA3749" s="1">
        <v>9</v>
      </c>
      <c r="BB3749" s="1">
        <v>0</v>
      </c>
      <c r="BC3749" s="1">
        <v>0</v>
      </c>
      <c r="BE3749" s="1">
        <v>27661870</v>
      </c>
    </row>
    <row r="3750" spans="1:57" x14ac:dyDescent="0.25">
      <c r="A3750" s="1" t="str">
        <f>T("1949541039275185464")</f>
        <v>1949541039275185464</v>
      </c>
      <c r="B3750" s="1" t="str">
        <f>T("249919719088")</f>
        <v>249919719088</v>
      </c>
      <c r="C3750" s="1" t="str">
        <f>T("1941094533290788832")</f>
        <v>1941094533290788832</v>
      </c>
      <c r="AC3750" s="1" t="s">
        <v>344</v>
      </c>
      <c r="AD3750" s="1" t="s">
        <v>372</v>
      </c>
      <c r="AE3750" s="1" t="s">
        <v>813</v>
      </c>
      <c r="AF3750" s="1" t="s">
        <v>144</v>
      </c>
      <c r="AG3750" s="1">
        <v>30</v>
      </c>
      <c r="AO3750" s="2">
        <v>46288</v>
      </c>
      <c r="AP3750" s="1" t="s">
        <v>226</v>
      </c>
      <c r="AS3750" s="1" t="s">
        <v>71</v>
      </c>
      <c r="AU3750" s="1" t="s">
        <v>72</v>
      </c>
      <c r="AV3750" s="1" t="s">
        <v>437</v>
      </c>
      <c r="AX3750" s="1">
        <v>0</v>
      </c>
      <c r="BA3750" s="1">
        <v>9</v>
      </c>
      <c r="BB3750" s="1">
        <v>0</v>
      </c>
      <c r="BC3750" s="1">
        <v>0</v>
      </c>
      <c r="BE3750" s="1">
        <v>27661870</v>
      </c>
    </row>
    <row r="3751" spans="1:57" x14ac:dyDescent="0.25">
      <c r="A3751" s="1" t="str">
        <f>T("1949541039455542508")</f>
        <v>1949541039455542508</v>
      </c>
      <c r="B3751" s="1" t="str">
        <f>T("249915066747")</f>
        <v>249915066747</v>
      </c>
      <c r="C3751" s="1" t="str">
        <f>T("1941094533294982440")</f>
        <v>1941094533294982440</v>
      </c>
      <c r="AC3751" s="1" t="s">
        <v>344</v>
      </c>
      <c r="AD3751" s="1" t="s">
        <v>372</v>
      </c>
      <c r="AE3751" s="1" t="s">
        <v>818</v>
      </c>
      <c r="AF3751" s="1" t="s">
        <v>107</v>
      </c>
      <c r="AG3751" s="1">
        <v>70</v>
      </c>
      <c r="AO3751" s="2">
        <v>46288</v>
      </c>
      <c r="AP3751" s="1" t="s">
        <v>226</v>
      </c>
      <c r="AS3751" s="1" t="s">
        <v>71</v>
      </c>
      <c r="AU3751" s="1" t="s">
        <v>72</v>
      </c>
      <c r="AV3751" s="1" t="s">
        <v>73</v>
      </c>
      <c r="AX3751" s="1">
        <v>0</v>
      </c>
      <c r="BA3751" s="1">
        <v>9</v>
      </c>
      <c r="BB3751" s="1">
        <v>0</v>
      </c>
      <c r="BC3751" s="1">
        <v>0</v>
      </c>
      <c r="BE3751" s="1">
        <v>27661870</v>
      </c>
    </row>
    <row r="3752" spans="1:57" x14ac:dyDescent="0.25">
      <c r="A3752" s="1" t="str">
        <f>T("1949541039518457328")</f>
        <v>1949541039518457328</v>
      </c>
      <c r="B3752" s="1" t="str">
        <f>T("249919437023")</f>
        <v>249919437023</v>
      </c>
      <c r="C3752" s="1" t="str">
        <f>T("1941094533294982940")</f>
        <v>1941094533294982940</v>
      </c>
      <c r="AC3752" s="1" t="s">
        <v>344</v>
      </c>
      <c r="AD3752" s="1" t="s">
        <v>430</v>
      </c>
      <c r="AE3752" s="1" t="s">
        <v>530</v>
      </c>
      <c r="AF3752" s="1" t="s">
        <v>144</v>
      </c>
      <c r="AG3752" s="1">
        <v>61</v>
      </c>
      <c r="AO3752" s="2">
        <v>46288</v>
      </c>
      <c r="AP3752" s="1" t="s">
        <v>226</v>
      </c>
      <c r="AS3752" s="1" t="s">
        <v>71</v>
      </c>
      <c r="AU3752" s="1" t="s">
        <v>72</v>
      </c>
      <c r="AV3752" s="1" t="s">
        <v>73</v>
      </c>
      <c r="AX3752" s="1">
        <v>0</v>
      </c>
      <c r="BA3752" s="1">
        <v>9</v>
      </c>
      <c r="BB3752" s="1">
        <v>0</v>
      </c>
      <c r="BC3752" s="1">
        <v>0</v>
      </c>
      <c r="BE3752" s="1">
        <v>27661870</v>
      </c>
    </row>
    <row r="3753" spans="1:57" x14ac:dyDescent="0.25">
      <c r="A3753" s="1" t="str">
        <f>T("1949541039577174640")</f>
        <v>1949541039577174640</v>
      </c>
      <c r="B3753" s="1" t="str">
        <f>T("249910092964")</f>
        <v>249910092964</v>
      </c>
      <c r="C3753" s="1" t="str">
        <f>T("1941094533294983440")</f>
        <v>1941094533294983440</v>
      </c>
      <c r="AC3753" s="1" t="s">
        <v>344</v>
      </c>
      <c r="AD3753" s="1" t="s">
        <v>372</v>
      </c>
      <c r="AE3753" s="1" t="s">
        <v>827</v>
      </c>
      <c r="AF3753" s="1" t="s">
        <v>107</v>
      </c>
      <c r="AG3753" s="1">
        <v>50</v>
      </c>
      <c r="AO3753" s="2">
        <v>46288</v>
      </c>
      <c r="AP3753" s="1" t="s">
        <v>226</v>
      </c>
      <c r="AS3753" s="1" t="s">
        <v>71</v>
      </c>
      <c r="AU3753" s="1" t="s">
        <v>72</v>
      </c>
      <c r="AV3753" s="1" t="s">
        <v>73</v>
      </c>
      <c r="AX3753" s="1">
        <v>0</v>
      </c>
      <c r="BA3753" s="1">
        <v>9</v>
      </c>
      <c r="BB3753" s="1">
        <v>0</v>
      </c>
      <c r="BC3753" s="1">
        <v>0</v>
      </c>
      <c r="BE3753" s="1">
        <v>27661870</v>
      </c>
    </row>
    <row r="3754" spans="1:57" x14ac:dyDescent="0.25">
      <c r="A3754" s="1" t="str">
        <f>T("1949541039640090960")</f>
        <v>1949541039640090960</v>
      </c>
      <c r="B3754" s="1" t="str">
        <f>T("249919054207")</f>
        <v>249919054207</v>
      </c>
      <c r="C3754" s="1" t="str">
        <f>T("1941094533294983840")</f>
        <v>1941094533294983840</v>
      </c>
      <c r="AC3754" s="1" t="s">
        <v>344</v>
      </c>
      <c r="AD3754" s="1" t="s">
        <v>372</v>
      </c>
      <c r="AE3754" s="1" t="s">
        <v>814</v>
      </c>
      <c r="AF3754" s="1" t="s">
        <v>107</v>
      </c>
      <c r="AG3754" s="1">
        <v>45</v>
      </c>
      <c r="AO3754" s="2">
        <v>46288</v>
      </c>
      <c r="AP3754" s="1" t="s">
        <v>226</v>
      </c>
      <c r="AS3754" s="1" t="s">
        <v>71</v>
      </c>
      <c r="AU3754" s="1" t="s">
        <v>72</v>
      </c>
      <c r="AV3754" s="1" t="s">
        <v>126</v>
      </c>
      <c r="AX3754" s="1">
        <v>0</v>
      </c>
      <c r="BA3754" s="1">
        <v>9</v>
      </c>
      <c r="BB3754" s="1">
        <v>0</v>
      </c>
      <c r="BC3754" s="1">
        <v>0</v>
      </c>
      <c r="BE3754" s="1">
        <v>27661870</v>
      </c>
    </row>
    <row r="3755" spans="1:57" x14ac:dyDescent="0.25">
      <c r="A3755" s="1" t="str">
        <f>T("1949541039753338176")</f>
        <v>1949541039753338176</v>
      </c>
      <c r="B3755" s="1" t="str">
        <f>T("249963015472")</f>
        <v>249963015472</v>
      </c>
      <c r="C3755" s="1" t="str">
        <f>T("1941094533294984340")</f>
        <v>1941094533294984340</v>
      </c>
      <c r="AC3755" s="1" t="s">
        <v>344</v>
      </c>
      <c r="AD3755" s="1" t="s">
        <v>430</v>
      </c>
      <c r="AE3755" s="1" t="s">
        <v>530</v>
      </c>
      <c r="AF3755" s="1" t="s">
        <v>144</v>
      </c>
      <c r="AG3755" s="1">
        <v>21</v>
      </c>
      <c r="AO3755" s="2">
        <v>46288</v>
      </c>
      <c r="AP3755" s="1" t="s">
        <v>226</v>
      </c>
      <c r="AS3755" s="1" t="s">
        <v>71</v>
      </c>
      <c r="AU3755" s="1" t="s">
        <v>72</v>
      </c>
      <c r="AV3755" s="1" t="s">
        <v>437</v>
      </c>
      <c r="AX3755" s="1">
        <v>0</v>
      </c>
      <c r="BA3755" s="1">
        <v>9</v>
      </c>
      <c r="BB3755" s="1">
        <v>0</v>
      </c>
      <c r="BC3755" s="1">
        <v>0</v>
      </c>
      <c r="BE3755" s="1">
        <v>27661870</v>
      </c>
    </row>
    <row r="3756" spans="1:57" x14ac:dyDescent="0.25">
      <c r="A3756" s="1" t="str">
        <f>T("1949541039807860780")</f>
        <v>1949541039807860780</v>
      </c>
      <c r="B3756" s="1" t="str">
        <f>T("249918129562")</f>
        <v>249918129562</v>
      </c>
      <c r="C3756" s="1" t="str">
        <f>T("1941094533294984840")</f>
        <v>1941094533294984840</v>
      </c>
      <c r="AC3756" s="1" t="s">
        <v>344</v>
      </c>
      <c r="AD3756" s="1" t="s">
        <v>372</v>
      </c>
      <c r="AE3756" s="1" t="s">
        <v>820</v>
      </c>
      <c r="AF3756" s="1" t="s">
        <v>107</v>
      </c>
      <c r="AG3756" s="1">
        <v>24</v>
      </c>
      <c r="AO3756" s="2">
        <v>46288</v>
      </c>
      <c r="AP3756" s="1" t="s">
        <v>226</v>
      </c>
      <c r="AS3756" s="1" t="s">
        <v>71</v>
      </c>
      <c r="AU3756" s="1" t="s">
        <v>72</v>
      </c>
      <c r="AV3756" s="1" t="s">
        <v>126</v>
      </c>
      <c r="AX3756" s="1">
        <v>0</v>
      </c>
      <c r="BA3756" s="1">
        <v>9</v>
      </c>
      <c r="BB3756" s="1">
        <v>0</v>
      </c>
      <c r="BC3756" s="1">
        <v>0</v>
      </c>
      <c r="BE3756" s="1">
        <v>27661870</v>
      </c>
    </row>
    <row r="3757" spans="1:57" x14ac:dyDescent="0.25">
      <c r="A3757" s="1" t="str">
        <f>T("1949541039916916088")</f>
        <v>1949541039916916088</v>
      </c>
      <c r="B3757" s="1" t="str">
        <f>T("249125264075")</f>
        <v>249125264075</v>
      </c>
      <c r="C3757" s="1" t="str">
        <f>T("1941094533299175648")</f>
        <v>1941094533299175648</v>
      </c>
      <c r="AA3757" s="1">
        <v>1</v>
      </c>
      <c r="AC3757" s="1" t="s">
        <v>344</v>
      </c>
      <c r="AD3757" s="1" t="s">
        <v>372</v>
      </c>
      <c r="AE3757" s="1" t="s">
        <v>820</v>
      </c>
      <c r="AF3757" s="1" t="s">
        <v>107</v>
      </c>
      <c r="AG3757" s="1">
        <v>38</v>
      </c>
      <c r="AO3757" s="2">
        <v>46288</v>
      </c>
      <c r="AP3757" s="1" t="s">
        <v>226</v>
      </c>
      <c r="AQ3757" s="2">
        <v>46289</v>
      </c>
      <c r="AR3757" s="1" t="s">
        <v>576</v>
      </c>
      <c r="AS3757" s="1" t="s">
        <v>71</v>
      </c>
      <c r="AU3757" s="1" t="s">
        <v>79</v>
      </c>
      <c r="AV3757" s="1" t="s">
        <v>80</v>
      </c>
      <c r="AW3757" s="1">
        <v>45.68</v>
      </c>
      <c r="AX3757" s="1">
        <v>0</v>
      </c>
      <c r="AZ3757" s="1" t="s">
        <v>81</v>
      </c>
      <c r="BA3757" s="1">
        <v>4</v>
      </c>
      <c r="BB3757" s="1">
        <v>0</v>
      </c>
      <c r="BC3757" s="1">
        <v>0</v>
      </c>
      <c r="BE3757" s="1">
        <v>27661870</v>
      </c>
    </row>
    <row r="3758" spans="1:57" x14ac:dyDescent="0.25">
      <c r="A3758" s="1" t="str">
        <f>T("1949541039954663060")</f>
        <v>1949541039954663060</v>
      </c>
      <c r="B3758" s="1" t="str">
        <f>T("249919925789")</f>
        <v>249919925789</v>
      </c>
      <c r="C3758" s="1" t="str">
        <f>T("1941094533299176048")</f>
        <v>1941094533299176048</v>
      </c>
      <c r="AC3758" s="1" t="s">
        <v>344</v>
      </c>
      <c r="AD3758" s="1" t="s">
        <v>441</v>
      </c>
      <c r="AE3758" s="1" t="s">
        <v>530</v>
      </c>
      <c r="AF3758" s="1" t="s">
        <v>107</v>
      </c>
      <c r="AG3758" s="1">
        <v>76</v>
      </c>
      <c r="AO3758" s="2">
        <v>46288</v>
      </c>
      <c r="AP3758" s="1" t="s">
        <v>226</v>
      </c>
      <c r="AS3758" s="1" t="s">
        <v>71</v>
      </c>
      <c r="AU3758" s="1" t="s">
        <v>72</v>
      </c>
      <c r="AV3758" s="1" t="s">
        <v>126</v>
      </c>
      <c r="AX3758" s="1">
        <v>0</v>
      </c>
      <c r="BA3758" s="1">
        <v>9</v>
      </c>
      <c r="BB3758" s="1">
        <v>0</v>
      </c>
      <c r="BC3758" s="1">
        <v>0</v>
      </c>
      <c r="BE3758" s="1">
        <v>27661870</v>
      </c>
    </row>
    <row r="3759" spans="1:57" x14ac:dyDescent="0.25">
      <c r="A3759" s="1" t="str">
        <f>T("1949541040306983232")</f>
        <v>1949541040306983232</v>
      </c>
      <c r="B3759" s="1" t="str">
        <f>T("249918580296")</f>
        <v>249918580296</v>
      </c>
      <c r="C3759" s="1" t="str">
        <f>T("1941094533299176548")</f>
        <v>1941094533299176548</v>
      </c>
      <c r="AC3759" s="1" t="s">
        <v>344</v>
      </c>
      <c r="AD3759" s="1" t="s">
        <v>441</v>
      </c>
      <c r="AE3759" s="1" t="s">
        <v>530</v>
      </c>
      <c r="AF3759" s="1" t="s">
        <v>107</v>
      </c>
      <c r="AG3759" s="1">
        <v>30</v>
      </c>
      <c r="AO3759" s="2">
        <v>46288</v>
      </c>
      <c r="AP3759" s="1" t="s">
        <v>226</v>
      </c>
      <c r="AS3759" s="1" t="s">
        <v>71</v>
      </c>
      <c r="AU3759" s="1" t="s">
        <v>72</v>
      </c>
      <c r="AV3759" s="1" t="s">
        <v>437</v>
      </c>
      <c r="AX3759" s="1">
        <v>0</v>
      </c>
      <c r="BA3759" s="1">
        <v>9</v>
      </c>
      <c r="BB3759" s="1">
        <v>0</v>
      </c>
      <c r="BC3759" s="1">
        <v>0</v>
      </c>
      <c r="BE3759" s="1">
        <v>27661870</v>
      </c>
    </row>
    <row r="3760" spans="1:57" x14ac:dyDescent="0.25">
      <c r="A3760" s="1" t="str">
        <f>T("1949541040789329252")</f>
        <v>1949541040789329252</v>
      </c>
      <c r="B3760" s="1" t="str">
        <f>T("249996296116")</f>
        <v>249996296116</v>
      </c>
      <c r="C3760" s="1" t="str">
        <f>T("1941094533299177148")</f>
        <v>1941094533299177148</v>
      </c>
      <c r="AC3760" s="1" t="s">
        <v>344</v>
      </c>
      <c r="AD3760" s="1" t="s">
        <v>430</v>
      </c>
      <c r="AE3760" s="1" t="s">
        <v>530</v>
      </c>
      <c r="AF3760" s="1" t="s">
        <v>144</v>
      </c>
      <c r="AG3760" s="1">
        <v>50</v>
      </c>
      <c r="AO3760" s="2">
        <v>46288</v>
      </c>
      <c r="AP3760" s="1" t="s">
        <v>226</v>
      </c>
      <c r="AS3760" s="1" t="s">
        <v>71</v>
      </c>
      <c r="AU3760" s="1" t="s">
        <v>72</v>
      </c>
      <c r="AV3760" s="1" t="s">
        <v>73</v>
      </c>
      <c r="AX3760" s="1">
        <v>0</v>
      </c>
      <c r="BA3760" s="1">
        <v>9</v>
      </c>
      <c r="BB3760" s="1">
        <v>0</v>
      </c>
      <c r="BC3760" s="1">
        <v>0</v>
      </c>
      <c r="BE3760" s="1">
        <v>27661870</v>
      </c>
    </row>
    <row r="3761" spans="1:57" x14ac:dyDescent="0.25">
      <c r="A3761" s="1" t="str">
        <f>T("1949541040793522560")</f>
        <v>1949541040793522560</v>
      </c>
      <c r="B3761" s="1" t="str">
        <f>T("249917906676")</f>
        <v>249917906676</v>
      </c>
      <c r="C3761" s="1" t="str">
        <f>T("1941094533299177548")</f>
        <v>1941094533299177548</v>
      </c>
      <c r="AC3761" s="1" t="s">
        <v>344</v>
      </c>
      <c r="AD3761" s="1" t="s">
        <v>441</v>
      </c>
      <c r="AE3761" s="1" t="s">
        <v>530</v>
      </c>
      <c r="AF3761" s="1" t="s">
        <v>144</v>
      </c>
      <c r="AG3761" s="1">
        <v>41</v>
      </c>
      <c r="AO3761" s="2">
        <v>46288</v>
      </c>
      <c r="AP3761" s="1" t="s">
        <v>226</v>
      </c>
      <c r="AS3761" s="1" t="s">
        <v>71</v>
      </c>
      <c r="AU3761" s="1" t="s">
        <v>72</v>
      </c>
      <c r="AV3761" s="1" t="s">
        <v>437</v>
      </c>
      <c r="AX3761" s="1">
        <v>0</v>
      </c>
      <c r="BA3761" s="1">
        <v>9</v>
      </c>
      <c r="BB3761" s="1">
        <v>0</v>
      </c>
      <c r="BC3761" s="1">
        <v>0</v>
      </c>
      <c r="BE3761" s="1">
        <v>27661870</v>
      </c>
    </row>
    <row r="3762" spans="1:57" x14ac:dyDescent="0.25">
      <c r="A3762" s="1" t="str">
        <f>T("1949541040965489888")</f>
        <v>1949541040965489888</v>
      </c>
      <c r="B3762" s="1" t="str">
        <f>T("249965389081")</f>
        <v>249965389081</v>
      </c>
      <c r="C3762" s="1" t="str">
        <f>T("1941094533299179348")</f>
        <v>1941094533299179348</v>
      </c>
      <c r="AC3762" s="1" t="s">
        <v>344</v>
      </c>
      <c r="AD3762" s="1" t="s">
        <v>441</v>
      </c>
      <c r="AE3762" s="1" t="s">
        <v>530</v>
      </c>
      <c r="AF3762" s="1" t="s">
        <v>144</v>
      </c>
      <c r="AG3762" s="1">
        <v>45</v>
      </c>
      <c r="AO3762" s="2">
        <v>46288</v>
      </c>
      <c r="AP3762" s="1" t="s">
        <v>226</v>
      </c>
      <c r="AS3762" s="1" t="s">
        <v>71</v>
      </c>
      <c r="AU3762" s="1" t="s">
        <v>72</v>
      </c>
      <c r="AV3762" s="1" t="s">
        <v>73</v>
      </c>
      <c r="AX3762" s="1">
        <v>0</v>
      </c>
      <c r="BA3762" s="1">
        <v>9</v>
      </c>
      <c r="BB3762" s="1">
        <v>0</v>
      </c>
      <c r="BC3762" s="1">
        <v>0</v>
      </c>
      <c r="BE3762" s="1">
        <v>27661870</v>
      </c>
    </row>
    <row r="3763" spans="1:57" x14ac:dyDescent="0.25">
      <c r="A3763" s="1" t="str">
        <f>T("1949541040973877304")</f>
        <v>1949541040973877304</v>
      </c>
      <c r="B3763" s="1" t="str">
        <f>T("249905843476")</f>
        <v>249905843476</v>
      </c>
      <c r="C3763" s="1" t="str">
        <f>T("1941094533299178448")</f>
        <v>1941094533299178448</v>
      </c>
      <c r="AC3763" s="1" t="s">
        <v>344</v>
      </c>
      <c r="AD3763" s="1" t="s">
        <v>441</v>
      </c>
      <c r="AE3763" s="1" t="s">
        <v>530</v>
      </c>
      <c r="AF3763" s="1" t="s">
        <v>144</v>
      </c>
      <c r="AG3763" s="1">
        <v>42</v>
      </c>
      <c r="AO3763" s="2">
        <v>46288</v>
      </c>
      <c r="AP3763" s="1" t="s">
        <v>226</v>
      </c>
      <c r="AS3763" s="1" t="s">
        <v>71</v>
      </c>
      <c r="AU3763" s="1" t="s">
        <v>72</v>
      </c>
      <c r="AV3763" s="1" t="s">
        <v>437</v>
      </c>
      <c r="AX3763" s="1">
        <v>0</v>
      </c>
      <c r="BA3763" s="1">
        <v>9</v>
      </c>
      <c r="BB3763" s="1">
        <v>0</v>
      </c>
      <c r="BC3763" s="1">
        <v>0</v>
      </c>
      <c r="BE3763" s="1">
        <v>27661870</v>
      </c>
    </row>
    <row r="3764" spans="1:57" x14ac:dyDescent="0.25">
      <c r="A3764" s="1" t="str">
        <f>T("1949541041049376948")</f>
        <v>1949541041049376948</v>
      </c>
      <c r="B3764" s="1" t="str">
        <f>T("249906131245")</f>
        <v>249906131245</v>
      </c>
      <c r="C3764" s="1" t="str">
        <f>T("1941094533303370056")</f>
        <v>1941094533303370056</v>
      </c>
      <c r="AC3764" s="1" t="s">
        <v>344</v>
      </c>
      <c r="AD3764" s="1" t="s">
        <v>441</v>
      </c>
      <c r="AE3764" s="1" t="s">
        <v>530</v>
      </c>
      <c r="AF3764" s="1" t="s">
        <v>144</v>
      </c>
      <c r="AG3764" s="1">
        <v>30</v>
      </c>
      <c r="AO3764" s="2">
        <v>46288</v>
      </c>
      <c r="AP3764" s="1" t="s">
        <v>226</v>
      </c>
      <c r="AS3764" s="1" t="s">
        <v>71</v>
      </c>
      <c r="AU3764" s="1" t="s">
        <v>72</v>
      </c>
      <c r="AV3764" s="1" t="s">
        <v>73</v>
      </c>
      <c r="AX3764" s="1">
        <v>0</v>
      </c>
      <c r="BA3764" s="1">
        <v>9</v>
      </c>
      <c r="BB3764" s="1">
        <v>0</v>
      </c>
      <c r="BC3764" s="1">
        <v>0</v>
      </c>
      <c r="BE3764" s="1">
        <v>27661870</v>
      </c>
    </row>
    <row r="3765" spans="1:57" x14ac:dyDescent="0.25">
      <c r="A3765" s="1" t="str">
        <f>T("1949541041074540896")</f>
        <v>1949541041074540896</v>
      </c>
      <c r="B3765" s="1" t="str">
        <f>T("249967426072")</f>
        <v>249967426072</v>
      </c>
      <c r="C3765" s="1" t="str">
        <f>T("1941094533303370456")</f>
        <v>1941094533303370456</v>
      </c>
      <c r="AC3765" s="1" t="s">
        <v>344</v>
      </c>
      <c r="AD3765" s="1" t="s">
        <v>430</v>
      </c>
      <c r="AE3765" s="1" t="s">
        <v>530</v>
      </c>
      <c r="AF3765" s="1" t="s">
        <v>107</v>
      </c>
      <c r="AG3765" s="1">
        <v>25</v>
      </c>
      <c r="AO3765" s="2">
        <v>46288</v>
      </c>
      <c r="AP3765" s="1" t="s">
        <v>226</v>
      </c>
      <c r="AS3765" s="1" t="s">
        <v>71</v>
      </c>
      <c r="AU3765" s="1" t="s">
        <v>72</v>
      </c>
      <c r="AV3765" s="1" t="s">
        <v>73</v>
      </c>
      <c r="AX3765" s="1">
        <v>0</v>
      </c>
      <c r="BA3765" s="1">
        <v>9</v>
      </c>
      <c r="BB3765" s="1">
        <v>0</v>
      </c>
      <c r="BC3765" s="1">
        <v>0</v>
      </c>
      <c r="BE3765" s="1">
        <v>27661870</v>
      </c>
    </row>
    <row r="3766" spans="1:57" x14ac:dyDescent="0.25">
      <c r="A3766" s="1" t="str">
        <f>T("1949541041288451604")</f>
        <v>1949541041288451604</v>
      </c>
      <c r="B3766" s="1" t="str">
        <f>T("249917904969")</f>
        <v>249917904969</v>
      </c>
      <c r="C3766" s="1" t="str">
        <f>T("1941094533303371056")</f>
        <v>1941094533303371056</v>
      </c>
      <c r="AC3766" s="1" t="s">
        <v>344</v>
      </c>
      <c r="AD3766" s="1" t="s">
        <v>372</v>
      </c>
      <c r="AE3766" s="1" t="s">
        <v>813</v>
      </c>
      <c r="AF3766" s="1" t="s">
        <v>107</v>
      </c>
      <c r="AG3766" s="1">
        <v>65</v>
      </c>
      <c r="AO3766" s="2">
        <v>46288</v>
      </c>
      <c r="AP3766" s="1" t="s">
        <v>226</v>
      </c>
      <c r="AS3766" s="1" t="s">
        <v>71</v>
      </c>
      <c r="AU3766" s="1" t="s">
        <v>72</v>
      </c>
      <c r="AV3766" s="1" t="s">
        <v>126</v>
      </c>
      <c r="AX3766" s="1">
        <v>0</v>
      </c>
      <c r="BA3766" s="1">
        <v>9</v>
      </c>
      <c r="BB3766" s="1">
        <v>0</v>
      </c>
      <c r="BC3766" s="1">
        <v>0</v>
      </c>
      <c r="BE3766" s="1">
        <v>27661870</v>
      </c>
    </row>
    <row r="3767" spans="1:57" x14ac:dyDescent="0.25">
      <c r="A3767" s="1" t="str">
        <f>T("1949541041422667960")</f>
        <v>1949541041422667960</v>
      </c>
      <c r="B3767" s="1" t="str">
        <f>T("249909953659")</f>
        <v>249909953659</v>
      </c>
      <c r="C3767" s="1" t="str">
        <f>T("1941094533303371456")</f>
        <v>1941094533303371456</v>
      </c>
      <c r="AC3767" s="1" t="s">
        <v>344</v>
      </c>
      <c r="AD3767" s="1" t="s">
        <v>430</v>
      </c>
      <c r="AE3767" s="1" t="s">
        <v>530</v>
      </c>
      <c r="AF3767" s="1" t="s">
        <v>107</v>
      </c>
      <c r="AG3767" s="1">
        <v>73</v>
      </c>
      <c r="AO3767" s="2">
        <v>46288</v>
      </c>
      <c r="AP3767" s="1" t="s">
        <v>226</v>
      </c>
      <c r="AS3767" s="1" t="s">
        <v>71</v>
      </c>
      <c r="AU3767" s="1" t="s">
        <v>72</v>
      </c>
      <c r="AV3767" s="1" t="s">
        <v>73</v>
      </c>
      <c r="AX3767" s="1">
        <v>0</v>
      </c>
      <c r="BA3767" s="1">
        <v>9</v>
      </c>
      <c r="BB3767" s="1">
        <v>0</v>
      </c>
      <c r="BC3767" s="1">
        <v>0</v>
      </c>
      <c r="BE3767" s="1">
        <v>27661870</v>
      </c>
    </row>
    <row r="3768" spans="1:57" x14ac:dyDescent="0.25">
      <c r="A3768" s="1" t="str">
        <f>T("1949541041879849332")</f>
        <v>1949541041879849332</v>
      </c>
      <c r="B3768" s="1" t="str">
        <f>T("249909508616")</f>
        <v>249909508616</v>
      </c>
      <c r="C3768" s="1" t="str">
        <f>T("1941094533303371856")</f>
        <v>1941094533303371856</v>
      </c>
      <c r="AC3768" s="1" t="s">
        <v>344</v>
      </c>
      <c r="AD3768" s="1" t="s">
        <v>372</v>
      </c>
      <c r="AE3768" s="1" t="s">
        <v>813</v>
      </c>
      <c r="AF3768" s="1" t="s">
        <v>144</v>
      </c>
      <c r="AG3768" s="1">
        <v>60</v>
      </c>
      <c r="AO3768" s="2">
        <v>46288</v>
      </c>
      <c r="AP3768" s="1" t="s">
        <v>226</v>
      </c>
      <c r="AS3768" s="1" t="s">
        <v>71</v>
      </c>
      <c r="AU3768" s="1" t="s">
        <v>72</v>
      </c>
      <c r="AV3768" s="1" t="s">
        <v>437</v>
      </c>
      <c r="AX3768" s="1">
        <v>0</v>
      </c>
      <c r="BA3768" s="1">
        <v>9</v>
      </c>
      <c r="BB3768" s="1">
        <v>0</v>
      </c>
      <c r="BC3768" s="1">
        <v>0</v>
      </c>
      <c r="BE3768" s="1">
        <v>27661870</v>
      </c>
    </row>
    <row r="3769" spans="1:57" x14ac:dyDescent="0.25">
      <c r="A3769" s="1" t="str">
        <f>T("1949541042483826784")</f>
        <v>1949541042483826784</v>
      </c>
      <c r="B3769" s="1" t="str">
        <f>T("249995180906")</f>
        <v>249995180906</v>
      </c>
      <c r="C3769" s="1" t="str">
        <f>T("1941094533303372256")</f>
        <v>1941094533303372256</v>
      </c>
      <c r="M3769" s="1" t="s">
        <v>59</v>
      </c>
      <c r="O3769" s="1" t="s">
        <v>60</v>
      </c>
      <c r="P3769" s="1" t="s">
        <v>83</v>
      </c>
      <c r="Q3769" s="1" t="s">
        <v>101</v>
      </c>
      <c r="R3769" s="1" t="s">
        <v>93</v>
      </c>
      <c r="T3769" s="1" t="s">
        <v>95</v>
      </c>
      <c r="U3769" s="1" t="s">
        <v>65</v>
      </c>
      <c r="V3769" s="1" t="s">
        <v>68</v>
      </c>
      <c r="W3769" s="1" t="s">
        <v>67</v>
      </c>
      <c r="X3769" s="1" t="s">
        <v>66</v>
      </c>
      <c r="Y3769" s="1" t="s">
        <v>69</v>
      </c>
      <c r="AA3769" s="1">
        <v>1</v>
      </c>
      <c r="AB3769" s="1">
        <v>1</v>
      </c>
      <c r="AC3769" s="1" t="s">
        <v>344</v>
      </c>
      <c r="AD3769" s="1" t="s">
        <v>372</v>
      </c>
      <c r="AE3769" s="1" t="s">
        <v>818</v>
      </c>
      <c r="AF3769" s="1" t="s">
        <v>107</v>
      </c>
      <c r="AG3769" s="1">
        <v>45</v>
      </c>
      <c r="AO3769" s="2">
        <v>46288</v>
      </c>
      <c r="AP3769" s="1" t="s">
        <v>226</v>
      </c>
      <c r="AQ3769" s="2">
        <v>46288</v>
      </c>
      <c r="AR3769" s="1" t="s">
        <v>739</v>
      </c>
      <c r="AS3769" s="1" t="s">
        <v>71</v>
      </c>
      <c r="AU3769" s="1" t="s">
        <v>78</v>
      </c>
      <c r="AV3769" s="1" t="s">
        <v>80</v>
      </c>
      <c r="AW3769" s="1">
        <v>260.22000000000003</v>
      </c>
      <c r="AX3769" s="1">
        <v>0</v>
      </c>
      <c r="AZ3769" s="1" t="s">
        <v>81</v>
      </c>
      <c r="BA3769" s="1">
        <v>1</v>
      </c>
      <c r="BB3769" s="1">
        <v>0</v>
      </c>
      <c r="BC3769" s="1">
        <v>0</v>
      </c>
      <c r="BE3769" s="1">
        <v>27661870</v>
      </c>
    </row>
    <row r="3770" spans="1:57" x14ac:dyDescent="0.25">
      <c r="A3770" s="1" t="str">
        <f>T("1949541042542550196")</f>
        <v>1949541042542550196</v>
      </c>
      <c r="B3770" s="1" t="str">
        <f>T("249961822742")</f>
        <v>249961822742</v>
      </c>
      <c r="C3770" s="1" t="str">
        <f>T("1941094533303373456")</f>
        <v>1941094533303373456</v>
      </c>
      <c r="AC3770" s="1" t="s">
        <v>344</v>
      </c>
      <c r="AD3770" s="1" t="s">
        <v>372</v>
      </c>
      <c r="AE3770" s="1" t="s">
        <v>813</v>
      </c>
      <c r="AF3770" s="1" t="s">
        <v>144</v>
      </c>
      <c r="AG3770" s="1">
        <v>35</v>
      </c>
      <c r="AO3770" s="2">
        <v>46288</v>
      </c>
      <c r="AP3770" s="1" t="s">
        <v>226</v>
      </c>
      <c r="AS3770" s="1" t="s">
        <v>71</v>
      </c>
      <c r="AU3770" s="1" t="s">
        <v>72</v>
      </c>
      <c r="AV3770" s="1" t="s">
        <v>73</v>
      </c>
      <c r="AX3770" s="1">
        <v>0</v>
      </c>
      <c r="BA3770" s="1">
        <v>9</v>
      </c>
      <c r="BB3770" s="1">
        <v>0</v>
      </c>
      <c r="BC3770" s="1">
        <v>0</v>
      </c>
      <c r="BE3770" s="1">
        <v>27661870</v>
      </c>
    </row>
    <row r="3771" spans="1:57" x14ac:dyDescent="0.25">
      <c r="A3771" s="1" t="str">
        <f>T("1949541042605462016")</f>
        <v>1949541042605462016</v>
      </c>
      <c r="B3771" s="1" t="str">
        <f>T("249906226577")</f>
        <v>249906226577</v>
      </c>
      <c r="C3771" s="1" t="str">
        <f>T("1941094533307564164")</f>
        <v>1941094533307564164</v>
      </c>
      <c r="AC3771" s="1" t="s">
        <v>344</v>
      </c>
      <c r="AD3771" s="1" t="s">
        <v>441</v>
      </c>
      <c r="AE3771" s="1" t="s">
        <v>530</v>
      </c>
      <c r="AF3771" s="1" t="s">
        <v>144</v>
      </c>
      <c r="AG3771" s="1">
        <v>45</v>
      </c>
      <c r="AO3771" s="2">
        <v>46288</v>
      </c>
      <c r="AP3771" s="1" t="s">
        <v>226</v>
      </c>
      <c r="AS3771" s="1" t="s">
        <v>71</v>
      </c>
      <c r="AU3771" s="1" t="s">
        <v>72</v>
      </c>
      <c r="AV3771" s="1" t="s">
        <v>73</v>
      </c>
      <c r="AX3771" s="1">
        <v>0</v>
      </c>
      <c r="BA3771" s="1">
        <v>9</v>
      </c>
      <c r="BB3771" s="1">
        <v>0</v>
      </c>
      <c r="BC3771" s="1">
        <v>0</v>
      </c>
      <c r="BE3771" s="1">
        <v>27661870</v>
      </c>
    </row>
    <row r="3772" spans="1:57" x14ac:dyDescent="0.25">
      <c r="A3772" s="1" t="str">
        <f>T("1949541042781626152")</f>
        <v>1949541042781626152</v>
      </c>
      <c r="B3772" s="1" t="str">
        <f>T("249963950352")</f>
        <v>249963950352</v>
      </c>
      <c r="C3772" s="1" t="str">
        <f>T("1941094533307564564")</f>
        <v>1941094533307564564</v>
      </c>
      <c r="AC3772" s="1" t="s">
        <v>344</v>
      </c>
      <c r="AD3772" s="1" t="s">
        <v>441</v>
      </c>
      <c r="AE3772" s="1" t="s">
        <v>530</v>
      </c>
      <c r="AF3772" s="1" t="s">
        <v>107</v>
      </c>
      <c r="AG3772" s="1">
        <v>50</v>
      </c>
      <c r="AO3772" s="2">
        <v>46288</v>
      </c>
      <c r="AP3772" s="1" t="s">
        <v>226</v>
      </c>
      <c r="AS3772" s="1" t="s">
        <v>71</v>
      </c>
      <c r="AU3772" s="1" t="s">
        <v>72</v>
      </c>
      <c r="AV3772" s="1" t="s">
        <v>437</v>
      </c>
      <c r="AX3772" s="1">
        <v>0</v>
      </c>
      <c r="BA3772" s="1">
        <v>9</v>
      </c>
      <c r="BB3772" s="1">
        <v>0</v>
      </c>
      <c r="BC3772" s="1">
        <v>0</v>
      </c>
      <c r="BE3772" s="1">
        <v>27661870</v>
      </c>
    </row>
    <row r="3773" spans="1:57" x14ac:dyDescent="0.25">
      <c r="A3773" s="1" t="str">
        <f>T("1949541042819372324")</f>
        <v>1949541042819372324</v>
      </c>
      <c r="B3773" s="1" t="str">
        <f>T("249904345555")</f>
        <v>249904345555</v>
      </c>
      <c r="C3773" s="1" t="str">
        <f>T("1941094533307564964")</f>
        <v>1941094533307564964</v>
      </c>
      <c r="AC3773" s="1" t="s">
        <v>344</v>
      </c>
      <c r="AD3773" s="1" t="s">
        <v>430</v>
      </c>
      <c r="AE3773" s="1" t="s">
        <v>530</v>
      </c>
      <c r="AF3773" s="1" t="s">
        <v>107</v>
      </c>
      <c r="AG3773" s="1">
        <v>22</v>
      </c>
      <c r="AO3773" s="2">
        <v>46288</v>
      </c>
      <c r="AP3773" s="1" t="s">
        <v>226</v>
      </c>
      <c r="AS3773" s="1" t="s">
        <v>71</v>
      </c>
      <c r="AU3773" s="1" t="s">
        <v>72</v>
      </c>
      <c r="AV3773" s="1" t="s">
        <v>73</v>
      </c>
      <c r="AX3773" s="1">
        <v>0</v>
      </c>
      <c r="BA3773" s="1">
        <v>9</v>
      </c>
      <c r="BB3773" s="1">
        <v>0</v>
      </c>
      <c r="BC3773" s="1">
        <v>0</v>
      </c>
      <c r="BE3773" s="1">
        <v>27661870</v>
      </c>
    </row>
    <row r="3774" spans="1:57" x14ac:dyDescent="0.25">
      <c r="A3774" s="1" t="str">
        <f>T("1949541042903257284")</f>
        <v>1949541042903257284</v>
      </c>
      <c r="B3774" s="1" t="str">
        <f>T("249917904585")</f>
        <v>249917904585</v>
      </c>
      <c r="C3774" s="1" t="str">
        <f>T("1941094533315956080")</f>
        <v>1941094533315956080</v>
      </c>
      <c r="AC3774" s="1" t="s">
        <v>344</v>
      </c>
      <c r="AD3774" s="1" t="s">
        <v>441</v>
      </c>
      <c r="AE3774" s="1" t="s">
        <v>530</v>
      </c>
      <c r="AF3774" s="1" t="s">
        <v>144</v>
      </c>
      <c r="AG3774" s="1">
        <v>35</v>
      </c>
      <c r="AO3774" s="2">
        <v>46288</v>
      </c>
      <c r="AP3774" s="1" t="s">
        <v>226</v>
      </c>
      <c r="AS3774" s="1" t="s">
        <v>71</v>
      </c>
      <c r="AU3774" s="1" t="s">
        <v>72</v>
      </c>
      <c r="AV3774" s="1" t="s">
        <v>126</v>
      </c>
      <c r="AX3774" s="1">
        <v>0</v>
      </c>
      <c r="BA3774" s="1">
        <v>9</v>
      </c>
      <c r="BB3774" s="1">
        <v>0</v>
      </c>
      <c r="BC3774" s="1">
        <v>0</v>
      </c>
      <c r="BE3774" s="1">
        <v>27661870</v>
      </c>
    </row>
    <row r="3775" spans="1:57" x14ac:dyDescent="0.25">
      <c r="A3775" s="1" t="str">
        <f>T("1949541042941008456")</f>
        <v>1949541042941008456</v>
      </c>
      <c r="B3775" s="1" t="str">
        <f>T("249908977567")</f>
        <v>249908977567</v>
      </c>
      <c r="C3775" s="1" t="str">
        <f>T("1941094533320146988")</f>
        <v>1941094533320146988</v>
      </c>
      <c r="AC3775" s="1" t="s">
        <v>344</v>
      </c>
      <c r="AD3775" s="1" t="s">
        <v>441</v>
      </c>
      <c r="AE3775" s="1" t="s">
        <v>530</v>
      </c>
      <c r="AF3775" s="1" t="s">
        <v>107</v>
      </c>
      <c r="AG3775" s="1">
        <v>45</v>
      </c>
      <c r="AO3775" s="2">
        <v>46288</v>
      </c>
      <c r="AP3775" s="1" t="s">
        <v>226</v>
      </c>
      <c r="AS3775" s="1" t="s">
        <v>71</v>
      </c>
      <c r="AU3775" s="1" t="s">
        <v>72</v>
      </c>
      <c r="AV3775" s="1" t="s">
        <v>437</v>
      </c>
      <c r="AX3775" s="1">
        <v>0</v>
      </c>
      <c r="BA3775" s="1">
        <v>9</v>
      </c>
      <c r="BB3775" s="1">
        <v>0</v>
      </c>
      <c r="BC3775" s="1">
        <v>0</v>
      </c>
      <c r="BE3775" s="1">
        <v>27661870</v>
      </c>
    </row>
    <row r="3776" spans="1:57" x14ac:dyDescent="0.25">
      <c r="A3776" s="1" t="str">
        <f>T("1949541043008116084")</f>
        <v>1949541043008116084</v>
      </c>
      <c r="B3776" s="1" t="str">
        <f>T("249919743818")</f>
        <v>249919743818</v>
      </c>
      <c r="C3776" s="1" t="str">
        <f>T("1941094533320147388")</f>
        <v>1941094533320147388</v>
      </c>
      <c r="AC3776" s="1" t="s">
        <v>344</v>
      </c>
      <c r="AD3776" s="1" t="s">
        <v>430</v>
      </c>
      <c r="AE3776" s="1" t="s">
        <v>530</v>
      </c>
      <c r="AF3776" s="1" t="s">
        <v>144</v>
      </c>
      <c r="AG3776" s="1">
        <v>43</v>
      </c>
      <c r="AO3776" s="2">
        <v>46288</v>
      </c>
      <c r="AP3776" s="1" t="s">
        <v>226</v>
      </c>
      <c r="AS3776" s="1" t="s">
        <v>71</v>
      </c>
      <c r="AU3776" s="1" t="s">
        <v>72</v>
      </c>
      <c r="AV3776" s="1" t="s">
        <v>437</v>
      </c>
      <c r="AX3776" s="1">
        <v>0</v>
      </c>
      <c r="BA3776" s="1">
        <v>9</v>
      </c>
      <c r="BB3776" s="1">
        <v>0</v>
      </c>
      <c r="BC3776" s="1">
        <v>0</v>
      </c>
      <c r="BE3776" s="1">
        <v>27661870</v>
      </c>
    </row>
    <row r="3777" spans="1:57" x14ac:dyDescent="0.25">
      <c r="A3777" s="1" t="str">
        <f>T("1949541043029087024")</f>
        <v>1949541043029087024</v>
      </c>
      <c r="B3777" s="1" t="str">
        <f>T("249909833213")</f>
        <v>249909833213</v>
      </c>
      <c r="C3777" s="1" t="str">
        <f>T("1941094533320147788")</f>
        <v>1941094533320147788</v>
      </c>
      <c r="AC3777" s="1" t="s">
        <v>344</v>
      </c>
      <c r="AD3777" s="1" t="s">
        <v>372</v>
      </c>
      <c r="AE3777" s="1" t="s">
        <v>815</v>
      </c>
      <c r="AF3777" s="1" t="s">
        <v>107</v>
      </c>
      <c r="AG3777" s="1">
        <v>50</v>
      </c>
      <c r="AO3777" s="2">
        <v>46288</v>
      </c>
      <c r="AP3777" s="1" t="s">
        <v>226</v>
      </c>
      <c r="AS3777" s="1" t="s">
        <v>71</v>
      </c>
      <c r="AU3777" s="1" t="s">
        <v>72</v>
      </c>
      <c r="AV3777" s="1" t="s">
        <v>126</v>
      </c>
      <c r="AX3777" s="1">
        <v>0</v>
      </c>
      <c r="BA3777" s="1">
        <v>9</v>
      </c>
      <c r="BB3777" s="1">
        <v>0</v>
      </c>
      <c r="BC3777" s="1">
        <v>0</v>
      </c>
      <c r="BE3777" s="1">
        <v>27661870</v>
      </c>
    </row>
    <row r="3778" spans="1:57" x14ac:dyDescent="0.25">
      <c r="A3778" s="1" t="str">
        <f>T("1949541043054255072")</f>
        <v>1949541043054255072</v>
      </c>
      <c r="B3778" s="1" t="str">
        <f>T("249123766410")</f>
        <v>249123766410</v>
      </c>
      <c r="C3778" s="1" t="str">
        <f>T("1941094533307565564")</f>
        <v>1941094533307565564</v>
      </c>
      <c r="AC3778" s="1" t="s">
        <v>344</v>
      </c>
      <c r="AD3778" s="1" t="s">
        <v>372</v>
      </c>
      <c r="AE3778" s="1" t="s">
        <v>373</v>
      </c>
      <c r="AF3778" s="1" t="s">
        <v>144</v>
      </c>
      <c r="AG3778" s="1">
        <v>25</v>
      </c>
      <c r="AO3778" s="2">
        <v>46288</v>
      </c>
      <c r="AP3778" s="1" t="s">
        <v>226</v>
      </c>
      <c r="AS3778" s="1" t="s">
        <v>71</v>
      </c>
      <c r="AU3778" s="1" t="s">
        <v>72</v>
      </c>
      <c r="AV3778" s="1" t="s">
        <v>73</v>
      </c>
      <c r="AX3778" s="1">
        <v>0</v>
      </c>
      <c r="BA3778" s="1">
        <v>9</v>
      </c>
      <c r="BB3778" s="1">
        <v>0</v>
      </c>
      <c r="BC3778" s="1">
        <v>0</v>
      </c>
      <c r="BE3778" s="1">
        <v>27661870</v>
      </c>
    </row>
    <row r="3779" spans="1:57" x14ac:dyDescent="0.25">
      <c r="A3779" s="1" t="str">
        <f>T("1949541043066835596")</f>
        <v>1949541043066835596</v>
      </c>
      <c r="B3779" s="1" t="str">
        <f>T("249967528716")</f>
        <v>249967528716</v>
      </c>
      <c r="C3779" s="1" t="str">
        <f>T("1941094533307565964")</f>
        <v>1941094533307565964</v>
      </c>
      <c r="AC3779" s="1" t="s">
        <v>344</v>
      </c>
      <c r="AD3779" s="1" t="s">
        <v>441</v>
      </c>
      <c r="AE3779" s="1" t="s">
        <v>530</v>
      </c>
      <c r="AF3779" s="1" t="s">
        <v>107</v>
      </c>
      <c r="AG3779" s="1">
        <v>43</v>
      </c>
      <c r="AO3779" s="2">
        <v>46288</v>
      </c>
      <c r="AP3779" s="1" t="s">
        <v>226</v>
      </c>
      <c r="AS3779" s="1" t="s">
        <v>71</v>
      </c>
      <c r="AU3779" s="1" t="s">
        <v>72</v>
      </c>
      <c r="AV3779" s="1" t="s">
        <v>437</v>
      </c>
      <c r="AX3779" s="1">
        <v>0</v>
      </c>
      <c r="BA3779" s="1">
        <v>9</v>
      </c>
      <c r="BB3779" s="1">
        <v>0</v>
      </c>
      <c r="BC3779" s="1">
        <v>0</v>
      </c>
      <c r="BE3779" s="1">
        <v>27661870</v>
      </c>
    </row>
    <row r="3780" spans="1:57" x14ac:dyDescent="0.25">
      <c r="A3780" s="1" t="str">
        <f>T("1949541043129751416")</f>
        <v>1949541043129751416</v>
      </c>
      <c r="B3780" s="1" t="str">
        <f>T("249914681485")</f>
        <v>249914681485</v>
      </c>
      <c r="C3780" s="1" t="str">
        <f>T("1941094533320148188")</f>
        <v>1941094533320148188</v>
      </c>
      <c r="AC3780" s="1" t="s">
        <v>344</v>
      </c>
      <c r="AD3780" s="1" t="s">
        <v>441</v>
      </c>
      <c r="AE3780" s="1" t="s">
        <v>530</v>
      </c>
      <c r="AF3780" s="1" t="s">
        <v>107</v>
      </c>
      <c r="AG3780" s="1">
        <v>51</v>
      </c>
      <c r="AO3780" s="2">
        <v>46288</v>
      </c>
      <c r="AP3780" s="1" t="s">
        <v>226</v>
      </c>
      <c r="AS3780" s="1" t="s">
        <v>71</v>
      </c>
      <c r="AU3780" s="1" t="s">
        <v>72</v>
      </c>
      <c r="AV3780" s="1" t="s">
        <v>73</v>
      </c>
      <c r="AX3780" s="1">
        <v>0</v>
      </c>
      <c r="BA3780" s="1">
        <v>9</v>
      </c>
      <c r="BB3780" s="1">
        <v>0</v>
      </c>
      <c r="BC3780" s="1">
        <v>0</v>
      </c>
      <c r="BE3780" s="1">
        <v>27661870</v>
      </c>
    </row>
    <row r="3781" spans="1:57" x14ac:dyDescent="0.25">
      <c r="A3781" s="1" t="str">
        <f>T("1949541043469489364")</f>
        <v>1949541043469489364</v>
      </c>
      <c r="B3781" s="1" t="str">
        <f>T("249966077668")</f>
        <v>249966077668</v>
      </c>
      <c r="C3781" s="1" t="str">
        <f>T("1941094533320148888")</f>
        <v>1941094533320148888</v>
      </c>
      <c r="AC3781" s="1" t="s">
        <v>344</v>
      </c>
      <c r="AD3781" s="1" t="s">
        <v>372</v>
      </c>
      <c r="AE3781" s="1" t="s">
        <v>815</v>
      </c>
      <c r="AF3781" s="1" t="s">
        <v>107</v>
      </c>
      <c r="AG3781" s="1">
        <v>70</v>
      </c>
      <c r="AO3781" s="2">
        <v>46288</v>
      </c>
      <c r="AP3781" s="1" t="s">
        <v>226</v>
      </c>
      <c r="AS3781" s="1" t="s">
        <v>71</v>
      </c>
      <c r="AU3781" s="1" t="s">
        <v>72</v>
      </c>
      <c r="AV3781" s="1" t="s">
        <v>73</v>
      </c>
      <c r="AX3781" s="1">
        <v>0</v>
      </c>
      <c r="BA3781" s="1">
        <v>9</v>
      </c>
      <c r="BB3781" s="1">
        <v>0</v>
      </c>
      <c r="BC3781" s="1">
        <v>0</v>
      </c>
      <c r="BE3781" s="1">
        <v>27661870</v>
      </c>
    </row>
    <row r="3782" spans="1:57" x14ac:dyDescent="0.25">
      <c r="A3782" s="1" t="str">
        <f>T("1949541043482071088")</f>
        <v>1949541043482071088</v>
      </c>
      <c r="B3782" s="1" t="str">
        <f>T("249100494591")</f>
        <v>249100494591</v>
      </c>
      <c r="C3782" s="1" t="str">
        <f>T("1941094533320148488")</f>
        <v>1941094533320148488</v>
      </c>
      <c r="AA3782" s="1">
        <v>1</v>
      </c>
      <c r="AC3782" s="1" t="s">
        <v>344</v>
      </c>
      <c r="AD3782" s="1" t="s">
        <v>372</v>
      </c>
      <c r="AE3782" s="1" t="s">
        <v>818</v>
      </c>
      <c r="AF3782" s="1" t="s">
        <v>144</v>
      </c>
      <c r="AG3782" s="1">
        <v>42</v>
      </c>
      <c r="AO3782" s="2">
        <v>46288</v>
      </c>
      <c r="AP3782" s="1" t="s">
        <v>226</v>
      </c>
      <c r="AQ3782" s="2">
        <v>46288</v>
      </c>
      <c r="AR3782" s="1" t="s">
        <v>403</v>
      </c>
      <c r="AS3782" s="1" t="s">
        <v>71</v>
      </c>
      <c r="AU3782" s="1" t="s">
        <v>78</v>
      </c>
      <c r="AV3782" s="1" t="s">
        <v>80</v>
      </c>
      <c r="AW3782" s="1">
        <v>134.72</v>
      </c>
      <c r="AX3782" s="1">
        <v>0</v>
      </c>
      <c r="AZ3782" s="1" t="s">
        <v>81</v>
      </c>
      <c r="BA3782" s="1">
        <v>1</v>
      </c>
      <c r="BB3782" s="1">
        <v>0</v>
      </c>
      <c r="BC3782" s="1">
        <v>0</v>
      </c>
      <c r="BE3782" s="1">
        <v>27661870</v>
      </c>
    </row>
    <row r="3783" spans="1:57" x14ac:dyDescent="0.25">
      <c r="A3783" s="1" t="str">
        <f>T("1949541043549183416")</f>
        <v>1949541043549183416</v>
      </c>
      <c r="B3783" s="1" t="str">
        <f>T("249906227225")</f>
        <v>249906227225</v>
      </c>
      <c r="C3783" s="1" t="str">
        <f>T("1941094533320149488")</f>
        <v>1941094533320149488</v>
      </c>
      <c r="AC3783" s="1" t="s">
        <v>344</v>
      </c>
      <c r="AD3783" s="1" t="s">
        <v>441</v>
      </c>
      <c r="AE3783" s="1" t="s">
        <v>530</v>
      </c>
      <c r="AF3783" s="1" t="s">
        <v>107</v>
      </c>
      <c r="AG3783" s="1">
        <v>50</v>
      </c>
      <c r="AO3783" s="2">
        <v>46288</v>
      </c>
      <c r="AP3783" s="1" t="s">
        <v>226</v>
      </c>
      <c r="AS3783" s="1" t="s">
        <v>71</v>
      </c>
      <c r="AU3783" s="1" t="s">
        <v>72</v>
      </c>
      <c r="AV3783" s="1" t="s">
        <v>437</v>
      </c>
      <c r="AX3783" s="1">
        <v>0</v>
      </c>
      <c r="BA3783" s="1">
        <v>9</v>
      </c>
      <c r="BB3783" s="1">
        <v>0</v>
      </c>
      <c r="BC3783" s="1">
        <v>0</v>
      </c>
      <c r="BE3783" s="1">
        <v>27661870</v>
      </c>
    </row>
    <row r="3784" spans="1:57" x14ac:dyDescent="0.25">
      <c r="A3784" s="1" t="str">
        <f>T("1949541043607901528")</f>
        <v>1949541043607901528</v>
      </c>
      <c r="B3784" s="1" t="str">
        <f>T("249119924916")</f>
        <v>249119924916</v>
      </c>
      <c r="C3784" s="1" t="str">
        <f>T("1941094533320149888")</f>
        <v>1941094533320149888</v>
      </c>
      <c r="M3784" s="1" t="s">
        <v>148</v>
      </c>
      <c r="N3784" s="1" t="s">
        <v>65</v>
      </c>
      <c r="O3784" s="1" t="s">
        <v>65</v>
      </c>
      <c r="P3784" s="1" t="s">
        <v>61</v>
      </c>
      <c r="Q3784" s="1" t="s">
        <v>101</v>
      </c>
      <c r="R3784" s="1" t="s">
        <v>93</v>
      </c>
      <c r="T3784" s="1" t="s">
        <v>95</v>
      </c>
      <c r="U3784" s="1" t="s">
        <v>65</v>
      </c>
      <c r="V3784" s="1" t="s">
        <v>66</v>
      </c>
      <c r="W3784" s="1" t="s">
        <v>67</v>
      </c>
      <c r="X3784" s="1" t="s">
        <v>66</v>
      </c>
      <c r="Y3784" s="1" t="s">
        <v>85</v>
      </c>
      <c r="AA3784" s="1">
        <v>1</v>
      </c>
      <c r="AB3784" s="1">
        <v>1</v>
      </c>
      <c r="AC3784" s="1" t="s">
        <v>344</v>
      </c>
      <c r="AD3784" s="1" t="s">
        <v>372</v>
      </c>
      <c r="AE3784" s="1" t="s">
        <v>814</v>
      </c>
      <c r="AF3784" s="1" t="s">
        <v>144</v>
      </c>
      <c r="AG3784" s="1">
        <v>31</v>
      </c>
      <c r="AO3784" s="2">
        <v>46288</v>
      </c>
      <c r="AP3784" s="1" t="s">
        <v>226</v>
      </c>
      <c r="AQ3784" s="2">
        <v>46288</v>
      </c>
      <c r="AR3784" s="1" t="s">
        <v>397</v>
      </c>
      <c r="AS3784" s="1" t="s">
        <v>71</v>
      </c>
      <c r="AU3784" s="1" t="s">
        <v>78</v>
      </c>
      <c r="AV3784" s="1" t="s">
        <v>80</v>
      </c>
      <c r="AW3784" s="1">
        <v>308.76</v>
      </c>
      <c r="AX3784" s="1">
        <v>0</v>
      </c>
      <c r="AZ3784" s="1" t="s">
        <v>81</v>
      </c>
      <c r="BA3784" s="1">
        <v>1</v>
      </c>
      <c r="BB3784" s="1">
        <v>0</v>
      </c>
      <c r="BC3784" s="1">
        <v>0</v>
      </c>
      <c r="BE3784" s="1">
        <v>27661870</v>
      </c>
    </row>
    <row r="3785" spans="1:57" x14ac:dyDescent="0.25">
      <c r="A3785" s="1" t="str">
        <f>T("1949541043633066276")</f>
        <v>1949541043633066276</v>
      </c>
      <c r="B3785" s="1" t="str">
        <f>T("249919907847")</f>
        <v>249919907847</v>
      </c>
      <c r="C3785" s="1" t="str">
        <f>T("1941094533324341296")</f>
        <v>1941094533324341296</v>
      </c>
      <c r="AC3785" s="1" t="s">
        <v>344</v>
      </c>
      <c r="AD3785" s="1" t="s">
        <v>430</v>
      </c>
      <c r="AE3785" s="1" t="s">
        <v>530</v>
      </c>
      <c r="AF3785" s="1" t="s">
        <v>107</v>
      </c>
      <c r="AG3785" s="1">
        <v>40</v>
      </c>
      <c r="AO3785" s="2">
        <v>46288</v>
      </c>
      <c r="AP3785" s="1" t="s">
        <v>226</v>
      </c>
      <c r="AS3785" s="1" t="s">
        <v>71</v>
      </c>
      <c r="AU3785" s="1" t="s">
        <v>72</v>
      </c>
      <c r="AV3785" s="1" t="s">
        <v>437</v>
      </c>
      <c r="AX3785" s="1">
        <v>0</v>
      </c>
      <c r="BA3785" s="1">
        <v>9</v>
      </c>
      <c r="BB3785" s="1">
        <v>0</v>
      </c>
      <c r="BC3785" s="1">
        <v>0</v>
      </c>
      <c r="BE3785" s="1">
        <v>27661870</v>
      </c>
    </row>
    <row r="3786" spans="1:57" x14ac:dyDescent="0.25">
      <c r="A3786" s="1" t="str">
        <f>T("1949541043637261484")</f>
        <v>1949541043637261484</v>
      </c>
      <c r="B3786" s="1" t="str">
        <f>T("249902872731")</f>
        <v>249902872731</v>
      </c>
      <c r="C3786" s="1" t="str">
        <f>T("1941094533320150588")</f>
        <v>1941094533320150588</v>
      </c>
      <c r="AC3786" s="1" t="s">
        <v>344</v>
      </c>
      <c r="AD3786" s="1" t="s">
        <v>430</v>
      </c>
      <c r="AE3786" s="1" t="s">
        <v>530</v>
      </c>
      <c r="AF3786" s="1" t="s">
        <v>144</v>
      </c>
      <c r="AG3786" s="1">
        <v>35</v>
      </c>
      <c r="AO3786" s="2">
        <v>46288</v>
      </c>
      <c r="AP3786" s="1" t="s">
        <v>226</v>
      </c>
      <c r="AS3786" s="1" t="s">
        <v>71</v>
      </c>
      <c r="AU3786" s="1" t="s">
        <v>72</v>
      </c>
      <c r="AV3786" s="1" t="s">
        <v>126</v>
      </c>
      <c r="AX3786" s="1">
        <v>0</v>
      </c>
      <c r="BA3786" s="1">
        <v>9</v>
      </c>
      <c r="BB3786" s="1">
        <v>0</v>
      </c>
      <c r="BC3786" s="1">
        <v>0</v>
      </c>
      <c r="BE3786" s="1">
        <v>27661870</v>
      </c>
    </row>
    <row r="3787" spans="1:57" x14ac:dyDescent="0.25">
      <c r="A3787" s="1" t="str">
        <f>T("1949541043666623140")</f>
        <v>1949541043666623140</v>
      </c>
      <c r="B3787" s="1" t="str">
        <f>T("249918118152")</f>
        <v>249918118152</v>
      </c>
      <c r="C3787" s="1" t="str">
        <f>T("1941094533324341796")</f>
        <v>1941094533324341796</v>
      </c>
      <c r="AC3787" s="1" t="s">
        <v>344</v>
      </c>
      <c r="AD3787" s="1" t="s">
        <v>430</v>
      </c>
      <c r="AE3787" s="1" t="s">
        <v>530</v>
      </c>
      <c r="AF3787" s="1" t="s">
        <v>144</v>
      </c>
      <c r="AG3787" s="1">
        <v>19</v>
      </c>
      <c r="AO3787" s="2">
        <v>46288</v>
      </c>
      <c r="AP3787" s="1" t="s">
        <v>226</v>
      </c>
      <c r="AS3787" s="1" t="s">
        <v>71</v>
      </c>
      <c r="AU3787" s="1" t="s">
        <v>72</v>
      </c>
      <c r="AV3787" s="1" t="s">
        <v>437</v>
      </c>
      <c r="AX3787" s="1">
        <v>0</v>
      </c>
      <c r="BA3787" s="1">
        <v>9</v>
      </c>
      <c r="BB3787" s="1">
        <v>0</v>
      </c>
      <c r="BC3787" s="1">
        <v>0</v>
      </c>
      <c r="BE3787" s="1">
        <v>27661870</v>
      </c>
    </row>
    <row r="3788" spans="1:57" x14ac:dyDescent="0.25">
      <c r="A3788" s="1" t="str">
        <f>T("1949541043897308080")</f>
        <v>1949541043897308080</v>
      </c>
      <c r="B3788" s="1" t="str">
        <f>T("249908669923")</f>
        <v>249908669923</v>
      </c>
      <c r="C3788" s="1" t="str">
        <f>T("1941094533324342196")</f>
        <v>1941094533324342196</v>
      </c>
      <c r="AC3788" s="1" t="s">
        <v>344</v>
      </c>
      <c r="AD3788" s="1" t="s">
        <v>372</v>
      </c>
      <c r="AE3788" s="1" t="s">
        <v>814</v>
      </c>
      <c r="AF3788" s="1" t="s">
        <v>144</v>
      </c>
      <c r="AG3788" s="1">
        <v>67</v>
      </c>
      <c r="AO3788" s="2">
        <v>46288</v>
      </c>
      <c r="AP3788" s="1" t="s">
        <v>226</v>
      </c>
      <c r="AS3788" s="1" t="s">
        <v>71</v>
      </c>
      <c r="AU3788" s="1" t="s">
        <v>72</v>
      </c>
      <c r="AV3788" s="1" t="s">
        <v>126</v>
      </c>
      <c r="AX3788" s="1">
        <v>0</v>
      </c>
      <c r="BA3788" s="1">
        <v>9</v>
      </c>
      <c r="BB3788" s="1">
        <v>0</v>
      </c>
      <c r="BC3788" s="1">
        <v>0</v>
      </c>
      <c r="BE3788" s="1">
        <v>27661870</v>
      </c>
    </row>
    <row r="3789" spans="1:57" x14ac:dyDescent="0.25">
      <c r="A3789" s="1" t="str">
        <f>T("1949541043939253160")</f>
        <v>1949541043939253160</v>
      </c>
      <c r="B3789" s="1" t="str">
        <f>T("249925041036")</f>
        <v>249925041036</v>
      </c>
      <c r="C3789" s="1" t="str">
        <f>T("1941094533324342596")</f>
        <v>1941094533324342596</v>
      </c>
      <c r="AC3789" s="1" t="s">
        <v>344</v>
      </c>
      <c r="AD3789" s="1" t="s">
        <v>372</v>
      </c>
      <c r="AE3789" s="1" t="s">
        <v>818</v>
      </c>
      <c r="AF3789" s="1" t="s">
        <v>144</v>
      </c>
      <c r="AG3789" s="1">
        <v>35</v>
      </c>
      <c r="AO3789" s="2">
        <v>46288</v>
      </c>
      <c r="AP3789" s="1" t="s">
        <v>226</v>
      </c>
      <c r="AQ3789" s="2">
        <v>46288</v>
      </c>
      <c r="AR3789" s="1" t="s">
        <v>768</v>
      </c>
      <c r="AS3789" s="1" t="s">
        <v>71</v>
      </c>
      <c r="AU3789" s="1" t="s">
        <v>79</v>
      </c>
      <c r="AV3789" s="1" t="s">
        <v>80</v>
      </c>
      <c r="AW3789" s="1">
        <v>22.978999999999999</v>
      </c>
      <c r="AX3789" s="1">
        <v>0</v>
      </c>
      <c r="AZ3789" s="1" t="s">
        <v>81</v>
      </c>
      <c r="BA3789" s="1">
        <v>3</v>
      </c>
      <c r="BB3789" s="1">
        <v>0</v>
      </c>
      <c r="BC3789" s="1">
        <v>0</v>
      </c>
      <c r="BE3789" s="1">
        <v>27661870</v>
      </c>
    </row>
    <row r="3790" spans="1:57" x14ac:dyDescent="0.25">
      <c r="A3790" s="1" t="str">
        <f>T("1949541043951833184")</f>
        <v>1949541043951833184</v>
      </c>
      <c r="B3790" s="1" t="str">
        <f>T("249903367481")</f>
        <v>249903367481</v>
      </c>
      <c r="C3790" s="1" t="str">
        <f>T("1941094533324343096")</f>
        <v>1941094533324343096</v>
      </c>
      <c r="AC3790" s="1" t="s">
        <v>344</v>
      </c>
      <c r="AD3790" s="1" t="s">
        <v>441</v>
      </c>
      <c r="AE3790" s="1" t="s">
        <v>530</v>
      </c>
      <c r="AF3790" s="1" t="s">
        <v>107</v>
      </c>
      <c r="AG3790" s="1">
        <v>23</v>
      </c>
      <c r="AO3790" s="2">
        <v>46288</v>
      </c>
      <c r="AP3790" s="1" t="s">
        <v>226</v>
      </c>
      <c r="AS3790" s="1" t="s">
        <v>71</v>
      </c>
      <c r="AU3790" s="1" t="s">
        <v>72</v>
      </c>
      <c r="AV3790" s="1" t="s">
        <v>437</v>
      </c>
      <c r="AX3790" s="1">
        <v>0</v>
      </c>
      <c r="BA3790" s="1">
        <v>9</v>
      </c>
      <c r="BB3790" s="1">
        <v>0</v>
      </c>
      <c r="BC3790" s="1">
        <v>0</v>
      </c>
      <c r="BE3790" s="1">
        <v>27661870</v>
      </c>
    </row>
    <row r="3791" spans="1:57" x14ac:dyDescent="0.25">
      <c r="A3791" s="1" t="str">
        <f>T("1949541043989583656")</f>
        <v>1949541043989583656</v>
      </c>
      <c r="B3791" s="1" t="str">
        <f>T("249965982753")</f>
        <v>249965982753</v>
      </c>
      <c r="C3791" s="1" t="str">
        <f>T("1941094533324343496")</f>
        <v>1941094533324343496</v>
      </c>
      <c r="AC3791" s="1" t="s">
        <v>344</v>
      </c>
      <c r="AD3791" s="1" t="s">
        <v>372</v>
      </c>
      <c r="AE3791" s="1" t="s">
        <v>373</v>
      </c>
      <c r="AF3791" s="1" t="s">
        <v>107</v>
      </c>
      <c r="AG3791" s="1">
        <v>25</v>
      </c>
      <c r="AO3791" s="2">
        <v>46288</v>
      </c>
      <c r="AP3791" s="1" t="s">
        <v>226</v>
      </c>
      <c r="AS3791" s="1" t="s">
        <v>71</v>
      </c>
      <c r="AU3791" s="1" t="s">
        <v>72</v>
      </c>
      <c r="AV3791" s="1" t="s">
        <v>437</v>
      </c>
      <c r="AX3791" s="1">
        <v>0</v>
      </c>
      <c r="BA3791" s="1">
        <v>9</v>
      </c>
      <c r="BB3791" s="1">
        <v>0</v>
      </c>
      <c r="BC3791" s="1">
        <v>0</v>
      </c>
      <c r="BE3791" s="1">
        <v>27661870</v>
      </c>
    </row>
    <row r="3792" spans="1:57" x14ac:dyDescent="0.25">
      <c r="A3792" s="1" t="str">
        <f>T("1949541044048303368")</f>
        <v>1949541044048303368</v>
      </c>
      <c r="B3792" s="1" t="str">
        <f>T("249908506255")</f>
        <v>249908506255</v>
      </c>
      <c r="C3792" s="1" t="str">
        <f>T("1941094533324343896")</f>
        <v>1941094533324343896</v>
      </c>
      <c r="AC3792" s="1" t="s">
        <v>344</v>
      </c>
      <c r="AD3792" s="1" t="s">
        <v>430</v>
      </c>
      <c r="AE3792" s="1" t="s">
        <v>530</v>
      </c>
      <c r="AF3792" s="1" t="s">
        <v>144</v>
      </c>
      <c r="AG3792" s="1">
        <v>32</v>
      </c>
      <c r="AO3792" s="2">
        <v>46288</v>
      </c>
      <c r="AP3792" s="1" t="s">
        <v>226</v>
      </c>
      <c r="AS3792" s="1" t="s">
        <v>71</v>
      </c>
      <c r="AU3792" s="1" t="s">
        <v>72</v>
      </c>
      <c r="AV3792" s="1" t="s">
        <v>126</v>
      </c>
      <c r="AX3792" s="1">
        <v>0</v>
      </c>
      <c r="BA3792" s="1">
        <v>9</v>
      </c>
      <c r="BB3792" s="1">
        <v>0</v>
      </c>
      <c r="BC3792" s="1">
        <v>0</v>
      </c>
      <c r="BE3792" s="1">
        <v>27661870</v>
      </c>
    </row>
    <row r="3793" spans="1:57" x14ac:dyDescent="0.25">
      <c r="A3793" s="1" t="str">
        <f>T("1949541044081860032")</f>
        <v>1949541044081860032</v>
      </c>
      <c r="B3793" s="1" t="str">
        <f>T("249961048885")</f>
        <v>249961048885</v>
      </c>
      <c r="C3793" s="1" t="str">
        <f>T("1941094533324344296")</f>
        <v>1941094533324344296</v>
      </c>
      <c r="AC3793" s="1" t="s">
        <v>344</v>
      </c>
      <c r="AD3793" s="1" t="s">
        <v>430</v>
      </c>
      <c r="AE3793" s="1" t="s">
        <v>530</v>
      </c>
      <c r="AF3793" s="1" t="s">
        <v>144</v>
      </c>
      <c r="AG3793" s="1">
        <v>24</v>
      </c>
      <c r="AO3793" s="2">
        <v>46288</v>
      </c>
      <c r="AP3793" s="1" t="s">
        <v>226</v>
      </c>
      <c r="AS3793" s="1" t="s">
        <v>71</v>
      </c>
      <c r="AU3793" s="1" t="s">
        <v>72</v>
      </c>
      <c r="AV3793" s="1" t="s">
        <v>73</v>
      </c>
      <c r="AX3793" s="1">
        <v>0</v>
      </c>
      <c r="BA3793" s="1">
        <v>9</v>
      </c>
      <c r="BB3793" s="1">
        <v>0</v>
      </c>
      <c r="BC3793" s="1">
        <v>0</v>
      </c>
      <c r="BE3793" s="1">
        <v>27661870</v>
      </c>
    </row>
    <row r="3794" spans="1:57" x14ac:dyDescent="0.25">
      <c r="A3794" s="1" t="str">
        <f>T("1949541044090249048")</f>
        <v>1949541044090249048</v>
      </c>
      <c r="B3794" s="1" t="str">
        <f>T("249967324642")</f>
        <v>249967324642</v>
      </c>
      <c r="C3794" s="1" t="str">
        <f>T("1941094533324344796")</f>
        <v>1941094533324344796</v>
      </c>
      <c r="AC3794" s="1" t="s">
        <v>344</v>
      </c>
      <c r="AD3794" s="1" t="s">
        <v>430</v>
      </c>
      <c r="AE3794" s="1" t="s">
        <v>530</v>
      </c>
      <c r="AF3794" s="1" t="s">
        <v>144</v>
      </c>
      <c r="AG3794" s="1">
        <v>45</v>
      </c>
      <c r="AO3794" s="2">
        <v>46288</v>
      </c>
      <c r="AP3794" s="1" t="s">
        <v>226</v>
      </c>
      <c r="AS3794" s="1" t="s">
        <v>71</v>
      </c>
      <c r="AU3794" s="1" t="s">
        <v>72</v>
      </c>
      <c r="AV3794" s="1" t="s">
        <v>73</v>
      </c>
      <c r="AX3794" s="1">
        <v>0</v>
      </c>
      <c r="BA3794" s="1">
        <v>9</v>
      </c>
      <c r="BB3794" s="1">
        <v>0</v>
      </c>
      <c r="BC3794" s="1">
        <v>0</v>
      </c>
      <c r="BE3794" s="1">
        <v>27661870</v>
      </c>
    </row>
    <row r="3795" spans="1:57" x14ac:dyDescent="0.25">
      <c r="A3795" s="1" t="str">
        <f>T("1949541044127997820")</f>
        <v>1949541044127997820</v>
      </c>
      <c r="B3795" s="1" t="str">
        <f>T("249917923558")</f>
        <v>249917923558</v>
      </c>
      <c r="C3795" s="1" t="str">
        <f>T("1941094533324345296")</f>
        <v>1941094533324345296</v>
      </c>
      <c r="AC3795" s="1" t="s">
        <v>344</v>
      </c>
      <c r="AD3795" s="1" t="s">
        <v>441</v>
      </c>
      <c r="AE3795" s="1" t="s">
        <v>530</v>
      </c>
      <c r="AF3795" s="1" t="s">
        <v>107</v>
      </c>
      <c r="AG3795" s="1">
        <v>39</v>
      </c>
      <c r="AO3795" s="2">
        <v>46288</v>
      </c>
      <c r="AP3795" s="1" t="s">
        <v>226</v>
      </c>
      <c r="AS3795" s="1" t="s">
        <v>71</v>
      </c>
      <c r="AU3795" s="1" t="s">
        <v>72</v>
      </c>
      <c r="AV3795" s="1" t="s">
        <v>437</v>
      </c>
      <c r="AX3795" s="1">
        <v>0</v>
      </c>
      <c r="BA3795" s="1">
        <v>9</v>
      </c>
      <c r="BB3795" s="1">
        <v>0</v>
      </c>
      <c r="BC3795" s="1">
        <v>0</v>
      </c>
      <c r="BE3795" s="1">
        <v>27661870</v>
      </c>
    </row>
    <row r="3796" spans="1:57" x14ac:dyDescent="0.25">
      <c r="A3796" s="1" t="str">
        <f>T("1949541044207687172")</f>
        <v>1949541044207687172</v>
      </c>
      <c r="B3796" s="1" t="str">
        <f>T("249116111560")</f>
        <v>249116111560</v>
      </c>
      <c r="C3796" s="1" t="str">
        <f>T("1941094533328537004")</f>
        <v>1941094533328537004</v>
      </c>
      <c r="M3796" s="1" t="s">
        <v>59</v>
      </c>
      <c r="O3796" s="1" t="s">
        <v>65</v>
      </c>
      <c r="P3796" s="1" t="s">
        <v>61</v>
      </c>
      <c r="Q3796" s="1" t="s">
        <v>101</v>
      </c>
      <c r="R3796" s="1" t="s">
        <v>93</v>
      </c>
      <c r="T3796" s="1" t="s">
        <v>95</v>
      </c>
      <c r="U3796" s="1" t="s">
        <v>65</v>
      </c>
      <c r="V3796" s="1" t="s">
        <v>103</v>
      </c>
      <c r="W3796" s="1" t="s">
        <v>60</v>
      </c>
      <c r="X3796" s="1" t="s">
        <v>66</v>
      </c>
      <c r="Y3796" s="1" t="s">
        <v>160</v>
      </c>
      <c r="AA3796" s="1">
        <v>1</v>
      </c>
      <c r="AB3796" s="1">
        <v>1</v>
      </c>
      <c r="AC3796" s="1" t="s">
        <v>344</v>
      </c>
      <c r="AD3796" s="1" t="s">
        <v>372</v>
      </c>
      <c r="AE3796" s="1" t="s">
        <v>820</v>
      </c>
      <c r="AF3796" s="1" t="s">
        <v>107</v>
      </c>
      <c r="AG3796" s="1">
        <v>52</v>
      </c>
      <c r="AO3796" s="2">
        <v>46288</v>
      </c>
      <c r="AP3796" s="1" t="s">
        <v>226</v>
      </c>
      <c r="AQ3796" s="2">
        <v>46288</v>
      </c>
      <c r="AR3796" s="1" t="s">
        <v>909</v>
      </c>
      <c r="AS3796" s="1" t="s">
        <v>71</v>
      </c>
      <c r="AU3796" s="1" t="s">
        <v>78</v>
      </c>
      <c r="AV3796" s="1" t="s">
        <v>80</v>
      </c>
      <c r="AW3796" s="1">
        <v>255.08</v>
      </c>
      <c r="AX3796" s="1">
        <v>0</v>
      </c>
      <c r="AZ3796" s="1" t="s">
        <v>81</v>
      </c>
      <c r="BA3796" s="1">
        <v>1</v>
      </c>
      <c r="BB3796" s="1">
        <v>0</v>
      </c>
      <c r="BC3796" s="1">
        <v>0</v>
      </c>
      <c r="BE3796" s="1">
        <v>27661870</v>
      </c>
    </row>
    <row r="3797" spans="1:57" x14ac:dyDescent="0.25">
      <c r="A3797" s="1" t="str">
        <f>T("1949541044249629152")</f>
        <v>1949541044249629152</v>
      </c>
      <c r="B3797" s="1" t="str">
        <f>T("249908245329")</f>
        <v>249908245329</v>
      </c>
      <c r="C3797" s="1" t="str">
        <f>T("1941094533328537404")</f>
        <v>1941094533328537404</v>
      </c>
      <c r="AC3797" s="1" t="s">
        <v>344</v>
      </c>
      <c r="AD3797" s="1" t="s">
        <v>441</v>
      </c>
      <c r="AE3797" s="1" t="s">
        <v>530</v>
      </c>
      <c r="AF3797" s="1" t="s">
        <v>107</v>
      </c>
      <c r="AG3797" s="1">
        <v>35</v>
      </c>
      <c r="AO3797" s="2">
        <v>46288</v>
      </c>
      <c r="AP3797" s="1" t="s">
        <v>226</v>
      </c>
      <c r="AS3797" s="1" t="s">
        <v>71</v>
      </c>
      <c r="AU3797" s="1" t="s">
        <v>72</v>
      </c>
      <c r="AV3797" s="1" t="s">
        <v>73</v>
      </c>
      <c r="AX3797" s="1">
        <v>0</v>
      </c>
      <c r="BA3797" s="1">
        <v>9</v>
      </c>
      <c r="BB3797" s="1">
        <v>0</v>
      </c>
      <c r="BC3797" s="1">
        <v>0</v>
      </c>
      <c r="BE3797" s="1">
        <v>27661870</v>
      </c>
    </row>
    <row r="3798" spans="1:57" x14ac:dyDescent="0.25">
      <c r="A3798" s="1" t="str">
        <f>T("1949541044417404772")</f>
        <v>1949541044417404772</v>
      </c>
      <c r="B3798" s="1" t="str">
        <f>T("249911022182")</f>
        <v>249911022182</v>
      </c>
      <c r="C3798" s="1" t="str">
        <f>T("1941094533328537804")</f>
        <v>1941094533328537804</v>
      </c>
      <c r="AC3798" s="1" t="s">
        <v>344</v>
      </c>
      <c r="AD3798" s="1" t="s">
        <v>372</v>
      </c>
      <c r="AE3798" s="1" t="s">
        <v>813</v>
      </c>
      <c r="AF3798" s="1" t="s">
        <v>144</v>
      </c>
      <c r="AG3798" s="1">
        <v>35</v>
      </c>
      <c r="AO3798" s="2">
        <v>46288</v>
      </c>
      <c r="AP3798" s="1" t="s">
        <v>226</v>
      </c>
      <c r="AS3798" s="1" t="s">
        <v>71</v>
      </c>
      <c r="AU3798" s="1" t="s">
        <v>72</v>
      </c>
      <c r="AV3798" s="1" t="s">
        <v>73</v>
      </c>
      <c r="AX3798" s="1">
        <v>0</v>
      </c>
      <c r="BA3798" s="1">
        <v>9</v>
      </c>
      <c r="BB3798" s="1">
        <v>0</v>
      </c>
      <c r="BC3798" s="1">
        <v>0</v>
      </c>
      <c r="BE3798" s="1">
        <v>27661870</v>
      </c>
    </row>
    <row r="3799" spans="1:57" x14ac:dyDescent="0.25">
      <c r="A3799" s="1" t="str">
        <f>T("1949541044480319192")</f>
        <v>1949541044480319192</v>
      </c>
      <c r="B3799" s="1" t="str">
        <f>T("249909471968")</f>
        <v>249909471968</v>
      </c>
      <c r="C3799" s="1" t="str">
        <f>T("1941094533328538104")</f>
        <v>1941094533328538104</v>
      </c>
      <c r="AC3799" s="1" t="s">
        <v>344</v>
      </c>
      <c r="AD3799" s="1" t="s">
        <v>441</v>
      </c>
      <c r="AE3799" s="1" t="s">
        <v>530</v>
      </c>
      <c r="AF3799" s="1" t="s">
        <v>107</v>
      </c>
      <c r="AG3799" s="1">
        <v>37</v>
      </c>
      <c r="AO3799" s="2">
        <v>46288</v>
      </c>
      <c r="AP3799" s="1" t="s">
        <v>226</v>
      </c>
      <c r="AS3799" s="1" t="s">
        <v>71</v>
      </c>
      <c r="AU3799" s="1" t="s">
        <v>72</v>
      </c>
      <c r="AV3799" s="1" t="s">
        <v>73</v>
      </c>
      <c r="AX3799" s="1">
        <v>0</v>
      </c>
      <c r="BA3799" s="1">
        <v>9</v>
      </c>
      <c r="BB3799" s="1">
        <v>0</v>
      </c>
      <c r="BC3799" s="1">
        <v>0</v>
      </c>
      <c r="BE3799" s="1">
        <v>27661870</v>
      </c>
    </row>
    <row r="3800" spans="1:57" x14ac:dyDescent="0.25">
      <c r="A3800" s="1" t="str">
        <f>T("1949541044627118472")</f>
        <v>1949541044627118472</v>
      </c>
      <c r="B3800" s="1" t="str">
        <f>T("249918837553")</f>
        <v>249918837553</v>
      </c>
      <c r="C3800" s="1" t="str">
        <f>T("1941094533328539004")</f>
        <v>1941094533328539004</v>
      </c>
      <c r="AC3800" s="1" t="s">
        <v>344</v>
      </c>
      <c r="AD3800" s="1" t="s">
        <v>430</v>
      </c>
      <c r="AE3800" s="1" t="s">
        <v>530</v>
      </c>
      <c r="AF3800" s="1" t="s">
        <v>107</v>
      </c>
      <c r="AG3800" s="1">
        <v>22</v>
      </c>
      <c r="AO3800" s="2">
        <v>46288</v>
      </c>
      <c r="AP3800" s="1" t="s">
        <v>226</v>
      </c>
      <c r="AS3800" s="1" t="s">
        <v>71</v>
      </c>
      <c r="AU3800" s="1" t="s">
        <v>72</v>
      </c>
      <c r="AV3800" s="1" t="s">
        <v>437</v>
      </c>
      <c r="AX3800" s="1">
        <v>0</v>
      </c>
      <c r="BA3800" s="1">
        <v>9</v>
      </c>
      <c r="BB3800" s="1">
        <v>0</v>
      </c>
      <c r="BC3800" s="1">
        <v>0</v>
      </c>
      <c r="BE3800" s="1">
        <v>27661870</v>
      </c>
    </row>
    <row r="3801" spans="1:57" x14ac:dyDescent="0.25">
      <c r="A3801" s="1" t="str">
        <f>T("1949541044639701696")</f>
        <v>1949541044639701696</v>
      </c>
      <c r="B3801" s="1" t="str">
        <f>T("249962277445")</f>
        <v>249962277445</v>
      </c>
      <c r="C3801" s="1" t="str">
        <f>T("1941094533328538504")</f>
        <v>1941094533328538504</v>
      </c>
      <c r="AC3801" s="1" t="s">
        <v>344</v>
      </c>
      <c r="AD3801" s="1" t="s">
        <v>441</v>
      </c>
      <c r="AE3801" s="1" t="s">
        <v>530</v>
      </c>
      <c r="AF3801" s="1" t="s">
        <v>144</v>
      </c>
      <c r="AG3801" s="1">
        <v>50</v>
      </c>
      <c r="AO3801" s="2">
        <v>46288</v>
      </c>
      <c r="AP3801" s="1" t="s">
        <v>226</v>
      </c>
      <c r="AS3801" s="1" t="s">
        <v>71</v>
      </c>
      <c r="AU3801" s="1" t="s">
        <v>72</v>
      </c>
      <c r="AV3801" s="1" t="s">
        <v>437</v>
      </c>
      <c r="AX3801" s="1">
        <v>0</v>
      </c>
      <c r="BA3801" s="1">
        <v>9</v>
      </c>
      <c r="BB3801" s="1">
        <v>0</v>
      </c>
      <c r="BC3801" s="1">
        <v>0</v>
      </c>
      <c r="BE3801" s="1">
        <v>27661870</v>
      </c>
    </row>
    <row r="3802" spans="1:57" x14ac:dyDescent="0.25">
      <c r="A3802" s="1" t="str">
        <f>T("1949541044698420308")</f>
        <v>1949541044698420308</v>
      </c>
      <c r="B3802" s="1" t="str">
        <f>T("249913044391")</f>
        <v>249913044391</v>
      </c>
      <c r="C3802" s="1" t="str">
        <f>T("1941094533328539404")</f>
        <v>1941094533328539404</v>
      </c>
      <c r="AC3802" s="1" t="s">
        <v>344</v>
      </c>
      <c r="AD3802" s="1" t="s">
        <v>430</v>
      </c>
      <c r="AE3802" s="1" t="s">
        <v>530</v>
      </c>
      <c r="AF3802" s="1" t="s">
        <v>107</v>
      </c>
      <c r="AG3802" s="1">
        <v>34</v>
      </c>
      <c r="AO3802" s="2">
        <v>46288</v>
      </c>
      <c r="AP3802" s="1" t="s">
        <v>226</v>
      </c>
      <c r="AS3802" s="1" t="s">
        <v>71</v>
      </c>
      <c r="AU3802" s="1" t="s">
        <v>72</v>
      </c>
      <c r="AV3802" s="1" t="s">
        <v>73</v>
      </c>
      <c r="AX3802" s="1">
        <v>0</v>
      </c>
      <c r="BA3802" s="1">
        <v>9</v>
      </c>
      <c r="BB3802" s="1">
        <v>0</v>
      </c>
      <c r="BC3802" s="1">
        <v>0</v>
      </c>
      <c r="BE3802" s="1">
        <v>27661870</v>
      </c>
    </row>
    <row r="3803" spans="1:57" x14ac:dyDescent="0.25">
      <c r="A3803" s="1" t="str">
        <f>T("1949541044698420608")</f>
        <v>1949541044698420608</v>
      </c>
      <c r="B3803" s="1" t="str">
        <f>T("249962949923")</f>
        <v>249962949923</v>
      </c>
      <c r="C3803" s="1" t="str">
        <f>T("1941094533332730012")</f>
        <v>1941094533332730012</v>
      </c>
      <c r="AC3803" s="1" t="s">
        <v>344</v>
      </c>
      <c r="AD3803" s="1" t="s">
        <v>372</v>
      </c>
      <c r="AE3803" s="1" t="s">
        <v>373</v>
      </c>
      <c r="AF3803" s="1" t="s">
        <v>107</v>
      </c>
      <c r="AG3803" s="1">
        <v>58</v>
      </c>
      <c r="AO3803" s="2">
        <v>46288</v>
      </c>
      <c r="AP3803" s="1" t="s">
        <v>226</v>
      </c>
      <c r="AS3803" s="1" t="s">
        <v>71</v>
      </c>
      <c r="AU3803" s="1" t="s">
        <v>72</v>
      </c>
      <c r="AV3803" s="1" t="s">
        <v>126</v>
      </c>
      <c r="AX3803" s="1">
        <v>0</v>
      </c>
      <c r="BA3803" s="1">
        <v>9</v>
      </c>
      <c r="BB3803" s="1">
        <v>0</v>
      </c>
      <c r="BC3803" s="1">
        <v>0</v>
      </c>
      <c r="BE3803" s="1">
        <v>27661870</v>
      </c>
    </row>
    <row r="3804" spans="1:57" x14ac:dyDescent="0.25">
      <c r="A3804" s="1" t="str">
        <f>T("1949541044769724944")</f>
        <v>1949541044769724944</v>
      </c>
      <c r="B3804" s="1" t="str">
        <f>T("249968186888")</f>
        <v>249968186888</v>
      </c>
      <c r="C3804" s="1" t="str">
        <f>T("1941094533332730312")</f>
        <v>1941094533332730312</v>
      </c>
      <c r="AC3804" s="1" t="s">
        <v>344</v>
      </c>
      <c r="AD3804" s="1" t="s">
        <v>372</v>
      </c>
      <c r="AE3804" s="1" t="s">
        <v>820</v>
      </c>
      <c r="AF3804" s="1" t="s">
        <v>107</v>
      </c>
      <c r="AG3804" s="1">
        <v>35</v>
      </c>
      <c r="AO3804" s="2">
        <v>46288</v>
      </c>
      <c r="AP3804" s="1" t="s">
        <v>226</v>
      </c>
      <c r="AS3804" s="1" t="s">
        <v>71</v>
      </c>
      <c r="AU3804" s="1" t="s">
        <v>72</v>
      </c>
      <c r="AV3804" s="1" t="s">
        <v>437</v>
      </c>
      <c r="AX3804" s="1">
        <v>0</v>
      </c>
      <c r="BA3804" s="1">
        <v>9</v>
      </c>
      <c r="BB3804" s="1">
        <v>0</v>
      </c>
      <c r="BC3804" s="1">
        <v>0</v>
      </c>
      <c r="BE3804" s="1">
        <v>27661870</v>
      </c>
    </row>
    <row r="3805" spans="1:57" x14ac:dyDescent="0.25">
      <c r="A3805" s="1" t="str">
        <f>T("1949541044799083600")</f>
        <v>1949541044799083600</v>
      </c>
      <c r="B3805" s="1" t="str">
        <f>T("249909787783")</f>
        <v>249909787783</v>
      </c>
      <c r="C3805" s="1" t="str">
        <f>T("1941094533332730712")</f>
        <v>1941094533332730712</v>
      </c>
      <c r="AC3805" s="1" t="s">
        <v>344</v>
      </c>
      <c r="AD3805" s="1" t="s">
        <v>357</v>
      </c>
      <c r="AE3805" s="1" t="s">
        <v>812</v>
      </c>
      <c r="AF3805" s="1" t="s">
        <v>107</v>
      </c>
      <c r="AG3805" s="1">
        <v>35</v>
      </c>
      <c r="AO3805" s="2">
        <v>46288</v>
      </c>
      <c r="AP3805" s="1" t="s">
        <v>226</v>
      </c>
      <c r="AS3805" s="1" t="s">
        <v>71</v>
      </c>
      <c r="AU3805" s="1" t="s">
        <v>72</v>
      </c>
      <c r="AV3805" s="1" t="s">
        <v>437</v>
      </c>
      <c r="AX3805" s="1">
        <v>0</v>
      </c>
      <c r="BA3805" s="1">
        <v>9</v>
      </c>
      <c r="BB3805" s="1">
        <v>0</v>
      </c>
      <c r="BC3805" s="1">
        <v>0</v>
      </c>
      <c r="BE3805" s="1">
        <v>27661870</v>
      </c>
    </row>
    <row r="3806" spans="1:57" x14ac:dyDescent="0.25">
      <c r="A3806" s="1" t="str">
        <f>T("1949541044866193128")</f>
        <v>1949541044866193128</v>
      </c>
      <c r="B3806" s="1" t="str">
        <f>T("249917538191")</f>
        <v>249917538191</v>
      </c>
      <c r="C3806" s="1" t="str">
        <f>T("1941094533332731112")</f>
        <v>1941094533332731112</v>
      </c>
      <c r="AC3806" s="1" t="s">
        <v>344</v>
      </c>
      <c r="AD3806" s="1" t="s">
        <v>430</v>
      </c>
      <c r="AE3806" s="1" t="s">
        <v>530</v>
      </c>
      <c r="AF3806" s="1" t="s">
        <v>107</v>
      </c>
      <c r="AG3806" s="1">
        <v>60</v>
      </c>
      <c r="AO3806" s="2">
        <v>46288</v>
      </c>
      <c r="AP3806" s="1" t="s">
        <v>226</v>
      </c>
      <c r="AS3806" s="1" t="s">
        <v>71</v>
      </c>
      <c r="AU3806" s="1" t="s">
        <v>72</v>
      </c>
      <c r="AV3806" s="1" t="s">
        <v>73</v>
      </c>
      <c r="AX3806" s="1">
        <v>0</v>
      </c>
      <c r="BA3806" s="1">
        <v>9</v>
      </c>
      <c r="BB3806" s="1">
        <v>0</v>
      </c>
      <c r="BC3806" s="1">
        <v>0</v>
      </c>
      <c r="BE3806" s="1">
        <v>27661870</v>
      </c>
    </row>
    <row r="3807" spans="1:57" x14ac:dyDescent="0.25">
      <c r="A3807" s="1" t="str">
        <f>T("1949541044866193528")</f>
        <v>1949541044866193528</v>
      </c>
      <c r="B3807" s="1" t="str">
        <f>T("249917103575")</f>
        <v>249917103575</v>
      </c>
      <c r="C3807" s="1" t="str">
        <f>T("1941094533332731412")</f>
        <v>1941094533332731412</v>
      </c>
      <c r="AC3807" s="1" t="s">
        <v>344</v>
      </c>
      <c r="AD3807" s="1" t="s">
        <v>372</v>
      </c>
      <c r="AE3807" s="1" t="s">
        <v>818</v>
      </c>
      <c r="AF3807" s="1" t="s">
        <v>107</v>
      </c>
      <c r="AG3807" s="1">
        <v>61</v>
      </c>
      <c r="AO3807" s="2">
        <v>46288</v>
      </c>
      <c r="AP3807" s="1" t="s">
        <v>226</v>
      </c>
      <c r="AS3807" s="1" t="s">
        <v>71</v>
      </c>
      <c r="AU3807" s="1" t="s">
        <v>72</v>
      </c>
      <c r="AV3807" s="1" t="s">
        <v>73</v>
      </c>
      <c r="AX3807" s="1">
        <v>0</v>
      </c>
      <c r="BA3807" s="1">
        <v>9</v>
      </c>
      <c r="BB3807" s="1">
        <v>0</v>
      </c>
      <c r="BC3807" s="1">
        <v>0</v>
      </c>
      <c r="BE3807" s="1">
        <v>27661870</v>
      </c>
    </row>
    <row r="3808" spans="1:57" x14ac:dyDescent="0.25">
      <c r="A3808" s="1" t="str">
        <f>T("1949541044916523924")</f>
        <v>1949541044916523924</v>
      </c>
      <c r="B3808" s="1" t="str">
        <f>T("249962068086")</f>
        <v>249962068086</v>
      </c>
      <c r="C3808" s="1" t="str">
        <f>T("1941094533332732012")</f>
        <v>1941094533332732012</v>
      </c>
      <c r="AC3808" s="1" t="s">
        <v>344</v>
      </c>
      <c r="AD3808" s="1" t="s">
        <v>441</v>
      </c>
      <c r="AE3808" s="1" t="s">
        <v>530</v>
      </c>
      <c r="AF3808" s="1" t="s">
        <v>107</v>
      </c>
      <c r="AG3808" s="1">
        <v>54</v>
      </c>
      <c r="AO3808" s="2">
        <v>46288</v>
      </c>
      <c r="AP3808" s="1" t="s">
        <v>226</v>
      </c>
      <c r="AS3808" s="1" t="s">
        <v>71</v>
      </c>
      <c r="AU3808" s="1" t="s">
        <v>72</v>
      </c>
      <c r="AV3808" s="1" t="s">
        <v>437</v>
      </c>
      <c r="AX3808" s="1">
        <v>0</v>
      </c>
      <c r="BA3808" s="1">
        <v>9</v>
      </c>
      <c r="BB3808" s="1">
        <v>0</v>
      </c>
      <c r="BC3808" s="1">
        <v>0</v>
      </c>
      <c r="BE3808" s="1">
        <v>27661870</v>
      </c>
    </row>
    <row r="3809" spans="1:57" x14ac:dyDescent="0.25">
      <c r="A3809" s="1" t="str">
        <f>T("1949541044966855920")</f>
        <v>1949541044966855920</v>
      </c>
      <c r="B3809" s="1" t="str">
        <f>T("249907635185")</f>
        <v>249907635185</v>
      </c>
      <c r="C3809" s="1" t="str">
        <f>T("1941094533332732312")</f>
        <v>1941094533332732312</v>
      </c>
      <c r="AC3809" s="1" t="s">
        <v>344</v>
      </c>
      <c r="AD3809" s="1" t="s">
        <v>372</v>
      </c>
      <c r="AE3809" s="1" t="s">
        <v>820</v>
      </c>
      <c r="AF3809" s="1" t="s">
        <v>144</v>
      </c>
      <c r="AG3809" s="1">
        <v>28</v>
      </c>
      <c r="AO3809" s="2">
        <v>46288</v>
      </c>
      <c r="AP3809" s="1" t="s">
        <v>226</v>
      </c>
      <c r="AS3809" s="1" t="s">
        <v>71</v>
      </c>
      <c r="AU3809" s="1" t="s">
        <v>72</v>
      </c>
      <c r="AV3809" s="1" t="s">
        <v>437</v>
      </c>
      <c r="AX3809" s="1">
        <v>0</v>
      </c>
      <c r="BA3809" s="1">
        <v>9</v>
      </c>
      <c r="BB3809" s="1">
        <v>0</v>
      </c>
      <c r="BC3809" s="1">
        <v>0</v>
      </c>
      <c r="BE3809" s="1">
        <v>27661870</v>
      </c>
    </row>
    <row r="3810" spans="1:57" x14ac:dyDescent="0.25">
      <c r="A3810" s="1" t="str">
        <f>T("1949541045017188816")</f>
        <v>1949541045017188816</v>
      </c>
      <c r="B3810" s="1" t="str">
        <f>T("249998945755")</f>
        <v>249998945755</v>
      </c>
      <c r="C3810" s="1" t="str">
        <f>T("1941094533332733112")</f>
        <v>1941094533332733112</v>
      </c>
      <c r="AA3810" s="1">
        <v>1</v>
      </c>
      <c r="AC3810" s="1" t="s">
        <v>344</v>
      </c>
      <c r="AD3810" s="1" t="s">
        <v>372</v>
      </c>
      <c r="AE3810" s="1" t="s">
        <v>814</v>
      </c>
      <c r="AF3810" s="1" t="s">
        <v>144</v>
      </c>
      <c r="AG3810" s="1">
        <v>50</v>
      </c>
      <c r="AO3810" s="2">
        <v>46288</v>
      </c>
      <c r="AP3810" s="1" t="s">
        <v>226</v>
      </c>
      <c r="AQ3810" s="2">
        <v>46288</v>
      </c>
      <c r="AR3810" s="1" t="s">
        <v>647</v>
      </c>
      <c r="AS3810" s="1" t="s">
        <v>71</v>
      </c>
      <c r="AU3810" s="1" t="s">
        <v>79</v>
      </c>
      <c r="AV3810" s="1" t="s">
        <v>80</v>
      </c>
      <c r="AW3810" s="1">
        <v>71.16</v>
      </c>
      <c r="AX3810" s="1">
        <v>0</v>
      </c>
      <c r="AZ3810" s="1" t="s">
        <v>81</v>
      </c>
      <c r="BA3810" s="1">
        <v>1</v>
      </c>
      <c r="BB3810" s="1">
        <v>0</v>
      </c>
      <c r="BC3810" s="1">
        <v>0</v>
      </c>
      <c r="BE3810" s="1">
        <v>27661870</v>
      </c>
    </row>
    <row r="3811" spans="1:57" x14ac:dyDescent="0.25">
      <c r="A3811" s="1" t="str">
        <f>T("1949541045054935388")</f>
        <v>1949541045054935388</v>
      </c>
      <c r="B3811" s="1" t="str">
        <f>T("249916523641")</f>
        <v>249916523641</v>
      </c>
      <c r="C3811" s="1" t="str">
        <f>T("1941094533332732612")</f>
        <v>1941094533332732612</v>
      </c>
      <c r="AC3811" s="1" t="s">
        <v>344</v>
      </c>
      <c r="AD3811" s="1" t="s">
        <v>372</v>
      </c>
      <c r="AE3811" s="1" t="s">
        <v>820</v>
      </c>
      <c r="AF3811" s="1" t="s">
        <v>144</v>
      </c>
      <c r="AG3811" s="1">
        <v>27</v>
      </c>
      <c r="AO3811" s="2">
        <v>46288</v>
      </c>
      <c r="AP3811" s="1" t="s">
        <v>226</v>
      </c>
      <c r="AS3811" s="1" t="s">
        <v>71</v>
      </c>
      <c r="AU3811" s="1" t="s">
        <v>72</v>
      </c>
      <c r="AV3811" s="1" t="s">
        <v>73</v>
      </c>
      <c r="AX3811" s="1">
        <v>0</v>
      </c>
      <c r="BA3811" s="1">
        <v>9</v>
      </c>
      <c r="BB3811" s="1">
        <v>0</v>
      </c>
      <c r="BC3811" s="1">
        <v>0</v>
      </c>
      <c r="BE3811" s="1">
        <v>27661870</v>
      </c>
    </row>
    <row r="3812" spans="1:57" x14ac:dyDescent="0.25">
      <c r="A3812" s="1" t="str">
        <f>T("1949541045113658100")</f>
        <v>1949541045113658100</v>
      </c>
      <c r="B3812" s="1" t="str">
        <f>T("249913124105")</f>
        <v>249913124105</v>
      </c>
      <c r="C3812" s="1" t="str">
        <f>T("1941094533332733912")</f>
        <v>1941094533332733912</v>
      </c>
      <c r="AC3812" s="1" t="s">
        <v>344</v>
      </c>
      <c r="AD3812" s="1" t="s">
        <v>372</v>
      </c>
      <c r="AE3812" s="1" t="s">
        <v>813</v>
      </c>
      <c r="AF3812" s="1" t="s">
        <v>144</v>
      </c>
      <c r="AG3812" s="1">
        <v>25</v>
      </c>
      <c r="AO3812" s="2">
        <v>46288</v>
      </c>
      <c r="AP3812" s="1" t="s">
        <v>226</v>
      </c>
      <c r="AS3812" s="1" t="s">
        <v>71</v>
      </c>
      <c r="AU3812" s="1" t="s">
        <v>72</v>
      </c>
      <c r="AV3812" s="1" t="s">
        <v>73</v>
      </c>
      <c r="AX3812" s="1">
        <v>0</v>
      </c>
      <c r="BA3812" s="1">
        <v>9</v>
      </c>
      <c r="BB3812" s="1">
        <v>0</v>
      </c>
      <c r="BC3812" s="1">
        <v>0</v>
      </c>
      <c r="BE3812" s="1">
        <v>27661870</v>
      </c>
    </row>
    <row r="3813" spans="1:57" x14ac:dyDescent="0.25">
      <c r="A3813" s="1" t="str">
        <f>T("1949541045130433932")</f>
        <v>1949541045130433932</v>
      </c>
      <c r="B3813" s="1" t="str">
        <f>T("249917605083")</f>
        <v>249917605083</v>
      </c>
      <c r="C3813" s="1" t="str">
        <f>T("1941094533332733512")</f>
        <v>1941094533332733512</v>
      </c>
      <c r="AC3813" s="1" t="s">
        <v>344</v>
      </c>
      <c r="AD3813" s="1" t="s">
        <v>856</v>
      </c>
      <c r="AE3813" s="1" t="s">
        <v>857</v>
      </c>
      <c r="AF3813" s="1" t="s">
        <v>107</v>
      </c>
      <c r="AG3813" s="1">
        <v>30</v>
      </c>
      <c r="AO3813" s="2">
        <v>46288</v>
      </c>
      <c r="AP3813" s="1" t="s">
        <v>226</v>
      </c>
      <c r="AS3813" s="1" t="s">
        <v>71</v>
      </c>
      <c r="AU3813" s="1" t="s">
        <v>72</v>
      </c>
      <c r="AV3813" s="1" t="s">
        <v>437</v>
      </c>
      <c r="AX3813" s="1">
        <v>0</v>
      </c>
      <c r="BA3813" s="1">
        <v>9</v>
      </c>
      <c r="BB3813" s="1">
        <v>0</v>
      </c>
      <c r="BC3813" s="1">
        <v>0</v>
      </c>
      <c r="BE3813" s="1">
        <v>27661870</v>
      </c>
    </row>
    <row r="3814" spans="1:57" x14ac:dyDescent="0.25">
      <c r="A3814" s="1" t="str">
        <f>T("1949541045180767428")</f>
        <v>1949541045180767428</v>
      </c>
      <c r="B3814" s="1" t="str">
        <f>T("249112993565")</f>
        <v>249112993565</v>
      </c>
      <c r="C3814" s="1" t="str">
        <f>T("1941094533341121728")</f>
        <v>1941094533341121728</v>
      </c>
      <c r="AC3814" s="1" t="s">
        <v>344</v>
      </c>
      <c r="AD3814" s="1" t="s">
        <v>372</v>
      </c>
      <c r="AE3814" s="1" t="s">
        <v>818</v>
      </c>
      <c r="AF3814" s="1" t="s">
        <v>107</v>
      </c>
      <c r="AG3814" s="1">
        <v>68</v>
      </c>
      <c r="AO3814" s="2">
        <v>46288</v>
      </c>
      <c r="AP3814" s="1" t="s">
        <v>226</v>
      </c>
      <c r="AQ3814" s="2">
        <v>46289</v>
      </c>
      <c r="AR3814" s="1" t="s">
        <v>910</v>
      </c>
      <c r="AS3814" s="1" t="s">
        <v>71</v>
      </c>
      <c r="AU3814" s="1" t="s">
        <v>79</v>
      </c>
      <c r="AV3814" s="1" t="s">
        <v>80</v>
      </c>
      <c r="AW3814" s="1">
        <v>23.4</v>
      </c>
      <c r="AX3814" s="1">
        <v>0</v>
      </c>
      <c r="AZ3814" s="1" t="s">
        <v>81</v>
      </c>
      <c r="BA3814" s="1">
        <v>9</v>
      </c>
      <c r="BB3814" s="1">
        <v>0</v>
      </c>
      <c r="BC3814" s="1">
        <v>0</v>
      </c>
      <c r="BE3814" s="1">
        <v>27661870</v>
      </c>
    </row>
    <row r="3815" spans="1:57" x14ac:dyDescent="0.25">
      <c r="A3815" s="1" t="str">
        <f>T("1949541045205933676")</f>
        <v>1949541045205933676</v>
      </c>
      <c r="B3815" s="1" t="str">
        <f>T("249915551561")</f>
        <v>249915551561</v>
      </c>
      <c r="C3815" s="1" t="str">
        <f>T("1941094533345312836")</f>
        <v>1941094533345312836</v>
      </c>
      <c r="AC3815" s="1" t="s">
        <v>344</v>
      </c>
      <c r="AD3815" s="1" t="s">
        <v>430</v>
      </c>
      <c r="AE3815" s="1" t="s">
        <v>530</v>
      </c>
      <c r="AF3815" s="1" t="s">
        <v>107</v>
      </c>
      <c r="AG3815" s="1">
        <v>25</v>
      </c>
      <c r="AO3815" s="2">
        <v>46288</v>
      </c>
      <c r="AP3815" s="1" t="s">
        <v>226</v>
      </c>
      <c r="AS3815" s="1" t="s">
        <v>71</v>
      </c>
      <c r="AU3815" s="1" t="s">
        <v>72</v>
      </c>
      <c r="AV3815" s="1" t="s">
        <v>73</v>
      </c>
      <c r="AX3815" s="1">
        <v>0</v>
      </c>
      <c r="BA3815" s="1">
        <v>9</v>
      </c>
      <c r="BB3815" s="1">
        <v>0</v>
      </c>
      <c r="BC3815" s="1">
        <v>0</v>
      </c>
      <c r="BE3815" s="1">
        <v>27661870</v>
      </c>
    </row>
    <row r="3816" spans="1:57" x14ac:dyDescent="0.25">
      <c r="A3816" s="1" t="str">
        <f>T("1949541045226904116")</f>
        <v>1949541045226904116</v>
      </c>
      <c r="B3816" s="1" t="str">
        <f>T("249919403406")</f>
        <v>249919403406</v>
      </c>
      <c r="C3816" s="1" t="str">
        <f>T("1941094533345313236")</f>
        <v>1941094533345313236</v>
      </c>
      <c r="AC3816" s="1" t="s">
        <v>344</v>
      </c>
      <c r="AD3816" s="1" t="s">
        <v>441</v>
      </c>
      <c r="AE3816" s="1" t="s">
        <v>530</v>
      </c>
      <c r="AF3816" s="1" t="s">
        <v>107</v>
      </c>
      <c r="AG3816" s="1">
        <v>27</v>
      </c>
      <c r="AO3816" s="2">
        <v>46288</v>
      </c>
      <c r="AP3816" s="1" t="s">
        <v>226</v>
      </c>
      <c r="AS3816" s="1" t="s">
        <v>71</v>
      </c>
      <c r="AU3816" s="1" t="s">
        <v>72</v>
      </c>
      <c r="AV3816" s="1" t="s">
        <v>73</v>
      </c>
      <c r="AX3816" s="1">
        <v>0</v>
      </c>
      <c r="BA3816" s="1">
        <v>9</v>
      </c>
      <c r="BB3816" s="1">
        <v>0</v>
      </c>
      <c r="BC3816" s="1">
        <v>0</v>
      </c>
      <c r="BE3816" s="1">
        <v>27661870</v>
      </c>
    </row>
    <row r="3817" spans="1:57" x14ac:dyDescent="0.25">
      <c r="A3817" s="1" t="str">
        <f>T("1949541045306595068")</f>
        <v>1949541045306595068</v>
      </c>
      <c r="B3817" s="1" t="str">
        <f>T("249928592439")</f>
        <v>249928592439</v>
      </c>
      <c r="C3817" s="1" t="str">
        <f>T("1941094533345313636")</f>
        <v>1941094533345313636</v>
      </c>
      <c r="AC3817" s="1" t="s">
        <v>344</v>
      </c>
      <c r="AD3817" s="1" t="s">
        <v>372</v>
      </c>
      <c r="AE3817" s="1" t="s">
        <v>815</v>
      </c>
      <c r="AF3817" s="1" t="s">
        <v>144</v>
      </c>
      <c r="AG3817" s="1">
        <v>46</v>
      </c>
      <c r="AO3817" s="2">
        <v>46288</v>
      </c>
      <c r="AP3817" s="1" t="s">
        <v>226</v>
      </c>
      <c r="AS3817" s="1" t="s">
        <v>71</v>
      </c>
      <c r="AU3817" s="1" t="s">
        <v>72</v>
      </c>
      <c r="AV3817" s="1" t="s">
        <v>73</v>
      </c>
      <c r="AX3817" s="1">
        <v>0</v>
      </c>
      <c r="BA3817" s="1">
        <v>9</v>
      </c>
      <c r="BB3817" s="1">
        <v>0</v>
      </c>
      <c r="BC3817" s="1">
        <v>0</v>
      </c>
      <c r="BE3817" s="1">
        <v>27661870</v>
      </c>
    </row>
    <row r="3818" spans="1:57" x14ac:dyDescent="0.25">
      <c r="A3818" s="1" t="str">
        <f>T("1949541045344343640")</f>
        <v>1949541045344343640</v>
      </c>
      <c r="B3818" s="1" t="str">
        <f>T("249965182269")</f>
        <v>249965182269</v>
      </c>
      <c r="C3818" s="1" t="str">
        <f>T("1941094533353701452")</f>
        <v>1941094533353701452</v>
      </c>
      <c r="AC3818" s="1" t="s">
        <v>344</v>
      </c>
      <c r="AD3818" s="1" t="s">
        <v>372</v>
      </c>
      <c r="AE3818" s="1" t="s">
        <v>814</v>
      </c>
      <c r="AF3818" s="1" t="s">
        <v>144</v>
      </c>
      <c r="AG3818" s="1">
        <v>20</v>
      </c>
      <c r="AO3818" s="2">
        <v>46288</v>
      </c>
      <c r="AP3818" s="1" t="s">
        <v>226</v>
      </c>
      <c r="AS3818" s="1" t="s">
        <v>71</v>
      </c>
      <c r="AU3818" s="1" t="s">
        <v>72</v>
      </c>
      <c r="AV3818" s="1" t="s">
        <v>73</v>
      </c>
      <c r="AX3818" s="1">
        <v>0</v>
      </c>
      <c r="BA3818" s="1">
        <v>9</v>
      </c>
      <c r="BB3818" s="1">
        <v>0</v>
      </c>
      <c r="BC3818" s="1">
        <v>0</v>
      </c>
      <c r="BE3818" s="1">
        <v>27661870</v>
      </c>
    </row>
    <row r="3819" spans="1:57" x14ac:dyDescent="0.25">
      <c r="A3819" s="1" t="str">
        <f>T("1949541045411452968")</f>
        <v>1949541045411452968</v>
      </c>
      <c r="B3819" s="1" t="str">
        <f>T("249902674449")</f>
        <v>249902674449</v>
      </c>
      <c r="C3819" s="1" t="str">
        <f>T("1941094533353701952")</f>
        <v>1941094533353701952</v>
      </c>
      <c r="AC3819" s="1" t="s">
        <v>344</v>
      </c>
      <c r="AD3819" s="1" t="s">
        <v>441</v>
      </c>
      <c r="AE3819" s="1" t="s">
        <v>530</v>
      </c>
      <c r="AF3819" s="1" t="s">
        <v>107</v>
      </c>
      <c r="AG3819" s="1">
        <v>40</v>
      </c>
      <c r="AO3819" s="2">
        <v>46288</v>
      </c>
      <c r="AP3819" s="1" t="s">
        <v>226</v>
      </c>
      <c r="AS3819" s="1" t="s">
        <v>71</v>
      </c>
      <c r="AU3819" s="1" t="s">
        <v>72</v>
      </c>
      <c r="AV3819" s="1" t="s">
        <v>126</v>
      </c>
      <c r="AX3819" s="1">
        <v>0</v>
      </c>
      <c r="BA3819" s="1">
        <v>9</v>
      </c>
      <c r="BB3819" s="1">
        <v>0</v>
      </c>
      <c r="BC3819" s="1">
        <v>0</v>
      </c>
      <c r="BE3819" s="1">
        <v>27661870</v>
      </c>
    </row>
    <row r="3820" spans="1:57" x14ac:dyDescent="0.25">
      <c r="A3820" s="1" t="str">
        <f>T("1949541045445006932")</f>
        <v>1949541045445006932</v>
      </c>
      <c r="B3820" s="1" t="str">
        <f>T("249902560710")</f>
        <v>249902560710</v>
      </c>
      <c r="C3820" s="1" t="str">
        <f>T("1941094533353703052")</f>
        <v>1941094533353703052</v>
      </c>
      <c r="AC3820" s="1" t="s">
        <v>344</v>
      </c>
      <c r="AD3820" s="1" t="s">
        <v>372</v>
      </c>
      <c r="AE3820" s="1" t="s">
        <v>813</v>
      </c>
      <c r="AF3820" s="1" t="s">
        <v>107</v>
      </c>
      <c r="AG3820" s="1">
        <v>65</v>
      </c>
      <c r="AO3820" s="2">
        <v>46288</v>
      </c>
      <c r="AP3820" s="1" t="s">
        <v>226</v>
      </c>
      <c r="AS3820" s="1" t="s">
        <v>71</v>
      </c>
      <c r="AU3820" s="1" t="s">
        <v>72</v>
      </c>
      <c r="AV3820" s="1" t="s">
        <v>73</v>
      </c>
      <c r="AX3820" s="1">
        <v>0</v>
      </c>
      <c r="BA3820" s="1">
        <v>9</v>
      </c>
      <c r="BB3820" s="1">
        <v>0</v>
      </c>
      <c r="BC3820" s="1">
        <v>0</v>
      </c>
      <c r="BE3820" s="1">
        <v>27661870</v>
      </c>
    </row>
    <row r="3821" spans="1:57" x14ac:dyDescent="0.25">
      <c r="A3821" s="1" t="str">
        <f>T("1949541045558253048")</f>
        <v>1949541045558253048</v>
      </c>
      <c r="B3821" s="1" t="str">
        <f>T("249907225870")</f>
        <v>249907225870</v>
      </c>
      <c r="C3821" s="1" t="str">
        <f>T("1941094533353703552")</f>
        <v>1941094533353703552</v>
      </c>
      <c r="AC3821" s="1" t="s">
        <v>344</v>
      </c>
      <c r="AD3821" s="1" t="s">
        <v>372</v>
      </c>
      <c r="AE3821" s="1" t="s">
        <v>814</v>
      </c>
      <c r="AF3821" s="1" t="s">
        <v>144</v>
      </c>
      <c r="AG3821" s="1">
        <v>47</v>
      </c>
      <c r="AO3821" s="2">
        <v>46288</v>
      </c>
      <c r="AP3821" s="1" t="s">
        <v>226</v>
      </c>
      <c r="AS3821" s="1" t="s">
        <v>71</v>
      </c>
      <c r="AU3821" s="1" t="s">
        <v>72</v>
      </c>
      <c r="AV3821" s="1" t="s">
        <v>73</v>
      </c>
      <c r="AX3821" s="1">
        <v>0</v>
      </c>
      <c r="BA3821" s="1">
        <v>9</v>
      </c>
      <c r="BB3821" s="1">
        <v>0</v>
      </c>
      <c r="BC3821" s="1">
        <v>0</v>
      </c>
      <c r="BE3821" s="1">
        <v>27661870</v>
      </c>
    </row>
    <row r="3822" spans="1:57" x14ac:dyDescent="0.25">
      <c r="A3822" s="1" t="str">
        <f>T("1949541045558254648")</f>
        <v>1949541045558254648</v>
      </c>
      <c r="B3822" s="1" t="str">
        <f>T("249901814872")</f>
        <v>249901814872</v>
      </c>
      <c r="C3822" s="1" t="str">
        <f>T("1941094533353703952")</f>
        <v>1941094533353703952</v>
      </c>
      <c r="AC3822" s="1" t="s">
        <v>344</v>
      </c>
      <c r="AD3822" s="1" t="s">
        <v>441</v>
      </c>
      <c r="AE3822" s="1" t="s">
        <v>530</v>
      </c>
      <c r="AF3822" s="1" t="s">
        <v>144</v>
      </c>
      <c r="AG3822" s="1">
        <v>35</v>
      </c>
      <c r="AO3822" s="2">
        <v>46288</v>
      </c>
      <c r="AP3822" s="1" t="s">
        <v>226</v>
      </c>
      <c r="AS3822" s="1" t="s">
        <v>71</v>
      </c>
      <c r="AU3822" s="1" t="s">
        <v>72</v>
      </c>
      <c r="AV3822" s="1" t="s">
        <v>437</v>
      </c>
      <c r="AX3822" s="1">
        <v>0</v>
      </c>
      <c r="BA3822" s="1">
        <v>9</v>
      </c>
      <c r="BB3822" s="1">
        <v>0</v>
      </c>
      <c r="BC3822" s="1">
        <v>0</v>
      </c>
      <c r="BE3822" s="1">
        <v>27661870</v>
      </c>
    </row>
    <row r="3823" spans="1:57" x14ac:dyDescent="0.25">
      <c r="A3823" s="1" t="str">
        <f>T("1949541045583420496")</f>
        <v>1949541045583420496</v>
      </c>
      <c r="B3823" s="1" t="str">
        <f>T("249925049648")</f>
        <v>249925049648</v>
      </c>
      <c r="C3823" s="1" t="str">
        <f>T("1941094533353704652")</f>
        <v>1941094533353704652</v>
      </c>
      <c r="AC3823" s="1" t="s">
        <v>344</v>
      </c>
      <c r="AD3823" s="1" t="s">
        <v>372</v>
      </c>
      <c r="AE3823" s="1" t="s">
        <v>813</v>
      </c>
      <c r="AF3823" s="1" t="s">
        <v>107</v>
      </c>
      <c r="AG3823" s="1">
        <v>38</v>
      </c>
      <c r="AO3823" s="2">
        <v>46288</v>
      </c>
      <c r="AP3823" s="1" t="s">
        <v>226</v>
      </c>
      <c r="AS3823" s="1" t="s">
        <v>71</v>
      </c>
      <c r="AU3823" s="1" t="s">
        <v>72</v>
      </c>
      <c r="AV3823" s="1" t="s">
        <v>73</v>
      </c>
      <c r="AX3823" s="1">
        <v>0</v>
      </c>
      <c r="BA3823" s="1">
        <v>9</v>
      </c>
      <c r="BB3823" s="1">
        <v>0</v>
      </c>
      <c r="BC3823" s="1">
        <v>0</v>
      </c>
      <c r="BE3823" s="1">
        <v>27661870</v>
      </c>
    </row>
    <row r="3824" spans="1:57" x14ac:dyDescent="0.25">
      <c r="A3824" s="1" t="str">
        <f>T("1949541045591806112")</f>
        <v>1949541045591806112</v>
      </c>
      <c r="B3824" s="1" t="str">
        <f>T("249928418450")</f>
        <v>249928418450</v>
      </c>
      <c r="C3824" s="1" t="str">
        <f>T("1941094533362090468")</f>
        <v>1941094533362090468</v>
      </c>
      <c r="M3824" s="1" t="s">
        <v>59</v>
      </c>
      <c r="O3824" s="1" t="s">
        <v>65</v>
      </c>
      <c r="P3824" s="1" t="s">
        <v>61</v>
      </c>
      <c r="Q3824" s="1" t="s">
        <v>101</v>
      </c>
      <c r="R3824" s="1" t="s">
        <v>84</v>
      </c>
      <c r="S3824" s="1" t="s">
        <v>64</v>
      </c>
      <c r="AA3824" s="1">
        <v>1</v>
      </c>
      <c r="AC3824" s="1" t="s">
        <v>344</v>
      </c>
      <c r="AD3824" s="1" t="s">
        <v>372</v>
      </c>
      <c r="AE3824" s="1" t="s">
        <v>820</v>
      </c>
      <c r="AF3824" s="1" t="s">
        <v>107</v>
      </c>
      <c r="AG3824" s="1">
        <v>45</v>
      </c>
      <c r="AO3824" s="2">
        <v>46288</v>
      </c>
      <c r="AP3824" s="1" t="s">
        <v>226</v>
      </c>
      <c r="AQ3824" s="2">
        <v>46289</v>
      </c>
      <c r="AR3824" s="1" t="s">
        <v>911</v>
      </c>
      <c r="AS3824" s="1" t="s">
        <v>71</v>
      </c>
      <c r="AU3824" s="1" t="s">
        <v>78</v>
      </c>
      <c r="AV3824" s="1" t="s">
        <v>80</v>
      </c>
      <c r="AW3824" s="1">
        <v>202.34</v>
      </c>
      <c r="AX3824" s="1">
        <v>0</v>
      </c>
      <c r="AZ3824" s="1" t="s">
        <v>81</v>
      </c>
      <c r="BA3824" s="1">
        <v>4</v>
      </c>
      <c r="BB3824" s="1">
        <v>0</v>
      </c>
      <c r="BC3824" s="1">
        <v>0</v>
      </c>
      <c r="BE3824" s="1">
        <v>27661870</v>
      </c>
    </row>
    <row r="3825" spans="1:57" x14ac:dyDescent="0.25">
      <c r="A3825" s="1" t="str">
        <f>T("1949541045684083888")</f>
        <v>1949541045684083888</v>
      </c>
      <c r="B3825" s="1" t="str">
        <f>T("249911022575")</f>
        <v>249911022575</v>
      </c>
      <c r="C3825" s="1" t="str">
        <f>T("1941094533362090968")</f>
        <v>1941094533362090968</v>
      </c>
      <c r="AC3825" s="1" t="s">
        <v>344</v>
      </c>
      <c r="AD3825" s="1" t="s">
        <v>441</v>
      </c>
      <c r="AE3825" s="1" t="s">
        <v>530</v>
      </c>
      <c r="AF3825" s="1" t="s">
        <v>107</v>
      </c>
      <c r="AG3825" s="1">
        <v>35</v>
      </c>
      <c r="AO3825" s="2">
        <v>46288</v>
      </c>
      <c r="AP3825" s="1" t="s">
        <v>226</v>
      </c>
      <c r="AS3825" s="1" t="s">
        <v>71</v>
      </c>
      <c r="AU3825" s="1" t="s">
        <v>72</v>
      </c>
      <c r="AV3825" s="1" t="s">
        <v>437</v>
      </c>
      <c r="AX3825" s="1">
        <v>0</v>
      </c>
      <c r="BA3825" s="1">
        <v>9</v>
      </c>
      <c r="BB3825" s="1">
        <v>0</v>
      </c>
      <c r="BC3825" s="1">
        <v>0</v>
      </c>
      <c r="BE3825" s="1">
        <v>27661870</v>
      </c>
    </row>
    <row r="3826" spans="1:57" x14ac:dyDescent="0.25">
      <c r="A3826" s="1" t="str">
        <f>T("1949541045696664812")</f>
        <v>1949541045696664812</v>
      </c>
      <c r="B3826" s="1" t="str">
        <f>T("249960207550")</f>
        <v>249960207550</v>
      </c>
      <c r="C3826" s="1" t="str">
        <f>T("1941094533362091368")</f>
        <v>1941094533362091368</v>
      </c>
      <c r="AC3826" s="1" t="s">
        <v>344</v>
      </c>
      <c r="AD3826" s="1" t="s">
        <v>372</v>
      </c>
      <c r="AE3826" s="1" t="s">
        <v>813</v>
      </c>
      <c r="AF3826" s="1" t="s">
        <v>144</v>
      </c>
      <c r="AG3826" s="1">
        <v>36</v>
      </c>
      <c r="AO3826" s="2">
        <v>46288</v>
      </c>
      <c r="AP3826" s="1" t="s">
        <v>226</v>
      </c>
      <c r="AS3826" s="1" t="s">
        <v>71</v>
      </c>
      <c r="AU3826" s="1" t="s">
        <v>72</v>
      </c>
      <c r="AV3826" s="1" t="s">
        <v>73</v>
      </c>
      <c r="AX3826" s="1">
        <v>0</v>
      </c>
      <c r="BA3826" s="1">
        <v>9</v>
      </c>
      <c r="BB3826" s="1">
        <v>0</v>
      </c>
      <c r="BC3826" s="1">
        <v>0</v>
      </c>
      <c r="BE3826" s="1">
        <v>27661870</v>
      </c>
    </row>
    <row r="3827" spans="1:57" x14ac:dyDescent="0.25">
      <c r="A3827" s="1" t="str">
        <f>T("1949541045709249936")</f>
        <v>1949541045709249936</v>
      </c>
      <c r="B3827" s="1" t="str">
        <f>T("249966986422")</f>
        <v>249966986422</v>
      </c>
      <c r="C3827" s="1" t="str">
        <f>T("1941094533362091768")</f>
        <v>1941094533362091768</v>
      </c>
      <c r="AC3827" s="1" t="s">
        <v>344</v>
      </c>
      <c r="AD3827" s="1" t="s">
        <v>372</v>
      </c>
      <c r="AE3827" s="1" t="s">
        <v>820</v>
      </c>
      <c r="AF3827" s="1" t="s">
        <v>107</v>
      </c>
      <c r="AG3827" s="1">
        <v>66</v>
      </c>
      <c r="AO3827" s="2">
        <v>46288</v>
      </c>
      <c r="AP3827" s="1" t="s">
        <v>226</v>
      </c>
      <c r="AS3827" s="1" t="s">
        <v>71</v>
      </c>
      <c r="AU3827" s="1" t="s">
        <v>72</v>
      </c>
      <c r="AV3827" s="1" t="s">
        <v>437</v>
      </c>
      <c r="AX3827" s="1">
        <v>0</v>
      </c>
      <c r="BA3827" s="1">
        <v>9</v>
      </c>
      <c r="BB3827" s="1">
        <v>0</v>
      </c>
      <c r="BC3827" s="1">
        <v>0</v>
      </c>
      <c r="BE3827" s="1">
        <v>27661870</v>
      </c>
    </row>
    <row r="3828" spans="1:57" x14ac:dyDescent="0.25">
      <c r="A3828" s="1" t="str">
        <f>T("1949541045856047916")</f>
        <v>1949541045856047916</v>
      </c>
      <c r="B3828" s="1" t="str">
        <f>T("249964151239")</f>
        <v>249964151239</v>
      </c>
      <c r="C3828" s="1" t="str">
        <f>T("1941094533362092268")</f>
        <v>1941094533362092268</v>
      </c>
      <c r="AC3828" s="1" t="s">
        <v>344</v>
      </c>
      <c r="AD3828" s="1" t="s">
        <v>441</v>
      </c>
      <c r="AE3828" s="1" t="s">
        <v>530</v>
      </c>
      <c r="AF3828" s="1" t="s">
        <v>107</v>
      </c>
      <c r="AG3828" s="1">
        <v>38</v>
      </c>
      <c r="AO3828" s="2">
        <v>46288</v>
      </c>
      <c r="AP3828" s="1" t="s">
        <v>226</v>
      </c>
      <c r="AS3828" s="1" t="s">
        <v>71</v>
      </c>
      <c r="AU3828" s="1" t="s">
        <v>72</v>
      </c>
      <c r="AV3828" s="1" t="s">
        <v>437</v>
      </c>
      <c r="AX3828" s="1">
        <v>0</v>
      </c>
      <c r="BA3828" s="1">
        <v>9</v>
      </c>
      <c r="BB3828" s="1">
        <v>0</v>
      </c>
      <c r="BC3828" s="1">
        <v>0</v>
      </c>
      <c r="BE3828" s="1">
        <v>27661870</v>
      </c>
    </row>
    <row r="3829" spans="1:57" x14ac:dyDescent="0.25">
      <c r="A3829" s="1" t="str">
        <f>T("1949541045952517500")</f>
        <v>1949541045952517500</v>
      </c>
      <c r="B3829" s="1" t="str">
        <f>T("249968425659")</f>
        <v>249968425659</v>
      </c>
      <c r="C3829" s="1" t="str">
        <f>T("1941094533362092768")</f>
        <v>1941094533362092768</v>
      </c>
      <c r="AC3829" s="1" t="s">
        <v>344</v>
      </c>
      <c r="AD3829" s="1" t="s">
        <v>441</v>
      </c>
      <c r="AE3829" s="1" t="s">
        <v>530</v>
      </c>
      <c r="AF3829" s="1" t="s">
        <v>107</v>
      </c>
      <c r="AG3829" s="1">
        <v>60</v>
      </c>
      <c r="AO3829" s="2">
        <v>46288</v>
      </c>
      <c r="AP3829" s="1" t="s">
        <v>226</v>
      </c>
      <c r="AS3829" s="1" t="s">
        <v>71</v>
      </c>
      <c r="AU3829" s="1" t="s">
        <v>72</v>
      </c>
      <c r="AV3829" s="1" t="s">
        <v>437</v>
      </c>
      <c r="AX3829" s="1">
        <v>0</v>
      </c>
      <c r="BA3829" s="1">
        <v>9</v>
      </c>
      <c r="BB3829" s="1">
        <v>0</v>
      </c>
      <c r="BC3829" s="1">
        <v>0</v>
      </c>
      <c r="BE3829" s="1">
        <v>27661870</v>
      </c>
    </row>
    <row r="3830" spans="1:57" x14ac:dyDescent="0.25">
      <c r="A3830" s="1" t="str">
        <f>T("1949541045960905216")</f>
        <v>1949541045960905216</v>
      </c>
      <c r="B3830" s="1" t="str">
        <f>T("249961429877")</f>
        <v>249961429877</v>
      </c>
      <c r="C3830" s="1" t="str">
        <f>T("1941094533362093268")</f>
        <v>1941094533362093268</v>
      </c>
      <c r="AC3830" s="1" t="s">
        <v>344</v>
      </c>
      <c r="AD3830" s="1" t="s">
        <v>372</v>
      </c>
      <c r="AE3830" s="1" t="s">
        <v>373</v>
      </c>
      <c r="AF3830" s="1" t="s">
        <v>107</v>
      </c>
      <c r="AG3830" s="1">
        <v>45</v>
      </c>
      <c r="AO3830" s="2">
        <v>46288</v>
      </c>
      <c r="AP3830" s="1" t="s">
        <v>226</v>
      </c>
      <c r="AS3830" s="1" t="s">
        <v>71</v>
      </c>
      <c r="AU3830" s="1" t="s">
        <v>72</v>
      </c>
      <c r="AV3830" s="1" t="s">
        <v>126</v>
      </c>
      <c r="AX3830" s="1">
        <v>0</v>
      </c>
      <c r="BA3830" s="1">
        <v>9</v>
      </c>
      <c r="BB3830" s="1">
        <v>0</v>
      </c>
      <c r="BC3830" s="1">
        <v>0</v>
      </c>
      <c r="BE3830" s="1">
        <v>27661870</v>
      </c>
    </row>
    <row r="3831" spans="1:57" x14ac:dyDescent="0.25">
      <c r="A3831" s="1" t="str">
        <f>T("1949824904543801596")</f>
        <v>1949824904543801596</v>
      </c>
      <c r="B3831" s="1" t="str">
        <f>T("249961068682")</f>
        <v>249961068682</v>
      </c>
      <c r="C3831" s="1" t="str">
        <f>T("1941094533362093768")</f>
        <v>1941094533362093768</v>
      </c>
      <c r="AC3831" s="1" t="s">
        <v>344</v>
      </c>
      <c r="AD3831" s="1" t="s">
        <v>357</v>
      </c>
      <c r="AE3831" s="1" t="s">
        <v>812</v>
      </c>
      <c r="AF3831" s="1" t="s">
        <v>107</v>
      </c>
      <c r="AG3831" s="1">
        <v>36</v>
      </c>
      <c r="AO3831" s="2">
        <v>46289</v>
      </c>
      <c r="AP3831" s="1" t="s">
        <v>912</v>
      </c>
      <c r="AS3831" s="1" t="s">
        <v>71</v>
      </c>
      <c r="AU3831" s="1" t="s">
        <v>72</v>
      </c>
      <c r="AV3831" s="1" t="s">
        <v>437</v>
      </c>
      <c r="AX3831" s="1">
        <v>0</v>
      </c>
      <c r="BA3831" s="1">
        <v>9</v>
      </c>
      <c r="BB3831" s="1">
        <v>0</v>
      </c>
      <c r="BC3831" s="1">
        <v>0</v>
      </c>
      <c r="BE3831" s="1">
        <v>27688333</v>
      </c>
    </row>
    <row r="3832" spans="1:57" x14ac:dyDescent="0.25">
      <c r="A3832" s="1" t="str">
        <f>T("1949824904665437928")</f>
        <v>1949824904665437928</v>
      </c>
      <c r="B3832" s="1" t="str">
        <f>T("249188366690")</f>
        <v>249188366690</v>
      </c>
      <c r="C3832" s="1" t="str">
        <f>T("1941094533366284576")</f>
        <v>1941094533366284576</v>
      </c>
      <c r="AC3832" s="1" t="s">
        <v>344</v>
      </c>
      <c r="AD3832" s="1" t="s">
        <v>372</v>
      </c>
      <c r="AE3832" s="1" t="s">
        <v>814</v>
      </c>
      <c r="AF3832" s="1" t="s">
        <v>107</v>
      </c>
      <c r="AG3832" s="1">
        <v>55</v>
      </c>
      <c r="AO3832" s="2">
        <v>46289</v>
      </c>
      <c r="AP3832" s="1" t="s">
        <v>912</v>
      </c>
      <c r="AS3832" s="1" t="s">
        <v>71</v>
      </c>
      <c r="AU3832" s="1" t="s">
        <v>72</v>
      </c>
      <c r="AV3832" s="1" t="s">
        <v>336</v>
      </c>
      <c r="AX3832" s="1">
        <v>0</v>
      </c>
      <c r="BA3832" s="1">
        <v>1</v>
      </c>
      <c r="BB3832" s="1">
        <v>0</v>
      </c>
      <c r="BC3832" s="1">
        <v>0</v>
      </c>
      <c r="BE3832" s="1">
        <v>27688333</v>
      </c>
    </row>
    <row r="3833" spans="1:57" x14ac:dyDescent="0.25">
      <c r="A3833" s="1" t="str">
        <f>T("1949824904736740764")</f>
        <v>1949824904736740764</v>
      </c>
      <c r="B3833" s="1" t="str">
        <f>T("249913204983")</f>
        <v>249913204983</v>
      </c>
      <c r="C3833" s="1" t="str">
        <f>T("1941094533366285076")</f>
        <v>1941094533366285076</v>
      </c>
      <c r="AC3833" s="1" t="s">
        <v>344</v>
      </c>
      <c r="AD3833" s="1" t="s">
        <v>441</v>
      </c>
      <c r="AE3833" s="1" t="s">
        <v>530</v>
      </c>
      <c r="AF3833" s="1" t="s">
        <v>107</v>
      </c>
      <c r="AG3833" s="1">
        <v>25</v>
      </c>
      <c r="AO3833" s="2">
        <v>46289</v>
      </c>
      <c r="AP3833" s="1" t="s">
        <v>912</v>
      </c>
      <c r="AS3833" s="1" t="s">
        <v>71</v>
      </c>
      <c r="AU3833" s="1" t="s">
        <v>72</v>
      </c>
      <c r="AV3833" s="1" t="s">
        <v>437</v>
      </c>
      <c r="AX3833" s="1">
        <v>0</v>
      </c>
      <c r="BA3833" s="1">
        <v>9</v>
      </c>
      <c r="BB3833" s="1">
        <v>0</v>
      </c>
      <c r="BC3833" s="1">
        <v>0</v>
      </c>
      <c r="BE3833" s="1">
        <v>27688333</v>
      </c>
    </row>
    <row r="3834" spans="1:57" x14ac:dyDescent="0.25">
      <c r="A3834" s="1" t="str">
        <f>T("1949824904799656784")</f>
        <v>1949824904799656784</v>
      </c>
      <c r="B3834" s="1" t="str">
        <f>T("249900282357")</f>
        <v>249900282357</v>
      </c>
      <c r="C3834" s="1" t="str">
        <f>T("1941094533366285476")</f>
        <v>1941094533366285476</v>
      </c>
      <c r="AC3834" s="1" t="s">
        <v>344</v>
      </c>
      <c r="AD3834" s="1" t="s">
        <v>441</v>
      </c>
      <c r="AE3834" s="1" t="s">
        <v>530</v>
      </c>
      <c r="AF3834" s="1" t="s">
        <v>144</v>
      </c>
      <c r="AG3834" s="1">
        <v>43</v>
      </c>
      <c r="AO3834" s="2">
        <v>46289</v>
      </c>
      <c r="AP3834" s="1" t="s">
        <v>912</v>
      </c>
      <c r="AS3834" s="1" t="s">
        <v>71</v>
      </c>
      <c r="AU3834" s="1" t="s">
        <v>72</v>
      </c>
      <c r="AV3834" s="1" t="s">
        <v>437</v>
      </c>
      <c r="AX3834" s="1">
        <v>0</v>
      </c>
      <c r="BA3834" s="1">
        <v>9</v>
      </c>
      <c r="BB3834" s="1">
        <v>0</v>
      </c>
      <c r="BC3834" s="1">
        <v>0</v>
      </c>
      <c r="BE3834" s="1">
        <v>27688333</v>
      </c>
    </row>
    <row r="3835" spans="1:57" x14ac:dyDescent="0.25">
      <c r="A3835" s="1" t="str">
        <f>T("1949824904866766512")</f>
        <v>1949824904866766512</v>
      </c>
      <c r="B3835" s="1" t="str">
        <f>T("249914426401")</f>
        <v>249914426401</v>
      </c>
      <c r="C3835" s="1" t="str">
        <f>T("1941094533366285876")</f>
        <v>1941094533366285876</v>
      </c>
      <c r="AC3835" s="1" t="s">
        <v>344</v>
      </c>
      <c r="AD3835" s="1" t="s">
        <v>372</v>
      </c>
      <c r="AE3835" s="1" t="s">
        <v>813</v>
      </c>
      <c r="AF3835" s="1" t="s">
        <v>107</v>
      </c>
      <c r="AG3835" s="1">
        <v>35</v>
      </c>
      <c r="AO3835" s="2">
        <v>46289</v>
      </c>
      <c r="AP3835" s="1" t="s">
        <v>912</v>
      </c>
      <c r="AS3835" s="1" t="s">
        <v>71</v>
      </c>
      <c r="AU3835" s="1" t="s">
        <v>72</v>
      </c>
      <c r="AV3835" s="1" t="s">
        <v>73</v>
      </c>
      <c r="AX3835" s="1">
        <v>0</v>
      </c>
      <c r="BA3835" s="1">
        <v>9</v>
      </c>
      <c r="BB3835" s="1">
        <v>0</v>
      </c>
      <c r="BC3835" s="1">
        <v>0</v>
      </c>
      <c r="BE3835" s="1">
        <v>27688333</v>
      </c>
    </row>
    <row r="3836" spans="1:57" x14ac:dyDescent="0.25">
      <c r="A3836" s="1" t="str">
        <f>T("1949824904933875140")</f>
        <v>1949824904933875140</v>
      </c>
      <c r="B3836" s="1" t="str">
        <f>T("249902281953")</f>
        <v>249902281953</v>
      </c>
      <c r="C3836" s="1" t="str">
        <f>T("1941094533366286276")</f>
        <v>1941094533366286276</v>
      </c>
      <c r="AC3836" s="1" t="s">
        <v>344</v>
      </c>
      <c r="AD3836" s="1" t="s">
        <v>430</v>
      </c>
      <c r="AE3836" s="1" t="s">
        <v>530</v>
      </c>
      <c r="AF3836" s="1" t="s">
        <v>107</v>
      </c>
      <c r="AG3836" s="1">
        <v>33</v>
      </c>
      <c r="AO3836" s="2">
        <v>46289</v>
      </c>
      <c r="AP3836" s="1" t="s">
        <v>912</v>
      </c>
      <c r="AS3836" s="1" t="s">
        <v>71</v>
      </c>
      <c r="AU3836" s="1" t="s">
        <v>72</v>
      </c>
      <c r="AV3836" s="1" t="s">
        <v>73</v>
      </c>
      <c r="AX3836" s="1">
        <v>0</v>
      </c>
      <c r="BA3836" s="1">
        <v>9</v>
      </c>
      <c r="BB3836" s="1">
        <v>0</v>
      </c>
      <c r="BC3836" s="1">
        <v>0</v>
      </c>
      <c r="BE3836" s="1">
        <v>27688333</v>
      </c>
    </row>
    <row r="3837" spans="1:57" x14ac:dyDescent="0.25">
      <c r="A3837" s="1" t="str">
        <f>T("1949824905017758600")</f>
        <v>1949824905017758600</v>
      </c>
      <c r="B3837" s="1" t="str">
        <f>T("249110390151")</f>
        <v>249110390151</v>
      </c>
      <c r="C3837" s="1" t="str">
        <f>T("1941094533366286676")</f>
        <v>1941094533366286676</v>
      </c>
      <c r="M3837" s="1" t="s">
        <v>148</v>
      </c>
      <c r="N3837" s="1" t="s">
        <v>60</v>
      </c>
      <c r="O3837" s="1" t="s">
        <v>65</v>
      </c>
      <c r="P3837" s="1" t="s">
        <v>61</v>
      </c>
      <c r="Q3837" s="1" t="s">
        <v>62</v>
      </c>
      <c r="R3837" s="1" t="s">
        <v>93</v>
      </c>
      <c r="T3837" s="1" t="s">
        <v>61</v>
      </c>
      <c r="U3837" s="1" t="s">
        <v>65</v>
      </c>
      <c r="V3837" s="1" t="s">
        <v>68</v>
      </c>
      <c r="W3837" s="1" t="s">
        <v>60</v>
      </c>
      <c r="X3837" s="1" t="s">
        <v>66</v>
      </c>
      <c r="Y3837" s="1" t="s">
        <v>85</v>
      </c>
      <c r="AA3837" s="1">
        <v>1</v>
      </c>
      <c r="AB3837" s="1">
        <v>1</v>
      </c>
      <c r="AC3837" s="1" t="s">
        <v>344</v>
      </c>
      <c r="AD3837" s="1" t="s">
        <v>372</v>
      </c>
      <c r="AE3837" s="1" t="s">
        <v>820</v>
      </c>
      <c r="AF3837" s="1" t="s">
        <v>144</v>
      </c>
      <c r="AG3837" s="1">
        <v>27</v>
      </c>
      <c r="AO3837" s="2">
        <v>46289</v>
      </c>
      <c r="AP3837" s="1" t="s">
        <v>912</v>
      </c>
      <c r="AQ3837" s="2">
        <v>46289</v>
      </c>
      <c r="AR3837" s="1" t="s">
        <v>913</v>
      </c>
      <c r="AS3837" s="1" t="s">
        <v>71</v>
      </c>
      <c r="AU3837" s="1" t="s">
        <v>78</v>
      </c>
      <c r="AV3837" s="1" t="s">
        <v>80</v>
      </c>
      <c r="AW3837" s="1">
        <v>236.3</v>
      </c>
      <c r="AX3837" s="1">
        <v>0</v>
      </c>
      <c r="AZ3837" s="1" t="s">
        <v>81</v>
      </c>
      <c r="BA3837" s="1">
        <v>3</v>
      </c>
      <c r="BB3837" s="1">
        <v>0</v>
      </c>
      <c r="BC3837" s="1">
        <v>0</v>
      </c>
      <c r="BE3837" s="1">
        <v>27688333</v>
      </c>
    </row>
    <row r="3838" spans="1:57" x14ac:dyDescent="0.25">
      <c r="A3838" s="1" t="str">
        <f>T("1949824905084868928")</f>
        <v>1949824905084868928</v>
      </c>
      <c r="B3838" s="1" t="str">
        <f>T("249900517595")</f>
        <v>249900517595</v>
      </c>
      <c r="C3838" s="1" t="str">
        <f>T("1941094533366286976")</f>
        <v>1941094533366286976</v>
      </c>
      <c r="AC3838" s="1" t="s">
        <v>344</v>
      </c>
      <c r="AD3838" s="1" t="s">
        <v>372</v>
      </c>
      <c r="AE3838" s="1" t="s">
        <v>813</v>
      </c>
      <c r="AF3838" s="1" t="s">
        <v>107</v>
      </c>
      <c r="AG3838" s="1">
        <v>50</v>
      </c>
      <c r="AO3838" s="2">
        <v>46289</v>
      </c>
      <c r="AP3838" s="1" t="s">
        <v>912</v>
      </c>
      <c r="AS3838" s="1" t="s">
        <v>71</v>
      </c>
      <c r="AU3838" s="1" t="s">
        <v>72</v>
      </c>
      <c r="AV3838" s="1" t="s">
        <v>437</v>
      </c>
      <c r="AX3838" s="1">
        <v>0</v>
      </c>
      <c r="BA3838" s="1">
        <v>9</v>
      </c>
      <c r="BB3838" s="1">
        <v>0</v>
      </c>
      <c r="BC3838" s="1">
        <v>0</v>
      </c>
      <c r="BE3838" s="1">
        <v>27688333</v>
      </c>
    </row>
    <row r="3839" spans="1:57" x14ac:dyDescent="0.25">
      <c r="A3839" s="1" t="str">
        <f>T("1949824905151976356")</f>
        <v>1949824905151976356</v>
      </c>
      <c r="B3839" s="1" t="str">
        <f>T("249912550630")</f>
        <v>249912550630</v>
      </c>
      <c r="C3839" s="1" t="str">
        <f>T("1941094533366287276")</f>
        <v>1941094533366287276</v>
      </c>
      <c r="AC3839" s="1" t="s">
        <v>344</v>
      </c>
      <c r="AD3839" s="1" t="s">
        <v>372</v>
      </c>
      <c r="AE3839" s="1" t="s">
        <v>818</v>
      </c>
      <c r="AF3839" s="1" t="s">
        <v>144</v>
      </c>
      <c r="AG3839" s="1">
        <v>30</v>
      </c>
      <c r="AO3839" s="2">
        <v>46289</v>
      </c>
      <c r="AP3839" s="1" t="s">
        <v>912</v>
      </c>
      <c r="AS3839" s="1" t="s">
        <v>71</v>
      </c>
      <c r="AU3839" s="1" t="s">
        <v>72</v>
      </c>
      <c r="AV3839" s="1" t="s">
        <v>73</v>
      </c>
      <c r="AX3839" s="1">
        <v>0</v>
      </c>
      <c r="BA3839" s="1">
        <v>9</v>
      </c>
      <c r="BB3839" s="1">
        <v>0</v>
      </c>
      <c r="BC3839" s="1">
        <v>0</v>
      </c>
      <c r="BE3839" s="1">
        <v>27688333</v>
      </c>
    </row>
    <row r="3840" spans="1:57" x14ac:dyDescent="0.25">
      <c r="A3840" s="1" t="str">
        <f>T("1949824905256836956")</f>
        <v>1949824905256836956</v>
      </c>
      <c r="B3840" s="1" t="str">
        <f>T("249904385947")</f>
        <v>249904385947</v>
      </c>
      <c r="C3840" s="1" t="str">
        <f>T("1941094533366287776")</f>
        <v>1941094533366287776</v>
      </c>
      <c r="AC3840" s="1" t="s">
        <v>344</v>
      </c>
      <c r="AD3840" s="1" t="s">
        <v>430</v>
      </c>
      <c r="AE3840" s="1" t="s">
        <v>530</v>
      </c>
      <c r="AF3840" s="1" t="s">
        <v>107</v>
      </c>
      <c r="AG3840" s="1">
        <v>23</v>
      </c>
      <c r="AO3840" s="2">
        <v>46289</v>
      </c>
      <c r="AP3840" s="1" t="s">
        <v>912</v>
      </c>
      <c r="AS3840" s="1" t="s">
        <v>71</v>
      </c>
      <c r="AU3840" s="1" t="s">
        <v>72</v>
      </c>
      <c r="AV3840" s="1" t="s">
        <v>73</v>
      </c>
      <c r="AX3840" s="1">
        <v>0</v>
      </c>
      <c r="BA3840" s="1">
        <v>9</v>
      </c>
      <c r="BB3840" s="1">
        <v>0</v>
      </c>
      <c r="BC3840" s="1">
        <v>0</v>
      </c>
      <c r="BE3840" s="1">
        <v>27688333</v>
      </c>
    </row>
    <row r="3841" spans="1:57" x14ac:dyDescent="0.25">
      <c r="A3841" s="1" t="str">
        <f>T("1949824905328137992")</f>
        <v>1949824905328137992</v>
      </c>
      <c r="B3841" s="1" t="str">
        <f>T("249116358948")</f>
        <v>249116358948</v>
      </c>
      <c r="C3841" s="1" t="str">
        <f>T("1941094533370480284")</f>
        <v>1941094533370480284</v>
      </c>
      <c r="M3841" s="1" t="s">
        <v>133</v>
      </c>
      <c r="N3841" s="1" t="s">
        <v>65</v>
      </c>
      <c r="O3841" s="1" t="s">
        <v>65</v>
      </c>
      <c r="P3841" s="1" t="s">
        <v>61</v>
      </c>
      <c r="Q3841" s="1" t="s">
        <v>92</v>
      </c>
      <c r="R3841" s="1" t="s">
        <v>84</v>
      </c>
      <c r="S3841" s="1" t="s">
        <v>94</v>
      </c>
      <c r="U3841" s="1" t="s">
        <v>60</v>
      </c>
      <c r="V3841" s="1" t="s">
        <v>103</v>
      </c>
      <c r="W3841" s="1" t="s">
        <v>67</v>
      </c>
      <c r="X3841" s="1" t="s">
        <v>66</v>
      </c>
      <c r="Y3841" s="1" t="s">
        <v>85</v>
      </c>
      <c r="AA3841" s="1">
        <v>1</v>
      </c>
      <c r="AB3841" s="1">
        <v>1</v>
      </c>
      <c r="AC3841" s="1" t="s">
        <v>344</v>
      </c>
      <c r="AD3841" s="1" t="s">
        <v>372</v>
      </c>
      <c r="AE3841" s="1" t="s">
        <v>820</v>
      </c>
      <c r="AF3841" s="1" t="s">
        <v>144</v>
      </c>
      <c r="AG3841" s="1">
        <v>30</v>
      </c>
      <c r="AO3841" s="2">
        <v>46289</v>
      </c>
      <c r="AP3841" s="1" t="s">
        <v>912</v>
      </c>
      <c r="AQ3841" s="2">
        <v>46289</v>
      </c>
      <c r="AR3841" s="1" t="s">
        <v>914</v>
      </c>
      <c r="AS3841" s="1" t="s">
        <v>71</v>
      </c>
      <c r="AU3841" s="1" t="s">
        <v>78</v>
      </c>
      <c r="AV3841" s="1" t="s">
        <v>80</v>
      </c>
      <c r="AW3841" s="1">
        <v>234.68</v>
      </c>
      <c r="AX3841" s="1">
        <v>0</v>
      </c>
      <c r="AZ3841" s="1" t="s">
        <v>81</v>
      </c>
      <c r="BA3841" s="1">
        <v>1</v>
      </c>
      <c r="BB3841" s="1">
        <v>0</v>
      </c>
      <c r="BC3841" s="1">
        <v>0</v>
      </c>
      <c r="BE3841" s="1">
        <v>27688333</v>
      </c>
    </row>
    <row r="3842" spans="1:57" x14ac:dyDescent="0.25">
      <c r="A3842" s="1" t="str">
        <f>T("1949824905432995292")</f>
        <v>1949824905432995292</v>
      </c>
      <c r="B3842" s="1" t="str">
        <f>T("249915264826")</f>
        <v>249915264826</v>
      </c>
      <c r="C3842" s="1" t="str">
        <f>T("1941094533374674692")</f>
        <v>1941094533374674692</v>
      </c>
      <c r="AC3842" s="1" t="s">
        <v>344</v>
      </c>
      <c r="AD3842" s="1" t="s">
        <v>441</v>
      </c>
      <c r="AE3842" s="1" t="s">
        <v>530</v>
      </c>
      <c r="AF3842" s="1" t="s">
        <v>144</v>
      </c>
      <c r="AG3842" s="1">
        <v>40</v>
      </c>
      <c r="AO3842" s="2">
        <v>46289</v>
      </c>
      <c r="AP3842" s="1" t="s">
        <v>912</v>
      </c>
      <c r="AS3842" s="1" t="s">
        <v>71</v>
      </c>
      <c r="AU3842" s="1" t="s">
        <v>72</v>
      </c>
      <c r="AV3842" s="1" t="s">
        <v>73</v>
      </c>
      <c r="AX3842" s="1">
        <v>0</v>
      </c>
      <c r="BA3842" s="1">
        <v>9</v>
      </c>
      <c r="BB3842" s="1">
        <v>0</v>
      </c>
      <c r="BC3842" s="1">
        <v>0</v>
      </c>
      <c r="BE3842" s="1">
        <v>27688333</v>
      </c>
    </row>
    <row r="3843" spans="1:57" x14ac:dyDescent="0.25">
      <c r="A3843" s="1" t="str">
        <f>T("1949824905512689244")</f>
        <v>1949824905512689244</v>
      </c>
      <c r="B3843" s="1" t="str">
        <f>T("249917568798")</f>
        <v>249917568798</v>
      </c>
      <c r="C3843" s="1" t="str">
        <f>T("1941094533374675292")</f>
        <v>1941094533374675292</v>
      </c>
      <c r="AC3843" s="1" t="s">
        <v>344</v>
      </c>
      <c r="AD3843" s="1" t="s">
        <v>430</v>
      </c>
      <c r="AE3843" s="1" t="s">
        <v>530</v>
      </c>
      <c r="AF3843" s="1" t="s">
        <v>107</v>
      </c>
      <c r="AG3843" s="1">
        <v>25</v>
      </c>
      <c r="AO3843" s="2">
        <v>46289</v>
      </c>
      <c r="AP3843" s="1" t="s">
        <v>912</v>
      </c>
      <c r="AS3843" s="1" t="s">
        <v>71</v>
      </c>
      <c r="AU3843" s="1" t="s">
        <v>72</v>
      </c>
      <c r="AV3843" s="1" t="s">
        <v>437</v>
      </c>
      <c r="AX3843" s="1">
        <v>0</v>
      </c>
      <c r="BA3843" s="1">
        <v>9</v>
      </c>
      <c r="BB3843" s="1">
        <v>0</v>
      </c>
      <c r="BC3843" s="1">
        <v>0</v>
      </c>
      <c r="BE3843" s="1">
        <v>27688333</v>
      </c>
    </row>
    <row r="3844" spans="1:57" x14ac:dyDescent="0.25">
      <c r="A3844" s="1" t="str">
        <f>T("1949824905583992580")</f>
        <v>1949824905583992580</v>
      </c>
      <c r="B3844" s="1" t="str">
        <f>T("249902183017")</f>
        <v>249902183017</v>
      </c>
      <c r="C3844" s="1" t="str">
        <f>T("1941094533374675692")</f>
        <v>1941094533374675692</v>
      </c>
      <c r="AC3844" s="1" t="s">
        <v>344</v>
      </c>
      <c r="AD3844" s="1" t="s">
        <v>441</v>
      </c>
      <c r="AE3844" s="1" t="s">
        <v>530</v>
      </c>
      <c r="AF3844" s="1" t="s">
        <v>107</v>
      </c>
      <c r="AG3844" s="1">
        <v>35</v>
      </c>
      <c r="AO3844" s="2">
        <v>46289</v>
      </c>
      <c r="AP3844" s="1" t="s">
        <v>912</v>
      </c>
      <c r="AS3844" s="1" t="s">
        <v>71</v>
      </c>
      <c r="AU3844" s="1" t="s">
        <v>72</v>
      </c>
      <c r="AV3844" s="1" t="s">
        <v>437</v>
      </c>
      <c r="AX3844" s="1">
        <v>0</v>
      </c>
      <c r="BA3844" s="1">
        <v>9</v>
      </c>
      <c r="BB3844" s="1">
        <v>0</v>
      </c>
      <c r="BC3844" s="1">
        <v>0</v>
      </c>
      <c r="BE3844" s="1">
        <v>27688333</v>
      </c>
    </row>
    <row r="3845" spans="1:57" x14ac:dyDescent="0.25">
      <c r="A3845" s="1" t="str">
        <f>T("1949824905655293816")</f>
        <v>1949824905655293816</v>
      </c>
      <c r="B3845" s="1" t="str">
        <f>T("249969215793")</f>
        <v>249969215793</v>
      </c>
      <c r="C3845" s="1" t="str">
        <f>T("1941094533374676292")</f>
        <v>1941094533374676292</v>
      </c>
      <c r="AC3845" s="1" t="s">
        <v>344</v>
      </c>
      <c r="AD3845" s="1" t="s">
        <v>372</v>
      </c>
      <c r="AE3845" s="1" t="s">
        <v>373</v>
      </c>
      <c r="AF3845" s="1" t="s">
        <v>107</v>
      </c>
      <c r="AG3845" s="1">
        <v>25</v>
      </c>
      <c r="AO3845" s="2">
        <v>46289</v>
      </c>
      <c r="AP3845" s="1" t="s">
        <v>912</v>
      </c>
      <c r="AS3845" s="1" t="s">
        <v>71</v>
      </c>
      <c r="AU3845" s="1" t="s">
        <v>72</v>
      </c>
      <c r="AV3845" s="1" t="s">
        <v>437</v>
      </c>
      <c r="AX3845" s="1">
        <v>0</v>
      </c>
      <c r="BA3845" s="1">
        <v>9</v>
      </c>
      <c r="BB3845" s="1">
        <v>0</v>
      </c>
      <c r="BC3845" s="1">
        <v>0</v>
      </c>
      <c r="BE3845" s="1">
        <v>27688333</v>
      </c>
    </row>
    <row r="3846" spans="1:57" x14ac:dyDescent="0.25">
      <c r="A3846" s="1" t="str">
        <f>T("1949824905726596652")</f>
        <v>1949824905726596652</v>
      </c>
      <c r="B3846" s="1" t="str">
        <f>T("249119207864")</f>
        <v>249119207864</v>
      </c>
      <c r="C3846" s="1" t="str">
        <f>T("1941094533378868800")</f>
        <v>1941094533378868800</v>
      </c>
      <c r="AA3846" s="1">
        <v>1</v>
      </c>
      <c r="AC3846" s="1" t="s">
        <v>344</v>
      </c>
      <c r="AD3846" s="1" t="s">
        <v>441</v>
      </c>
      <c r="AE3846" s="1" t="s">
        <v>530</v>
      </c>
      <c r="AF3846" s="1" t="s">
        <v>144</v>
      </c>
      <c r="AG3846" s="1">
        <v>46</v>
      </c>
      <c r="AO3846" s="2">
        <v>46289</v>
      </c>
      <c r="AP3846" s="1" t="s">
        <v>912</v>
      </c>
      <c r="AQ3846" s="2">
        <v>46289</v>
      </c>
      <c r="AR3846" s="1" t="s">
        <v>915</v>
      </c>
      <c r="AS3846" s="1" t="s">
        <v>71</v>
      </c>
      <c r="AU3846" s="1" t="s">
        <v>79</v>
      </c>
      <c r="AV3846" s="1" t="s">
        <v>80</v>
      </c>
      <c r="AW3846" s="1">
        <v>39.299999999999997</v>
      </c>
      <c r="AX3846" s="1">
        <v>0</v>
      </c>
      <c r="AZ3846" s="1" t="s">
        <v>81</v>
      </c>
      <c r="BA3846" s="1">
        <v>1</v>
      </c>
      <c r="BB3846" s="1">
        <v>0</v>
      </c>
      <c r="BC3846" s="1">
        <v>0</v>
      </c>
      <c r="BE3846" s="1">
        <v>27688333</v>
      </c>
    </row>
    <row r="3847" spans="1:57" x14ac:dyDescent="0.25">
      <c r="A3847" s="1" t="str">
        <f>T("1949824905827261544")</f>
        <v>1949824905827261544</v>
      </c>
      <c r="B3847" s="1" t="str">
        <f>T("249962162109")</f>
        <v>249962162109</v>
      </c>
      <c r="C3847" s="1" t="str">
        <f>T("1941094533378869400")</f>
        <v>1941094533378869400</v>
      </c>
      <c r="AC3847" s="1" t="s">
        <v>344</v>
      </c>
      <c r="AD3847" s="1" t="s">
        <v>372</v>
      </c>
      <c r="AE3847" s="1" t="s">
        <v>820</v>
      </c>
      <c r="AF3847" s="1" t="s">
        <v>107</v>
      </c>
      <c r="AG3847" s="1">
        <v>53</v>
      </c>
      <c r="AO3847" s="2">
        <v>46289</v>
      </c>
      <c r="AP3847" s="1" t="s">
        <v>912</v>
      </c>
      <c r="AS3847" s="1" t="s">
        <v>71</v>
      </c>
      <c r="AU3847" s="1" t="s">
        <v>72</v>
      </c>
      <c r="AV3847" s="1" t="s">
        <v>73</v>
      </c>
      <c r="AX3847" s="1">
        <v>0</v>
      </c>
      <c r="BA3847" s="1">
        <v>9</v>
      </c>
      <c r="BB3847" s="1">
        <v>0</v>
      </c>
      <c r="BC3847" s="1">
        <v>0</v>
      </c>
      <c r="BE3847" s="1">
        <v>27688333</v>
      </c>
    </row>
    <row r="3848" spans="1:57" x14ac:dyDescent="0.25">
      <c r="A3848" s="1" t="str">
        <f>T("1949824905906953796")</f>
        <v>1949824905906953796</v>
      </c>
      <c r="B3848" s="1" t="str">
        <f>T("249918090922")</f>
        <v>249918090922</v>
      </c>
      <c r="C3848" s="1" t="str">
        <f>T("1941094533378869800")</f>
        <v>1941094533378869800</v>
      </c>
      <c r="AC3848" s="1" t="s">
        <v>344</v>
      </c>
      <c r="AD3848" s="1" t="s">
        <v>372</v>
      </c>
      <c r="AE3848" s="1" t="s">
        <v>373</v>
      </c>
      <c r="AF3848" s="1" t="s">
        <v>107</v>
      </c>
      <c r="AG3848" s="1">
        <v>35</v>
      </c>
      <c r="AO3848" s="2">
        <v>46289</v>
      </c>
      <c r="AP3848" s="1" t="s">
        <v>912</v>
      </c>
      <c r="AS3848" s="1" t="s">
        <v>71</v>
      </c>
      <c r="AU3848" s="1" t="s">
        <v>72</v>
      </c>
      <c r="AV3848" s="1" t="s">
        <v>73</v>
      </c>
      <c r="AX3848" s="1">
        <v>0</v>
      </c>
      <c r="BA3848" s="1">
        <v>9</v>
      </c>
      <c r="BB3848" s="1">
        <v>0</v>
      </c>
      <c r="BC3848" s="1">
        <v>0</v>
      </c>
      <c r="BE3848" s="1">
        <v>27688333</v>
      </c>
    </row>
    <row r="3849" spans="1:57" x14ac:dyDescent="0.25">
      <c r="A3849" s="1" t="str">
        <f>T("1949824905978256432")</f>
        <v>1949824905978256432</v>
      </c>
      <c r="B3849" s="1" t="str">
        <f>T("249918498932")</f>
        <v>249918498932</v>
      </c>
      <c r="C3849" s="1" t="str">
        <f>T("1941094533378870400")</f>
        <v>1941094533378870400</v>
      </c>
      <c r="AC3849" s="1" t="s">
        <v>344</v>
      </c>
      <c r="AD3849" s="1" t="s">
        <v>372</v>
      </c>
      <c r="AE3849" s="1" t="s">
        <v>813</v>
      </c>
      <c r="AF3849" s="1" t="s">
        <v>144</v>
      </c>
      <c r="AG3849" s="1">
        <v>60</v>
      </c>
      <c r="AO3849" s="2">
        <v>46289</v>
      </c>
      <c r="AP3849" s="1" t="s">
        <v>912</v>
      </c>
      <c r="AS3849" s="1" t="s">
        <v>71</v>
      </c>
      <c r="AU3849" s="1" t="s">
        <v>72</v>
      </c>
      <c r="AV3849" s="1" t="s">
        <v>73</v>
      </c>
      <c r="AX3849" s="1">
        <v>0</v>
      </c>
      <c r="BA3849" s="1">
        <v>9</v>
      </c>
      <c r="BB3849" s="1">
        <v>0</v>
      </c>
      <c r="BC3849" s="1">
        <v>0</v>
      </c>
      <c r="BE3849" s="1">
        <v>27688333</v>
      </c>
    </row>
    <row r="3850" spans="1:57" x14ac:dyDescent="0.25">
      <c r="A3850" s="1" t="str">
        <f>T("1949824906045363960")</f>
        <v>1949824906045363960</v>
      </c>
      <c r="B3850" s="1" t="str">
        <f>T("249919296254")</f>
        <v>249919296254</v>
      </c>
      <c r="C3850" s="1" t="str">
        <f>T("1941094533378870900")</f>
        <v>1941094533378870900</v>
      </c>
      <c r="AC3850" s="1" t="s">
        <v>344</v>
      </c>
      <c r="AD3850" s="1" t="s">
        <v>372</v>
      </c>
      <c r="AE3850" s="1" t="s">
        <v>818</v>
      </c>
      <c r="AF3850" s="1" t="s">
        <v>144</v>
      </c>
      <c r="AG3850" s="1">
        <v>65</v>
      </c>
      <c r="AO3850" s="2">
        <v>46289</v>
      </c>
      <c r="AP3850" s="1" t="s">
        <v>912</v>
      </c>
      <c r="AS3850" s="1" t="s">
        <v>71</v>
      </c>
      <c r="AU3850" s="1" t="s">
        <v>72</v>
      </c>
      <c r="AV3850" s="1" t="s">
        <v>437</v>
      </c>
      <c r="AX3850" s="1">
        <v>0</v>
      </c>
      <c r="BA3850" s="1">
        <v>9</v>
      </c>
      <c r="BB3850" s="1">
        <v>0</v>
      </c>
      <c r="BC3850" s="1">
        <v>0</v>
      </c>
      <c r="BE3850" s="1">
        <v>27688333</v>
      </c>
    </row>
    <row r="3851" spans="1:57" x14ac:dyDescent="0.25">
      <c r="A3851" s="1" t="str">
        <f>T("1949824906095697856")</f>
        <v>1949824906095697856</v>
      </c>
      <c r="B3851" s="1" t="str">
        <f>T("249917860586")</f>
        <v>249917860586</v>
      </c>
      <c r="C3851" s="1" t="str">
        <f>T("1941094533383061608")</f>
        <v>1941094533383061608</v>
      </c>
      <c r="AC3851" s="1" t="s">
        <v>344</v>
      </c>
      <c r="AD3851" s="1" t="s">
        <v>441</v>
      </c>
      <c r="AE3851" s="1" t="s">
        <v>530</v>
      </c>
      <c r="AF3851" s="1" t="s">
        <v>107</v>
      </c>
      <c r="AG3851" s="1">
        <v>40</v>
      </c>
      <c r="AO3851" s="2">
        <v>46289</v>
      </c>
      <c r="AP3851" s="1" t="s">
        <v>912</v>
      </c>
      <c r="AS3851" s="1" t="s">
        <v>71</v>
      </c>
      <c r="AU3851" s="1" t="s">
        <v>72</v>
      </c>
      <c r="AV3851" s="1" t="s">
        <v>73</v>
      </c>
      <c r="AX3851" s="1">
        <v>0</v>
      </c>
      <c r="BA3851" s="1">
        <v>9</v>
      </c>
      <c r="BB3851" s="1">
        <v>0</v>
      </c>
      <c r="BC3851" s="1">
        <v>0</v>
      </c>
      <c r="BE3851" s="1">
        <v>27688333</v>
      </c>
    </row>
    <row r="3852" spans="1:57" x14ac:dyDescent="0.25">
      <c r="A3852" s="1" t="str">
        <f>T("1949824906104083872")</f>
        <v>1949824906104083872</v>
      </c>
      <c r="B3852" s="1" t="str">
        <f>T("249916671650")</f>
        <v>249916671650</v>
      </c>
      <c r="C3852" s="1" t="str">
        <f>T("1941094533383062108")</f>
        <v>1941094533383062108</v>
      </c>
      <c r="AC3852" s="1" t="s">
        <v>344</v>
      </c>
      <c r="AD3852" s="1" t="s">
        <v>430</v>
      </c>
      <c r="AE3852" s="1" t="s">
        <v>530</v>
      </c>
      <c r="AF3852" s="1" t="s">
        <v>144</v>
      </c>
      <c r="AG3852" s="1">
        <v>18</v>
      </c>
      <c r="AO3852" s="2">
        <v>46289</v>
      </c>
      <c r="AP3852" s="1" t="s">
        <v>912</v>
      </c>
      <c r="AS3852" s="1" t="s">
        <v>71</v>
      </c>
      <c r="AU3852" s="1" t="s">
        <v>72</v>
      </c>
      <c r="AV3852" s="1" t="s">
        <v>73</v>
      </c>
      <c r="AX3852" s="1">
        <v>0</v>
      </c>
      <c r="BA3852" s="1">
        <v>9</v>
      </c>
      <c r="BB3852" s="1">
        <v>0</v>
      </c>
      <c r="BC3852" s="1">
        <v>0</v>
      </c>
      <c r="BE3852" s="1">
        <v>27688333</v>
      </c>
    </row>
    <row r="3853" spans="1:57" x14ac:dyDescent="0.25">
      <c r="A3853" s="1" t="str">
        <f>T("1949824906108280180")</f>
        <v>1949824906108280180</v>
      </c>
      <c r="B3853" s="1" t="str">
        <f>T("249900640382")</f>
        <v>249900640382</v>
      </c>
      <c r="C3853" s="1" t="str">
        <f>T("1941094533383062908")</f>
        <v>1941094533383062908</v>
      </c>
      <c r="AC3853" s="1" t="s">
        <v>344</v>
      </c>
      <c r="AD3853" s="1" t="s">
        <v>372</v>
      </c>
      <c r="AE3853" s="1" t="s">
        <v>373</v>
      </c>
      <c r="AF3853" s="1" t="s">
        <v>107</v>
      </c>
      <c r="AG3853" s="1">
        <v>58</v>
      </c>
      <c r="AO3853" s="2">
        <v>46289</v>
      </c>
      <c r="AP3853" s="1" t="s">
        <v>912</v>
      </c>
      <c r="AS3853" s="1" t="s">
        <v>71</v>
      </c>
      <c r="AU3853" s="1" t="s">
        <v>72</v>
      </c>
      <c r="AV3853" s="1" t="s">
        <v>437</v>
      </c>
      <c r="AX3853" s="1">
        <v>0</v>
      </c>
      <c r="BA3853" s="1">
        <v>9</v>
      </c>
      <c r="BB3853" s="1">
        <v>0</v>
      </c>
      <c r="BC3853" s="1">
        <v>0</v>
      </c>
      <c r="BE3853" s="1">
        <v>27688333</v>
      </c>
    </row>
    <row r="3854" spans="1:57" x14ac:dyDescent="0.25">
      <c r="A3854" s="1" t="str">
        <f>T("1949824906112472488")</f>
        <v>1949824906112472488</v>
      </c>
      <c r="B3854" s="1" t="str">
        <f>T("249904649591")</f>
        <v>249904649591</v>
      </c>
      <c r="C3854" s="1" t="str">
        <f>T("1941094533383062508")</f>
        <v>1941094533383062508</v>
      </c>
      <c r="AC3854" s="1" t="s">
        <v>344</v>
      </c>
      <c r="AD3854" s="1" t="s">
        <v>372</v>
      </c>
      <c r="AE3854" s="1" t="s">
        <v>815</v>
      </c>
      <c r="AF3854" s="1" t="s">
        <v>107</v>
      </c>
      <c r="AG3854" s="1">
        <v>65</v>
      </c>
      <c r="AO3854" s="2">
        <v>46289</v>
      </c>
      <c r="AP3854" s="1" t="s">
        <v>912</v>
      </c>
      <c r="AS3854" s="1" t="s">
        <v>71</v>
      </c>
      <c r="AU3854" s="1" t="s">
        <v>72</v>
      </c>
      <c r="AV3854" s="1" t="s">
        <v>437</v>
      </c>
      <c r="AX3854" s="1">
        <v>0</v>
      </c>
      <c r="BA3854" s="1">
        <v>9</v>
      </c>
      <c r="BB3854" s="1">
        <v>0</v>
      </c>
      <c r="BC3854" s="1">
        <v>0</v>
      </c>
      <c r="BE3854" s="1">
        <v>27688333</v>
      </c>
    </row>
    <row r="3855" spans="1:57" x14ac:dyDescent="0.25">
      <c r="A3855" s="1" t="str">
        <f>T("1949824906129248620")</f>
        <v>1949824906129248620</v>
      </c>
      <c r="B3855" s="1" t="str">
        <f>T("249915792321")</f>
        <v>249915792321</v>
      </c>
      <c r="C3855" s="1" t="str">
        <f>T("1941094533383063408")</f>
        <v>1941094533383063408</v>
      </c>
      <c r="AC3855" s="1" t="s">
        <v>344</v>
      </c>
      <c r="AD3855" s="1" t="s">
        <v>441</v>
      </c>
      <c r="AE3855" s="1" t="s">
        <v>530</v>
      </c>
      <c r="AF3855" s="1" t="s">
        <v>107</v>
      </c>
      <c r="AG3855" s="1">
        <v>35</v>
      </c>
      <c r="AO3855" s="2">
        <v>46289</v>
      </c>
      <c r="AP3855" s="1" t="s">
        <v>912</v>
      </c>
      <c r="AS3855" s="1" t="s">
        <v>71</v>
      </c>
      <c r="AU3855" s="1" t="s">
        <v>72</v>
      </c>
      <c r="AV3855" s="1" t="s">
        <v>437</v>
      </c>
      <c r="AX3855" s="1">
        <v>0</v>
      </c>
      <c r="BA3855" s="1">
        <v>9</v>
      </c>
      <c r="BB3855" s="1">
        <v>0</v>
      </c>
      <c r="BC3855" s="1">
        <v>0</v>
      </c>
      <c r="BE3855" s="1">
        <v>27688333</v>
      </c>
    </row>
    <row r="3856" spans="1:57" x14ac:dyDescent="0.25">
      <c r="A3856" s="1" t="str">
        <f>T("1949824906162805684")</f>
        <v>1949824906162805684</v>
      </c>
      <c r="B3856" s="1" t="str">
        <f>T("249913978113")</f>
        <v>249913978113</v>
      </c>
      <c r="C3856" s="1" t="str">
        <f>T("1941094533383063908")</f>
        <v>1941094533383063908</v>
      </c>
      <c r="AC3856" s="1" t="s">
        <v>344</v>
      </c>
      <c r="AD3856" s="1" t="s">
        <v>441</v>
      </c>
      <c r="AE3856" s="1" t="s">
        <v>530</v>
      </c>
      <c r="AF3856" s="1" t="s">
        <v>107</v>
      </c>
      <c r="AG3856" s="1">
        <v>65</v>
      </c>
      <c r="AO3856" s="2">
        <v>46289</v>
      </c>
      <c r="AP3856" s="1" t="s">
        <v>912</v>
      </c>
      <c r="AS3856" s="1" t="s">
        <v>71</v>
      </c>
      <c r="AU3856" s="1" t="s">
        <v>72</v>
      </c>
      <c r="AV3856" s="1" t="s">
        <v>437</v>
      </c>
      <c r="AX3856" s="1">
        <v>0</v>
      </c>
      <c r="BA3856" s="1">
        <v>9</v>
      </c>
      <c r="BB3856" s="1">
        <v>0</v>
      </c>
      <c r="BC3856" s="1">
        <v>0</v>
      </c>
      <c r="BE3856" s="1">
        <v>27688333</v>
      </c>
    </row>
    <row r="3857" spans="1:57" x14ac:dyDescent="0.25">
      <c r="A3857" s="1" t="str">
        <f>T("1949824906187971232")</f>
        <v>1949824906187971232</v>
      </c>
      <c r="B3857" s="1" t="str">
        <f>T("249969255289")</f>
        <v>249969255289</v>
      </c>
      <c r="C3857" s="1" t="str">
        <f>T("1941094533383064408")</f>
        <v>1941094533383064408</v>
      </c>
      <c r="AC3857" s="1" t="s">
        <v>344</v>
      </c>
      <c r="AD3857" s="1" t="s">
        <v>430</v>
      </c>
      <c r="AE3857" s="1" t="s">
        <v>530</v>
      </c>
      <c r="AF3857" s="1" t="s">
        <v>107</v>
      </c>
      <c r="AG3857" s="1">
        <v>18</v>
      </c>
      <c r="AO3857" s="2">
        <v>46289</v>
      </c>
      <c r="AP3857" s="1" t="s">
        <v>912</v>
      </c>
      <c r="AS3857" s="1" t="s">
        <v>71</v>
      </c>
      <c r="AU3857" s="1" t="s">
        <v>72</v>
      </c>
      <c r="AV3857" s="1" t="s">
        <v>437</v>
      </c>
      <c r="AX3857" s="1">
        <v>0</v>
      </c>
      <c r="BA3857" s="1">
        <v>9</v>
      </c>
      <c r="BB3857" s="1">
        <v>0</v>
      </c>
      <c r="BC3857" s="1">
        <v>0</v>
      </c>
      <c r="BE3857" s="1">
        <v>27688333</v>
      </c>
    </row>
    <row r="3858" spans="1:57" x14ac:dyDescent="0.25">
      <c r="A3858" s="1" t="str">
        <f>T("1949824906200553956")</f>
        <v>1949824906200553956</v>
      </c>
      <c r="B3858" s="1" t="str">
        <f>T("249906082731")</f>
        <v>249906082731</v>
      </c>
      <c r="C3858" s="1" t="str">
        <f>T("1941094533387257016")</f>
        <v>1941094533387257016</v>
      </c>
      <c r="AC3858" s="1" t="s">
        <v>344</v>
      </c>
      <c r="AD3858" s="1" t="s">
        <v>441</v>
      </c>
      <c r="AE3858" s="1" t="s">
        <v>530</v>
      </c>
      <c r="AF3858" s="1" t="s">
        <v>144</v>
      </c>
      <c r="AG3858" s="1">
        <v>45</v>
      </c>
      <c r="AO3858" s="2">
        <v>46289</v>
      </c>
      <c r="AP3858" s="1" t="s">
        <v>912</v>
      </c>
      <c r="AS3858" s="1" t="s">
        <v>71</v>
      </c>
      <c r="AU3858" s="1" t="s">
        <v>72</v>
      </c>
      <c r="AV3858" s="1" t="s">
        <v>73</v>
      </c>
      <c r="AX3858" s="1">
        <v>0</v>
      </c>
      <c r="BA3858" s="1">
        <v>9</v>
      </c>
      <c r="BB3858" s="1">
        <v>0</v>
      </c>
      <c r="BC3858" s="1">
        <v>0</v>
      </c>
      <c r="BE3858" s="1">
        <v>27688333</v>
      </c>
    </row>
    <row r="3859" spans="1:57" x14ac:dyDescent="0.25">
      <c r="A3859" s="1" t="str">
        <f>T("1949824906246688944")</f>
        <v>1949824906246688944</v>
      </c>
      <c r="B3859" s="1" t="str">
        <f>T("249968266536")</f>
        <v>249968266536</v>
      </c>
      <c r="C3859" s="1" t="str">
        <f>T("1941094533391450124")</f>
        <v>1941094533391450124</v>
      </c>
      <c r="AC3859" s="1" t="s">
        <v>344</v>
      </c>
      <c r="AD3859" s="1" t="s">
        <v>441</v>
      </c>
      <c r="AE3859" s="1" t="s">
        <v>530</v>
      </c>
      <c r="AF3859" s="1" t="s">
        <v>107</v>
      </c>
      <c r="AG3859" s="1">
        <v>35</v>
      </c>
      <c r="AO3859" s="2">
        <v>46289</v>
      </c>
      <c r="AP3859" s="1" t="s">
        <v>912</v>
      </c>
      <c r="AS3859" s="1" t="s">
        <v>71</v>
      </c>
      <c r="AU3859" s="1" t="s">
        <v>72</v>
      </c>
      <c r="AV3859" s="1" t="s">
        <v>437</v>
      </c>
      <c r="AX3859" s="1">
        <v>0</v>
      </c>
      <c r="BA3859" s="1">
        <v>9</v>
      </c>
      <c r="BB3859" s="1">
        <v>0</v>
      </c>
      <c r="BC3859" s="1">
        <v>0</v>
      </c>
      <c r="BE3859" s="1">
        <v>27688333</v>
      </c>
    </row>
    <row r="3860" spans="1:57" x14ac:dyDescent="0.25">
      <c r="A3860" s="1" t="str">
        <f>T("1949824906246689444")</f>
        <v>1949824906246689444</v>
      </c>
      <c r="B3860" s="1" t="str">
        <f>T("249913460114")</f>
        <v>249913460114</v>
      </c>
      <c r="C3860" s="1" t="str">
        <f>T("1941094533387259116")</f>
        <v>1941094533387259116</v>
      </c>
      <c r="AC3860" s="1" t="s">
        <v>344</v>
      </c>
      <c r="AD3860" s="1" t="s">
        <v>372</v>
      </c>
      <c r="AE3860" s="1" t="s">
        <v>820</v>
      </c>
      <c r="AF3860" s="1" t="s">
        <v>144</v>
      </c>
      <c r="AG3860" s="1">
        <v>70</v>
      </c>
      <c r="AO3860" s="2">
        <v>46289</v>
      </c>
      <c r="AP3860" s="1" t="s">
        <v>912</v>
      </c>
      <c r="AS3860" s="1" t="s">
        <v>71</v>
      </c>
      <c r="AU3860" s="1" t="s">
        <v>72</v>
      </c>
      <c r="AV3860" s="1" t="s">
        <v>73</v>
      </c>
      <c r="AX3860" s="1">
        <v>0</v>
      </c>
      <c r="BA3860" s="1">
        <v>9</v>
      </c>
      <c r="BB3860" s="1">
        <v>0</v>
      </c>
      <c r="BC3860" s="1">
        <v>0</v>
      </c>
      <c r="BE3860" s="1">
        <v>27688333</v>
      </c>
    </row>
    <row r="3861" spans="1:57" x14ac:dyDescent="0.25">
      <c r="A3861" s="1" t="str">
        <f>T("1949824906263466576")</f>
        <v>1949824906263466576</v>
      </c>
      <c r="B3861" s="1" t="str">
        <f>T("249916700542")</f>
        <v>249916700542</v>
      </c>
      <c r="C3861" s="1" t="str">
        <f>T("1941094533391451824")</f>
        <v>1941094533391451824</v>
      </c>
      <c r="AC3861" s="1" t="s">
        <v>344</v>
      </c>
      <c r="AD3861" s="1" t="s">
        <v>430</v>
      </c>
      <c r="AE3861" s="1" t="s">
        <v>530</v>
      </c>
      <c r="AF3861" s="1" t="s">
        <v>107</v>
      </c>
      <c r="AG3861" s="1">
        <v>27</v>
      </c>
      <c r="AO3861" s="2">
        <v>46289</v>
      </c>
      <c r="AP3861" s="1" t="s">
        <v>912</v>
      </c>
      <c r="AS3861" s="1" t="s">
        <v>71</v>
      </c>
      <c r="AU3861" s="1" t="s">
        <v>72</v>
      </c>
      <c r="AV3861" s="1" t="s">
        <v>437</v>
      </c>
      <c r="AX3861" s="1">
        <v>0</v>
      </c>
      <c r="BA3861" s="1">
        <v>9</v>
      </c>
      <c r="BB3861" s="1">
        <v>0</v>
      </c>
      <c r="BC3861" s="1">
        <v>0</v>
      </c>
      <c r="BE3861" s="1">
        <v>27688333</v>
      </c>
    </row>
    <row r="3862" spans="1:57" x14ac:dyDescent="0.25">
      <c r="A3862" s="1" t="str">
        <f>T("1949824906267661684")</f>
        <v>1949824906267661684</v>
      </c>
      <c r="B3862" s="1" t="str">
        <f>T("249925241036")</f>
        <v>249925241036</v>
      </c>
      <c r="C3862" s="1" t="str">
        <f>T("1941094533391452624")</f>
        <v>1941094533391452624</v>
      </c>
      <c r="AC3862" s="1" t="s">
        <v>344</v>
      </c>
      <c r="AD3862" s="1" t="s">
        <v>372</v>
      </c>
      <c r="AE3862" s="1" t="s">
        <v>818</v>
      </c>
      <c r="AF3862" s="1" t="s">
        <v>144</v>
      </c>
      <c r="AG3862" s="1">
        <v>50</v>
      </c>
      <c r="AO3862" s="2">
        <v>46289</v>
      </c>
      <c r="AP3862" s="1" t="s">
        <v>912</v>
      </c>
      <c r="AS3862" s="1" t="s">
        <v>71</v>
      </c>
      <c r="AU3862" s="1" t="s">
        <v>72</v>
      </c>
      <c r="AV3862" s="1" t="s">
        <v>73</v>
      </c>
      <c r="AX3862" s="1">
        <v>0</v>
      </c>
      <c r="BA3862" s="1">
        <v>9</v>
      </c>
      <c r="BB3862" s="1">
        <v>0</v>
      </c>
      <c r="BC3862" s="1">
        <v>0</v>
      </c>
      <c r="BE3862" s="1">
        <v>27688333</v>
      </c>
    </row>
    <row r="3863" spans="1:57" x14ac:dyDescent="0.25">
      <c r="A3863" s="1" t="str">
        <f>T("1949824906267664184")</f>
        <v>1949824906267664184</v>
      </c>
      <c r="B3863" s="1" t="str">
        <f>T("249911208247")</f>
        <v>249911208247</v>
      </c>
      <c r="C3863" s="1" t="str">
        <f>T("1941094533391453124")</f>
        <v>1941094533391453124</v>
      </c>
      <c r="AC3863" s="1" t="s">
        <v>344</v>
      </c>
      <c r="AD3863" s="1" t="s">
        <v>441</v>
      </c>
      <c r="AE3863" s="1" t="s">
        <v>530</v>
      </c>
      <c r="AF3863" s="1" t="s">
        <v>144</v>
      </c>
      <c r="AG3863" s="1">
        <v>35</v>
      </c>
      <c r="AO3863" s="2">
        <v>46289</v>
      </c>
      <c r="AP3863" s="1" t="s">
        <v>912</v>
      </c>
      <c r="AS3863" s="1" t="s">
        <v>71</v>
      </c>
      <c r="AU3863" s="1" t="s">
        <v>72</v>
      </c>
      <c r="AV3863" s="1" t="s">
        <v>437</v>
      </c>
      <c r="AX3863" s="1">
        <v>0</v>
      </c>
      <c r="BA3863" s="1">
        <v>9</v>
      </c>
      <c r="BB3863" s="1">
        <v>0</v>
      </c>
      <c r="BC3863" s="1">
        <v>0</v>
      </c>
      <c r="BE3863" s="1">
        <v>27688333</v>
      </c>
    </row>
    <row r="3864" spans="1:57" x14ac:dyDescent="0.25">
      <c r="A3864" s="1" t="str">
        <f>T("1949824906305409456")</f>
        <v>1949824906305409456</v>
      </c>
      <c r="B3864" s="1" t="str">
        <f>T("249910218401")</f>
        <v>249910218401</v>
      </c>
      <c r="C3864" s="1" t="str">
        <f>T("1941094533395644932")</f>
        <v>1941094533395644932</v>
      </c>
      <c r="AC3864" s="1" t="s">
        <v>344</v>
      </c>
      <c r="AD3864" s="1" t="s">
        <v>430</v>
      </c>
      <c r="AE3864" s="1" t="s">
        <v>530</v>
      </c>
      <c r="AF3864" s="1" t="s">
        <v>144</v>
      </c>
      <c r="AG3864" s="1">
        <v>30</v>
      </c>
      <c r="AO3864" s="2">
        <v>46289</v>
      </c>
      <c r="AP3864" s="1" t="s">
        <v>912</v>
      </c>
      <c r="AS3864" s="1" t="s">
        <v>71</v>
      </c>
      <c r="AU3864" s="1" t="s">
        <v>72</v>
      </c>
      <c r="AV3864" s="1" t="s">
        <v>437</v>
      </c>
      <c r="AX3864" s="1">
        <v>0</v>
      </c>
      <c r="BA3864" s="1">
        <v>9</v>
      </c>
      <c r="BB3864" s="1">
        <v>0</v>
      </c>
      <c r="BC3864" s="1">
        <v>0</v>
      </c>
      <c r="BE3864" s="1">
        <v>27688333</v>
      </c>
    </row>
    <row r="3865" spans="1:57" x14ac:dyDescent="0.25">
      <c r="A3865" s="1" t="str">
        <f>T("1949824906313801272")</f>
        <v>1949824906313801272</v>
      </c>
      <c r="B3865" s="1" t="str">
        <f>T("249904055956")</f>
        <v>249904055956</v>
      </c>
      <c r="C3865" s="1" t="str">
        <f>T("1941094533395645432")</f>
        <v>1941094533395645432</v>
      </c>
      <c r="AC3865" s="1" t="s">
        <v>344</v>
      </c>
      <c r="AD3865" s="1" t="s">
        <v>441</v>
      </c>
      <c r="AE3865" s="1" t="s">
        <v>530</v>
      </c>
      <c r="AF3865" s="1" t="s">
        <v>107</v>
      </c>
      <c r="AG3865" s="1">
        <v>32</v>
      </c>
      <c r="AO3865" s="2">
        <v>46289</v>
      </c>
      <c r="AP3865" s="1" t="s">
        <v>912</v>
      </c>
      <c r="AS3865" s="1" t="s">
        <v>71</v>
      </c>
      <c r="AU3865" s="1" t="s">
        <v>72</v>
      </c>
      <c r="AV3865" s="1" t="s">
        <v>437</v>
      </c>
      <c r="AX3865" s="1">
        <v>0</v>
      </c>
      <c r="BA3865" s="1">
        <v>9</v>
      </c>
      <c r="BB3865" s="1">
        <v>0</v>
      </c>
      <c r="BC3865" s="1">
        <v>0</v>
      </c>
      <c r="BE3865" s="1">
        <v>27688333</v>
      </c>
    </row>
    <row r="3866" spans="1:57" x14ac:dyDescent="0.25">
      <c r="A3866" s="1" t="str">
        <f>T("1949824906317992180")</f>
        <v>1949824906317992180</v>
      </c>
      <c r="B3866" s="1" t="str">
        <f>T("249964239370")</f>
        <v>249964239370</v>
      </c>
      <c r="C3866" s="1" t="str">
        <f>T("1941094533395645932")</f>
        <v>1941094533395645932</v>
      </c>
      <c r="AC3866" s="1" t="s">
        <v>344</v>
      </c>
      <c r="AD3866" s="1" t="s">
        <v>372</v>
      </c>
      <c r="AE3866" s="1" t="s">
        <v>815</v>
      </c>
      <c r="AF3866" s="1" t="s">
        <v>107</v>
      </c>
      <c r="AG3866" s="1">
        <v>41</v>
      </c>
      <c r="AO3866" s="2">
        <v>46289</v>
      </c>
      <c r="AP3866" s="1" t="s">
        <v>912</v>
      </c>
      <c r="AS3866" s="1" t="s">
        <v>71</v>
      </c>
      <c r="AU3866" s="1" t="s">
        <v>72</v>
      </c>
      <c r="AV3866" s="1" t="s">
        <v>437</v>
      </c>
      <c r="AX3866" s="1">
        <v>0</v>
      </c>
      <c r="BA3866" s="1">
        <v>9</v>
      </c>
      <c r="BB3866" s="1">
        <v>0</v>
      </c>
      <c r="BC3866" s="1">
        <v>0</v>
      </c>
      <c r="BE3866" s="1">
        <v>27688333</v>
      </c>
    </row>
    <row r="3867" spans="1:57" x14ac:dyDescent="0.25">
      <c r="A3867" s="1" t="str">
        <f>T("1949824906322189188")</f>
        <v>1949824906322189188</v>
      </c>
      <c r="B3867" s="1" t="str">
        <f>T("249909860770")</f>
        <v>249909860770</v>
      </c>
      <c r="C3867" s="1" t="str">
        <f>T("1941094533395646432")</f>
        <v>1941094533395646432</v>
      </c>
      <c r="AC3867" s="1" t="s">
        <v>344</v>
      </c>
      <c r="AD3867" s="1" t="s">
        <v>372</v>
      </c>
      <c r="AE3867" s="1" t="s">
        <v>818</v>
      </c>
      <c r="AF3867" s="1" t="s">
        <v>144</v>
      </c>
      <c r="AG3867" s="1">
        <v>45</v>
      </c>
      <c r="AO3867" s="2">
        <v>46289</v>
      </c>
      <c r="AP3867" s="1" t="s">
        <v>912</v>
      </c>
      <c r="AS3867" s="1" t="s">
        <v>71</v>
      </c>
      <c r="AU3867" s="1" t="s">
        <v>72</v>
      </c>
      <c r="AV3867" s="1" t="s">
        <v>73</v>
      </c>
      <c r="AX3867" s="1">
        <v>0</v>
      </c>
      <c r="BA3867" s="1">
        <v>9</v>
      </c>
      <c r="BB3867" s="1">
        <v>0</v>
      </c>
      <c r="BC3867" s="1">
        <v>0</v>
      </c>
      <c r="BE3867" s="1">
        <v>27688333</v>
      </c>
    </row>
    <row r="3868" spans="1:57" x14ac:dyDescent="0.25">
      <c r="A3868" s="1" t="str">
        <f>T("1949824906326383296")</f>
        <v>1949824906326383296</v>
      </c>
      <c r="B3868" s="1" t="str">
        <f>T("249922121849")</f>
        <v>249922121849</v>
      </c>
      <c r="C3868" s="1" t="str">
        <f>T("1941094533395646932")</f>
        <v>1941094533395646932</v>
      </c>
      <c r="AC3868" s="1" t="s">
        <v>344</v>
      </c>
      <c r="AD3868" s="1" t="s">
        <v>372</v>
      </c>
      <c r="AE3868" s="1" t="s">
        <v>815</v>
      </c>
      <c r="AF3868" s="1" t="s">
        <v>107</v>
      </c>
      <c r="AG3868" s="1">
        <v>37</v>
      </c>
      <c r="AO3868" s="2">
        <v>46289</v>
      </c>
      <c r="AP3868" s="1" t="s">
        <v>912</v>
      </c>
      <c r="AS3868" s="1" t="s">
        <v>71</v>
      </c>
      <c r="AU3868" s="1" t="s">
        <v>72</v>
      </c>
      <c r="AV3868" s="1" t="s">
        <v>73</v>
      </c>
      <c r="AX3868" s="1">
        <v>0</v>
      </c>
      <c r="BA3868" s="1">
        <v>9</v>
      </c>
      <c r="BB3868" s="1">
        <v>0</v>
      </c>
      <c r="BC3868" s="1">
        <v>0</v>
      </c>
      <c r="BE3868" s="1">
        <v>27688333</v>
      </c>
    </row>
    <row r="3869" spans="1:57" x14ac:dyDescent="0.25">
      <c r="A3869" s="1" t="str">
        <f>T("1949824906355744152")</f>
        <v>1949824906355744152</v>
      </c>
      <c r="B3869" s="1" t="str">
        <f>T("249129205410")</f>
        <v>249129205410</v>
      </c>
      <c r="C3869" s="1" t="str">
        <f>T("1941094533395647432")</f>
        <v>1941094533395647432</v>
      </c>
      <c r="M3869" s="1" t="s">
        <v>133</v>
      </c>
      <c r="N3869" s="1" t="s">
        <v>60</v>
      </c>
      <c r="O3869" s="1" t="s">
        <v>65</v>
      </c>
      <c r="P3869" s="1" t="s">
        <v>83</v>
      </c>
      <c r="Q3869" s="1" t="s">
        <v>92</v>
      </c>
      <c r="R3869" s="1" t="s">
        <v>93</v>
      </c>
      <c r="T3869" s="1" t="s">
        <v>95</v>
      </c>
      <c r="U3869" s="1" t="s">
        <v>65</v>
      </c>
      <c r="V3869" s="1" t="s">
        <v>66</v>
      </c>
      <c r="AA3869" s="1">
        <v>1</v>
      </c>
      <c r="AC3869" s="1" t="s">
        <v>344</v>
      </c>
      <c r="AD3869" s="1" t="s">
        <v>372</v>
      </c>
      <c r="AE3869" s="1" t="s">
        <v>820</v>
      </c>
      <c r="AF3869" s="1" t="s">
        <v>107</v>
      </c>
      <c r="AG3869" s="1">
        <v>30</v>
      </c>
      <c r="AO3869" s="2">
        <v>46289</v>
      </c>
      <c r="AP3869" s="1" t="s">
        <v>912</v>
      </c>
      <c r="AQ3869" s="2">
        <v>46289</v>
      </c>
      <c r="AR3869" s="1" t="s">
        <v>916</v>
      </c>
      <c r="AS3869" s="1" t="s">
        <v>71</v>
      </c>
      <c r="AU3869" s="1" t="s">
        <v>78</v>
      </c>
      <c r="AV3869" s="1" t="s">
        <v>80</v>
      </c>
      <c r="AW3869" s="1">
        <v>184.62</v>
      </c>
      <c r="AX3869" s="1">
        <v>0</v>
      </c>
      <c r="AZ3869" s="1" t="s">
        <v>81</v>
      </c>
      <c r="BA3869" s="1">
        <v>1</v>
      </c>
      <c r="BB3869" s="1">
        <v>0</v>
      </c>
      <c r="BC3869" s="1">
        <v>0</v>
      </c>
      <c r="BE3869" s="1">
        <v>27688333</v>
      </c>
    </row>
    <row r="3870" spans="1:57" x14ac:dyDescent="0.25">
      <c r="A3870" s="1" t="str">
        <f>T("1949824906368326276")</f>
        <v>1949824906368326276</v>
      </c>
      <c r="B3870" s="1" t="str">
        <f>T("249912942648")</f>
        <v>249912942648</v>
      </c>
      <c r="C3870" s="1" t="str">
        <f>T("1941094533399838840")</f>
        <v>1941094533399838840</v>
      </c>
      <c r="AC3870" s="1" t="s">
        <v>344</v>
      </c>
      <c r="AD3870" s="1" t="s">
        <v>372</v>
      </c>
      <c r="AE3870" s="1" t="s">
        <v>815</v>
      </c>
      <c r="AF3870" s="1" t="s">
        <v>107</v>
      </c>
      <c r="AG3870" s="1">
        <v>37</v>
      </c>
      <c r="AO3870" s="2">
        <v>46289</v>
      </c>
      <c r="AP3870" s="1" t="s">
        <v>912</v>
      </c>
      <c r="AS3870" s="1" t="s">
        <v>71</v>
      </c>
      <c r="AU3870" s="1" t="s">
        <v>72</v>
      </c>
      <c r="AV3870" s="1" t="s">
        <v>73</v>
      </c>
      <c r="AX3870" s="1">
        <v>0</v>
      </c>
      <c r="BA3870" s="1">
        <v>9</v>
      </c>
      <c r="BB3870" s="1">
        <v>0</v>
      </c>
      <c r="BC3870" s="1">
        <v>0</v>
      </c>
      <c r="BE3870" s="1">
        <v>27688333</v>
      </c>
    </row>
    <row r="3871" spans="1:57" x14ac:dyDescent="0.25">
      <c r="A3871" s="1" t="str">
        <f>T("1949824906380909300")</f>
        <v>1949824906380909300</v>
      </c>
      <c r="B3871" s="1" t="str">
        <f>T("249916833797")</f>
        <v>249916833797</v>
      </c>
      <c r="C3871" s="1" t="str">
        <f>T("1941094533399839340")</f>
        <v>1941094533399839340</v>
      </c>
      <c r="AC3871" s="1" t="s">
        <v>344</v>
      </c>
      <c r="AD3871" s="1" t="s">
        <v>430</v>
      </c>
      <c r="AE3871" s="1" t="s">
        <v>530</v>
      </c>
      <c r="AF3871" s="1" t="s">
        <v>107</v>
      </c>
      <c r="AG3871" s="1">
        <v>35</v>
      </c>
      <c r="AO3871" s="2">
        <v>46289</v>
      </c>
      <c r="AP3871" s="1" t="s">
        <v>912</v>
      </c>
      <c r="AS3871" s="1" t="s">
        <v>71</v>
      </c>
      <c r="AU3871" s="1" t="s">
        <v>72</v>
      </c>
      <c r="AV3871" s="1" t="s">
        <v>73</v>
      </c>
      <c r="AX3871" s="1">
        <v>0</v>
      </c>
      <c r="BA3871" s="1">
        <v>9</v>
      </c>
      <c r="BB3871" s="1">
        <v>0</v>
      </c>
      <c r="BC3871" s="1">
        <v>0</v>
      </c>
      <c r="BE3871" s="1">
        <v>27688333</v>
      </c>
    </row>
    <row r="3872" spans="1:57" x14ac:dyDescent="0.25">
      <c r="A3872" s="1" t="str">
        <f>T("1949824906380909400")</f>
        <v>1949824906380909400</v>
      </c>
      <c r="B3872" s="1" t="str">
        <f>T("249125870950")</f>
        <v>249125870950</v>
      </c>
      <c r="C3872" s="1" t="str">
        <f>T("1941094533399839840")</f>
        <v>1941094533399839840</v>
      </c>
      <c r="M3872" s="1" t="s">
        <v>59</v>
      </c>
      <c r="AA3872" s="1">
        <v>1</v>
      </c>
      <c r="AC3872" s="1" t="s">
        <v>344</v>
      </c>
      <c r="AD3872" s="1" t="s">
        <v>372</v>
      </c>
      <c r="AE3872" s="1" t="s">
        <v>818</v>
      </c>
      <c r="AF3872" s="1" t="s">
        <v>144</v>
      </c>
      <c r="AG3872" s="1">
        <v>60</v>
      </c>
      <c r="AO3872" s="2">
        <v>46289</v>
      </c>
      <c r="AP3872" s="1" t="s">
        <v>912</v>
      </c>
      <c r="AQ3872" s="2">
        <v>46289</v>
      </c>
      <c r="AR3872" s="1" t="s">
        <v>917</v>
      </c>
      <c r="AS3872" s="1" t="s">
        <v>71</v>
      </c>
      <c r="AU3872" s="1" t="s">
        <v>79</v>
      </c>
      <c r="AV3872" s="1" t="s">
        <v>80</v>
      </c>
      <c r="AW3872" s="1">
        <v>64.12</v>
      </c>
      <c r="AX3872" s="1">
        <v>0</v>
      </c>
      <c r="AZ3872" s="1" t="s">
        <v>81</v>
      </c>
      <c r="BA3872" s="1">
        <v>1</v>
      </c>
      <c r="BB3872" s="1">
        <v>0</v>
      </c>
      <c r="BC3872" s="1">
        <v>0</v>
      </c>
      <c r="BE3872" s="1">
        <v>27688333</v>
      </c>
    </row>
    <row r="3873" spans="1:57" x14ac:dyDescent="0.25">
      <c r="A3873" s="1" t="str">
        <f>T("1949824906385100908")</f>
        <v>1949824906385100908</v>
      </c>
      <c r="B3873" s="1" t="str">
        <f>T("249961691996")</f>
        <v>249961691996</v>
      </c>
      <c r="C3873" s="1" t="str">
        <f>T("1941094533399840240")</f>
        <v>1941094533399840240</v>
      </c>
      <c r="AC3873" s="1" t="s">
        <v>344</v>
      </c>
      <c r="AD3873" s="1" t="s">
        <v>372</v>
      </c>
      <c r="AE3873" s="1" t="s">
        <v>814</v>
      </c>
      <c r="AF3873" s="1" t="s">
        <v>144</v>
      </c>
      <c r="AG3873" s="1">
        <v>50</v>
      </c>
      <c r="AO3873" s="2">
        <v>46289</v>
      </c>
      <c r="AP3873" s="1" t="s">
        <v>912</v>
      </c>
      <c r="AS3873" s="1" t="s">
        <v>71</v>
      </c>
      <c r="AU3873" s="1" t="s">
        <v>72</v>
      </c>
      <c r="AV3873" s="1" t="s">
        <v>73</v>
      </c>
      <c r="AX3873" s="1">
        <v>0</v>
      </c>
      <c r="BA3873" s="1">
        <v>9</v>
      </c>
      <c r="BB3873" s="1">
        <v>0</v>
      </c>
      <c r="BC3873" s="1">
        <v>0</v>
      </c>
      <c r="BE3873" s="1">
        <v>27688333</v>
      </c>
    </row>
    <row r="3874" spans="1:57" x14ac:dyDescent="0.25">
      <c r="A3874" s="1" t="str">
        <f>T("1949824906410267156")</f>
        <v>1949824906410267156</v>
      </c>
      <c r="B3874" s="1" t="str">
        <f>T("249919433780")</f>
        <v>249919433780</v>
      </c>
      <c r="C3874" s="1" t="str">
        <f>T("1941094533399840640")</f>
        <v>1941094533399840640</v>
      </c>
      <c r="AC3874" s="1" t="s">
        <v>344</v>
      </c>
      <c r="AD3874" s="1" t="s">
        <v>372</v>
      </c>
      <c r="AE3874" s="1" t="s">
        <v>815</v>
      </c>
      <c r="AF3874" s="1" t="s">
        <v>107</v>
      </c>
      <c r="AG3874" s="1">
        <v>52</v>
      </c>
      <c r="AO3874" s="2">
        <v>46289</v>
      </c>
      <c r="AP3874" s="1" t="s">
        <v>912</v>
      </c>
      <c r="AS3874" s="1" t="s">
        <v>71</v>
      </c>
      <c r="AU3874" s="1" t="s">
        <v>72</v>
      </c>
      <c r="AV3874" s="1" t="s">
        <v>73</v>
      </c>
      <c r="AX3874" s="1">
        <v>0</v>
      </c>
      <c r="BA3874" s="1">
        <v>9</v>
      </c>
      <c r="BB3874" s="1">
        <v>0</v>
      </c>
      <c r="BC3874" s="1">
        <v>0</v>
      </c>
      <c r="BE3874" s="1">
        <v>27688333</v>
      </c>
    </row>
    <row r="3875" spans="1:57" x14ac:dyDescent="0.25">
      <c r="A3875" s="1" t="str">
        <f>T("1949824906427044488")</f>
        <v>1949824906427044488</v>
      </c>
      <c r="B3875" s="1" t="str">
        <f>T("249910474212")</f>
        <v>249910474212</v>
      </c>
      <c r="C3875" s="1" t="str">
        <f>T("1941094533399840840")</f>
        <v>1941094533399840840</v>
      </c>
      <c r="AC3875" s="1" t="s">
        <v>344</v>
      </c>
      <c r="AD3875" s="1" t="s">
        <v>430</v>
      </c>
      <c r="AE3875" s="1" t="s">
        <v>530</v>
      </c>
      <c r="AF3875" s="1" t="s">
        <v>107</v>
      </c>
      <c r="AG3875" s="1">
        <v>29</v>
      </c>
      <c r="AO3875" s="2">
        <v>46289</v>
      </c>
      <c r="AP3875" s="1" t="s">
        <v>912</v>
      </c>
      <c r="AS3875" s="1" t="s">
        <v>71</v>
      </c>
      <c r="AU3875" s="1" t="s">
        <v>72</v>
      </c>
      <c r="AV3875" s="1" t="s">
        <v>73</v>
      </c>
      <c r="AX3875" s="1">
        <v>0</v>
      </c>
      <c r="BA3875" s="1">
        <v>9</v>
      </c>
      <c r="BB3875" s="1">
        <v>0</v>
      </c>
      <c r="BC3875" s="1">
        <v>0</v>
      </c>
      <c r="BE3875" s="1">
        <v>27688333</v>
      </c>
    </row>
    <row r="3876" spans="1:57" x14ac:dyDescent="0.25">
      <c r="A3876" s="1" t="str">
        <f>T("1949824906435435004")</f>
        <v>1949824906435435004</v>
      </c>
      <c r="B3876" s="1" t="str">
        <f>T("249904182505")</f>
        <v>249904182505</v>
      </c>
      <c r="C3876" s="1" t="str">
        <f>T("1941094533399841340")</f>
        <v>1941094533399841340</v>
      </c>
      <c r="AC3876" s="1" t="s">
        <v>344</v>
      </c>
      <c r="AD3876" s="1" t="s">
        <v>372</v>
      </c>
      <c r="AE3876" s="1" t="s">
        <v>813</v>
      </c>
      <c r="AF3876" s="1" t="s">
        <v>107</v>
      </c>
      <c r="AG3876" s="1">
        <v>65</v>
      </c>
      <c r="AO3876" s="2">
        <v>46289</v>
      </c>
      <c r="AP3876" s="1" t="s">
        <v>912</v>
      </c>
      <c r="AS3876" s="1" t="s">
        <v>71</v>
      </c>
      <c r="AU3876" s="1" t="s">
        <v>72</v>
      </c>
      <c r="AV3876" s="1" t="s">
        <v>437</v>
      </c>
      <c r="AX3876" s="1">
        <v>0</v>
      </c>
      <c r="BA3876" s="1">
        <v>9</v>
      </c>
      <c r="BB3876" s="1">
        <v>0</v>
      </c>
      <c r="BC3876" s="1">
        <v>0</v>
      </c>
      <c r="BE3876" s="1">
        <v>27688333</v>
      </c>
    </row>
    <row r="3877" spans="1:57" x14ac:dyDescent="0.25">
      <c r="A3877" s="1" t="str">
        <f>T("1949824906443824320")</f>
        <v>1949824906443824320</v>
      </c>
      <c r="B3877" s="1" t="str">
        <f>T("249905163909")</f>
        <v>249905163909</v>
      </c>
      <c r="C3877" s="1" t="str">
        <f>T("1941094533399841740")</f>
        <v>1941094533399841740</v>
      </c>
      <c r="AC3877" s="1" t="s">
        <v>344</v>
      </c>
      <c r="AD3877" s="1" t="s">
        <v>430</v>
      </c>
      <c r="AE3877" s="1" t="s">
        <v>530</v>
      </c>
      <c r="AF3877" s="1" t="s">
        <v>144</v>
      </c>
      <c r="AG3877" s="1">
        <v>45</v>
      </c>
      <c r="AO3877" s="2">
        <v>46289</v>
      </c>
      <c r="AP3877" s="1" t="s">
        <v>912</v>
      </c>
      <c r="AS3877" s="1" t="s">
        <v>71</v>
      </c>
      <c r="AU3877" s="1" t="s">
        <v>72</v>
      </c>
      <c r="AV3877" s="1" t="s">
        <v>73</v>
      </c>
      <c r="AX3877" s="1">
        <v>0</v>
      </c>
      <c r="BA3877" s="1">
        <v>9</v>
      </c>
      <c r="BB3877" s="1">
        <v>0</v>
      </c>
      <c r="BC3877" s="1">
        <v>0</v>
      </c>
      <c r="BE3877" s="1">
        <v>27688333</v>
      </c>
    </row>
    <row r="3878" spans="1:57" x14ac:dyDescent="0.25">
      <c r="A3878" s="1" t="str">
        <f>T("1949824906448015728")</f>
        <v>1949824906448015728</v>
      </c>
      <c r="B3878" s="1" t="str">
        <f>T("249902927747")</f>
        <v>249902927747</v>
      </c>
      <c r="C3878" s="1" t="str">
        <f>T("1941094533399842140")</f>
        <v>1941094533399842140</v>
      </c>
      <c r="AC3878" s="1" t="s">
        <v>344</v>
      </c>
      <c r="AD3878" s="1" t="s">
        <v>441</v>
      </c>
      <c r="AE3878" s="1" t="s">
        <v>530</v>
      </c>
      <c r="AF3878" s="1" t="s">
        <v>144</v>
      </c>
      <c r="AG3878" s="1">
        <v>25</v>
      </c>
      <c r="AO3878" s="2">
        <v>46289</v>
      </c>
      <c r="AP3878" s="1" t="s">
        <v>912</v>
      </c>
      <c r="AS3878" s="1" t="s">
        <v>71</v>
      </c>
      <c r="AU3878" s="1" t="s">
        <v>72</v>
      </c>
      <c r="AV3878" s="1" t="s">
        <v>437</v>
      </c>
      <c r="AX3878" s="1">
        <v>0</v>
      </c>
      <c r="BA3878" s="1">
        <v>9</v>
      </c>
      <c r="BB3878" s="1">
        <v>0</v>
      </c>
      <c r="BC3878" s="1">
        <v>0</v>
      </c>
      <c r="BE3878" s="1">
        <v>27688333</v>
      </c>
    </row>
    <row r="3879" spans="1:57" x14ac:dyDescent="0.25">
      <c r="A3879" s="1" t="str">
        <f>T("1949824906464796460")</f>
        <v>1949824906464796460</v>
      </c>
      <c r="B3879" s="1" t="str">
        <f>T("249965147674")</f>
        <v>249965147674</v>
      </c>
      <c r="C3879" s="1" t="str">
        <f>T("1941094533399842540")</f>
        <v>1941094533399842540</v>
      </c>
      <c r="AC3879" s="1" t="s">
        <v>344</v>
      </c>
      <c r="AD3879" s="1" t="s">
        <v>430</v>
      </c>
      <c r="AE3879" s="1" t="s">
        <v>530</v>
      </c>
      <c r="AF3879" s="1" t="s">
        <v>107</v>
      </c>
      <c r="AG3879" s="1">
        <v>62</v>
      </c>
      <c r="AO3879" s="2">
        <v>46289</v>
      </c>
      <c r="AP3879" s="1" t="s">
        <v>912</v>
      </c>
      <c r="AS3879" s="1" t="s">
        <v>71</v>
      </c>
      <c r="AU3879" s="1" t="s">
        <v>72</v>
      </c>
      <c r="AV3879" s="1" t="s">
        <v>73</v>
      </c>
      <c r="AX3879" s="1">
        <v>0</v>
      </c>
      <c r="BA3879" s="1">
        <v>9</v>
      </c>
      <c r="BB3879" s="1">
        <v>0</v>
      </c>
      <c r="BC3879" s="1">
        <v>0</v>
      </c>
      <c r="BE3879" s="1">
        <v>27688333</v>
      </c>
    </row>
    <row r="3880" spans="1:57" x14ac:dyDescent="0.25">
      <c r="A3880" s="1" t="str">
        <f>T("1949824906473182776")</f>
        <v>1949824906473182776</v>
      </c>
      <c r="B3880" s="1" t="str">
        <f>T("249969346483")</f>
        <v>249969346483</v>
      </c>
      <c r="C3880" s="1" t="str">
        <f>T("1941094533404033148")</f>
        <v>1941094533404033148</v>
      </c>
      <c r="AC3880" s="1" t="s">
        <v>344</v>
      </c>
      <c r="AD3880" s="1" t="s">
        <v>441</v>
      </c>
      <c r="AE3880" s="1" t="s">
        <v>530</v>
      </c>
      <c r="AF3880" s="1" t="s">
        <v>107</v>
      </c>
      <c r="AG3880" s="1">
        <v>37</v>
      </c>
      <c r="AO3880" s="2">
        <v>46289</v>
      </c>
      <c r="AP3880" s="1" t="s">
        <v>912</v>
      </c>
      <c r="AS3880" s="1" t="s">
        <v>71</v>
      </c>
      <c r="AU3880" s="1" t="s">
        <v>72</v>
      </c>
      <c r="AV3880" s="1" t="s">
        <v>73</v>
      </c>
      <c r="AX3880" s="1">
        <v>0</v>
      </c>
      <c r="BA3880" s="1">
        <v>9</v>
      </c>
      <c r="BB3880" s="1">
        <v>0</v>
      </c>
      <c r="BC3880" s="1">
        <v>0</v>
      </c>
      <c r="BE3880" s="1">
        <v>27688333</v>
      </c>
    </row>
    <row r="3881" spans="1:57" x14ac:dyDescent="0.25">
      <c r="A3881" s="1" t="str">
        <f>T("1949824906485765200")</f>
        <v>1949824906485765200</v>
      </c>
      <c r="B3881" s="1" t="str">
        <f>T("249903604552")</f>
        <v>249903604552</v>
      </c>
      <c r="C3881" s="1" t="str">
        <f>T("1941094533404033548")</f>
        <v>1941094533404033548</v>
      </c>
      <c r="AC3881" s="1" t="s">
        <v>344</v>
      </c>
      <c r="AD3881" s="1" t="s">
        <v>430</v>
      </c>
      <c r="AE3881" s="1" t="s">
        <v>530</v>
      </c>
      <c r="AF3881" s="1" t="s">
        <v>144</v>
      </c>
      <c r="AG3881" s="1">
        <v>22</v>
      </c>
      <c r="AO3881" s="2">
        <v>46289</v>
      </c>
      <c r="AP3881" s="1" t="s">
        <v>912</v>
      </c>
      <c r="AS3881" s="1" t="s">
        <v>71</v>
      </c>
      <c r="AU3881" s="1" t="s">
        <v>72</v>
      </c>
      <c r="AV3881" s="1" t="s">
        <v>73</v>
      </c>
      <c r="AX3881" s="1">
        <v>0</v>
      </c>
      <c r="BA3881" s="1">
        <v>9</v>
      </c>
      <c r="BB3881" s="1">
        <v>0</v>
      </c>
      <c r="BC3881" s="1">
        <v>0</v>
      </c>
      <c r="BE3881" s="1">
        <v>27688333</v>
      </c>
    </row>
    <row r="3882" spans="1:57" x14ac:dyDescent="0.25">
      <c r="A3882" s="1" t="str">
        <f>T("1949824906498350424")</f>
        <v>1949824906498350424</v>
      </c>
      <c r="B3882" s="1" t="str">
        <f>T("249905657886")</f>
        <v>249905657886</v>
      </c>
      <c r="C3882" s="1" t="str">
        <f>T("1941094533404035748")</f>
        <v>1941094533404035748</v>
      </c>
      <c r="AC3882" s="1" t="s">
        <v>344</v>
      </c>
      <c r="AD3882" s="1" t="s">
        <v>357</v>
      </c>
      <c r="AE3882" s="1" t="s">
        <v>812</v>
      </c>
      <c r="AF3882" s="1" t="s">
        <v>107</v>
      </c>
      <c r="AG3882" s="1">
        <v>44</v>
      </c>
      <c r="AO3882" s="2">
        <v>46289</v>
      </c>
      <c r="AP3882" s="1" t="s">
        <v>912</v>
      </c>
      <c r="AS3882" s="1" t="s">
        <v>71</v>
      </c>
      <c r="AU3882" s="1" t="s">
        <v>72</v>
      </c>
      <c r="AV3882" s="1" t="s">
        <v>73</v>
      </c>
      <c r="AX3882" s="1">
        <v>0</v>
      </c>
      <c r="BA3882" s="1">
        <v>9</v>
      </c>
      <c r="BB3882" s="1">
        <v>0</v>
      </c>
      <c r="BC3882" s="1">
        <v>0</v>
      </c>
      <c r="BE3882" s="1">
        <v>27688333</v>
      </c>
    </row>
    <row r="3883" spans="1:57" x14ac:dyDescent="0.25">
      <c r="A3883" s="1" t="str">
        <f>T("1949824906498350824")</f>
        <v>1949824906498350824</v>
      </c>
      <c r="B3883" s="1" t="str">
        <f>T("249116522970")</f>
        <v>249116522970</v>
      </c>
      <c r="C3883" s="1" t="str">
        <f>T("1941094533404036448")</f>
        <v>1941094533404036448</v>
      </c>
      <c r="AC3883" s="1" t="s">
        <v>344</v>
      </c>
      <c r="AD3883" s="1" t="s">
        <v>372</v>
      </c>
      <c r="AE3883" s="1" t="s">
        <v>814</v>
      </c>
      <c r="AF3883" s="1" t="s">
        <v>107</v>
      </c>
      <c r="AG3883" s="1">
        <v>42</v>
      </c>
      <c r="AO3883" s="2">
        <v>46289</v>
      </c>
      <c r="AP3883" s="1" t="s">
        <v>912</v>
      </c>
      <c r="AS3883" s="1" t="s">
        <v>71</v>
      </c>
      <c r="AU3883" s="1" t="s">
        <v>72</v>
      </c>
      <c r="AV3883" s="1" t="s">
        <v>73</v>
      </c>
      <c r="AX3883" s="1">
        <v>0</v>
      </c>
      <c r="BA3883" s="1">
        <v>9</v>
      </c>
      <c r="BB3883" s="1">
        <v>0</v>
      </c>
      <c r="BC3883" s="1">
        <v>0</v>
      </c>
      <c r="BE3883" s="1">
        <v>27688333</v>
      </c>
    </row>
    <row r="3884" spans="1:57" x14ac:dyDescent="0.25">
      <c r="A3884" s="1" t="str">
        <f>T("1949824906523515572")</f>
        <v>1949824906523515572</v>
      </c>
      <c r="B3884" s="1" t="str">
        <f>T("249903415687")</f>
        <v>249903415687</v>
      </c>
      <c r="C3884" s="1" t="str">
        <f>T("1941094533408227656")</f>
        <v>1941094533408227656</v>
      </c>
      <c r="AC3884" s="1" t="s">
        <v>344</v>
      </c>
      <c r="AD3884" s="1" t="s">
        <v>441</v>
      </c>
      <c r="AE3884" s="1" t="s">
        <v>530</v>
      </c>
      <c r="AF3884" s="1" t="s">
        <v>107</v>
      </c>
      <c r="AG3884" s="1">
        <v>26</v>
      </c>
      <c r="AO3884" s="2">
        <v>46289</v>
      </c>
      <c r="AP3884" s="1" t="s">
        <v>912</v>
      </c>
      <c r="AS3884" s="1" t="s">
        <v>71</v>
      </c>
      <c r="AU3884" s="1" t="s">
        <v>72</v>
      </c>
      <c r="AV3884" s="1" t="s">
        <v>437</v>
      </c>
      <c r="AX3884" s="1">
        <v>0</v>
      </c>
      <c r="BA3884" s="1">
        <v>9</v>
      </c>
      <c r="BB3884" s="1">
        <v>0</v>
      </c>
      <c r="BC3884" s="1">
        <v>0</v>
      </c>
      <c r="BE3884" s="1">
        <v>27688333</v>
      </c>
    </row>
    <row r="3885" spans="1:57" x14ac:dyDescent="0.25">
      <c r="A3885" s="1" t="str">
        <f>T("1949824906527707780")</f>
        <v>1949824906527707780</v>
      </c>
      <c r="B3885" s="1" t="str">
        <f>T("249910576335")</f>
        <v>249910576335</v>
      </c>
      <c r="C3885" s="1" t="str">
        <f>T("1941094533404036948")</f>
        <v>1941094533404036948</v>
      </c>
      <c r="AC3885" s="1" t="s">
        <v>344</v>
      </c>
      <c r="AD3885" s="1" t="s">
        <v>357</v>
      </c>
      <c r="AE3885" s="1" t="s">
        <v>817</v>
      </c>
      <c r="AF3885" s="1" t="s">
        <v>107</v>
      </c>
      <c r="AG3885" s="1">
        <v>50</v>
      </c>
      <c r="AO3885" s="2">
        <v>46289</v>
      </c>
      <c r="AP3885" s="1" t="s">
        <v>912</v>
      </c>
      <c r="AS3885" s="1" t="s">
        <v>71</v>
      </c>
      <c r="AU3885" s="1" t="s">
        <v>72</v>
      </c>
      <c r="AV3885" s="1" t="s">
        <v>437</v>
      </c>
      <c r="AX3885" s="1">
        <v>0</v>
      </c>
      <c r="BA3885" s="1">
        <v>9</v>
      </c>
      <c r="BB3885" s="1">
        <v>0</v>
      </c>
      <c r="BC3885" s="1">
        <v>0</v>
      </c>
      <c r="BE3885" s="1">
        <v>27688333</v>
      </c>
    </row>
    <row r="3886" spans="1:57" x14ac:dyDescent="0.25">
      <c r="A3886" s="1" t="str">
        <f>T("1949824906540293004")</f>
        <v>1949824906540293004</v>
      </c>
      <c r="B3886" s="1" t="str">
        <f>T("249907435821")</f>
        <v>249907435821</v>
      </c>
      <c r="C3886" s="1" t="str">
        <f>T("1941094533408228156")</f>
        <v>1941094533408228156</v>
      </c>
      <c r="AC3886" s="1" t="s">
        <v>344</v>
      </c>
      <c r="AD3886" s="1" t="s">
        <v>441</v>
      </c>
      <c r="AE3886" s="1" t="s">
        <v>530</v>
      </c>
      <c r="AF3886" s="1" t="s">
        <v>144</v>
      </c>
      <c r="AG3886" s="1">
        <v>70</v>
      </c>
      <c r="AO3886" s="2">
        <v>46289</v>
      </c>
      <c r="AP3886" s="1" t="s">
        <v>912</v>
      </c>
      <c r="AS3886" s="1" t="s">
        <v>71</v>
      </c>
      <c r="AU3886" s="1" t="s">
        <v>72</v>
      </c>
      <c r="AV3886" s="1" t="s">
        <v>73</v>
      </c>
      <c r="AX3886" s="1">
        <v>0</v>
      </c>
      <c r="BA3886" s="1">
        <v>9</v>
      </c>
      <c r="BB3886" s="1">
        <v>0</v>
      </c>
      <c r="BC3886" s="1">
        <v>0</v>
      </c>
      <c r="BE3886" s="1">
        <v>27688333</v>
      </c>
    </row>
    <row r="3887" spans="1:57" x14ac:dyDescent="0.25">
      <c r="A3887" s="1" t="str">
        <f>T("1949824906557069936")</f>
        <v>1949824906557069936</v>
      </c>
      <c r="B3887" s="1" t="str">
        <f>T("249966212004")</f>
        <v>249966212004</v>
      </c>
      <c r="C3887" s="1" t="str">
        <f>T("1941094533408228556")</f>
        <v>1941094533408228556</v>
      </c>
      <c r="AC3887" s="1" t="s">
        <v>344</v>
      </c>
      <c r="AD3887" s="1" t="s">
        <v>441</v>
      </c>
      <c r="AE3887" s="1" t="s">
        <v>530</v>
      </c>
      <c r="AF3887" s="1" t="s">
        <v>107</v>
      </c>
      <c r="AG3887" s="1">
        <v>32</v>
      </c>
      <c r="AO3887" s="2">
        <v>46289</v>
      </c>
      <c r="AP3887" s="1" t="s">
        <v>912</v>
      </c>
      <c r="AS3887" s="1" t="s">
        <v>71</v>
      </c>
      <c r="AU3887" s="1" t="s">
        <v>72</v>
      </c>
      <c r="AV3887" s="1" t="s">
        <v>73</v>
      </c>
      <c r="AX3887" s="1">
        <v>0</v>
      </c>
      <c r="BA3887" s="1">
        <v>9</v>
      </c>
      <c r="BB3887" s="1">
        <v>0</v>
      </c>
      <c r="BC3887" s="1">
        <v>0</v>
      </c>
      <c r="BE3887" s="1">
        <v>27688333</v>
      </c>
    </row>
    <row r="3888" spans="1:57" x14ac:dyDescent="0.25">
      <c r="A3888" s="1" t="str">
        <f>T("1949824906565457752")</f>
        <v>1949824906565457752</v>
      </c>
      <c r="B3888" s="1" t="str">
        <f>T("249968839765")</f>
        <v>249968839765</v>
      </c>
      <c r="C3888" s="1" t="str">
        <f>T("1941094533408229056")</f>
        <v>1941094533408229056</v>
      </c>
      <c r="AC3888" s="1" t="s">
        <v>344</v>
      </c>
      <c r="AD3888" s="1" t="s">
        <v>430</v>
      </c>
      <c r="AE3888" s="1" t="s">
        <v>530</v>
      </c>
      <c r="AF3888" s="1" t="s">
        <v>107</v>
      </c>
      <c r="AG3888" s="1">
        <v>73</v>
      </c>
      <c r="AO3888" s="2">
        <v>46289</v>
      </c>
      <c r="AP3888" s="1" t="s">
        <v>912</v>
      </c>
      <c r="AS3888" s="1" t="s">
        <v>71</v>
      </c>
      <c r="AU3888" s="1" t="s">
        <v>72</v>
      </c>
      <c r="AV3888" s="1" t="s">
        <v>437</v>
      </c>
      <c r="AX3888" s="1">
        <v>0</v>
      </c>
      <c r="BA3888" s="1">
        <v>9</v>
      </c>
      <c r="BB3888" s="1">
        <v>0</v>
      </c>
      <c r="BC3888" s="1">
        <v>0</v>
      </c>
      <c r="BE3888" s="1">
        <v>27688333</v>
      </c>
    </row>
    <row r="3889" spans="1:57" x14ac:dyDescent="0.25">
      <c r="A3889" s="1" t="str">
        <f>T("1949824906590622900")</f>
        <v>1949824906590622900</v>
      </c>
      <c r="B3889" s="1" t="str">
        <f>T("249967386778")</f>
        <v>249967386778</v>
      </c>
      <c r="C3889" s="1" t="str">
        <f>T("1941094533408229356")</f>
        <v>1941094533408229356</v>
      </c>
      <c r="AC3889" s="1" t="s">
        <v>344</v>
      </c>
      <c r="AD3889" s="1" t="s">
        <v>430</v>
      </c>
      <c r="AE3889" s="1" t="s">
        <v>530</v>
      </c>
      <c r="AF3889" s="1" t="s">
        <v>107</v>
      </c>
      <c r="AG3889" s="1">
        <v>30</v>
      </c>
      <c r="AO3889" s="2">
        <v>46289</v>
      </c>
      <c r="AP3889" s="1" t="s">
        <v>912</v>
      </c>
      <c r="AS3889" s="1" t="s">
        <v>71</v>
      </c>
      <c r="AU3889" s="1" t="s">
        <v>72</v>
      </c>
      <c r="AV3889" s="1" t="s">
        <v>73</v>
      </c>
      <c r="AX3889" s="1">
        <v>0</v>
      </c>
      <c r="BA3889" s="1">
        <v>9</v>
      </c>
      <c r="BB3889" s="1">
        <v>0</v>
      </c>
      <c r="BC3889" s="1">
        <v>0</v>
      </c>
      <c r="BE3889" s="1">
        <v>27688333</v>
      </c>
    </row>
    <row r="3890" spans="1:57" x14ac:dyDescent="0.25">
      <c r="A3890" s="1" t="str">
        <f>T("1949824906590623200")</f>
        <v>1949824906590623200</v>
      </c>
      <c r="B3890" s="1" t="str">
        <f>T("249913158696")</f>
        <v>249913158696</v>
      </c>
      <c r="C3890" s="1" t="str">
        <f>T("1941094533408229756")</f>
        <v>1941094533408229756</v>
      </c>
      <c r="AC3890" s="1" t="s">
        <v>344</v>
      </c>
      <c r="AD3890" s="1" t="s">
        <v>430</v>
      </c>
      <c r="AE3890" s="1" t="s">
        <v>530</v>
      </c>
      <c r="AF3890" s="1" t="s">
        <v>107</v>
      </c>
      <c r="AG3890" s="1">
        <v>52</v>
      </c>
      <c r="AO3890" s="2">
        <v>46289</v>
      </c>
      <c r="AP3890" s="1" t="s">
        <v>912</v>
      </c>
      <c r="AS3890" s="1" t="s">
        <v>71</v>
      </c>
      <c r="AU3890" s="1" t="s">
        <v>72</v>
      </c>
      <c r="AV3890" s="1" t="s">
        <v>437</v>
      </c>
      <c r="AX3890" s="1">
        <v>0</v>
      </c>
      <c r="BA3890" s="1">
        <v>9</v>
      </c>
      <c r="BB3890" s="1">
        <v>0</v>
      </c>
      <c r="BC3890" s="1">
        <v>0</v>
      </c>
      <c r="BE3890" s="1">
        <v>27688333</v>
      </c>
    </row>
    <row r="3891" spans="1:57" x14ac:dyDescent="0.25">
      <c r="A3891" s="1" t="str">
        <f>T("1949824906599014316")</f>
        <v>1949824906599014316</v>
      </c>
      <c r="B3891" s="1" t="str">
        <f>T("249964068242")</f>
        <v>249964068242</v>
      </c>
      <c r="C3891" s="1" t="str">
        <f>T("1941094533408230156")</f>
        <v>1941094533408230156</v>
      </c>
      <c r="AC3891" s="1" t="s">
        <v>344</v>
      </c>
      <c r="AD3891" s="1" t="s">
        <v>441</v>
      </c>
      <c r="AE3891" s="1" t="s">
        <v>530</v>
      </c>
      <c r="AF3891" s="1" t="s">
        <v>144</v>
      </c>
      <c r="AG3891" s="1">
        <v>25</v>
      </c>
      <c r="AO3891" s="2">
        <v>46289</v>
      </c>
      <c r="AP3891" s="1" t="s">
        <v>912</v>
      </c>
      <c r="AS3891" s="1" t="s">
        <v>71</v>
      </c>
      <c r="AU3891" s="1" t="s">
        <v>72</v>
      </c>
      <c r="AV3891" s="1" t="s">
        <v>73</v>
      </c>
      <c r="AX3891" s="1">
        <v>0</v>
      </c>
      <c r="BA3891" s="1">
        <v>9</v>
      </c>
      <c r="BB3891" s="1">
        <v>0</v>
      </c>
      <c r="BC3891" s="1">
        <v>0</v>
      </c>
      <c r="BE3891" s="1">
        <v>27688333</v>
      </c>
    </row>
    <row r="3892" spans="1:57" x14ac:dyDescent="0.25">
      <c r="A3892" s="1" t="str">
        <f>T("1949824906611594640")</f>
        <v>1949824906611594640</v>
      </c>
      <c r="B3892" s="1" t="str">
        <f>T("249963650986")</f>
        <v>249963650986</v>
      </c>
      <c r="C3892" s="1" t="str">
        <f>T("1941094533408230856")</f>
        <v>1941094533408230856</v>
      </c>
      <c r="AC3892" s="1" t="s">
        <v>344</v>
      </c>
      <c r="AD3892" s="1" t="s">
        <v>430</v>
      </c>
      <c r="AE3892" s="1" t="s">
        <v>530</v>
      </c>
      <c r="AF3892" s="1" t="s">
        <v>107</v>
      </c>
      <c r="AG3892" s="1">
        <v>25</v>
      </c>
      <c r="AO3892" s="2">
        <v>46289</v>
      </c>
      <c r="AP3892" s="1" t="s">
        <v>912</v>
      </c>
      <c r="AS3892" s="1" t="s">
        <v>71</v>
      </c>
      <c r="AU3892" s="1" t="s">
        <v>72</v>
      </c>
      <c r="AV3892" s="1" t="s">
        <v>437</v>
      </c>
      <c r="AX3892" s="1">
        <v>0</v>
      </c>
      <c r="BA3892" s="1">
        <v>9</v>
      </c>
      <c r="BB3892" s="1">
        <v>0</v>
      </c>
      <c r="BC3892" s="1">
        <v>0</v>
      </c>
      <c r="BE3892" s="1">
        <v>27688333</v>
      </c>
    </row>
    <row r="3893" spans="1:57" x14ac:dyDescent="0.25">
      <c r="A3893" s="1" t="str">
        <f>T("1949824906624177164")</f>
        <v>1949824906624177164</v>
      </c>
      <c r="B3893" s="1" t="str">
        <f>T("249919017064")</f>
        <v>249919017064</v>
      </c>
      <c r="C3893" s="1" t="str">
        <f>T("1941094533408231356")</f>
        <v>1941094533408231356</v>
      </c>
      <c r="AC3893" s="1" t="s">
        <v>344</v>
      </c>
      <c r="AD3893" s="1" t="s">
        <v>430</v>
      </c>
      <c r="AE3893" s="1" t="s">
        <v>530</v>
      </c>
      <c r="AF3893" s="1" t="s">
        <v>107</v>
      </c>
      <c r="AG3893" s="1">
        <v>70</v>
      </c>
      <c r="AO3893" s="2">
        <v>46289</v>
      </c>
      <c r="AP3893" s="1" t="s">
        <v>912</v>
      </c>
      <c r="AS3893" s="1" t="s">
        <v>71</v>
      </c>
      <c r="AU3893" s="1" t="s">
        <v>72</v>
      </c>
      <c r="AV3893" s="1" t="s">
        <v>437</v>
      </c>
      <c r="AX3893" s="1">
        <v>0</v>
      </c>
      <c r="BA3893" s="1">
        <v>9</v>
      </c>
      <c r="BB3893" s="1">
        <v>0</v>
      </c>
      <c r="BC3893" s="1">
        <v>0</v>
      </c>
      <c r="BE3893" s="1">
        <v>27688333</v>
      </c>
    </row>
    <row r="3894" spans="1:57" x14ac:dyDescent="0.25">
      <c r="A3894" s="1" t="str">
        <f>T("1949824906653538120")</f>
        <v>1949824906653538120</v>
      </c>
      <c r="B3894" s="1" t="str">
        <f>T("249922425214")</f>
        <v>249922425214</v>
      </c>
      <c r="C3894" s="1" t="str">
        <f>T("1941094533412421964")</f>
        <v>1941094533412421964</v>
      </c>
      <c r="M3894" s="1" t="s">
        <v>59</v>
      </c>
      <c r="AA3894" s="1">
        <v>1</v>
      </c>
      <c r="AC3894" s="1" t="s">
        <v>344</v>
      </c>
      <c r="AD3894" s="1" t="s">
        <v>372</v>
      </c>
      <c r="AE3894" s="1" t="s">
        <v>814</v>
      </c>
      <c r="AF3894" s="1" t="s">
        <v>107</v>
      </c>
      <c r="AG3894" s="1">
        <v>45</v>
      </c>
      <c r="AO3894" s="2">
        <v>46289</v>
      </c>
      <c r="AP3894" s="1" t="s">
        <v>912</v>
      </c>
      <c r="AQ3894" s="2">
        <v>46289</v>
      </c>
      <c r="AR3894" s="1" t="s">
        <v>918</v>
      </c>
      <c r="AS3894" s="1" t="s">
        <v>71</v>
      </c>
      <c r="AU3894" s="1" t="s">
        <v>79</v>
      </c>
      <c r="AV3894" s="1" t="s">
        <v>80</v>
      </c>
      <c r="AW3894" s="1">
        <v>91.96</v>
      </c>
      <c r="AX3894" s="1">
        <v>0</v>
      </c>
      <c r="AZ3894" s="1" t="s">
        <v>81</v>
      </c>
      <c r="BA3894" s="1">
        <v>1</v>
      </c>
      <c r="BB3894" s="1">
        <v>0</v>
      </c>
      <c r="BC3894" s="1">
        <v>0</v>
      </c>
      <c r="BE3894" s="1">
        <v>27688333</v>
      </c>
    </row>
    <row r="3895" spans="1:57" x14ac:dyDescent="0.25">
      <c r="A3895" s="1" t="str">
        <f>T("1949824906653539620")</f>
        <v>1949824906653539620</v>
      </c>
      <c r="B3895" s="1" t="str">
        <f>T("249903862952")</f>
        <v>249903862952</v>
      </c>
      <c r="C3895" s="1" t="str">
        <f>T("1941094533412422464")</f>
        <v>1941094533412422464</v>
      </c>
      <c r="AC3895" s="1" t="s">
        <v>344</v>
      </c>
      <c r="AD3895" s="1" t="s">
        <v>441</v>
      </c>
      <c r="AE3895" s="1" t="s">
        <v>530</v>
      </c>
      <c r="AF3895" s="1" t="s">
        <v>144</v>
      </c>
      <c r="AG3895" s="1">
        <v>70</v>
      </c>
      <c r="AO3895" s="2">
        <v>46289</v>
      </c>
      <c r="AP3895" s="1" t="s">
        <v>912</v>
      </c>
      <c r="AS3895" s="1" t="s">
        <v>71</v>
      </c>
      <c r="AU3895" s="1" t="s">
        <v>72</v>
      </c>
      <c r="AV3895" s="1" t="s">
        <v>73</v>
      </c>
      <c r="AX3895" s="1">
        <v>0</v>
      </c>
      <c r="BA3895" s="1">
        <v>9</v>
      </c>
      <c r="BB3895" s="1">
        <v>0</v>
      </c>
      <c r="BC3895" s="1">
        <v>0</v>
      </c>
      <c r="BE3895" s="1">
        <v>27688333</v>
      </c>
    </row>
    <row r="3896" spans="1:57" x14ac:dyDescent="0.25">
      <c r="A3896" s="1" t="str">
        <f>T("1949824906657732128")</f>
        <v>1949824906657732128</v>
      </c>
      <c r="B3896" s="1" t="str">
        <f>T("249961493120")</f>
        <v>249961493120</v>
      </c>
      <c r="C3896" s="1" t="str">
        <f>T("1941094533412423364")</f>
        <v>1941094533412423364</v>
      </c>
      <c r="AC3896" s="1" t="s">
        <v>344</v>
      </c>
      <c r="AD3896" s="1" t="s">
        <v>372</v>
      </c>
      <c r="AE3896" s="1" t="s">
        <v>373</v>
      </c>
      <c r="AF3896" s="1" t="s">
        <v>107</v>
      </c>
      <c r="AG3896" s="1">
        <v>30</v>
      </c>
      <c r="AO3896" s="2">
        <v>46289</v>
      </c>
      <c r="AP3896" s="1" t="s">
        <v>912</v>
      </c>
      <c r="AS3896" s="1" t="s">
        <v>71</v>
      </c>
      <c r="AU3896" s="1" t="s">
        <v>72</v>
      </c>
      <c r="AV3896" s="1" t="s">
        <v>437</v>
      </c>
      <c r="AX3896" s="1">
        <v>0</v>
      </c>
      <c r="BA3896" s="1">
        <v>9</v>
      </c>
      <c r="BB3896" s="1">
        <v>0</v>
      </c>
      <c r="BC3896" s="1">
        <v>0</v>
      </c>
      <c r="BE3896" s="1">
        <v>27688333</v>
      </c>
    </row>
    <row r="3897" spans="1:57" x14ac:dyDescent="0.25">
      <c r="A3897" s="1" t="str">
        <f>T("1949824906682897076")</f>
        <v>1949824906682897076</v>
      </c>
      <c r="B3897" s="1" t="str">
        <f>T("249916613332")</f>
        <v>249916613332</v>
      </c>
      <c r="C3897" s="1" t="str">
        <f>T("1941094533412423864")</f>
        <v>1941094533412423864</v>
      </c>
      <c r="AC3897" s="1" t="s">
        <v>344</v>
      </c>
      <c r="AD3897" s="1" t="s">
        <v>430</v>
      </c>
      <c r="AE3897" s="1" t="s">
        <v>530</v>
      </c>
      <c r="AF3897" s="1" t="s">
        <v>144</v>
      </c>
      <c r="AG3897" s="1">
        <v>22</v>
      </c>
      <c r="AO3897" s="2">
        <v>46289</v>
      </c>
      <c r="AP3897" s="1" t="s">
        <v>912</v>
      </c>
      <c r="AS3897" s="1" t="s">
        <v>71</v>
      </c>
      <c r="AU3897" s="1" t="s">
        <v>72</v>
      </c>
      <c r="AV3897" s="1" t="s">
        <v>437</v>
      </c>
      <c r="AX3897" s="1">
        <v>0</v>
      </c>
      <c r="BA3897" s="1">
        <v>9</v>
      </c>
      <c r="BB3897" s="1">
        <v>0</v>
      </c>
      <c r="BC3897" s="1">
        <v>0</v>
      </c>
      <c r="BE3897" s="1">
        <v>27688333</v>
      </c>
    </row>
    <row r="3898" spans="1:57" x14ac:dyDescent="0.25">
      <c r="A3898" s="1" t="str">
        <f>T("1949824906682899076")</f>
        <v>1949824906682899076</v>
      </c>
      <c r="B3898" s="1" t="str">
        <f>T("249906839175")</f>
        <v>249906839175</v>
      </c>
      <c r="C3898" s="1" t="str">
        <f>T("1941094533412424264")</f>
        <v>1941094533412424264</v>
      </c>
      <c r="AC3898" s="1" t="s">
        <v>344</v>
      </c>
      <c r="AD3898" s="1" t="s">
        <v>430</v>
      </c>
      <c r="AE3898" s="1" t="s">
        <v>530</v>
      </c>
      <c r="AF3898" s="1" t="s">
        <v>144</v>
      </c>
      <c r="AG3898" s="1">
        <v>35</v>
      </c>
      <c r="AO3898" s="2">
        <v>46289</v>
      </c>
      <c r="AP3898" s="1" t="s">
        <v>912</v>
      </c>
      <c r="AS3898" s="1" t="s">
        <v>71</v>
      </c>
      <c r="AU3898" s="1" t="s">
        <v>72</v>
      </c>
      <c r="AV3898" s="1" t="s">
        <v>437</v>
      </c>
      <c r="AX3898" s="1">
        <v>0</v>
      </c>
      <c r="BA3898" s="1">
        <v>9</v>
      </c>
      <c r="BB3898" s="1">
        <v>0</v>
      </c>
      <c r="BC3898" s="1">
        <v>0</v>
      </c>
      <c r="BE3898" s="1">
        <v>27688333</v>
      </c>
    </row>
    <row r="3899" spans="1:57" x14ac:dyDescent="0.25">
      <c r="A3899" s="1" t="str">
        <f>T("1949824906712260232")</f>
        <v>1949824906712260232</v>
      </c>
      <c r="B3899" s="1" t="str">
        <f>T("249966881158")</f>
        <v>249966881158</v>
      </c>
      <c r="C3899" s="1" t="str">
        <f>T("1941094533416617072")</f>
        <v>1941094533416617072</v>
      </c>
      <c r="AC3899" s="1" t="s">
        <v>344</v>
      </c>
      <c r="AD3899" s="1" t="s">
        <v>372</v>
      </c>
      <c r="AE3899" s="1" t="s">
        <v>815</v>
      </c>
      <c r="AF3899" s="1" t="s">
        <v>107</v>
      </c>
      <c r="AG3899" s="1">
        <v>40</v>
      </c>
      <c r="AO3899" s="2">
        <v>46289</v>
      </c>
      <c r="AP3899" s="1" t="s">
        <v>912</v>
      </c>
      <c r="AS3899" s="1" t="s">
        <v>71</v>
      </c>
      <c r="AU3899" s="1" t="s">
        <v>72</v>
      </c>
      <c r="AV3899" s="1" t="s">
        <v>73</v>
      </c>
      <c r="AX3899" s="1">
        <v>0</v>
      </c>
      <c r="BA3899" s="1">
        <v>9</v>
      </c>
      <c r="BB3899" s="1">
        <v>0</v>
      </c>
      <c r="BC3899" s="1">
        <v>0</v>
      </c>
      <c r="BE3899" s="1">
        <v>27688333</v>
      </c>
    </row>
    <row r="3900" spans="1:57" x14ac:dyDescent="0.25">
      <c r="A3900" s="1" t="str">
        <f>T("1949824906720646148")</f>
        <v>1949824906720646148</v>
      </c>
      <c r="B3900" s="1" t="str">
        <f>T("249928405522")</f>
        <v>249928405522</v>
      </c>
      <c r="C3900" s="1" t="str">
        <f>T("1941094533416617972")</f>
        <v>1941094533416617972</v>
      </c>
      <c r="M3900" s="1" t="s">
        <v>59</v>
      </c>
      <c r="O3900" s="1" t="s">
        <v>65</v>
      </c>
      <c r="P3900" s="1" t="s">
        <v>83</v>
      </c>
      <c r="Q3900" s="1" t="s">
        <v>101</v>
      </c>
      <c r="R3900" s="1" t="s">
        <v>93</v>
      </c>
      <c r="T3900" s="1" t="s">
        <v>464</v>
      </c>
      <c r="U3900" s="1" t="s">
        <v>60</v>
      </c>
      <c r="V3900" s="1" t="s">
        <v>102</v>
      </c>
      <c r="W3900" s="1" t="s">
        <v>60</v>
      </c>
      <c r="X3900" s="1" t="s">
        <v>66</v>
      </c>
      <c r="Y3900" s="1" t="s">
        <v>160</v>
      </c>
      <c r="AA3900" s="1">
        <v>1</v>
      </c>
      <c r="AB3900" s="1">
        <v>1</v>
      </c>
      <c r="AC3900" s="1" t="s">
        <v>344</v>
      </c>
      <c r="AD3900" s="1" t="s">
        <v>372</v>
      </c>
      <c r="AE3900" s="1" t="s">
        <v>814</v>
      </c>
      <c r="AF3900" s="1" t="s">
        <v>144</v>
      </c>
      <c r="AG3900" s="1">
        <v>50</v>
      </c>
      <c r="AO3900" s="2">
        <v>46289</v>
      </c>
      <c r="AP3900" s="1" t="s">
        <v>912</v>
      </c>
      <c r="AQ3900" s="2">
        <v>46289</v>
      </c>
      <c r="AR3900" s="1" t="s">
        <v>919</v>
      </c>
      <c r="AS3900" s="1" t="s">
        <v>71</v>
      </c>
      <c r="AU3900" s="1" t="s">
        <v>78</v>
      </c>
      <c r="AV3900" s="1" t="s">
        <v>80</v>
      </c>
      <c r="AW3900" s="1">
        <v>244.2</v>
      </c>
      <c r="AX3900" s="1">
        <v>0</v>
      </c>
      <c r="AZ3900" s="1" t="s">
        <v>81</v>
      </c>
      <c r="BA3900" s="1">
        <v>1</v>
      </c>
      <c r="BB3900" s="1">
        <v>0</v>
      </c>
      <c r="BC3900" s="1">
        <v>0</v>
      </c>
      <c r="BE3900" s="1">
        <v>27688333</v>
      </c>
    </row>
    <row r="3901" spans="1:57" x14ac:dyDescent="0.25">
      <c r="A3901" s="1" t="str">
        <f>T("1949824906720649048")</f>
        <v>1949824906720649048</v>
      </c>
      <c r="B3901" s="1" t="str">
        <f>T("249906748329")</f>
        <v>249906748329</v>
      </c>
      <c r="C3901" s="1" t="str">
        <f>T("1941094533416618472")</f>
        <v>1941094533416618472</v>
      </c>
      <c r="AC3901" s="1" t="s">
        <v>344</v>
      </c>
      <c r="AD3901" s="1" t="s">
        <v>430</v>
      </c>
      <c r="AE3901" s="1" t="s">
        <v>530</v>
      </c>
      <c r="AF3901" s="1" t="s">
        <v>107</v>
      </c>
      <c r="AG3901" s="1">
        <v>38</v>
      </c>
      <c r="AO3901" s="2">
        <v>46289</v>
      </c>
      <c r="AP3901" s="1" t="s">
        <v>912</v>
      </c>
      <c r="AS3901" s="1" t="s">
        <v>71</v>
      </c>
      <c r="AU3901" s="1" t="s">
        <v>72</v>
      </c>
      <c r="AV3901" s="1" t="s">
        <v>73</v>
      </c>
      <c r="AX3901" s="1">
        <v>0</v>
      </c>
      <c r="BA3901" s="1">
        <v>9</v>
      </c>
      <c r="BB3901" s="1">
        <v>0</v>
      </c>
      <c r="BC3901" s="1">
        <v>0</v>
      </c>
      <c r="BE3901" s="1">
        <v>27688333</v>
      </c>
    </row>
    <row r="3902" spans="1:57" x14ac:dyDescent="0.25">
      <c r="A3902" s="1" t="str">
        <f>T("1949824906737425980")</f>
        <v>1949824906737425980</v>
      </c>
      <c r="B3902" s="1" t="str">
        <f>T("249909019381")</f>
        <v>249909019381</v>
      </c>
      <c r="C3902" s="1" t="str">
        <f>T("1941094533416618972")</f>
        <v>1941094533416618972</v>
      </c>
      <c r="AC3902" s="1" t="s">
        <v>344</v>
      </c>
      <c r="AD3902" s="1" t="s">
        <v>372</v>
      </c>
      <c r="AE3902" s="1" t="s">
        <v>815</v>
      </c>
      <c r="AF3902" s="1" t="s">
        <v>107</v>
      </c>
      <c r="AG3902" s="1">
        <v>61</v>
      </c>
      <c r="AO3902" s="2">
        <v>46289</v>
      </c>
      <c r="AP3902" s="1" t="s">
        <v>912</v>
      </c>
      <c r="AS3902" s="1" t="s">
        <v>71</v>
      </c>
      <c r="AU3902" s="1" t="s">
        <v>72</v>
      </c>
      <c r="AV3902" s="1" t="s">
        <v>437</v>
      </c>
      <c r="AX3902" s="1">
        <v>0</v>
      </c>
      <c r="BA3902" s="1">
        <v>9</v>
      </c>
      <c r="BB3902" s="1">
        <v>0</v>
      </c>
      <c r="BC3902" s="1">
        <v>0</v>
      </c>
      <c r="BE3902" s="1">
        <v>27688333</v>
      </c>
    </row>
    <row r="3903" spans="1:57" x14ac:dyDescent="0.25">
      <c r="A3903" s="1" t="str">
        <f>T("1949824906745812396")</f>
        <v>1949824906745812396</v>
      </c>
      <c r="B3903" s="1" t="str">
        <f>T("249911755522")</f>
        <v>249911755522</v>
      </c>
      <c r="C3903" s="1" t="str">
        <f>T("1941094533416619472")</f>
        <v>1941094533416619472</v>
      </c>
      <c r="AC3903" s="1" t="s">
        <v>344</v>
      </c>
      <c r="AD3903" s="1" t="s">
        <v>372</v>
      </c>
      <c r="AE3903" s="1" t="s">
        <v>814</v>
      </c>
      <c r="AF3903" s="1" t="s">
        <v>107</v>
      </c>
      <c r="AG3903" s="1">
        <v>55</v>
      </c>
      <c r="AO3903" s="2">
        <v>46289</v>
      </c>
      <c r="AP3903" s="1" t="s">
        <v>912</v>
      </c>
      <c r="AS3903" s="1" t="s">
        <v>71</v>
      </c>
      <c r="AU3903" s="1" t="s">
        <v>72</v>
      </c>
      <c r="AV3903" s="1" t="s">
        <v>73</v>
      </c>
      <c r="AX3903" s="1">
        <v>0</v>
      </c>
      <c r="BA3903" s="1">
        <v>9</v>
      </c>
      <c r="BB3903" s="1">
        <v>0</v>
      </c>
      <c r="BC3903" s="1">
        <v>0</v>
      </c>
      <c r="BE3903" s="1">
        <v>27688333</v>
      </c>
    </row>
    <row r="3904" spans="1:57" x14ac:dyDescent="0.25">
      <c r="A3904" s="1" t="str">
        <f>T("1949824906775171752")</f>
        <v>1949824906775171752</v>
      </c>
      <c r="B3904" s="1" t="str">
        <f>T("249964402621")</f>
        <v>249964402621</v>
      </c>
      <c r="C3904" s="1" t="str">
        <f>T("1941094533420810280")</f>
        <v>1941094533420810280</v>
      </c>
      <c r="AC3904" s="1" t="s">
        <v>344</v>
      </c>
      <c r="AD3904" s="1" t="s">
        <v>357</v>
      </c>
      <c r="AE3904" s="1" t="s">
        <v>812</v>
      </c>
      <c r="AF3904" s="1" t="s">
        <v>107</v>
      </c>
      <c r="AG3904" s="1">
        <v>37</v>
      </c>
      <c r="AO3904" s="2">
        <v>46289</v>
      </c>
      <c r="AP3904" s="1" t="s">
        <v>912</v>
      </c>
      <c r="AS3904" s="1" t="s">
        <v>71</v>
      </c>
      <c r="AU3904" s="1" t="s">
        <v>72</v>
      </c>
      <c r="AV3904" s="1" t="s">
        <v>437</v>
      </c>
      <c r="AX3904" s="1">
        <v>0</v>
      </c>
      <c r="BA3904" s="1">
        <v>9</v>
      </c>
      <c r="BB3904" s="1">
        <v>0</v>
      </c>
      <c r="BC3904" s="1">
        <v>0</v>
      </c>
      <c r="BE3904" s="1">
        <v>27688333</v>
      </c>
    </row>
    <row r="3905" spans="1:57" x14ac:dyDescent="0.25">
      <c r="A3905" s="1" t="str">
        <f>T("1949824906783560368")</f>
        <v>1949824906783560368</v>
      </c>
      <c r="B3905" s="1" t="str">
        <f>T("249916342733")</f>
        <v>249916342733</v>
      </c>
      <c r="C3905" s="1" t="str">
        <f>T("1941094533420810680")</f>
        <v>1941094533420810680</v>
      </c>
      <c r="AC3905" s="1" t="s">
        <v>344</v>
      </c>
      <c r="AD3905" s="1" t="s">
        <v>430</v>
      </c>
      <c r="AE3905" s="1" t="s">
        <v>530</v>
      </c>
      <c r="AF3905" s="1" t="s">
        <v>144</v>
      </c>
      <c r="AG3905" s="1">
        <v>21</v>
      </c>
      <c r="AO3905" s="2">
        <v>46289</v>
      </c>
      <c r="AP3905" s="1" t="s">
        <v>912</v>
      </c>
      <c r="AS3905" s="1" t="s">
        <v>71</v>
      </c>
      <c r="AU3905" s="1" t="s">
        <v>72</v>
      </c>
      <c r="AV3905" s="1" t="s">
        <v>437</v>
      </c>
      <c r="AX3905" s="1">
        <v>0</v>
      </c>
      <c r="BA3905" s="1">
        <v>9</v>
      </c>
      <c r="BB3905" s="1">
        <v>0</v>
      </c>
      <c r="BC3905" s="1">
        <v>0</v>
      </c>
      <c r="BE3905" s="1">
        <v>27688333</v>
      </c>
    </row>
    <row r="3906" spans="1:57" x14ac:dyDescent="0.25">
      <c r="A3906" s="1" t="str">
        <f>T("1949824906783562468")</f>
        <v>1949824906783562468</v>
      </c>
      <c r="B3906" s="1" t="str">
        <f>T("249902650048")</f>
        <v>249902650048</v>
      </c>
      <c r="C3906" s="1" t="str">
        <f>T("1941094533420811180")</f>
        <v>1941094533420811180</v>
      </c>
      <c r="AC3906" s="1" t="s">
        <v>344</v>
      </c>
      <c r="AD3906" s="1" t="s">
        <v>372</v>
      </c>
      <c r="AE3906" s="1" t="s">
        <v>813</v>
      </c>
      <c r="AF3906" s="1" t="s">
        <v>144</v>
      </c>
      <c r="AG3906" s="1">
        <v>27</v>
      </c>
      <c r="AO3906" s="2">
        <v>46289</v>
      </c>
      <c r="AP3906" s="1" t="s">
        <v>912</v>
      </c>
      <c r="AS3906" s="1" t="s">
        <v>71</v>
      </c>
      <c r="AU3906" s="1" t="s">
        <v>72</v>
      </c>
      <c r="AV3906" s="1" t="s">
        <v>437</v>
      </c>
      <c r="AX3906" s="1">
        <v>0</v>
      </c>
      <c r="BA3906" s="1">
        <v>9</v>
      </c>
      <c r="BB3906" s="1">
        <v>0</v>
      </c>
      <c r="BC3906" s="1">
        <v>0</v>
      </c>
      <c r="BE3906" s="1">
        <v>27688333</v>
      </c>
    </row>
    <row r="3907" spans="1:57" x14ac:dyDescent="0.25">
      <c r="A3907" s="1" t="str">
        <f>T("1949824906808726016")</f>
        <v>1949824906808726016</v>
      </c>
      <c r="B3907" s="1" t="str">
        <f>T("249905910887")</f>
        <v>249905910887</v>
      </c>
      <c r="C3907" s="1" t="str">
        <f>T("1941094533420811680")</f>
        <v>1941094533420811680</v>
      </c>
      <c r="AC3907" s="1" t="s">
        <v>344</v>
      </c>
      <c r="AD3907" s="1" t="s">
        <v>441</v>
      </c>
      <c r="AE3907" s="1" t="s">
        <v>530</v>
      </c>
      <c r="AF3907" s="1" t="s">
        <v>107</v>
      </c>
      <c r="AG3907" s="1">
        <v>55</v>
      </c>
      <c r="AO3907" s="2">
        <v>46289</v>
      </c>
      <c r="AP3907" s="1" t="s">
        <v>912</v>
      </c>
      <c r="AS3907" s="1" t="s">
        <v>71</v>
      </c>
      <c r="AU3907" s="1" t="s">
        <v>72</v>
      </c>
      <c r="AV3907" s="1" t="s">
        <v>73</v>
      </c>
      <c r="AX3907" s="1">
        <v>0</v>
      </c>
      <c r="BA3907" s="1">
        <v>9</v>
      </c>
      <c r="BB3907" s="1">
        <v>0</v>
      </c>
      <c r="BC3907" s="1">
        <v>0</v>
      </c>
      <c r="BE3907" s="1">
        <v>27688333</v>
      </c>
    </row>
    <row r="3908" spans="1:57" x14ac:dyDescent="0.25">
      <c r="A3908" s="1" t="str">
        <f>T("1949824906808728616")</f>
        <v>1949824906808728616</v>
      </c>
      <c r="B3908" s="1" t="str">
        <f>T("249961182966")</f>
        <v>249961182966</v>
      </c>
      <c r="C3908" s="1" t="str">
        <f>T("1941094533420813980")</f>
        <v>1941094533420813980</v>
      </c>
      <c r="AC3908" s="1" t="s">
        <v>344</v>
      </c>
      <c r="AD3908" s="1" t="s">
        <v>430</v>
      </c>
      <c r="AE3908" s="1" t="s">
        <v>530</v>
      </c>
      <c r="AF3908" s="1" t="s">
        <v>107</v>
      </c>
      <c r="AG3908" s="1">
        <v>31</v>
      </c>
      <c r="AO3908" s="2">
        <v>46289</v>
      </c>
      <c r="AP3908" s="1" t="s">
        <v>912</v>
      </c>
      <c r="AS3908" s="1" t="s">
        <v>71</v>
      </c>
      <c r="AU3908" s="1" t="s">
        <v>72</v>
      </c>
      <c r="AV3908" s="1" t="s">
        <v>73</v>
      </c>
      <c r="AX3908" s="1">
        <v>0</v>
      </c>
      <c r="BA3908" s="1">
        <v>9</v>
      </c>
      <c r="BB3908" s="1">
        <v>0</v>
      </c>
      <c r="BC3908" s="1">
        <v>0</v>
      </c>
      <c r="BE3908" s="1">
        <v>27688333</v>
      </c>
    </row>
    <row r="3909" spans="1:57" x14ac:dyDescent="0.25">
      <c r="A3909" s="1" t="str">
        <f>T("1949824906842281580")</f>
        <v>1949824906842281580</v>
      </c>
      <c r="B3909" s="1" t="str">
        <f>T("249909603264")</f>
        <v>249909603264</v>
      </c>
      <c r="C3909" s="1" t="str">
        <f>T("1941094533425004788")</f>
        <v>1941094533425004788</v>
      </c>
      <c r="AC3909" s="1" t="s">
        <v>344</v>
      </c>
      <c r="AD3909" s="1" t="s">
        <v>441</v>
      </c>
      <c r="AE3909" s="1" t="s">
        <v>530</v>
      </c>
      <c r="AF3909" s="1" t="s">
        <v>107</v>
      </c>
      <c r="AG3909" s="1">
        <v>32</v>
      </c>
      <c r="AO3909" s="2">
        <v>46289</v>
      </c>
      <c r="AP3909" s="1" t="s">
        <v>912</v>
      </c>
      <c r="AS3909" s="1" t="s">
        <v>71</v>
      </c>
      <c r="AU3909" s="1" t="s">
        <v>72</v>
      </c>
      <c r="AV3909" s="1" t="s">
        <v>437</v>
      </c>
      <c r="AX3909" s="1">
        <v>0</v>
      </c>
      <c r="BA3909" s="1">
        <v>9</v>
      </c>
      <c r="BB3909" s="1">
        <v>0</v>
      </c>
      <c r="BC3909" s="1">
        <v>0</v>
      </c>
      <c r="BE3909" s="1">
        <v>27688333</v>
      </c>
    </row>
    <row r="3910" spans="1:57" x14ac:dyDescent="0.25">
      <c r="A3910" s="1" t="str">
        <f>T("1949824906850669396")</f>
        <v>1949824906850669396</v>
      </c>
      <c r="B3910" s="1" t="str">
        <f>T("249902194372")</f>
        <v>249902194372</v>
      </c>
      <c r="C3910" s="1" t="str">
        <f>T("1941094533425005288")</f>
        <v>1941094533425005288</v>
      </c>
      <c r="AC3910" s="1" t="s">
        <v>344</v>
      </c>
      <c r="AD3910" s="1" t="s">
        <v>430</v>
      </c>
      <c r="AE3910" s="1" t="s">
        <v>530</v>
      </c>
      <c r="AF3910" s="1" t="s">
        <v>107</v>
      </c>
      <c r="AG3910" s="1">
        <v>26</v>
      </c>
      <c r="AO3910" s="2">
        <v>46289</v>
      </c>
      <c r="AP3910" s="1" t="s">
        <v>912</v>
      </c>
      <c r="AS3910" s="1" t="s">
        <v>71</v>
      </c>
      <c r="AU3910" s="1" t="s">
        <v>72</v>
      </c>
      <c r="AV3910" s="1" t="s">
        <v>437</v>
      </c>
      <c r="AX3910" s="1">
        <v>0</v>
      </c>
      <c r="BA3910" s="1">
        <v>9</v>
      </c>
      <c r="BB3910" s="1">
        <v>0</v>
      </c>
      <c r="BC3910" s="1">
        <v>0</v>
      </c>
      <c r="BE3910" s="1">
        <v>27688333</v>
      </c>
    </row>
    <row r="3911" spans="1:57" x14ac:dyDescent="0.25">
      <c r="A3911" s="1" t="str">
        <f>T("1949824906850672196")</f>
        <v>1949824906850672196</v>
      </c>
      <c r="B3911" s="1" t="str">
        <f>T("249966040787")</f>
        <v>249966040787</v>
      </c>
      <c r="C3911" s="1" t="str">
        <f>T("1941094533425005788")</f>
        <v>1941094533425005788</v>
      </c>
      <c r="AC3911" s="1" t="s">
        <v>344</v>
      </c>
      <c r="AD3911" s="1" t="s">
        <v>372</v>
      </c>
      <c r="AE3911" s="1" t="s">
        <v>813</v>
      </c>
      <c r="AF3911" s="1" t="s">
        <v>107</v>
      </c>
      <c r="AG3911" s="1">
        <v>68</v>
      </c>
      <c r="AO3911" s="2">
        <v>46289</v>
      </c>
      <c r="AP3911" s="1" t="s">
        <v>912</v>
      </c>
      <c r="AS3911" s="1" t="s">
        <v>71</v>
      </c>
      <c r="AU3911" s="1" t="s">
        <v>72</v>
      </c>
      <c r="AV3911" s="1" t="s">
        <v>73</v>
      </c>
      <c r="AX3911" s="1">
        <v>0</v>
      </c>
      <c r="BA3911" s="1">
        <v>9</v>
      </c>
      <c r="BB3911" s="1">
        <v>0</v>
      </c>
      <c r="BC3911" s="1">
        <v>0</v>
      </c>
      <c r="BE3911" s="1">
        <v>27688333</v>
      </c>
    </row>
    <row r="3912" spans="1:57" x14ac:dyDescent="0.25">
      <c r="A3912" s="1" t="str">
        <f>T("1949824906863251820")</f>
        <v>1949824906863251820</v>
      </c>
      <c r="B3912" s="1" t="str">
        <f>T("249960911892")</f>
        <v>249960911892</v>
      </c>
      <c r="C3912" s="1" t="str">
        <f>T("1941094533425006288")</f>
        <v>1941094533425006288</v>
      </c>
      <c r="AC3912" s="1" t="s">
        <v>344</v>
      </c>
      <c r="AD3912" s="1" t="s">
        <v>372</v>
      </c>
      <c r="AE3912" s="1" t="s">
        <v>818</v>
      </c>
      <c r="AF3912" s="1" t="s">
        <v>144</v>
      </c>
      <c r="AG3912" s="1">
        <v>39</v>
      </c>
      <c r="AO3912" s="2">
        <v>46289</v>
      </c>
      <c r="AP3912" s="1" t="s">
        <v>912</v>
      </c>
      <c r="AS3912" s="1" t="s">
        <v>71</v>
      </c>
      <c r="AU3912" s="1" t="s">
        <v>72</v>
      </c>
      <c r="AV3912" s="1" t="s">
        <v>437</v>
      </c>
      <c r="AX3912" s="1">
        <v>0</v>
      </c>
      <c r="BA3912" s="1">
        <v>9</v>
      </c>
      <c r="BB3912" s="1">
        <v>0</v>
      </c>
      <c r="BC3912" s="1">
        <v>0</v>
      </c>
      <c r="BE3912" s="1">
        <v>27688333</v>
      </c>
    </row>
    <row r="3913" spans="1:57" x14ac:dyDescent="0.25">
      <c r="A3913" s="1" t="str">
        <f>T("1949824906875834944")</f>
        <v>1949824906875834944</v>
      </c>
      <c r="B3913" s="1" t="str">
        <f>T("249904075417")</f>
        <v>249904075417</v>
      </c>
      <c r="C3913" s="1" t="str">
        <f>T("1941094533425006788")</f>
        <v>1941094533425006788</v>
      </c>
      <c r="AC3913" s="1" t="s">
        <v>344</v>
      </c>
      <c r="AD3913" s="1" t="s">
        <v>441</v>
      </c>
      <c r="AE3913" s="1" t="s">
        <v>530</v>
      </c>
      <c r="AF3913" s="1" t="s">
        <v>144</v>
      </c>
      <c r="AG3913" s="1">
        <v>46</v>
      </c>
      <c r="AO3913" s="2">
        <v>46289</v>
      </c>
      <c r="AP3913" s="1" t="s">
        <v>912</v>
      </c>
      <c r="AS3913" s="1" t="s">
        <v>71</v>
      </c>
      <c r="AU3913" s="1" t="s">
        <v>72</v>
      </c>
      <c r="AV3913" s="1" t="s">
        <v>73</v>
      </c>
      <c r="AX3913" s="1">
        <v>0</v>
      </c>
      <c r="BA3913" s="1">
        <v>9</v>
      </c>
      <c r="BB3913" s="1">
        <v>0</v>
      </c>
      <c r="BC3913" s="1">
        <v>0</v>
      </c>
      <c r="BE3913" s="1">
        <v>27688333</v>
      </c>
    </row>
    <row r="3914" spans="1:57" x14ac:dyDescent="0.25">
      <c r="A3914" s="1" t="str">
        <f>T("1949824906896809484")</f>
        <v>1949824906896809484</v>
      </c>
      <c r="B3914" s="1" t="str">
        <f>T("249114802571")</f>
        <v>249114802571</v>
      </c>
      <c r="C3914" s="1" t="str">
        <f>T("1941094533425007388")</f>
        <v>1941094533425007388</v>
      </c>
      <c r="AC3914" s="1" t="s">
        <v>344</v>
      </c>
      <c r="AD3914" s="1" t="s">
        <v>372</v>
      </c>
      <c r="AE3914" s="1" t="s">
        <v>820</v>
      </c>
      <c r="AF3914" s="1" t="s">
        <v>107</v>
      </c>
      <c r="AG3914" s="1">
        <v>45</v>
      </c>
      <c r="AO3914" s="2">
        <v>46289</v>
      </c>
      <c r="AP3914" s="1" t="s">
        <v>912</v>
      </c>
      <c r="AQ3914" s="2">
        <v>46289</v>
      </c>
      <c r="AR3914" s="1" t="s">
        <v>920</v>
      </c>
      <c r="AS3914" s="1" t="s">
        <v>71</v>
      </c>
      <c r="AU3914" s="1" t="s">
        <v>79</v>
      </c>
      <c r="AV3914" s="1" t="s">
        <v>80</v>
      </c>
      <c r="AW3914" s="1">
        <v>5.54</v>
      </c>
      <c r="AX3914" s="1">
        <v>0</v>
      </c>
      <c r="AZ3914" s="1" t="s">
        <v>81</v>
      </c>
      <c r="BA3914" s="1">
        <v>1</v>
      </c>
      <c r="BB3914" s="1">
        <v>0</v>
      </c>
      <c r="BC3914" s="1">
        <v>0</v>
      </c>
      <c r="BE3914" s="1">
        <v>27688333</v>
      </c>
    </row>
    <row r="3915" spans="1:57" x14ac:dyDescent="0.25">
      <c r="A3915" s="1" t="str">
        <f>T("1949824906909388908")</f>
        <v>1949824906909388908</v>
      </c>
      <c r="B3915" s="1" t="str">
        <f>T("249911376567")</f>
        <v>249911376567</v>
      </c>
      <c r="C3915" s="1" t="str">
        <f>T("1941094533425007988")</f>
        <v>1941094533425007988</v>
      </c>
      <c r="AC3915" s="1" t="s">
        <v>344</v>
      </c>
      <c r="AD3915" s="1" t="s">
        <v>430</v>
      </c>
      <c r="AE3915" s="1" t="s">
        <v>530</v>
      </c>
      <c r="AF3915" s="1" t="s">
        <v>107</v>
      </c>
      <c r="AG3915" s="1">
        <v>20</v>
      </c>
      <c r="AO3915" s="2">
        <v>46289</v>
      </c>
      <c r="AP3915" s="1" t="s">
        <v>912</v>
      </c>
      <c r="AS3915" s="1" t="s">
        <v>71</v>
      </c>
      <c r="AU3915" s="1" t="s">
        <v>72</v>
      </c>
      <c r="AV3915" s="1" t="s">
        <v>73</v>
      </c>
      <c r="AX3915" s="1">
        <v>0</v>
      </c>
      <c r="BA3915" s="1">
        <v>9</v>
      </c>
      <c r="BB3915" s="1">
        <v>0</v>
      </c>
      <c r="BC3915" s="1">
        <v>0</v>
      </c>
      <c r="BE3915" s="1">
        <v>27688333</v>
      </c>
    </row>
    <row r="3916" spans="1:57" x14ac:dyDescent="0.25">
      <c r="A3916" s="1" t="str">
        <f>T("1949824906917779724")</f>
        <v>1949824906917779724</v>
      </c>
      <c r="B3916" s="1" t="str">
        <f>T("249903918940")</f>
        <v>249903918940</v>
      </c>
      <c r="C3916" s="1" t="str">
        <f>T("1941094533425008388")</f>
        <v>1941094533425008388</v>
      </c>
      <c r="AC3916" s="1" t="s">
        <v>344</v>
      </c>
      <c r="AD3916" s="1" t="s">
        <v>372</v>
      </c>
      <c r="AE3916" s="1" t="s">
        <v>815</v>
      </c>
      <c r="AF3916" s="1" t="s">
        <v>144</v>
      </c>
      <c r="AG3916" s="1">
        <v>50</v>
      </c>
      <c r="AO3916" s="2">
        <v>46289</v>
      </c>
      <c r="AP3916" s="1" t="s">
        <v>912</v>
      </c>
      <c r="AS3916" s="1" t="s">
        <v>71</v>
      </c>
      <c r="AU3916" s="1" t="s">
        <v>72</v>
      </c>
      <c r="AV3916" s="1" t="s">
        <v>73</v>
      </c>
      <c r="AX3916" s="1">
        <v>0</v>
      </c>
      <c r="BA3916" s="1">
        <v>9</v>
      </c>
      <c r="BB3916" s="1">
        <v>0</v>
      </c>
      <c r="BC3916" s="1">
        <v>0</v>
      </c>
      <c r="BE3916" s="1">
        <v>27688333</v>
      </c>
    </row>
    <row r="3917" spans="1:57" x14ac:dyDescent="0.25">
      <c r="A3917" s="1" t="str">
        <f>T("1949824906921971732")</f>
        <v>1949824906921971732</v>
      </c>
      <c r="B3917" s="1" t="str">
        <f>T("249922872482")</f>
        <v>249922872482</v>
      </c>
      <c r="C3917" s="1" t="str">
        <f>T("1941094533429199396")</f>
        <v>1941094533429199396</v>
      </c>
      <c r="M3917" s="1" t="s">
        <v>59</v>
      </c>
      <c r="O3917" s="1" t="s">
        <v>65</v>
      </c>
      <c r="P3917" s="1" t="s">
        <v>61</v>
      </c>
      <c r="Q3917" s="1" t="s">
        <v>62</v>
      </c>
      <c r="R3917" s="1" t="s">
        <v>84</v>
      </c>
      <c r="S3917" s="1" t="s">
        <v>159</v>
      </c>
      <c r="U3917" s="1" t="s">
        <v>65</v>
      </c>
      <c r="V3917" s="1" t="s">
        <v>103</v>
      </c>
      <c r="W3917" s="1" t="s">
        <v>60</v>
      </c>
      <c r="X3917" s="1" t="s">
        <v>102</v>
      </c>
      <c r="Y3917" s="1" t="s">
        <v>69</v>
      </c>
      <c r="AA3917" s="1">
        <v>1</v>
      </c>
      <c r="AB3917" s="1">
        <v>1</v>
      </c>
      <c r="AC3917" s="1" t="s">
        <v>344</v>
      </c>
      <c r="AD3917" s="1" t="s">
        <v>372</v>
      </c>
      <c r="AE3917" s="1" t="s">
        <v>815</v>
      </c>
      <c r="AF3917" s="1" t="s">
        <v>107</v>
      </c>
      <c r="AG3917" s="1">
        <v>50</v>
      </c>
      <c r="AO3917" s="2">
        <v>46289</v>
      </c>
      <c r="AP3917" s="1" t="s">
        <v>912</v>
      </c>
      <c r="AQ3917" s="2">
        <v>46289</v>
      </c>
      <c r="AR3917" s="1" t="s">
        <v>921</v>
      </c>
      <c r="AS3917" s="1" t="s">
        <v>71</v>
      </c>
      <c r="AU3917" s="1" t="s">
        <v>78</v>
      </c>
      <c r="AV3917" s="1" t="s">
        <v>80</v>
      </c>
      <c r="AW3917" s="1">
        <v>236.34</v>
      </c>
      <c r="AX3917" s="1">
        <v>0</v>
      </c>
      <c r="AZ3917" s="1" t="s">
        <v>81</v>
      </c>
      <c r="BA3917" s="1">
        <v>4</v>
      </c>
      <c r="BB3917" s="1">
        <v>0</v>
      </c>
      <c r="BC3917" s="1">
        <v>0</v>
      </c>
      <c r="BE3917" s="1">
        <v>27688333</v>
      </c>
    </row>
    <row r="3918" spans="1:57" x14ac:dyDescent="0.25">
      <c r="A3918" s="1" t="str">
        <f>T("1949824906930362748")</f>
        <v>1949824906930362748</v>
      </c>
      <c r="B3918" s="1" t="str">
        <f>T("249125282923")</f>
        <v>249125282923</v>
      </c>
      <c r="C3918" s="1" t="str">
        <f>T("1941094533437588312")</f>
        <v>1941094533437588312</v>
      </c>
      <c r="AA3918" s="1">
        <v>1</v>
      </c>
      <c r="AC3918" s="1" t="s">
        <v>344</v>
      </c>
      <c r="AD3918" s="1" t="s">
        <v>372</v>
      </c>
      <c r="AE3918" s="1" t="s">
        <v>818</v>
      </c>
      <c r="AF3918" s="1" t="s">
        <v>107</v>
      </c>
      <c r="AG3918" s="1">
        <v>50</v>
      </c>
      <c r="AO3918" s="2">
        <v>46289</v>
      </c>
      <c r="AP3918" s="1" t="s">
        <v>912</v>
      </c>
      <c r="AQ3918" s="2">
        <v>46289</v>
      </c>
      <c r="AR3918" s="1" t="s">
        <v>922</v>
      </c>
      <c r="AS3918" s="1" t="s">
        <v>71</v>
      </c>
      <c r="AU3918" s="1" t="s">
        <v>79</v>
      </c>
      <c r="AV3918" s="1" t="s">
        <v>80</v>
      </c>
      <c r="AW3918" s="1">
        <v>72.48</v>
      </c>
      <c r="AX3918" s="1">
        <v>0</v>
      </c>
      <c r="AZ3918" s="1" t="s">
        <v>81</v>
      </c>
      <c r="BA3918" s="1">
        <v>3</v>
      </c>
      <c r="BB3918" s="1">
        <v>0</v>
      </c>
      <c r="BC3918" s="1">
        <v>0</v>
      </c>
      <c r="BE3918" s="1">
        <v>27688333</v>
      </c>
    </row>
    <row r="3919" spans="1:57" x14ac:dyDescent="0.25">
      <c r="A3919" s="1" t="str">
        <f>T("1949824906959722604")</f>
        <v>1949824906959722604</v>
      </c>
      <c r="B3919" s="1" t="str">
        <f>T("249965577755")</f>
        <v>249965577755</v>
      </c>
      <c r="C3919" s="1" t="str">
        <f>T("1941094533437589012")</f>
        <v>1941094533437589012</v>
      </c>
      <c r="AC3919" s="1" t="s">
        <v>344</v>
      </c>
      <c r="AD3919" s="1" t="s">
        <v>372</v>
      </c>
      <c r="AE3919" s="1" t="s">
        <v>813</v>
      </c>
      <c r="AF3919" s="1" t="s">
        <v>144</v>
      </c>
      <c r="AG3919" s="1">
        <v>29</v>
      </c>
      <c r="AO3919" s="2">
        <v>46289</v>
      </c>
      <c r="AP3919" s="1" t="s">
        <v>912</v>
      </c>
      <c r="AS3919" s="1" t="s">
        <v>71</v>
      </c>
      <c r="AU3919" s="1" t="s">
        <v>72</v>
      </c>
      <c r="AV3919" s="1" t="s">
        <v>437</v>
      </c>
      <c r="AX3919" s="1">
        <v>0</v>
      </c>
      <c r="BA3919" s="1">
        <v>9</v>
      </c>
      <c r="BB3919" s="1">
        <v>0</v>
      </c>
      <c r="BC3919" s="1">
        <v>0</v>
      </c>
      <c r="BE3919" s="1">
        <v>27688333</v>
      </c>
    </row>
    <row r="3920" spans="1:57" x14ac:dyDescent="0.25">
      <c r="A3920" s="1" t="str">
        <f>T("1949824906968109220")</f>
        <v>1949824906968109220</v>
      </c>
      <c r="B3920" s="1" t="str">
        <f>T("249962381552")</f>
        <v>249962381552</v>
      </c>
      <c r="C3920" s="1" t="str">
        <f>T("1941094533437590012")</f>
        <v>1941094533437590012</v>
      </c>
      <c r="AC3920" s="1" t="s">
        <v>344</v>
      </c>
      <c r="AD3920" s="1" t="s">
        <v>372</v>
      </c>
      <c r="AE3920" s="1" t="s">
        <v>813</v>
      </c>
      <c r="AF3920" s="1" t="s">
        <v>144</v>
      </c>
      <c r="AG3920" s="1">
        <v>28</v>
      </c>
      <c r="AO3920" s="2">
        <v>46289</v>
      </c>
      <c r="AP3920" s="1" t="s">
        <v>912</v>
      </c>
      <c r="AS3920" s="1" t="s">
        <v>71</v>
      </c>
      <c r="AU3920" s="1" t="s">
        <v>72</v>
      </c>
      <c r="AV3920" s="1" t="s">
        <v>73</v>
      </c>
      <c r="AX3920" s="1">
        <v>0</v>
      </c>
      <c r="BA3920" s="1">
        <v>9</v>
      </c>
      <c r="BB3920" s="1">
        <v>0</v>
      </c>
      <c r="BC3920" s="1">
        <v>0</v>
      </c>
      <c r="BE3920" s="1">
        <v>27688333</v>
      </c>
    </row>
    <row r="3921" spans="1:57" x14ac:dyDescent="0.25">
      <c r="A3921" s="1" t="str">
        <f>T("1949824906980692544")</f>
        <v>1949824906980692544</v>
      </c>
      <c r="B3921" s="1" t="str">
        <f>T("249917739665")</f>
        <v>249917739665</v>
      </c>
      <c r="C3921" s="1" t="str">
        <f>T("1941094533437591012")</f>
        <v>1941094533437591012</v>
      </c>
      <c r="AC3921" s="1" t="s">
        <v>344</v>
      </c>
      <c r="AD3921" s="1" t="s">
        <v>441</v>
      </c>
      <c r="AE3921" s="1" t="s">
        <v>530</v>
      </c>
      <c r="AF3921" s="1" t="s">
        <v>107</v>
      </c>
      <c r="AG3921" s="1">
        <v>27</v>
      </c>
      <c r="AO3921" s="2">
        <v>46289</v>
      </c>
      <c r="AP3921" s="1" t="s">
        <v>912</v>
      </c>
      <c r="AS3921" s="1" t="s">
        <v>71</v>
      </c>
      <c r="AU3921" s="1" t="s">
        <v>72</v>
      </c>
      <c r="AV3921" s="1" t="s">
        <v>73</v>
      </c>
      <c r="AX3921" s="1">
        <v>0</v>
      </c>
      <c r="BA3921" s="1">
        <v>9</v>
      </c>
      <c r="BB3921" s="1">
        <v>0</v>
      </c>
      <c r="BC3921" s="1">
        <v>0</v>
      </c>
      <c r="BE3921" s="1">
        <v>27688333</v>
      </c>
    </row>
    <row r="3922" spans="1:57" x14ac:dyDescent="0.25">
      <c r="A3922" s="1" t="str">
        <f>T("1949824906980693644")</f>
        <v>1949824906980693644</v>
      </c>
      <c r="B3922" s="1" t="str">
        <f>T("249901720797")</f>
        <v>249901720797</v>
      </c>
      <c r="C3922" s="1" t="str">
        <f>T("1941094533437590512")</f>
        <v>1941094533437590512</v>
      </c>
      <c r="AC3922" s="1" t="s">
        <v>344</v>
      </c>
      <c r="AD3922" s="1" t="s">
        <v>441</v>
      </c>
      <c r="AE3922" s="1" t="s">
        <v>530</v>
      </c>
      <c r="AF3922" s="1" t="s">
        <v>107</v>
      </c>
      <c r="AG3922" s="1">
        <v>37</v>
      </c>
      <c r="AO3922" s="2">
        <v>46289</v>
      </c>
      <c r="AP3922" s="1" t="s">
        <v>912</v>
      </c>
      <c r="AS3922" s="1" t="s">
        <v>71</v>
      </c>
      <c r="AU3922" s="1" t="s">
        <v>72</v>
      </c>
      <c r="AV3922" s="1" t="s">
        <v>73</v>
      </c>
      <c r="AX3922" s="1">
        <v>0</v>
      </c>
      <c r="BA3922" s="1">
        <v>9</v>
      </c>
      <c r="BB3922" s="1">
        <v>0</v>
      </c>
      <c r="BC3922" s="1">
        <v>0</v>
      </c>
      <c r="BE3922" s="1">
        <v>27688333</v>
      </c>
    </row>
    <row r="3923" spans="1:57" x14ac:dyDescent="0.25">
      <c r="A3923" s="1" t="str">
        <f>T("1949824906997470076")</f>
        <v>1949824906997470076</v>
      </c>
      <c r="B3923" s="1" t="str">
        <f>T("249900282152")</f>
        <v>249900282152</v>
      </c>
      <c r="C3923" s="1" t="str">
        <f>T("1941094533441781820")</f>
        <v>1941094533441781820</v>
      </c>
      <c r="AC3923" s="1" t="s">
        <v>344</v>
      </c>
      <c r="AD3923" s="1" t="s">
        <v>372</v>
      </c>
      <c r="AE3923" s="1" t="s">
        <v>813</v>
      </c>
      <c r="AF3923" s="1" t="s">
        <v>144</v>
      </c>
      <c r="AG3923" s="1">
        <v>35</v>
      </c>
      <c r="AO3923" s="2">
        <v>46289</v>
      </c>
      <c r="AP3923" s="1" t="s">
        <v>912</v>
      </c>
      <c r="AS3923" s="1" t="s">
        <v>71</v>
      </c>
      <c r="AU3923" s="1" t="s">
        <v>72</v>
      </c>
      <c r="AV3923" s="1" t="s">
        <v>73</v>
      </c>
      <c r="AX3923" s="1">
        <v>0</v>
      </c>
      <c r="BA3923" s="1">
        <v>9</v>
      </c>
      <c r="BB3923" s="1">
        <v>0</v>
      </c>
      <c r="BC3923" s="1">
        <v>0</v>
      </c>
      <c r="BE3923" s="1">
        <v>27688333</v>
      </c>
    </row>
    <row r="3924" spans="1:57" x14ac:dyDescent="0.25">
      <c r="A3924" s="1" t="str">
        <f>T("1949824907022635824")</f>
        <v>1949824907022635824</v>
      </c>
      <c r="B3924" s="1" t="str">
        <f>T("249907222894")</f>
        <v>249907222894</v>
      </c>
      <c r="C3924" s="1" t="str">
        <f>T("1941094533441782320")</f>
        <v>1941094533441782320</v>
      </c>
      <c r="AC3924" s="1" t="s">
        <v>344</v>
      </c>
      <c r="AD3924" s="1" t="s">
        <v>441</v>
      </c>
      <c r="AE3924" s="1" t="s">
        <v>530</v>
      </c>
      <c r="AF3924" s="1" t="s">
        <v>144</v>
      </c>
      <c r="AG3924" s="1">
        <v>30</v>
      </c>
      <c r="AO3924" s="2">
        <v>46289</v>
      </c>
      <c r="AP3924" s="1" t="s">
        <v>912</v>
      </c>
      <c r="AS3924" s="1" t="s">
        <v>71</v>
      </c>
      <c r="AU3924" s="1" t="s">
        <v>72</v>
      </c>
      <c r="AV3924" s="1" t="s">
        <v>437</v>
      </c>
      <c r="AX3924" s="1">
        <v>0</v>
      </c>
      <c r="BA3924" s="1">
        <v>9</v>
      </c>
      <c r="BB3924" s="1">
        <v>0</v>
      </c>
      <c r="BC3924" s="1">
        <v>0</v>
      </c>
      <c r="BE3924" s="1">
        <v>27688333</v>
      </c>
    </row>
    <row r="3925" spans="1:57" x14ac:dyDescent="0.25">
      <c r="A3925" s="1" t="str">
        <f>T("1949824907035218448")</f>
        <v>1949824907035218448</v>
      </c>
      <c r="B3925" s="1" t="str">
        <f>T("249917389398")</f>
        <v>249917389398</v>
      </c>
      <c r="C3925" s="1" t="str">
        <f>T("1941094533441782920")</f>
        <v>1941094533441782920</v>
      </c>
      <c r="AC3925" s="1" t="s">
        <v>344</v>
      </c>
      <c r="AD3925" s="1" t="s">
        <v>441</v>
      </c>
      <c r="AE3925" s="1" t="s">
        <v>530</v>
      </c>
      <c r="AF3925" s="1" t="s">
        <v>107</v>
      </c>
      <c r="AG3925" s="1">
        <v>50</v>
      </c>
      <c r="AO3925" s="2">
        <v>46289</v>
      </c>
      <c r="AP3925" s="1" t="s">
        <v>912</v>
      </c>
      <c r="AS3925" s="1" t="s">
        <v>71</v>
      </c>
      <c r="AU3925" s="1" t="s">
        <v>72</v>
      </c>
      <c r="AV3925" s="1" t="s">
        <v>437</v>
      </c>
      <c r="AX3925" s="1">
        <v>0</v>
      </c>
      <c r="BA3925" s="1">
        <v>9</v>
      </c>
      <c r="BB3925" s="1">
        <v>0</v>
      </c>
      <c r="BC3925" s="1">
        <v>0</v>
      </c>
      <c r="BE3925" s="1">
        <v>27688333</v>
      </c>
    </row>
    <row r="3926" spans="1:57" x14ac:dyDescent="0.25">
      <c r="A3926" s="1" t="str">
        <f>T("1949824907047804372")</f>
        <v>1949824907047804372</v>
      </c>
      <c r="B3926" s="1" t="str">
        <f>T("249913526728")</f>
        <v>249913526728</v>
      </c>
      <c r="C3926" s="1" t="str">
        <f>T("1941094533441783320")</f>
        <v>1941094533441783320</v>
      </c>
      <c r="AC3926" s="1" t="s">
        <v>344</v>
      </c>
      <c r="AD3926" s="1" t="s">
        <v>372</v>
      </c>
      <c r="AE3926" s="1" t="s">
        <v>813</v>
      </c>
      <c r="AF3926" s="1" t="s">
        <v>144</v>
      </c>
      <c r="AG3926" s="1">
        <v>45</v>
      </c>
      <c r="AO3926" s="2">
        <v>46289</v>
      </c>
      <c r="AP3926" s="1" t="s">
        <v>912</v>
      </c>
      <c r="AS3926" s="1" t="s">
        <v>71</v>
      </c>
      <c r="AU3926" s="1" t="s">
        <v>72</v>
      </c>
      <c r="AV3926" s="1" t="s">
        <v>437</v>
      </c>
      <c r="AX3926" s="1">
        <v>0</v>
      </c>
      <c r="BA3926" s="1">
        <v>9</v>
      </c>
      <c r="BB3926" s="1">
        <v>0</v>
      </c>
      <c r="BC3926" s="1">
        <v>0</v>
      </c>
      <c r="BE3926" s="1">
        <v>27688333</v>
      </c>
    </row>
    <row r="3927" spans="1:57" x14ac:dyDescent="0.25">
      <c r="A3927" s="1" t="str">
        <f>T("1949824907051997580")</f>
        <v>1949824907051997580</v>
      </c>
      <c r="B3927" s="1" t="str">
        <f>T("249966723801")</f>
        <v>249966723801</v>
      </c>
      <c r="C3927" s="1" t="str">
        <f>T("1941094533441784120")</f>
        <v>1941094533441784120</v>
      </c>
      <c r="AC3927" s="1" t="s">
        <v>344</v>
      </c>
      <c r="AD3927" s="1" t="s">
        <v>372</v>
      </c>
      <c r="AE3927" s="1" t="s">
        <v>815</v>
      </c>
      <c r="AF3927" s="1" t="s">
        <v>144</v>
      </c>
      <c r="AG3927" s="1">
        <v>59</v>
      </c>
      <c r="AO3927" s="2">
        <v>46289</v>
      </c>
      <c r="AP3927" s="1" t="s">
        <v>912</v>
      </c>
      <c r="AS3927" s="1" t="s">
        <v>71</v>
      </c>
      <c r="AU3927" s="1" t="s">
        <v>72</v>
      </c>
      <c r="AV3927" s="1" t="s">
        <v>73</v>
      </c>
      <c r="AX3927" s="1">
        <v>0</v>
      </c>
      <c r="BA3927" s="1">
        <v>9</v>
      </c>
      <c r="BB3927" s="1">
        <v>0</v>
      </c>
      <c r="BC3927" s="1">
        <v>0</v>
      </c>
      <c r="BE3927" s="1">
        <v>27688333</v>
      </c>
    </row>
    <row r="3928" spans="1:57" x14ac:dyDescent="0.25">
      <c r="A3928" s="1" t="str">
        <f>T("1949824907060387296")</f>
        <v>1949824907060387296</v>
      </c>
      <c r="B3928" s="1" t="str">
        <f>T("249916813986")</f>
        <v>249916813986</v>
      </c>
      <c r="C3928" s="1" t="str">
        <f>T("1941094533441784620")</f>
        <v>1941094533441784620</v>
      </c>
      <c r="AC3928" s="1" t="s">
        <v>344</v>
      </c>
      <c r="AD3928" s="1" t="s">
        <v>372</v>
      </c>
      <c r="AE3928" s="1" t="s">
        <v>813</v>
      </c>
      <c r="AF3928" s="1" t="s">
        <v>107</v>
      </c>
      <c r="AG3928" s="1">
        <v>53</v>
      </c>
      <c r="AO3928" s="2">
        <v>46289</v>
      </c>
      <c r="AP3928" s="1" t="s">
        <v>912</v>
      </c>
      <c r="AS3928" s="1" t="s">
        <v>71</v>
      </c>
      <c r="AU3928" s="1" t="s">
        <v>72</v>
      </c>
      <c r="AV3928" s="1" t="s">
        <v>437</v>
      </c>
      <c r="AX3928" s="1">
        <v>0</v>
      </c>
      <c r="BA3928" s="1">
        <v>9</v>
      </c>
      <c r="BB3928" s="1">
        <v>0</v>
      </c>
      <c r="BC3928" s="1">
        <v>0</v>
      </c>
      <c r="BE3928" s="1">
        <v>27688333</v>
      </c>
    </row>
    <row r="3929" spans="1:57" x14ac:dyDescent="0.25">
      <c r="A3929" s="1" t="str">
        <f>T("1949824907085553244")</f>
        <v>1949824907085553244</v>
      </c>
      <c r="B3929" s="1" t="str">
        <f>T("249905135084")</f>
        <v>249905135084</v>
      </c>
      <c r="C3929" s="1" t="str">
        <f>T("1941094533441785220")</f>
        <v>1941094533441785220</v>
      </c>
      <c r="AC3929" s="1" t="s">
        <v>344</v>
      </c>
      <c r="AD3929" s="1" t="s">
        <v>430</v>
      </c>
      <c r="AE3929" s="1" t="s">
        <v>530</v>
      </c>
      <c r="AF3929" s="1" t="s">
        <v>107</v>
      </c>
      <c r="AG3929" s="1">
        <v>22</v>
      </c>
      <c r="AO3929" s="2">
        <v>46289</v>
      </c>
      <c r="AP3929" s="1" t="s">
        <v>912</v>
      </c>
      <c r="AS3929" s="1" t="s">
        <v>71</v>
      </c>
      <c r="AU3929" s="1" t="s">
        <v>72</v>
      </c>
      <c r="AV3929" s="1" t="s">
        <v>73</v>
      </c>
      <c r="AX3929" s="1">
        <v>0</v>
      </c>
      <c r="BA3929" s="1">
        <v>9</v>
      </c>
      <c r="BB3929" s="1">
        <v>0</v>
      </c>
      <c r="BC3929" s="1">
        <v>0</v>
      </c>
      <c r="BE3929" s="1">
        <v>27688333</v>
      </c>
    </row>
    <row r="3930" spans="1:57" x14ac:dyDescent="0.25">
      <c r="A3930" s="1" t="str">
        <f>T("1949824907098133968")</f>
        <v>1949824907098133968</v>
      </c>
      <c r="B3930" s="1" t="str">
        <f>T("249909487409")</f>
        <v>249909487409</v>
      </c>
      <c r="C3930" s="1" t="str">
        <f>T("1941094533441785720")</f>
        <v>1941094533441785720</v>
      </c>
      <c r="AC3930" s="1" t="s">
        <v>344</v>
      </c>
      <c r="AD3930" s="1" t="s">
        <v>441</v>
      </c>
      <c r="AE3930" s="1" t="s">
        <v>530</v>
      </c>
      <c r="AF3930" s="1" t="s">
        <v>107</v>
      </c>
      <c r="AG3930" s="1">
        <v>65</v>
      </c>
      <c r="AO3930" s="2">
        <v>46289</v>
      </c>
      <c r="AP3930" s="1" t="s">
        <v>912</v>
      </c>
      <c r="AS3930" s="1" t="s">
        <v>71</v>
      </c>
      <c r="AU3930" s="1" t="s">
        <v>72</v>
      </c>
      <c r="AV3930" s="1" t="s">
        <v>437</v>
      </c>
      <c r="AX3930" s="1">
        <v>0</v>
      </c>
      <c r="BA3930" s="1">
        <v>9</v>
      </c>
      <c r="BB3930" s="1">
        <v>0</v>
      </c>
      <c r="BC3930" s="1">
        <v>0</v>
      </c>
      <c r="BE3930" s="1">
        <v>27688333</v>
      </c>
    </row>
    <row r="3931" spans="1:57" x14ac:dyDescent="0.25">
      <c r="A3931" s="1" t="str">
        <f>T("1949824907127493624")</f>
        <v>1949824907127493624</v>
      </c>
      <c r="B3931" s="1" t="str">
        <f>T("249918469297")</f>
        <v>249918469297</v>
      </c>
      <c r="C3931" s="1" t="str">
        <f>T("1941094533445976928")</f>
        <v>1941094533445976928</v>
      </c>
      <c r="AC3931" s="1" t="s">
        <v>344</v>
      </c>
      <c r="AD3931" s="1" t="s">
        <v>441</v>
      </c>
      <c r="AE3931" s="1" t="s">
        <v>530</v>
      </c>
      <c r="AF3931" s="1" t="s">
        <v>107</v>
      </c>
      <c r="AG3931" s="1">
        <v>50</v>
      </c>
      <c r="AO3931" s="2">
        <v>46289</v>
      </c>
      <c r="AP3931" s="1" t="s">
        <v>912</v>
      </c>
      <c r="AS3931" s="1" t="s">
        <v>71</v>
      </c>
      <c r="AU3931" s="1" t="s">
        <v>72</v>
      </c>
      <c r="AV3931" s="1" t="s">
        <v>73</v>
      </c>
      <c r="AX3931" s="1">
        <v>0</v>
      </c>
      <c r="BA3931" s="1">
        <v>9</v>
      </c>
      <c r="BB3931" s="1">
        <v>0</v>
      </c>
      <c r="BC3931" s="1">
        <v>0</v>
      </c>
      <c r="BE3931" s="1">
        <v>27688333</v>
      </c>
    </row>
    <row r="3932" spans="1:57" x14ac:dyDescent="0.25">
      <c r="A3932" s="1" t="str">
        <f>T("1949824907127494724")</f>
        <v>1949824907127494724</v>
      </c>
      <c r="B3932" s="1" t="str">
        <f>T("249919754513")</f>
        <v>249919754513</v>
      </c>
      <c r="C3932" s="1" t="str">
        <f>T("1941094533445976428")</f>
        <v>1941094533445976428</v>
      </c>
      <c r="AC3932" s="1" t="s">
        <v>344</v>
      </c>
      <c r="AD3932" s="1" t="s">
        <v>372</v>
      </c>
      <c r="AE3932" s="1" t="s">
        <v>827</v>
      </c>
      <c r="AF3932" s="1" t="s">
        <v>144</v>
      </c>
      <c r="AG3932" s="1">
        <v>27</v>
      </c>
      <c r="AO3932" s="2">
        <v>46289</v>
      </c>
      <c r="AP3932" s="1" t="s">
        <v>912</v>
      </c>
      <c r="AS3932" s="1" t="s">
        <v>71</v>
      </c>
      <c r="AU3932" s="1" t="s">
        <v>72</v>
      </c>
      <c r="AV3932" s="1" t="s">
        <v>73</v>
      </c>
      <c r="AX3932" s="1">
        <v>0</v>
      </c>
      <c r="BA3932" s="1">
        <v>9</v>
      </c>
      <c r="BB3932" s="1">
        <v>0</v>
      </c>
      <c r="BC3932" s="1">
        <v>0</v>
      </c>
      <c r="BE3932" s="1">
        <v>27688333</v>
      </c>
    </row>
    <row r="3933" spans="1:57" x14ac:dyDescent="0.25">
      <c r="A3933" s="1" t="str">
        <f>T("1949824907135881240")</f>
        <v>1949824907135881240</v>
      </c>
      <c r="B3933" s="1" t="str">
        <f>T("249905564582")</f>
        <v>249905564582</v>
      </c>
      <c r="C3933" s="1" t="str">
        <f>T("1944060085533672448")</f>
        <v>1944060085533672448</v>
      </c>
      <c r="AC3933" s="1" t="s">
        <v>366</v>
      </c>
      <c r="AD3933" s="1" t="s">
        <v>367</v>
      </c>
      <c r="AE3933" s="1" t="s">
        <v>368</v>
      </c>
      <c r="AF3933" s="1" t="s">
        <v>144</v>
      </c>
      <c r="AG3933" s="1">
        <v>55</v>
      </c>
      <c r="AO3933" s="2">
        <v>46289</v>
      </c>
      <c r="AP3933" s="1" t="s">
        <v>912</v>
      </c>
      <c r="AS3933" s="1" t="s">
        <v>71</v>
      </c>
      <c r="AU3933" s="1" t="s">
        <v>72</v>
      </c>
      <c r="AV3933" s="1" t="s">
        <v>73</v>
      </c>
      <c r="AX3933" s="1">
        <v>0</v>
      </c>
      <c r="BA3933" s="1">
        <v>9</v>
      </c>
      <c r="BB3933" s="1">
        <v>0</v>
      </c>
      <c r="BC3933" s="1">
        <v>0</v>
      </c>
      <c r="BE3933" s="1">
        <v>27688333</v>
      </c>
    </row>
    <row r="3934" spans="1:57" x14ac:dyDescent="0.25">
      <c r="A3934" s="1" t="str">
        <f>T("1949824907156856380")</f>
        <v>1949824907156856380</v>
      </c>
      <c r="B3934" s="1" t="str">
        <f>T("249913358303")</f>
        <v>249913358303</v>
      </c>
      <c r="C3934" s="1" t="str">
        <f>T("1944060328778138300")</f>
        <v>1944060328778138300</v>
      </c>
      <c r="AC3934" s="1" t="s">
        <v>366</v>
      </c>
      <c r="AD3934" s="1" t="s">
        <v>367</v>
      </c>
      <c r="AE3934" s="1" t="s">
        <v>368</v>
      </c>
      <c r="AF3934" s="1" t="s">
        <v>144</v>
      </c>
      <c r="AG3934" s="1">
        <v>27</v>
      </c>
      <c r="AO3934" s="2">
        <v>46289</v>
      </c>
      <c r="AP3934" s="1" t="s">
        <v>912</v>
      </c>
      <c r="AS3934" s="1" t="s">
        <v>71</v>
      </c>
      <c r="AU3934" s="1" t="s">
        <v>72</v>
      </c>
      <c r="AV3934" s="1" t="s">
        <v>437</v>
      </c>
      <c r="AX3934" s="1">
        <v>0</v>
      </c>
      <c r="BA3934" s="1">
        <v>9</v>
      </c>
      <c r="BB3934" s="1">
        <v>0</v>
      </c>
      <c r="BC3934" s="1">
        <v>0</v>
      </c>
      <c r="BE3934" s="1">
        <v>27688333</v>
      </c>
    </row>
    <row r="3935" spans="1:57" x14ac:dyDescent="0.25">
      <c r="A3935" s="1" t="str">
        <f>T("1949824907169437104")</f>
        <v>1949824907169437104</v>
      </c>
      <c r="B3935" s="1" t="str">
        <f>T("249918743842")</f>
        <v>249918743842</v>
      </c>
      <c r="C3935" s="1" t="str">
        <f>T("1944060689169516292")</f>
        <v>1944060689169516292</v>
      </c>
      <c r="AC3935" s="1" t="s">
        <v>366</v>
      </c>
      <c r="AD3935" s="1" t="s">
        <v>367</v>
      </c>
      <c r="AE3935" s="1" t="s">
        <v>368</v>
      </c>
      <c r="AF3935" s="1" t="s">
        <v>144</v>
      </c>
      <c r="AG3935" s="1">
        <v>36</v>
      </c>
      <c r="AO3935" s="2">
        <v>46289</v>
      </c>
      <c r="AP3935" s="1" t="s">
        <v>912</v>
      </c>
      <c r="AS3935" s="1" t="s">
        <v>71</v>
      </c>
      <c r="AU3935" s="1" t="s">
        <v>72</v>
      </c>
      <c r="AV3935" s="1" t="s">
        <v>73</v>
      </c>
      <c r="AX3935" s="1">
        <v>0</v>
      </c>
      <c r="BA3935" s="1">
        <v>9</v>
      </c>
      <c r="BB3935" s="1">
        <v>0</v>
      </c>
      <c r="BC3935" s="1">
        <v>0</v>
      </c>
      <c r="BE3935" s="1">
        <v>27688333</v>
      </c>
    </row>
    <row r="3936" spans="1:57" x14ac:dyDescent="0.25">
      <c r="A3936" s="1" t="str">
        <f>T("1949824907190411144")</f>
        <v>1949824907190411144</v>
      </c>
      <c r="B3936" s="1" t="str">
        <f>T("249903928507")</f>
        <v>249903928507</v>
      </c>
      <c r="C3936" s="1" t="str">
        <f>T("1944060831306090096")</f>
        <v>1944060831306090096</v>
      </c>
      <c r="AC3936" s="1" t="s">
        <v>366</v>
      </c>
      <c r="AD3936" s="1" t="s">
        <v>367</v>
      </c>
      <c r="AE3936" s="1" t="s">
        <v>368</v>
      </c>
      <c r="AF3936" s="1" t="s">
        <v>144</v>
      </c>
      <c r="AG3936" s="1">
        <v>21</v>
      </c>
      <c r="AO3936" s="2">
        <v>46289</v>
      </c>
      <c r="AP3936" s="1" t="s">
        <v>912</v>
      </c>
      <c r="AS3936" s="1" t="s">
        <v>71</v>
      </c>
      <c r="AU3936" s="1" t="s">
        <v>72</v>
      </c>
      <c r="AV3936" s="1" t="s">
        <v>437</v>
      </c>
      <c r="AX3936" s="1">
        <v>0</v>
      </c>
      <c r="BA3936" s="1">
        <v>9</v>
      </c>
      <c r="BB3936" s="1">
        <v>0</v>
      </c>
      <c r="BC3936" s="1">
        <v>0</v>
      </c>
      <c r="BE3936" s="1">
        <v>27688333</v>
      </c>
    </row>
    <row r="3937" spans="1:57" x14ac:dyDescent="0.25">
      <c r="A3937" s="1" t="str">
        <f>T("1949824907194601952")</f>
        <v>1949824907194601952</v>
      </c>
      <c r="B3937" s="1" t="str">
        <f>T("249903623795")</f>
        <v>249903623795</v>
      </c>
      <c r="C3937" s="1" t="str">
        <f>T("1944060964496215636")</f>
        <v>1944060964496215636</v>
      </c>
      <c r="AC3937" s="1" t="s">
        <v>366</v>
      </c>
      <c r="AD3937" s="1" t="s">
        <v>367</v>
      </c>
      <c r="AE3937" s="1" t="s">
        <v>368</v>
      </c>
      <c r="AF3937" s="1" t="s">
        <v>144</v>
      </c>
      <c r="AG3937" s="1">
        <v>58</v>
      </c>
      <c r="AO3937" s="2">
        <v>46289</v>
      </c>
      <c r="AP3937" s="1" t="s">
        <v>912</v>
      </c>
      <c r="AS3937" s="1" t="s">
        <v>71</v>
      </c>
      <c r="AU3937" s="1" t="s">
        <v>72</v>
      </c>
      <c r="AV3937" s="1" t="s">
        <v>437</v>
      </c>
      <c r="AX3937" s="1">
        <v>0</v>
      </c>
      <c r="BA3937" s="1">
        <v>9</v>
      </c>
      <c r="BB3937" s="1">
        <v>0</v>
      </c>
      <c r="BC3937" s="1">
        <v>0</v>
      </c>
      <c r="BE3937" s="1">
        <v>27688333</v>
      </c>
    </row>
    <row r="3938" spans="1:57" x14ac:dyDescent="0.25">
      <c r="A3938" s="1" t="str">
        <f>T("1949824907198796660")</f>
        <v>1949824907198796660</v>
      </c>
      <c r="B3938" s="1" t="str">
        <f>T("249965684956")</f>
        <v>249965684956</v>
      </c>
      <c r="C3938" s="1" t="str">
        <f>T("1944061081257250340")</f>
        <v>1944061081257250340</v>
      </c>
      <c r="AC3938" s="1" t="s">
        <v>366</v>
      </c>
      <c r="AD3938" s="1" t="s">
        <v>367</v>
      </c>
      <c r="AE3938" s="1" t="s">
        <v>368</v>
      </c>
      <c r="AF3938" s="1" t="s">
        <v>144</v>
      </c>
      <c r="AG3938" s="1">
        <v>35</v>
      </c>
      <c r="AO3938" s="2">
        <v>46289</v>
      </c>
      <c r="AP3938" s="1" t="s">
        <v>912</v>
      </c>
      <c r="AS3938" s="1" t="s">
        <v>71</v>
      </c>
      <c r="AU3938" s="1" t="s">
        <v>72</v>
      </c>
      <c r="AV3938" s="1" t="s">
        <v>437</v>
      </c>
      <c r="AX3938" s="1">
        <v>0</v>
      </c>
      <c r="BA3938" s="1">
        <v>9</v>
      </c>
      <c r="BB3938" s="1">
        <v>0</v>
      </c>
      <c r="BC3938" s="1">
        <v>0</v>
      </c>
      <c r="BE3938" s="1">
        <v>27688333</v>
      </c>
    </row>
    <row r="3939" spans="1:57" x14ac:dyDescent="0.25">
      <c r="A3939" s="1" t="str">
        <f>T("1950134951891113580")</f>
        <v>1950134951891113580</v>
      </c>
      <c r="B3939" s="1" t="str">
        <f>T("249129257562")</f>
        <v>249129257562</v>
      </c>
      <c r="C3939" s="1" t="str">
        <f>T("1941094470745328036")</f>
        <v>1941094470745328036</v>
      </c>
      <c r="AC3939" s="1" t="s">
        <v>104</v>
      </c>
      <c r="AD3939" s="1" t="s">
        <v>141</v>
      </c>
      <c r="AE3939" s="1" t="s">
        <v>481</v>
      </c>
      <c r="AF3939" s="1" t="s">
        <v>107</v>
      </c>
      <c r="AO3939" s="2">
        <v>46290</v>
      </c>
      <c r="AP3939" s="1" t="s">
        <v>923</v>
      </c>
      <c r="AS3939" s="1" t="s">
        <v>71</v>
      </c>
      <c r="AU3939" s="1" t="s">
        <v>72</v>
      </c>
      <c r="AV3939" s="1" t="s">
        <v>73</v>
      </c>
      <c r="AX3939" s="1">
        <v>0</v>
      </c>
      <c r="BA3939" s="1">
        <v>9</v>
      </c>
      <c r="BB3939" s="1">
        <v>0</v>
      </c>
      <c r="BC3939" s="1">
        <v>0</v>
      </c>
      <c r="BE3939" s="1">
        <v>27721866</v>
      </c>
    </row>
    <row r="3940" spans="1:57" x14ac:dyDescent="0.25">
      <c r="A3940" s="1" t="str">
        <f>T("1950134951899504196")</f>
        <v>1950134951899504196</v>
      </c>
      <c r="B3940" s="1" t="str">
        <f>T("249918929220")</f>
        <v>249918929220</v>
      </c>
      <c r="C3940" s="1" t="str">
        <f>T("1941094470745327636")</f>
        <v>1941094470745327636</v>
      </c>
      <c r="AC3940" s="1" t="s">
        <v>104</v>
      </c>
      <c r="AD3940" s="1" t="s">
        <v>141</v>
      </c>
      <c r="AE3940" s="1" t="s">
        <v>481</v>
      </c>
      <c r="AF3940" s="1" t="s">
        <v>107</v>
      </c>
      <c r="AO3940" s="2">
        <v>46290</v>
      </c>
      <c r="AP3940" s="1" t="s">
        <v>923</v>
      </c>
      <c r="AS3940" s="1" t="s">
        <v>71</v>
      </c>
      <c r="AU3940" s="1" t="s">
        <v>72</v>
      </c>
      <c r="AV3940" s="1" t="s">
        <v>437</v>
      </c>
      <c r="AX3940" s="1">
        <v>0</v>
      </c>
      <c r="BA3940" s="1">
        <v>9</v>
      </c>
      <c r="BB3940" s="1">
        <v>0</v>
      </c>
      <c r="BC3940" s="1">
        <v>0</v>
      </c>
      <c r="BE3940" s="1">
        <v>27721866</v>
      </c>
    </row>
    <row r="3941" spans="1:57" x14ac:dyDescent="0.25">
      <c r="A3941" s="1" t="str">
        <f>T("1950134952012748312")</f>
        <v>1950134952012748312</v>
      </c>
      <c r="B3941" s="1" t="str">
        <f>T("249913487244")</f>
        <v>249913487244</v>
      </c>
      <c r="C3941" s="1" t="str">
        <f>T("1941094470745328836")</f>
        <v>1941094470745328836</v>
      </c>
      <c r="AC3941" s="1" t="s">
        <v>104</v>
      </c>
      <c r="AD3941" s="1" t="s">
        <v>141</v>
      </c>
      <c r="AE3941" s="1" t="s">
        <v>487</v>
      </c>
      <c r="AF3941" s="1" t="s">
        <v>107</v>
      </c>
      <c r="AO3941" s="2">
        <v>46290</v>
      </c>
      <c r="AP3941" s="1" t="s">
        <v>923</v>
      </c>
      <c r="AS3941" s="1" t="s">
        <v>71</v>
      </c>
      <c r="AU3941" s="1" t="s">
        <v>72</v>
      </c>
      <c r="AV3941" s="1" t="s">
        <v>126</v>
      </c>
      <c r="AX3941" s="1">
        <v>0</v>
      </c>
      <c r="BA3941" s="1">
        <v>9</v>
      </c>
      <c r="BB3941" s="1">
        <v>0</v>
      </c>
      <c r="BC3941" s="1">
        <v>0</v>
      </c>
      <c r="BE3941" s="1">
        <v>27721866</v>
      </c>
    </row>
    <row r="3942" spans="1:57" x14ac:dyDescent="0.25">
      <c r="A3942" s="1" t="str">
        <f>T("1950134952063079408")</f>
        <v>1950134952063079408</v>
      </c>
      <c r="B3942" s="1" t="str">
        <f>T("249128938938")</f>
        <v>249128938938</v>
      </c>
      <c r="C3942" s="1" t="str">
        <f>T("1941094470745329236")</f>
        <v>1941094470745329236</v>
      </c>
      <c r="AC3942" s="1" t="s">
        <v>104</v>
      </c>
      <c r="AD3942" s="1" t="s">
        <v>141</v>
      </c>
      <c r="AE3942" s="1" t="s">
        <v>487</v>
      </c>
      <c r="AF3942" s="1" t="s">
        <v>107</v>
      </c>
      <c r="AO3942" s="2">
        <v>46290</v>
      </c>
      <c r="AP3942" s="1" t="s">
        <v>923</v>
      </c>
      <c r="AS3942" s="1" t="s">
        <v>71</v>
      </c>
      <c r="AU3942" s="1" t="s">
        <v>72</v>
      </c>
      <c r="AV3942" s="1" t="s">
        <v>73</v>
      </c>
      <c r="AX3942" s="1">
        <v>0</v>
      </c>
      <c r="BA3942" s="1">
        <v>9</v>
      </c>
      <c r="BB3942" s="1">
        <v>0</v>
      </c>
      <c r="BC3942" s="1">
        <v>0</v>
      </c>
      <c r="BE3942" s="1">
        <v>27721866</v>
      </c>
    </row>
    <row r="3943" spans="1:57" x14ac:dyDescent="0.25">
      <c r="A3943" s="1" t="str">
        <f>T("1950134952079859640")</f>
        <v>1950134952079859640</v>
      </c>
      <c r="B3943" s="1" t="str">
        <f>T("249122769491")</f>
        <v>249122769491</v>
      </c>
      <c r="C3943" s="1" t="str">
        <f>T("1941094470749521244")</f>
        <v>1941094470749521244</v>
      </c>
      <c r="AC3943" s="1" t="s">
        <v>104</v>
      </c>
      <c r="AD3943" s="1" t="s">
        <v>151</v>
      </c>
      <c r="AE3943" s="1" t="s">
        <v>491</v>
      </c>
      <c r="AF3943" s="1" t="s">
        <v>107</v>
      </c>
      <c r="AO3943" s="2">
        <v>46290</v>
      </c>
      <c r="AP3943" s="1" t="s">
        <v>923</v>
      </c>
      <c r="AS3943" s="1" t="s">
        <v>71</v>
      </c>
      <c r="AU3943" s="1" t="s">
        <v>72</v>
      </c>
      <c r="AV3943" s="1" t="s">
        <v>126</v>
      </c>
      <c r="AX3943" s="1">
        <v>0</v>
      </c>
      <c r="BA3943" s="1">
        <v>9</v>
      </c>
      <c r="BB3943" s="1">
        <v>0</v>
      </c>
      <c r="BC3943" s="1">
        <v>0</v>
      </c>
      <c r="BE3943" s="1">
        <v>27721866</v>
      </c>
    </row>
    <row r="3944" spans="1:57" x14ac:dyDescent="0.25">
      <c r="A3944" s="1" t="str">
        <f>T("1950134952138579052")</f>
        <v>1950134952138579052</v>
      </c>
      <c r="B3944" s="1" t="str">
        <f>T("249118882564")</f>
        <v>249118882564</v>
      </c>
      <c r="C3944" s="1" t="str">
        <f>T("1941094470749523944")</f>
        <v>1941094470749523944</v>
      </c>
      <c r="AC3944" s="1" t="s">
        <v>104</v>
      </c>
      <c r="AD3944" s="1" t="s">
        <v>151</v>
      </c>
      <c r="AE3944" s="1" t="s">
        <v>491</v>
      </c>
      <c r="AF3944" s="1" t="s">
        <v>107</v>
      </c>
      <c r="AO3944" s="2">
        <v>46290</v>
      </c>
      <c r="AP3944" s="1" t="s">
        <v>923</v>
      </c>
      <c r="AS3944" s="1" t="s">
        <v>71</v>
      </c>
      <c r="AU3944" s="1" t="s">
        <v>72</v>
      </c>
      <c r="AV3944" s="1" t="s">
        <v>73</v>
      </c>
      <c r="AX3944" s="1">
        <v>0</v>
      </c>
      <c r="BA3944" s="1">
        <v>9</v>
      </c>
      <c r="BB3944" s="1">
        <v>0</v>
      </c>
      <c r="BC3944" s="1">
        <v>0</v>
      </c>
      <c r="BE3944" s="1">
        <v>27721866</v>
      </c>
    </row>
    <row r="3945" spans="1:57" x14ac:dyDescent="0.25">
      <c r="A3945" s="1" t="str">
        <f>T("1950134952151161676")</f>
        <v>1950134952151161676</v>
      </c>
      <c r="B3945" s="1" t="str">
        <f>T("24911790098")</f>
        <v>24911790098</v>
      </c>
      <c r="C3945" s="1" t="str">
        <f>T("1941094470749522644")</f>
        <v>1941094470749522644</v>
      </c>
      <c r="AC3945" s="1" t="s">
        <v>104</v>
      </c>
      <c r="AD3945" s="1" t="s">
        <v>151</v>
      </c>
      <c r="AE3945" s="1" t="s">
        <v>491</v>
      </c>
      <c r="AF3945" s="1" t="s">
        <v>107</v>
      </c>
      <c r="AO3945" s="2">
        <v>46290</v>
      </c>
      <c r="AP3945" s="1" t="s">
        <v>923</v>
      </c>
      <c r="AS3945" s="1" t="s">
        <v>71</v>
      </c>
      <c r="AU3945" s="1" t="s">
        <v>72</v>
      </c>
      <c r="AV3945" s="1" t="s">
        <v>73</v>
      </c>
      <c r="AX3945" s="1">
        <v>0</v>
      </c>
      <c r="BA3945" s="1">
        <v>9</v>
      </c>
      <c r="BB3945" s="1">
        <v>0</v>
      </c>
      <c r="BC3945" s="1">
        <v>0</v>
      </c>
      <c r="BE3945" s="1">
        <v>27721866</v>
      </c>
    </row>
    <row r="3946" spans="1:57" x14ac:dyDescent="0.25">
      <c r="A3946" s="1" t="str">
        <f>T("1950134952209881888")</f>
        <v>1950134952209881888</v>
      </c>
      <c r="B3946" s="1" t="str">
        <f>T("249904366898")</f>
        <v>249904366898</v>
      </c>
      <c r="C3946" s="1" t="str">
        <f>T("1941094470753714552")</f>
        <v>1941094470753714552</v>
      </c>
      <c r="AC3946" s="1" t="s">
        <v>104</v>
      </c>
      <c r="AD3946" s="1" t="s">
        <v>151</v>
      </c>
      <c r="AE3946" s="1" t="s">
        <v>496</v>
      </c>
      <c r="AF3946" s="1" t="s">
        <v>107</v>
      </c>
      <c r="AO3946" s="2">
        <v>46290</v>
      </c>
      <c r="AP3946" s="1" t="s">
        <v>923</v>
      </c>
      <c r="AS3946" s="1" t="s">
        <v>71</v>
      </c>
      <c r="AU3946" s="1" t="s">
        <v>72</v>
      </c>
      <c r="AV3946" s="1" t="s">
        <v>126</v>
      </c>
      <c r="AX3946" s="1">
        <v>0</v>
      </c>
      <c r="BA3946" s="1">
        <v>9</v>
      </c>
      <c r="BB3946" s="1">
        <v>0</v>
      </c>
      <c r="BC3946" s="1">
        <v>0</v>
      </c>
      <c r="BE3946" s="1">
        <v>27721866</v>
      </c>
    </row>
    <row r="3947" spans="1:57" x14ac:dyDescent="0.25">
      <c r="A3947" s="1" t="str">
        <f>T("1950134952222465012")</f>
        <v>1950134952222465012</v>
      </c>
      <c r="B3947" s="1" t="str">
        <f>T("249996798105")</f>
        <v>249996798105</v>
      </c>
      <c r="C3947" s="1" t="str">
        <f>T("1941094470753714952")</f>
        <v>1941094470753714952</v>
      </c>
      <c r="AC3947" s="1" t="s">
        <v>104</v>
      </c>
      <c r="AD3947" s="1" t="s">
        <v>151</v>
      </c>
      <c r="AE3947" s="1" t="s">
        <v>496</v>
      </c>
      <c r="AF3947" s="1" t="s">
        <v>107</v>
      </c>
      <c r="AO3947" s="2">
        <v>46290</v>
      </c>
      <c r="AP3947" s="1" t="s">
        <v>923</v>
      </c>
      <c r="AS3947" s="1" t="s">
        <v>71</v>
      </c>
      <c r="AU3947" s="1" t="s">
        <v>72</v>
      </c>
      <c r="AV3947" s="1" t="s">
        <v>73</v>
      </c>
      <c r="AX3947" s="1">
        <v>0</v>
      </c>
      <c r="BA3947" s="1">
        <v>9</v>
      </c>
      <c r="BB3947" s="1">
        <v>0</v>
      </c>
      <c r="BC3947" s="1">
        <v>0</v>
      </c>
      <c r="BE3947" s="1">
        <v>27721866</v>
      </c>
    </row>
    <row r="3948" spans="1:57" x14ac:dyDescent="0.25">
      <c r="A3948" s="1" t="str">
        <f>T("1950134952281184824")</f>
        <v>1950134952281184824</v>
      </c>
      <c r="B3948" s="1" t="str">
        <f>T("249915003453")</f>
        <v>249915003453</v>
      </c>
      <c r="C3948" s="1" t="str">
        <f>T("1941094470762103168")</f>
        <v>1941094470762103168</v>
      </c>
      <c r="AC3948" s="1" t="s">
        <v>104</v>
      </c>
      <c r="AD3948" s="1" t="s">
        <v>151</v>
      </c>
      <c r="AE3948" s="1" t="s">
        <v>498</v>
      </c>
      <c r="AF3948" s="1" t="s">
        <v>107</v>
      </c>
      <c r="AO3948" s="2">
        <v>46290</v>
      </c>
      <c r="AP3948" s="1" t="s">
        <v>923</v>
      </c>
      <c r="AS3948" s="1" t="s">
        <v>71</v>
      </c>
      <c r="AU3948" s="1" t="s">
        <v>72</v>
      </c>
      <c r="AV3948" s="1" t="s">
        <v>73</v>
      </c>
      <c r="AX3948" s="1">
        <v>0</v>
      </c>
      <c r="BA3948" s="1">
        <v>9</v>
      </c>
      <c r="BB3948" s="1">
        <v>0</v>
      </c>
      <c r="BC3948" s="1">
        <v>0</v>
      </c>
      <c r="BE3948" s="1">
        <v>27721866</v>
      </c>
    </row>
    <row r="3949" spans="1:57" x14ac:dyDescent="0.25">
      <c r="A3949" s="1" t="str">
        <f>T("1950134952302154164")</f>
        <v>1950134952302154164</v>
      </c>
      <c r="B3949" s="1" t="str">
        <f>T("249915084473")</f>
        <v>249915084473</v>
      </c>
      <c r="C3949" s="1" t="str">
        <f>T("1941094470766298876")</f>
        <v>1941094470766298876</v>
      </c>
      <c r="AC3949" s="1" t="s">
        <v>344</v>
      </c>
      <c r="AD3949" s="1" t="s">
        <v>501</v>
      </c>
      <c r="AE3949" s="1" t="s">
        <v>502</v>
      </c>
      <c r="AF3949" s="1" t="s">
        <v>503</v>
      </c>
      <c r="AG3949" s="1" t="s">
        <v>313</v>
      </c>
      <c r="AO3949" s="2">
        <v>46290</v>
      </c>
      <c r="AP3949" s="1" t="s">
        <v>923</v>
      </c>
      <c r="AS3949" s="1" t="s">
        <v>71</v>
      </c>
      <c r="AU3949" s="1" t="s">
        <v>72</v>
      </c>
      <c r="AV3949" s="1" t="s">
        <v>437</v>
      </c>
      <c r="AX3949" s="1">
        <v>0</v>
      </c>
      <c r="BA3949" s="1">
        <v>9</v>
      </c>
      <c r="BB3949" s="1">
        <v>0</v>
      </c>
      <c r="BC3949" s="1">
        <v>0</v>
      </c>
      <c r="BE3949" s="1">
        <v>27721866</v>
      </c>
    </row>
    <row r="3950" spans="1:57" x14ac:dyDescent="0.25">
      <c r="A3950" s="1" t="str">
        <f>T("1950134952352488160")</f>
        <v>1950134952352488160</v>
      </c>
      <c r="B3950" s="1" t="str">
        <f>T("249914722344")</f>
        <v>249914722344</v>
      </c>
      <c r="C3950" s="1" t="str">
        <f>T("1941094470766299276")</f>
        <v>1941094470766299276</v>
      </c>
      <c r="AC3950" s="1" t="s">
        <v>344</v>
      </c>
      <c r="AD3950" s="1" t="s">
        <v>501</v>
      </c>
      <c r="AE3950" s="1" t="s">
        <v>502</v>
      </c>
      <c r="AF3950" s="1" t="s">
        <v>503</v>
      </c>
      <c r="AG3950" s="1" t="s">
        <v>313</v>
      </c>
      <c r="AO3950" s="2">
        <v>46290</v>
      </c>
      <c r="AP3950" s="1" t="s">
        <v>923</v>
      </c>
      <c r="AS3950" s="1" t="s">
        <v>71</v>
      </c>
      <c r="AU3950" s="1" t="s">
        <v>72</v>
      </c>
      <c r="AV3950" s="1" t="s">
        <v>126</v>
      </c>
      <c r="AX3950" s="1">
        <v>0</v>
      </c>
      <c r="BA3950" s="1">
        <v>9</v>
      </c>
      <c r="BB3950" s="1">
        <v>0</v>
      </c>
      <c r="BC3950" s="1">
        <v>0</v>
      </c>
      <c r="BE3950" s="1">
        <v>27721866</v>
      </c>
    </row>
    <row r="3951" spans="1:57" x14ac:dyDescent="0.25">
      <c r="A3951" s="1" t="str">
        <f>T("1950134952373458500")</f>
        <v>1950134952373458500</v>
      </c>
      <c r="B3951" s="1" t="str">
        <f>T("249113147414")</f>
        <v>249113147414</v>
      </c>
      <c r="C3951" s="1" t="str">
        <f>T("1941094470766299676")</f>
        <v>1941094470766299676</v>
      </c>
      <c r="AC3951" s="1" t="s">
        <v>344</v>
      </c>
      <c r="AD3951" s="1" t="s">
        <v>501</v>
      </c>
      <c r="AE3951" s="1" t="s">
        <v>502</v>
      </c>
      <c r="AF3951" s="1" t="s">
        <v>503</v>
      </c>
      <c r="AG3951" s="1" t="s">
        <v>313</v>
      </c>
      <c r="AO3951" s="2">
        <v>46290</v>
      </c>
      <c r="AP3951" s="1" t="s">
        <v>923</v>
      </c>
      <c r="AS3951" s="1" t="s">
        <v>71</v>
      </c>
      <c r="AU3951" s="1" t="s">
        <v>72</v>
      </c>
      <c r="AV3951" s="1" t="s">
        <v>126</v>
      </c>
      <c r="AX3951" s="1">
        <v>0</v>
      </c>
      <c r="BA3951" s="1">
        <v>9</v>
      </c>
      <c r="BB3951" s="1">
        <v>0</v>
      </c>
      <c r="BC3951" s="1">
        <v>0</v>
      </c>
      <c r="BE3951" s="1">
        <v>27721866</v>
      </c>
    </row>
    <row r="3952" spans="1:57" x14ac:dyDescent="0.25">
      <c r="A3952" s="1" t="str">
        <f>T("1950134952419598088")</f>
        <v>1950134952419598088</v>
      </c>
      <c r="B3952" s="1" t="str">
        <f>T("249901912642")</f>
        <v>249901912642</v>
      </c>
      <c r="C3952" s="1" t="str">
        <f>T("1941094470766300576")</f>
        <v>1941094470766300576</v>
      </c>
      <c r="AC3952" s="1" t="s">
        <v>344</v>
      </c>
      <c r="AD3952" s="1" t="s">
        <v>501</v>
      </c>
      <c r="AE3952" s="1" t="s">
        <v>504</v>
      </c>
      <c r="AF3952" s="1" t="s">
        <v>503</v>
      </c>
      <c r="AG3952" s="1" t="s">
        <v>313</v>
      </c>
      <c r="AO3952" s="2">
        <v>46290</v>
      </c>
      <c r="AP3952" s="1" t="s">
        <v>923</v>
      </c>
      <c r="AS3952" s="1" t="s">
        <v>71</v>
      </c>
      <c r="AU3952" s="1" t="s">
        <v>72</v>
      </c>
      <c r="AV3952" s="1" t="s">
        <v>73</v>
      </c>
      <c r="AX3952" s="1">
        <v>0</v>
      </c>
      <c r="BA3952" s="1">
        <v>9</v>
      </c>
      <c r="BB3952" s="1">
        <v>0</v>
      </c>
      <c r="BC3952" s="1">
        <v>0</v>
      </c>
      <c r="BE3952" s="1">
        <v>27721866</v>
      </c>
    </row>
    <row r="3953" spans="1:57" x14ac:dyDescent="0.25">
      <c r="A3953" s="1" t="str">
        <f>T("1950134952444762736")</f>
        <v>1950134952444762736</v>
      </c>
      <c r="B3953" s="1" t="str">
        <f>T("249915392767")</f>
        <v>249915392767</v>
      </c>
      <c r="C3953" s="1" t="str">
        <f>T("1941094470766300976")</f>
        <v>1941094470766300976</v>
      </c>
      <c r="AC3953" s="1" t="s">
        <v>276</v>
      </c>
      <c r="AD3953" s="1" t="s">
        <v>506</v>
      </c>
      <c r="AE3953" s="1" t="s">
        <v>507</v>
      </c>
      <c r="AF3953" s="1" t="s">
        <v>107</v>
      </c>
      <c r="AO3953" s="2">
        <v>46290</v>
      </c>
      <c r="AP3953" s="1" t="s">
        <v>923</v>
      </c>
      <c r="AS3953" s="1" t="s">
        <v>71</v>
      </c>
      <c r="AU3953" s="1" t="s">
        <v>72</v>
      </c>
      <c r="AV3953" s="1" t="s">
        <v>126</v>
      </c>
      <c r="AX3953" s="1">
        <v>0</v>
      </c>
      <c r="BA3953" s="1">
        <v>9</v>
      </c>
      <c r="BB3953" s="1">
        <v>0</v>
      </c>
      <c r="BC3953" s="1">
        <v>0</v>
      </c>
      <c r="BE3953" s="1">
        <v>27721866</v>
      </c>
    </row>
    <row r="3954" spans="1:57" x14ac:dyDescent="0.25">
      <c r="A3954" s="1" t="str">
        <f>T("1950134952482510608")</f>
        <v>1950134952482510608</v>
      </c>
      <c r="B3954" s="1" t="str">
        <f>T("249903478013")</f>
        <v>249903478013</v>
      </c>
      <c r="C3954" s="1" t="str">
        <f>T("1941094470770491684")</f>
        <v>1941094470770491684</v>
      </c>
      <c r="AC3954" s="1" t="s">
        <v>276</v>
      </c>
      <c r="AD3954" s="1" t="s">
        <v>506</v>
      </c>
      <c r="AE3954" s="1" t="s">
        <v>507</v>
      </c>
      <c r="AF3954" s="1" t="s">
        <v>107</v>
      </c>
      <c r="AO3954" s="2">
        <v>46290</v>
      </c>
      <c r="AP3954" s="1" t="s">
        <v>923</v>
      </c>
      <c r="AS3954" s="1" t="s">
        <v>71</v>
      </c>
      <c r="AU3954" s="1" t="s">
        <v>72</v>
      </c>
      <c r="AV3954" s="1" t="s">
        <v>437</v>
      </c>
      <c r="AX3954" s="1">
        <v>0</v>
      </c>
      <c r="BA3954" s="1">
        <v>9</v>
      </c>
      <c r="BB3954" s="1">
        <v>0</v>
      </c>
      <c r="BC3954" s="1">
        <v>0</v>
      </c>
      <c r="BE3954" s="1">
        <v>27721866</v>
      </c>
    </row>
    <row r="3955" spans="1:57" x14ac:dyDescent="0.25">
      <c r="A3955" s="1" t="str">
        <f>T("1950134952520257980")</f>
        <v>1950134952520257980</v>
      </c>
      <c r="B3955" s="1" t="str">
        <f>T("249961228538")</f>
        <v>249961228538</v>
      </c>
      <c r="C3955" s="1" t="str">
        <f>T("1941094470770492284")</f>
        <v>1941094470770492284</v>
      </c>
      <c r="AC3955" s="1" t="s">
        <v>276</v>
      </c>
      <c r="AD3955" s="1" t="s">
        <v>506</v>
      </c>
      <c r="AE3955" s="1" t="s">
        <v>507</v>
      </c>
      <c r="AF3955" s="1" t="s">
        <v>107</v>
      </c>
      <c r="AO3955" s="2">
        <v>46290</v>
      </c>
      <c r="AP3955" s="1" t="s">
        <v>923</v>
      </c>
      <c r="AS3955" s="1" t="s">
        <v>71</v>
      </c>
      <c r="AU3955" s="1" t="s">
        <v>72</v>
      </c>
      <c r="AV3955" s="1" t="s">
        <v>73</v>
      </c>
      <c r="AX3955" s="1">
        <v>0</v>
      </c>
      <c r="BA3955" s="1">
        <v>9</v>
      </c>
      <c r="BB3955" s="1">
        <v>0</v>
      </c>
      <c r="BC3955" s="1">
        <v>0</v>
      </c>
      <c r="BE3955" s="1">
        <v>27721866</v>
      </c>
    </row>
    <row r="3956" spans="1:57" x14ac:dyDescent="0.25">
      <c r="A3956" s="1" t="str">
        <f>T("1950134952545425228")</f>
        <v>1950134952545425228</v>
      </c>
      <c r="B3956" s="1" t="str">
        <f>T("249911068081")</f>
        <v>249911068081</v>
      </c>
      <c r="C3956" s="1" t="str">
        <f>T("1941094470770493084")</f>
        <v>1941094470770493084</v>
      </c>
      <c r="AC3956" s="1" t="s">
        <v>276</v>
      </c>
      <c r="AD3956" s="1" t="s">
        <v>506</v>
      </c>
      <c r="AE3956" s="1" t="s">
        <v>507</v>
      </c>
      <c r="AF3956" s="1" t="s">
        <v>107</v>
      </c>
      <c r="AO3956" s="2">
        <v>46290</v>
      </c>
      <c r="AP3956" s="1" t="s">
        <v>923</v>
      </c>
      <c r="AS3956" s="1" t="s">
        <v>71</v>
      </c>
      <c r="AU3956" s="1" t="s">
        <v>72</v>
      </c>
      <c r="AV3956" s="1" t="s">
        <v>437</v>
      </c>
      <c r="AX3956" s="1">
        <v>0</v>
      </c>
      <c r="BA3956" s="1">
        <v>9</v>
      </c>
      <c r="BB3956" s="1">
        <v>0</v>
      </c>
      <c r="BC3956" s="1">
        <v>0</v>
      </c>
      <c r="BE3956" s="1">
        <v>27721866</v>
      </c>
    </row>
    <row r="3957" spans="1:57" x14ac:dyDescent="0.25">
      <c r="A3957" s="1" t="str">
        <f>T("1950134952595757924")</f>
        <v>1950134952595757924</v>
      </c>
      <c r="B3957" s="1" t="str">
        <f>T("249912329037")</f>
        <v>249912329037</v>
      </c>
      <c r="C3957" s="1" t="str">
        <f>T("1941094470770493984")</f>
        <v>1941094470770493984</v>
      </c>
      <c r="AC3957" s="1" t="s">
        <v>276</v>
      </c>
      <c r="AD3957" s="1" t="s">
        <v>506</v>
      </c>
      <c r="AE3957" s="1" t="s">
        <v>508</v>
      </c>
      <c r="AF3957" s="1" t="s">
        <v>107</v>
      </c>
      <c r="AO3957" s="2">
        <v>46290</v>
      </c>
      <c r="AP3957" s="1" t="s">
        <v>923</v>
      </c>
      <c r="AS3957" s="1" t="s">
        <v>71</v>
      </c>
      <c r="AU3957" s="1" t="s">
        <v>72</v>
      </c>
      <c r="AV3957" s="1" t="s">
        <v>437</v>
      </c>
      <c r="AX3957" s="1">
        <v>0</v>
      </c>
      <c r="BA3957" s="1">
        <v>9</v>
      </c>
      <c r="BB3957" s="1">
        <v>0</v>
      </c>
      <c r="BC3957" s="1">
        <v>0</v>
      </c>
      <c r="BE3957" s="1">
        <v>27721866</v>
      </c>
    </row>
    <row r="3958" spans="1:57" x14ac:dyDescent="0.25">
      <c r="A3958" s="1" t="str">
        <f>T("1950134952599951632")</f>
        <v>1950134952599951632</v>
      </c>
      <c r="B3958" s="1" t="str">
        <f>T("249917248212")</f>
        <v>249917248212</v>
      </c>
      <c r="C3958" s="1" t="str">
        <f>T("1941094470770493584")</f>
        <v>1941094470770493584</v>
      </c>
      <c r="AC3958" s="1" t="s">
        <v>276</v>
      </c>
      <c r="AD3958" s="1" t="s">
        <v>506</v>
      </c>
      <c r="AE3958" s="1" t="s">
        <v>507</v>
      </c>
      <c r="AF3958" s="1" t="s">
        <v>107</v>
      </c>
      <c r="AO3958" s="2">
        <v>46290</v>
      </c>
      <c r="AP3958" s="1" t="s">
        <v>923</v>
      </c>
      <c r="AS3958" s="1" t="s">
        <v>71</v>
      </c>
      <c r="AU3958" s="1" t="s">
        <v>72</v>
      </c>
      <c r="AV3958" s="1" t="s">
        <v>126</v>
      </c>
      <c r="AX3958" s="1">
        <v>0</v>
      </c>
      <c r="BA3958" s="1">
        <v>9</v>
      </c>
      <c r="BB3958" s="1">
        <v>0</v>
      </c>
      <c r="BC3958" s="1">
        <v>0</v>
      </c>
      <c r="BE3958" s="1">
        <v>27721866</v>
      </c>
    </row>
    <row r="3959" spans="1:57" x14ac:dyDescent="0.25">
      <c r="A3959" s="1" t="str">
        <f>T("1950134952662865852")</f>
        <v>1950134952662865852</v>
      </c>
      <c r="B3959" s="1" t="str">
        <f>T("249915660507")</f>
        <v>249915660507</v>
      </c>
      <c r="C3959" s="1" t="str">
        <f>T("1941094470770494484")</f>
        <v>1941094470770494484</v>
      </c>
      <c r="AC3959" s="1" t="s">
        <v>276</v>
      </c>
      <c r="AD3959" s="1" t="s">
        <v>506</v>
      </c>
      <c r="AE3959" s="1" t="s">
        <v>508</v>
      </c>
      <c r="AF3959" s="1" t="s">
        <v>107</v>
      </c>
      <c r="AO3959" s="2">
        <v>46290</v>
      </c>
      <c r="AP3959" s="1" t="s">
        <v>923</v>
      </c>
      <c r="AS3959" s="1" t="s">
        <v>71</v>
      </c>
      <c r="AU3959" s="1" t="s">
        <v>72</v>
      </c>
      <c r="AV3959" s="1" t="s">
        <v>73</v>
      </c>
      <c r="AX3959" s="1">
        <v>0</v>
      </c>
      <c r="BA3959" s="1">
        <v>9</v>
      </c>
      <c r="BB3959" s="1">
        <v>0</v>
      </c>
      <c r="BC3959" s="1">
        <v>0</v>
      </c>
      <c r="BE3959" s="1">
        <v>27721866</v>
      </c>
    </row>
    <row r="3960" spans="1:57" x14ac:dyDescent="0.25">
      <c r="A3960" s="1" t="str">
        <f>T("1950134952679642784")</f>
        <v>1950134952679642784</v>
      </c>
      <c r="B3960" s="1" t="str">
        <f>T("249963693004")</f>
        <v>249963693004</v>
      </c>
      <c r="C3960" s="1" t="str">
        <f>T("1941094470774686892")</f>
        <v>1941094470774686892</v>
      </c>
      <c r="AC3960" s="1" t="s">
        <v>276</v>
      </c>
      <c r="AD3960" s="1" t="s">
        <v>506</v>
      </c>
      <c r="AE3960" s="1" t="s">
        <v>508</v>
      </c>
      <c r="AF3960" s="1" t="s">
        <v>144</v>
      </c>
      <c r="AO3960" s="2">
        <v>46290</v>
      </c>
      <c r="AP3960" s="1" t="s">
        <v>923</v>
      </c>
      <c r="AS3960" s="1" t="s">
        <v>71</v>
      </c>
      <c r="AU3960" s="1" t="s">
        <v>72</v>
      </c>
      <c r="AV3960" s="1" t="s">
        <v>126</v>
      </c>
      <c r="AX3960" s="1">
        <v>0</v>
      </c>
      <c r="BA3960" s="1">
        <v>9</v>
      </c>
      <c r="BB3960" s="1">
        <v>0</v>
      </c>
      <c r="BC3960" s="1">
        <v>0</v>
      </c>
      <c r="BE3960" s="1">
        <v>27721866</v>
      </c>
    </row>
    <row r="3961" spans="1:57" x14ac:dyDescent="0.25">
      <c r="A3961" s="1" t="str">
        <f>T("1950134952721587364")</f>
        <v>1950134952721587364</v>
      </c>
      <c r="B3961" s="1" t="str">
        <f>T("249912412264")</f>
        <v>249912412264</v>
      </c>
      <c r="C3961" s="1" t="str">
        <f>T("1941094470774687392")</f>
        <v>1941094470774687392</v>
      </c>
      <c r="AC3961" s="1" t="s">
        <v>276</v>
      </c>
      <c r="AD3961" s="1" t="s">
        <v>506</v>
      </c>
      <c r="AE3961" s="1" t="s">
        <v>508</v>
      </c>
      <c r="AF3961" s="1" t="s">
        <v>107</v>
      </c>
      <c r="AO3961" s="2">
        <v>46290</v>
      </c>
      <c r="AP3961" s="1" t="s">
        <v>923</v>
      </c>
      <c r="AS3961" s="1" t="s">
        <v>71</v>
      </c>
      <c r="AU3961" s="1" t="s">
        <v>72</v>
      </c>
      <c r="AV3961" s="1" t="s">
        <v>73</v>
      </c>
      <c r="AX3961" s="1">
        <v>0</v>
      </c>
      <c r="BA3961" s="1">
        <v>9</v>
      </c>
      <c r="BB3961" s="1">
        <v>0</v>
      </c>
      <c r="BC3961" s="1">
        <v>0</v>
      </c>
      <c r="BE3961" s="1">
        <v>27721866</v>
      </c>
    </row>
    <row r="3962" spans="1:57" x14ac:dyDescent="0.25">
      <c r="A3962" s="1" t="str">
        <f>T("1950134952746753012")</f>
        <v>1950134952746753012</v>
      </c>
      <c r="B3962" s="1" t="str">
        <f>T("249916836123")</f>
        <v>249916836123</v>
      </c>
      <c r="C3962" s="1" t="str">
        <f>T("1941094470774687992")</f>
        <v>1941094470774687992</v>
      </c>
      <c r="AC3962" s="1" t="s">
        <v>276</v>
      </c>
      <c r="AD3962" s="1" t="s">
        <v>506</v>
      </c>
      <c r="AE3962" s="1" t="s">
        <v>508</v>
      </c>
      <c r="AF3962" s="1" t="s">
        <v>107</v>
      </c>
      <c r="AO3962" s="2">
        <v>46290</v>
      </c>
      <c r="AP3962" s="1" t="s">
        <v>923</v>
      </c>
      <c r="AS3962" s="1" t="s">
        <v>71</v>
      </c>
      <c r="AU3962" s="1" t="s">
        <v>72</v>
      </c>
      <c r="AV3962" s="1" t="s">
        <v>437</v>
      </c>
      <c r="AX3962" s="1">
        <v>0</v>
      </c>
      <c r="BA3962" s="1">
        <v>9</v>
      </c>
      <c r="BB3962" s="1">
        <v>0</v>
      </c>
      <c r="BC3962" s="1">
        <v>0</v>
      </c>
      <c r="BE3962" s="1">
        <v>27721866</v>
      </c>
    </row>
    <row r="3963" spans="1:57" x14ac:dyDescent="0.25">
      <c r="A3963" s="1" t="str">
        <f>T("1950134952780305576")</f>
        <v>1950134952780305576</v>
      </c>
      <c r="B3963" s="1" t="str">
        <f>T("249914591654")</f>
        <v>249914591654</v>
      </c>
      <c r="C3963" s="1" t="str">
        <f>T("1941094470774688492")</f>
        <v>1941094470774688492</v>
      </c>
      <c r="AC3963" s="1" t="s">
        <v>276</v>
      </c>
      <c r="AD3963" s="1" t="s">
        <v>506</v>
      </c>
      <c r="AE3963" s="1" t="s">
        <v>509</v>
      </c>
      <c r="AF3963" s="1" t="s">
        <v>107</v>
      </c>
      <c r="AO3963" s="2">
        <v>46290</v>
      </c>
      <c r="AP3963" s="1" t="s">
        <v>923</v>
      </c>
      <c r="AS3963" s="1" t="s">
        <v>71</v>
      </c>
      <c r="AU3963" s="1" t="s">
        <v>72</v>
      </c>
      <c r="AV3963" s="1" t="s">
        <v>73</v>
      </c>
      <c r="AX3963" s="1">
        <v>0</v>
      </c>
      <c r="BA3963" s="1">
        <v>9</v>
      </c>
      <c r="BB3963" s="1">
        <v>0</v>
      </c>
      <c r="BC3963" s="1">
        <v>0</v>
      </c>
      <c r="BE3963" s="1">
        <v>27721866</v>
      </c>
    </row>
    <row r="3964" spans="1:57" x14ac:dyDescent="0.25">
      <c r="A3964" s="1" t="str">
        <f>T("1950134952813861540")</f>
        <v>1950134952813861540</v>
      </c>
      <c r="B3964" s="1" t="str">
        <f>T("249919259732")</f>
        <v>249919259732</v>
      </c>
      <c r="C3964" s="1" t="str">
        <f>T("1941094470774689192")</f>
        <v>1941094470774689192</v>
      </c>
      <c r="AC3964" s="1" t="s">
        <v>276</v>
      </c>
      <c r="AD3964" s="1" t="s">
        <v>506</v>
      </c>
      <c r="AE3964" s="1" t="s">
        <v>509</v>
      </c>
      <c r="AF3964" s="1" t="s">
        <v>107</v>
      </c>
      <c r="AO3964" s="2">
        <v>46290</v>
      </c>
      <c r="AP3964" s="1" t="s">
        <v>923</v>
      </c>
      <c r="AS3964" s="1" t="s">
        <v>71</v>
      </c>
      <c r="AU3964" s="1" t="s">
        <v>72</v>
      </c>
      <c r="AV3964" s="1" t="s">
        <v>437</v>
      </c>
      <c r="AX3964" s="1">
        <v>0</v>
      </c>
      <c r="BA3964" s="1">
        <v>9</v>
      </c>
      <c r="BB3964" s="1">
        <v>0</v>
      </c>
      <c r="BC3964" s="1">
        <v>0</v>
      </c>
      <c r="BE3964" s="1">
        <v>27721866</v>
      </c>
    </row>
    <row r="3965" spans="1:57" x14ac:dyDescent="0.25">
      <c r="A3965" s="1" t="str">
        <f>T("1950134952834834280")</f>
        <v>1950134952834834280</v>
      </c>
      <c r="B3965" s="1" t="str">
        <f>T("249966309121")</f>
        <v>249966309121</v>
      </c>
      <c r="C3965" s="1" t="str">
        <f>T("1941094470774689592")</f>
        <v>1941094470774689592</v>
      </c>
      <c r="AC3965" s="1" t="s">
        <v>276</v>
      </c>
      <c r="AD3965" s="1" t="s">
        <v>506</v>
      </c>
      <c r="AE3965" s="1" t="s">
        <v>509</v>
      </c>
      <c r="AF3965" s="1" t="s">
        <v>144</v>
      </c>
      <c r="AO3965" s="2">
        <v>46290</v>
      </c>
      <c r="AP3965" s="1" t="s">
        <v>923</v>
      </c>
      <c r="AS3965" s="1" t="s">
        <v>71</v>
      </c>
      <c r="AU3965" s="1" t="s">
        <v>72</v>
      </c>
      <c r="AV3965" s="1" t="s">
        <v>73</v>
      </c>
      <c r="AX3965" s="1">
        <v>0</v>
      </c>
      <c r="BA3965" s="1">
        <v>9</v>
      </c>
      <c r="BB3965" s="1">
        <v>0</v>
      </c>
      <c r="BC3965" s="1">
        <v>0</v>
      </c>
      <c r="BE3965" s="1">
        <v>27721866</v>
      </c>
    </row>
    <row r="3966" spans="1:57" x14ac:dyDescent="0.25">
      <c r="A3966" s="1" t="str">
        <f>T("1950134952868385044")</f>
        <v>1950134952868385044</v>
      </c>
      <c r="B3966" s="1" t="str">
        <f>T("249915706876")</f>
        <v>249915706876</v>
      </c>
      <c r="C3966" s="1" t="str">
        <f>T("1941094470778881700")</f>
        <v>1941094470778881700</v>
      </c>
      <c r="AC3966" s="1" t="s">
        <v>276</v>
      </c>
      <c r="AD3966" s="1" t="s">
        <v>506</v>
      </c>
      <c r="AE3966" s="1" t="s">
        <v>509</v>
      </c>
      <c r="AF3966" s="1" t="s">
        <v>107</v>
      </c>
      <c r="AO3966" s="2">
        <v>46290</v>
      </c>
      <c r="AP3966" s="1" t="s">
        <v>923</v>
      </c>
      <c r="AS3966" s="1" t="s">
        <v>71</v>
      </c>
      <c r="AU3966" s="1" t="s">
        <v>72</v>
      </c>
      <c r="AV3966" s="1" t="s">
        <v>126</v>
      </c>
      <c r="AX3966" s="1">
        <v>0</v>
      </c>
      <c r="BA3966" s="1">
        <v>9</v>
      </c>
      <c r="BB3966" s="1">
        <v>0</v>
      </c>
      <c r="BC3966" s="1">
        <v>0</v>
      </c>
      <c r="BE3966" s="1">
        <v>27721866</v>
      </c>
    </row>
    <row r="3967" spans="1:57" x14ac:dyDescent="0.25">
      <c r="A3967" s="1" t="str">
        <f>T("1950134952910330824")</f>
        <v>1950134952910330824</v>
      </c>
      <c r="B3967" s="1" t="str">
        <f>T("249916460747")</f>
        <v>249916460747</v>
      </c>
      <c r="C3967" s="1" t="str">
        <f>T("1941094470778882200")</f>
        <v>1941094470778882200</v>
      </c>
      <c r="AC3967" s="1" t="s">
        <v>276</v>
      </c>
      <c r="AD3967" s="1" t="s">
        <v>506</v>
      </c>
      <c r="AE3967" s="1" t="s">
        <v>509</v>
      </c>
      <c r="AF3967" s="1" t="s">
        <v>107</v>
      </c>
      <c r="AO3967" s="2">
        <v>46290</v>
      </c>
      <c r="AP3967" s="1" t="s">
        <v>923</v>
      </c>
      <c r="AS3967" s="1" t="s">
        <v>71</v>
      </c>
      <c r="AU3967" s="1" t="s">
        <v>72</v>
      </c>
      <c r="AV3967" s="1" t="s">
        <v>73</v>
      </c>
      <c r="AX3967" s="1">
        <v>0</v>
      </c>
      <c r="BA3967" s="1">
        <v>9</v>
      </c>
      <c r="BB3967" s="1">
        <v>0</v>
      </c>
      <c r="BC3967" s="1">
        <v>0</v>
      </c>
      <c r="BE3967" s="1">
        <v>27721866</v>
      </c>
    </row>
    <row r="3968" spans="1:57" x14ac:dyDescent="0.25">
      <c r="A3968" s="1" t="str">
        <f>T("1950134952927105756")</f>
        <v>1950134952927105756</v>
      </c>
      <c r="B3968" s="1" t="str">
        <f>T("249903205121")</f>
        <v>249903205121</v>
      </c>
      <c r="C3968" s="1" t="str">
        <f>T("1941094470778882700")</f>
        <v>1941094470778882700</v>
      </c>
      <c r="AC3968" s="1" t="s">
        <v>276</v>
      </c>
      <c r="AD3968" s="1" t="s">
        <v>506</v>
      </c>
      <c r="AE3968" s="1" t="s">
        <v>510</v>
      </c>
      <c r="AF3968" s="1" t="s">
        <v>107</v>
      </c>
      <c r="AO3968" s="2">
        <v>46290</v>
      </c>
      <c r="AP3968" s="1" t="s">
        <v>923</v>
      </c>
      <c r="AS3968" s="1" t="s">
        <v>71</v>
      </c>
      <c r="AU3968" s="1" t="s">
        <v>72</v>
      </c>
      <c r="AV3968" s="1" t="s">
        <v>437</v>
      </c>
      <c r="AX3968" s="1">
        <v>0</v>
      </c>
      <c r="BA3968" s="1">
        <v>9</v>
      </c>
      <c r="BB3968" s="1">
        <v>0</v>
      </c>
      <c r="BC3968" s="1">
        <v>0</v>
      </c>
      <c r="BE3968" s="1">
        <v>27721866</v>
      </c>
    </row>
    <row r="3969" spans="1:57" x14ac:dyDescent="0.25">
      <c r="A3969" s="1" t="str">
        <f>T("1950134952969049636")</f>
        <v>1950134952969049636</v>
      </c>
      <c r="B3969" s="1" t="str">
        <f>T("249964660765")</f>
        <v>249964660765</v>
      </c>
      <c r="C3969" s="1" t="str">
        <f>T("1941094470783074308")</f>
        <v>1941094470783074308</v>
      </c>
      <c r="AC3969" s="1" t="s">
        <v>276</v>
      </c>
      <c r="AD3969" s="1" t="s">
        <v>506</v>
      </c>
      <c r="AE3969" s="1" t="s">
        <v>510</v>
      </c>
      <c r="AF3969" s="1" t="s">
        <v>107</v>
      </c>
      <c r="AO3969" s="2">
        <v>46290</v>
      </c>
      <c r="AP3969" s="1" t="s">
        <v>923</v>
      </c>
      <c r="AS3969" s="1" t="s">
        <v>71</v>
      </c>
      <c r="AU3969" s="1" t="s">
        <v>72</v>
      </c>
      <c r="AV3969" s="1" t="s">
        <v>437</v>
      </c>
      <c r="AX3969" s="1">
        <v>0</v>
      </c>
      <c r="BA3969" s="1">
        <v>9</v>
      </c>
      <c r="BB3969" s="1">
        <v>0</v>
      </c>
      <c r="BC3969" s="1">
        <v>0</v>
      </c>
      <c r="BE3969" s="1">
        <v>27721866</v>
      </c>
    </row>
    <row r="3970" spans="1:57" x14ac:dyDescent="0.25">
      <c r="A3970" s="1" t="str">
        <f>T("1950134952985825868")</f>
        <v>1950134952985825868</v>
      </c>
      <c r="B3970" s="1" t="str">
        <f>T("249961359401")</f>
        <v>249961359401</v>
      </c>
      <c r="C3970" s="1" t="str">
        <f>T("1941094470783074808")</f>
        <v>1941094470783074808</v>
      </c>
      <c r="AC3970" s="1" t="s">
        <v>276</v>
      </c>
      <c r="AD3970" s="1" t="s">
        <v>506</v>
      </c>
      <c r="AE3970" s="1" t="s">
        <v>510</v>
      </c>
      <c r="AF3970" s="1" t="s">
        <v>107</v>
      </c>
      <c r="AO3970" s="2">
        <v>46290</v>
      </c>
      <c r="AP3970" s="1" t="s">
        <v>923</v>
      </c>
      <c r="AS3970" s="1" t="s">
        <v>71</v>
      </c>
      <c r="AU3970" s="1" t="s">
        <v>72</v>
      </c>
      <c r="AV3970" s="1" t="s">
        <v>437</v>
      </c>
      <c r="AX3970" s="1">
        <v>0</v>
      </c>
      <c r="BA3970" s="1">
        <v>9</v>
      </c>
      <c r="BB3970" s="1">
        <v>0</v>
      </c>
      <c r="BC3970" s="1">
        <v>0</v>
      </c>
      <c r="BE3970" s="1">
        <v>27721866</v>
      </c>
    </row>
    <row r="3971" spans="1:57" x14ac:dyDescent="0.25">
      <c r="A3971" s="1" t="str">
        <f>T("1950134953036158764")</f>
        <v>1950134953036158764</v>
      </c>
      <c r="B3971" s="1" t="str">
        <f>T("249915930007")</f>
        <v>249915930007</v>
      </c>
      <c r="C3971" s="1" t="str">
        <f>T("1941094470783075508")</f>
        <v>1941094470783075508</v>
      </c>
      <c r="AC3971" s="1" t="s">
        <v>276</v>
      </c>
      <c r="AD3971" s="1" t="s">
        <v>506</v>
      </c>
      <c r="AE3971" s="1" t="s">
        <v>510</v>
      </c>
      <c r="AF3971" s="1" t="s">
        <v>107</v>
      </c>
      <c r="AO3971" s="2">
        <v>46290</v>
      </c>
      <c r="AP3971" s="1" t="s">
        <v>923</v>
      </c>
      <c r="AS3971" s="1" t="s">
        <v>71</v>
      </c>
      <c r="AU3971" s="1" t="s">
        <v>72</v>
      </c>
      <c r="AV3971" s="1" t="s">
        <v>437</v>
      </c>
      <c r="AX3971" s="1">
        <v>0</v>
      </c>
      <c r="BA3971" s="1">
        <v>9</v>
      </c>
      <c r="BB3971" s="1">
        <v>0</v>
      </c>
      <c r="BC3971" s="1">
        <v>0</v>
      </c>
      <c r="BE3971" s="1">
        <v>27721866</v>
      </c>
    </row>
    <row r="3972" spans="1:57" x14ac:dyDescent="0.25">
      <c r="A3972" s="1" t="str">
        <f>T("1950134953052938196")</f>
        <v>1950134953052938196</v>
      </c>
      <c r="B3972" s="1" t="str">
        <f>T("249969025224")</f>
        <v>249969025224</v>
      </c>
      <c r="C3972" s="1" t="str">
        <f>T("1941094470783076108")</f>
        <v>1941094470783076108</v>
      </c>
      <c r="AC3972" s="1" t="s">
        <v>276</v>
      </c>
      <c r="AD3972" s="1" t="s">
        <v>506</v>
      </c>
      <c r="AE3972" s="1" t="s">
        <v>510</v>
      </c>
      <c r="AF3972" s="1" t="s">
        <v>107</v>
      </c>
      <c r="AO3972" s="2">
        <v>46290</v>
      </c>
      <c r="AP3972" s="1" t="s">
        <v>923</v>
      </c>
      <c r="AS3972" s="1" t="s">
        <v>71</v>
      </c>
      <c r="AU3972" s="1" t="s">
        <v>72</v>
      </c>
      <c r="AV3972" s="1" t="s">
        <v>126</v>
      </c>
      <c r="AX3972" s="1">
        <v>0</v>
      </c>
      <c r="BA3972" s="1">
        <v>9</v>
      </c>
      <c r="BB3972" s="1">
        <v>0</v>
      </c>
      <c r="BC3972" s="1">
        <v>0</v>
      </c>
      <c r="BE3972" s="1">
        <v>27721866</v>
      </c>
    </row>
    <row r="3973" spans="1:57" x14ac:dyDescent="0.25">
      <c r="A3973" s="1" t="str">
        <f>T("1950134953090685868")</f>
        <v>1950134953090685868</v>
      </c>
      <c r="B3973" s="1" t="str">
        <f>T("249917786990")</f>
        <v>249917786990</v>
      </c>
      <c r="C3973" s="1" t="str">
        <f>T("1941094470783076608")</f>
        <v>1941094470783076608</v>
      </c>
      <c r="AC3973" s="1" t="s">
        <v>276</v>
      </c>
      <c r="AD3973" s="1" t="s">
        <v>298</v>
      </c>
      <c r="AE3973" s="1" t="s">
        <v>511</v>
      </c>
      <c r="AF3973" s="1" t="s">
        <v>107</v>
      </c>
      <c r="AO3973" s="2">
        <v>46290</v>
      </c>
      <c r="AP3973" s="1" t="s">
        <v>923</v>
      </c>
      <c r="AS3973" s="1" t="s">
        <v>71</v>
      </c>
      <c r="AU3973" s="1" t="s">
        <v>72</v>
      </c>
      <c r="AV3973" s="1" t="s">
        <v>73</v>
      </c>
      <c r="AX3973" s="1">
        <v>0</v>
      </c>
      <c r="BA3973" s="1">
        <v>9</v>
      </c>
      <c r="BB3973" s="1">
        <v>0</v>
      </c>
      <c r="BC3973" s="1">
        <v>0</v>
      </c>
      <c r="BE3973" s="1">
        <v>27721866</v>
      </c>
    </row>
    <row r="3974" spans="1:57" x14ac:dyDescent="0.25">
      <c r="A3974" s="1" t="str">
        <f>T("1950134953161987904")</f>
        <v>1950134953161987904</v>
      </c>
      <c r="B3974" s="1" t="str">
        <f>T("249916651253")</f>
        <v>249916651253</v>
      </c>
      <c r="C3974" s="1" t="str">
        <f>T("1941094470783077908")</f>
        <v>1941094470783077908</v>
      </c>
      <c r="AC3974" s="1" t="s">
        <v>276</v>
      </c>
      <c r="AD3974" s="1" t="s">
        <v>298</v>
      </c>
      <c r="AE3974" s="1" t="s">
        <v>511</v>
      </c>
      <c r="AF3974" s="1" t="s">
        <v>107</v>
      </c>
      <c r="AO3974" s="2">
        <v>46290</v>
      </c>
      <c r="AP3974" s="1" t="s">
        <v>923</v>
      </c>
      <c r="AS3974" s="1" t="s">
        <v>71</v>
      </c>
      <c r="AU3974" s="1" t="s">
        <v>72</v>
      </c>
      <c r="AV3974" s="1" t="s">
        <v>126</v>
      </c>
      <c r="AX3974" s="1">
        <v>0</v>
      </c>
      <c r="BA3974" s="1">
        <v>9</v>
      </c>
      <c r="BB3974" s="1">
        <v>0</v>
      </c>
      <c r="BC3974" s="1">
        <v>0</v>
      </c>
      <c r="BE3974" s="1">
        <v>27721866</v>
      </c>
    </row>
    <row r="3975" spans="1:57" x14ac:dyDescent="0.25">
      <c r="A3975" s="1" t="str">
        <f>T("1950134953195542668")</f>
        <v>1950134953195542668</v>
      </c>
      <c r="B3975" s="1" t="str">
        <f>T("249913201641")</f>
        <v>249913201641</v>
      </c>
      <c r="C3975" s="1" t="str">
        <f>T("1941094470787268816")</f>
        <v>1941094470787268816</v>
      </c>
      <c r="AC3975" s="1" t="s">
        <v>276</v>
      </c>
      <c r="AD3975" s="1" t="s">
        <v>298</v>
      </c>
      <c r="AE3975" s="1" t="s">
        <v>511</v>
      </c>
      <c r="AF3975" s="1" t="s">
        <v>107</v>
      </c>
      <c r="AO3975" s="2">
        <v>46290</v>
      </c>
      <c r="AP3975" s="1" t="s">
        <v>923</v>
      </c>
      <c r="AS3975" s="1" t="s">
        <v>71</v>
      </c>
      <c r="AU3975" s="1" t="s">
        <v>72</v>
      </c>
      <c r="AV3975" s="1" t="s">
        <v>126</v>
      </c>
      <c r="AX3975" s="1">
        <v>0</v>
      </c>
      <c r="BA3975" s="1">
        <v>9</v>
      </c>
      <c r="BB3975" s="1">
        <v>0</v>
      </c>
      <c r="BC3975" s="1">
        <v>0</v>
      </c>
      <c r="BE3975" s="1">
        <v>27721866</v>
      </c>
    </row>
    <row r="3976" spans="1:57" x14ac:dyDescent="0.25">
      <c r="A3976" s="1" t="str">
        <f>T("1950134953216512908")</f>
        <v>1950134953216512908</v>
      </c>
      <c r="B3976" s="1" t="str">
        <f>T("249919484900")</f>
        <v>249919484900</v>
      </c>
      <c r="C3976" s="1" t="str">
        <f>T("1941094470787271516")</f>
        <v>1941094470787271516</v>
      </c>
      <c r="AC3976" s="1" t="s">
        <v>276</v>
      </c>
      <c r="AD3976" s="1" t="s">
        <v>298</v>
      </c>
      <c r="AE3976" s="1" t="s">
        <v>511</v>
      </c>
      <c r="AF3976" s="1" t="s">
        <v>107</v>
      </c>
      <c r="AO3976" s="2">
        <v>46290</v>
      </c>
      <c r="AP3976" s="1" t="s">
        <v>923</v>
      </c>
      <c r="AS3976" s="1" t="s">
        <v>71</v>
      </c>
      <c r="AU3976" s="1" t="s">
        <v>72</v>
      </c>
      <c r="AV3976" s="1" t="s">
        <v>126</v>
      </c>
      <c r="AX3976" s="1">
        <v>0</v>
      </c>
      <c r="BA3976" s="1">
        <v>9</v>
      </c>
      <c r="BB3976" s="1">
        <v>0</v>
      </c>
      <c r="BC3976" s="1">
        <v>0</v>
      </c>
      <c r="BE3976" s="1">
        <v>27721866</v>
      </c>
    </row>
    <row r="3977" spans="1:57" x14ac:dyDescent="0.25">
      <c r="A3977" s="1" t="str">
        <f>T("1950134953262651596")</f>
        <v>1950134953262651596</v>
      </c>
      <c r="B3977" s="1" t="str">
        <f>T("249188272957")</f>
        <v>249188272957</v>
      </c>
      <c r="C3977" s="1" t="str">
        <f>T("1941094470795658432")</f>
        <v>1941094470795658432</v>
      </c>
      <c r="AC3977" s="1" t="s">
        <v>276</v>
      </c>
      <c r="AD3977" s="1" t="s">
        <v>298</v>
      </c>
      <c r="AE3977" s="1" t="s">
        <v>511</v>
      </c>
      <c r="AF3977" s="1" t="s">
        <v>107</v>
      </c>
      <c r="AO3977" s="2">
        <v>46290</v>
      </c>
      <c r="AP3977" s="1" t="s">
        <v>923</v>
      </c>
      <c r="AS3977" s="1" t="s">
        <v>71</v>
      </c>
      <c r="AU3977" s="1" t="s">
        <v>72</v>
      </c>
      <c r="AV3977" s="1" t="s">
        <v>336</v>
      </c>
      <c r="AX3977" s="1">
        <v>0</v>
      </c>
      <c r="BA3977" s="1">
        <v>2</v>
      </c>
      <c r="BB3977" s="1">
        <v>0</v>
      </c>
      <c r="BC3977" s="1">
        <v>0</v>
      </c>
      <c r="BE3977" s="1">
        <v>27721866</v>
      </c>
    </row>
    <row r="3978" spans="1:57" x14ac:dyDescent="0.25">
      <c r="A3978" s="1" t="str">
        <f>T("1950134953266844704")</f>
        <v>1950134953266844704</v>
      </c>
      <c r="B3978" s="1" t="str">
        <f>T("249915660608")</f>
        <v>249915660608</v>
      </c>
      <c r="C3978" s="1" t="str">
        <f>T("1941094470795658932")</f>
        <v>1941094470795658932</v>
      </c>
      <c r="AC3978" s="1" t="s">
        <v>276</v>
      </c>
      <c r="AD3978" s="1" t="s">
        <v>298</v>
      </c>
      <c r="AE3978" s="1" t="s">
        <v>511</v>
      </c>
      <c r="AF3978" s="1" t="s">
        <v>107</v>
      </c>
      <c r="AO3978" s="2">
        <v>46290</v>
      </c>
      <c r="AP3978" s="1" t="s">
        <v>923</v>
      </c>
      <c r="AS3978" s="1" t="s">
        <v>71</v>
      </c>
      <c r="AU3978" s="1" t="s">
        <v>72</v>
      </c>
      <c r="AV3978" s="1" t="s">
        <v>73</v>
      </c>
      <c r="AX3978" s="1">
        <v>0</v>
      </c>
      <c r="BA3978" s="1">
        <v>9</v>
      </c>
      <c r="BB3978" s="1">
        <v>0</v>
      </c>
      <c r="BC3978" s="1">
        <v>0</v>
      </c>
      <c r="BE3978" s="1">
        <v>27721866</v>
      </c>
    </row>
    <row r="3979" spans="1:57" x14ac:dyDescent="0.25">
      <c r="A3979" s="1" t="str">
        <f>T("1950134953321372408")</f>
        <v>1950134953321372408</v>
      </c>
      <c r="B3979" s="1" t="str">
        <f>T("249918116930")</f>
        <v>249918116930</v>
      </c>
      <c r="C3979" s="1" t="str">
        <f>T("1941094470795660632")</f>
        <v>1941094470795660632</v>
      </c>
      <c r="AC3979" s="1" t="s">
        <v>276</v>
      </c>
      <c r="AD3979" s="1" t="s">
        <v>298</v>
      </c>
      <c r="AE3979" s="1" t="s">
        <v>512</v>
      </c>
      <c r="AF3979" s="1" t="s">
        <v>107</v>
      </c>
      <c r="AO3979" s="2">
        <v>46290</v>
      </c>
      <c r="AP3979" s="1" t="s">
        <v>923</v>
      </c>
      <c r="AS3979" s="1" t="s">
        <v>71</v>
      </c>
      <c r="AU3979" s="1" t="s">
        <v>72</v>
      </c>
      <c r="AV3979" s="1" t="s">
        <v>73</v>
      </c>
      <c r="AX3979" s="1">
        <v>0</v>
      </c>
      <c r="BA3979" s="1">
        <v>9</v>
      </c>
      <c r="BB3979" s="1">
        <v>0</v>
      </c>
      <c r="BC3979" s="1">
        <v>0</v>
      </c>
      <c r="BE3979" s="1">
        <v>27721866</v>
      </c>
    </row>
    <row r="3980" spans="1:57" x14ac:dyDescent="0.25">
      <c r="A3980" s="1" t="str">
        <f>T("1950134953321373008")</f>
        <v>1950134953321373008</v>
      </c>
      <c r="B3980" s="1" t="str">
        <f>T("249910373671")</f>
        <v>249910373671</v>
      </c>
      <c r="C3980" s="1" t="str">
        <f>T("1941094470795660132")</f>
        <v>1941094470795660132</v>
      </c>
      <c r="AC3980" s="1" t="s">
        <v>276</v>
      </c>
      <c r="AD3980" s="1" t="s">
        <v>298</v>
      </c>
      <c r="AE3980" s="1" t="s">
        <v>512</v>
      </c>
      <c r="AF3980" s="1" t="s">
        <v>107</v>
      </c>
      <c r="AO3980" s="2">
        <v>46290</v>
      </c>
      <c r="AP3980" s="1" t="s">
        <v>923</v>
      </c>
      <c r="AS3980" s="1" t="s">
        <v>71</v>
      </c>
      <c r="AU3980" s="1" t="s">
        <v>72</v>
      </c>
      <c r="AV3980" s="1" t="s">
        <v>437</v>
      </c>
      <c r="AX3980" s="1">
        <v>0</v>
      </c>
      <c r="BA3980" s="1">
        <v>9</v>
      </c>
      <c r="BB3980" s="1">
        <v>0</v>
      </c>
      <c r="BC3980" s="1">
        <v>0</v>
      </c>
      <c r="BE3980" s="1">
        <v>27721866</v>
      </c>
    </row>
    <row r="3981" spans="1:57" x14ac:dyDescent="0.25">
      <c r="A3981" s="1" t="str">
        <f>T("1950134953388480936")</f>
        <v>1950134953388480936</v>
      </c>
      <c r="B3981" s="1" t="str">
        <f>T("249961703036")</f>
        <v>249961703036</v>
      </c>
      <c r="C3981" s="1" t="str">
        <f>T("1941094470799852240")</f>
        <v>1941094470799852240</v>
      </c>
      <c r="AC3981" s="1" t="s">
        <v>276</v>
      </c>
      <c r="AD3981" s="1" t="s">
        <v>298</v>
      </c>
      <c r="AE3981" s="1" t="s">
        <v>512</v>
      </c>
      <c r="AF3981" s="1" t="s">
        <v>144</v>
      </c>
      <c r="AO3981" s="2">
        <v>46290</v>
      </c>
      <c r="AP3981" s="1" t="s">
        <v>923</v>
      </c>
      <c r="AS3981" s="1" t="s">
        <v>71</v>
      </c>
      <c r="AU3981" s="1" t="s">
        <v>72</v>
      </c>
      <c r="AV3981" s="1" t="s">
        <v>437</v>
      </c>
      <c r="AX3981" s="1">
        <v>0</v>
      </c>
      <c r="BA3981" s="1">
        <v>9</v>
      </c>
      <c r="BB3981" s="1">
        <v>0</v>
      </c>
      <c r="BC3981" s="1">
        <v>0</v>
      </c>
      <c r="BE3981" s="1">
        <v>27721866</v>
      </c>
    </row>
    <row r="3982" spans="1:57" x14ac:dyDescent="0.25">
      <c r="A3982" s="1" t="str">
        <f>T("1950134953405256968")</f>
        <v>1950134953405256968</v>
      </c>
      <c r="B3982" s="1" t="str">
        <f>T("249911069281")</f>
        <v>249911069281</v>
      </c>
      <c r="C3982" s="1" t="str">
        <f>T("1941094470799852840")</f>
        <v>1941094470799852840</v>
      </c>
      <c r="AC3982" s="1" t="s">
        <v>276</v>
      </c>
      <c r="AD3982" s="1" t="s">
        <v>298</v>
      </c>
      <c r="AE3982" s="1" t="s">
        <v>512</v>
      </c>
      <c r="AF3982" s="1" t="s">
        <v>144</v>
      </c>
      <c r="AO3982" s="2">
        <v>46290</v>
      </c>
      <c r="AP3982" s="1" t="s">
        <v>923</v>
      </c>
      <c r="AS3982" s="1" t="s">
        <v>71</v>
      </c>
      <c r="AU3982" s="1" t="s">
        <v>72</v>
      </c>
      <c r="AV3982" s="1" t="s">
        <v>126</v>
      </c>
      <c r="AX3982" s="1">
        <v>0</v>
      </c>
      <c r="BA3982" s="1">
        <v>9</v>
      </c>
      <c r="BB3982" s="1">
        <v>0</v>
      </c>
      <c r="BC3982" s="1">
        <v>0</v>
      </c>
      <c r="BE3982" s="1">
        <v>27721866</v>
      </c>
    </row>
    <row r="3983" spans="1:57" x14ac:dyDescent="0.25">
      <c r="A3983" s="1" t="str">
        <f>T("1950134953455590964")</f>
        <v>1950134953455590964</v>
      </c>
      <c r="B3983" s="1" t="str">
        <f>T("24991027561")</f>
        <v>24991027561</v>
      </c>
      <c r="C3983" s="1" t="str">
        <f>T("1941094470799853540")</f>
        <v>1941094470799853540</v>
      </c>
      <c r="AC3983" s="1" t="s">
        <v>276</v>
      </c>
      <c r="AD3983" s="1" t="s">
        <v>298</v>
      </c>
      <c r="AE3983" s="1" t="s">
        <v>512</v>
      </c>
      <c r="AF3983" s="1" t="s">
        <v>144</v>
      </c>
      <c r="AO3983" s="2">
        <v>46290</v>
      </c>
      <c r="AP3983" s="1" t="s">
        <v>923</v>
      </c>
      <c r="AS3983" s="1" t="s">
        <v>71</v>
      </c>
      <c r="AU3983" s="1" t="s">
        <v>72</v>
      </c>
      <c r="AV3983" s="1" t="s">
        <v>73</v>
      </c>
      <c r="AX3983" s="1">
        <v>0</v>
      </c>
      <c r="BA3983" s="1">
        <v>9</v>
      </c>
      <c r="BB3983" s="1">
        <v>0</v>
      </c>
      <c r="BC3983" s="1">
        <v>0</v>
      </c>
      <c r="BE3983" s="1">
        <v>27721866</v>
      </c>
    </row>
    <row r="3984" spans="1:57" x14ac:dyDescent="0.25">
      <c r="A3984" s="1" t="str">
        <f>T("1950134953472366596")</f>
        <v>1950134953472366596</v>
      </c>
      <c r="B3984" s="1" t="str">
        <f>T("249906857509")</f>
        <v>249906857509</v>
      </c>
      <c r="C3984" s="1" t="str">
        <f>T("1941094470799854540")</f>
        <v>1941094470799854540</v>
      </c>
      <c r="AC3984" s="1" t="s">
        <v>276</v>
      </c>
      <c r="AD3984" s="1" t="s">
        <v>298</v>
      </c>
      <c r="AE3984" s="1" t="s">
        <v>512</v>
      </c>
      <c r="AF3984" s="1" t="s">
        <v>144</v>
      </c>
      <c r="AO3984" s="2">
        <v>46290</v>
      </c>
      <c r="AP3984" s="1" t="s">
        <v>923</v>
      </c>
      <c r="AS3984" s="1" t="s">
        <v>71</v>
      </c>
      <c r="AU3984" s="1" t="s">
        <v>72</v>
      </c>
      <c r="AV3984" s="1" t="s">
        <v>73</v>
      </c>
      <c r="AX3984" s="1">
        <v>0</v>
      </c>
      <c r="BA3984" s="1">
        <v>9</v>
      </c>
      <c r="BB3984" s="1">
        <v>0</v>
      </c>
      <c r="BC3984" s="1">
        <v>0</v>
      </c>
      <c r="BE3984" s="1">
        <v>27721866</v>
      </c>
    </row>
    <row r="3985" spans="1:57" x14ac:dyDescent="0.25">
      <c r="A3985" s="1" t="str">
        <f>T("1950134953514309376")</f>
        <v>1950134953514309376</v>
      </c>
      <c r="B3985" s="1" t="str">
        <f>T("24996576248")</f>
        <v>24996576248</v>
      </c>
      <c r="C3985" s="1" t="str">
        <f>T("1941094470804048548")</f>
        <v>1941094470804048548</v>
      </c>
      <c r="AC3985" s="1" t="s">
        <v>276</v>
      </c>
      <c r="AD3985" s="1" t="s">
        <v>298</v>
      </c>
      <c r="AE3985" s="1" t="s">
        <v>512</v>
      </c>
      <c r="AF3985" s="1" t="s">
        <v>144</v>
      </c>
      <c r="AO3985" s="2">
        <v>46290</v>
      </c>
      <c r="AP3985" s="1" t="s">
        <v>923</v>
      </c>
      <c r="AS3985" s="1" t="s">
        <v>71</v>
      </c>
      <c r="AU3985" s="1" t="s">
        <v>72</v>
      </c>
      <c r="AV3985" s="1" t="s">
        <v>73</v>
      </c>
      <c r="AX3985" s="1">
        <v>0</v>
      </c>
      <c r="BA3985" s="1">
        <v>9</v>
      </c>
      <c r="BB3985" s="1">
        <v>0</v>
      </c>
      <c r="BC3985" s="1">
        <v>0</v>
      </c>
      <c r="BE3985" s="1">
        <v>27721866</v>
      </c>
    </row>
    <row r="3986" spans="1:57" x14ac:dyDescent="0.25">
      <c r="A3986" s="1" t="str">
        <f>T("1950134953526894000")</f>
        <v>1950134953526894000</v>
      </c>
      <c r="B3986" s="1" t="str">
        <f>T("249906549589")</f>
        <v>249906549589</v>
      </c>
      <c r="C3986" s="1" t="str">
        <f>T("1941094470808241456")</f>
        <v>1941094470808241456</v>
      </c>
      <c r="AC3986" s="1" t="s">
        <v>276</v>
      </c>
      <c r="AD3986" s="1" t="s">
        <v>298</v>
      </c>
      <c r="AE3986" s="1" t="s">
        <v>512</v>
      </c>
      <c r="AF3986" s="1" t="s">
        <v>144</v>
      </c>
      <c r="AO3986" s="2">
        <v>46290</v>
      </c>
      <c r="AP3986" s="1" t="s">
        <v>923</v>
      </c>
      <c r="AS3986" s="1" t="s">
        <v>71</v>
      </c>
      <c r="AU3986" s="1" t="s">
        <v>72</v>
      </c>
      <c r="AV3986" s="1" t="s">
        <v>73</v>
      </c>
      <c r="AX3986" s="1">
        <v>0</v>
      </c>
      <c r="BA3986" s="1">
        <v>9</v>
      </c>
      <c r="BB3986" s="1">
        <v>0</v>
      </c>
      <c r="BC3986" s="1">
        <v>0</v>
      </c>
      <c r="BE3986" s="1">
        <v>27721866</v>
      </c>
    </row>
    <row r="3987" spans="1:57" x14ac:dyDescent="0.25">
      <c r="A3987" s="1" t="str">
        <f>T("1950134953568835580")</f>
        <v>1950134953568835580</v>
      </c>
      <c r="B3987" s="1" t="str">
        <f>T("249910625666")</f>
        <v>249910625666</v>
      </c>
      <c r="C3987" s="1" t="str">
        <f>T("1941094470808242056")</f>
        <v>1941094470808242056</v>
      </c>
      <c r="AC3987" s="1" t="s">
        <v>276</v>
      </c>
      <c r="AD3987" s="1" t="s">
        <v>298</v>
      </c>
      <c r="AE3987" s="1" t="s">
        <v>513</v>
      </c>
      <c r="AF3987" s="1" t="s">
        <v>107</v>
      </c>
      <c r="AO3987" s="2">
        <v>46290</v>
      </c>
      <c r="AP3987" s="1" t="s">
        <v>923</v>
      </c>
      <c r="AS3987" s="1" t="s">
        <v>71</v>
      </c>
      <c r="AU3987" s="1" t="s">
        <v>72</v>
      </c>
      <c r="AV3987" s="1" t="s">
        <v>437</v>
      </c>
      <c r="AX3987" s="1">
        <v>0</v>
      </c>
      <c r="BA3987" s="1">
        <v>9</v>
      </c>
      <c r="BB3987" s="1">
        <v>0</v>
      </c>
      <c r="BC3987" s="1">
        <v>0</v>
      </c>
      <c r="BE3987" s="1">
        <v>27721866</v>
      </c>
    </row>
    <row r="3988" spans="1:57" x14ac:dyDescent="0.25">
      <c r="A3988" s="1" t="str">
        <f>T("1950134953589807220")</f>
        <v>1950134953589807220</v>
      </c>
      <c r="B3988" s="1" t="str">
        <f>T("249912722317")</f>
        <v>249912722317</v>
      </c>
      <c r="C3988" s="1" t="str">
        <f>T("1941094470808242556")</f>
        <v>1941094470808242556</v>
      </c>
      <c r="AC3988" s="1" t="s">
        <v>276</v>
      </c>
      <c r="AD3988" s="1" t="s">
        <v>298</v>
      </c>
      <c r="AE3988" s="1" t="s">
        <v>513</v>
      </c>
      <c r="AF3988" s="1" t="s">
        <v>107</v>
      </c>
      <c r="AO3988" s="2">
        <v>46290</v>
      </c>
      <c r="AP3988" s="1" t="s">
        <v>923</v>
      </c>
      <c r="AS3988" s="1" t="s">
        <v>71</v>
      </c>
      <c r="AU3988" s="1" t="s">
        <v>72</v>
      </c>
      <c r="AV3988" s="1" t="s">
        <v>73</v>
      </c>
      <c r="AX3988" s="1">
        <v>0</v>
      </c>
      <c r="BA3988" s="1">
        <v>9</v>
      </c>
      <c r="BB3988" s="1">
        <v>0</v>
      </c>
      <c r="BC3988" s="1">
        <v>0</v>
      </c>
      <c r="BE3988" s="1">
        <v>27721866</v>
      </c>
    </row>
    <row r="3989" spans="1:57" x14ac:dyDescent="0.25">
      <c r="A3989" s="1" t="str">
        <f>T("1950134953661109356")</f>
        <v>1950134953661109356</v>
      </c>
      <c r="B3989" s="1" t="str">
        <f>T("249909484609")</f>
        <v>249909484609</v>
      </c>
      <c r="C3989" s="1" t="str">
        <f>T("1941094470812435364")</f>
        <v>1941094470812435364</v>
      </c>
      <c r="AC3989" s="1" t="s">
        <v>276</v>
      </c>
      <c r="AD3989" s="1" t="s">
        <v>298</v>
      </c>
      <c r="AE3989" s="1" t="s">
        <v>513</v>
      </c>
      <c r="AF3989" s="1" t="s">
        <v>107</v>
      </c>
      <c r="AO3989" s="2">
        <v>46290</v>
      </c>
      <c r="AP3989" s="1" t="s">
        <v>923</v>
      </c>
      <c r="AS3989" s="1" t="s">
        <v>71</v>
      </c>
      <c r="AU3989" s="1" t="s">
        <v>72</v>
      </c>
      <c r="AV3989" s="1" t="s">
        <v>126</v>
      </c>
      <c r="AX3989" s="1">
        <v>0</v>
      </c>
      <c r="BA3989" s="1">
        <v>9</v>
      </c>
      <c r="BB3989" s="1">
        <v>0</v>
      </c>
      <c r="BC3989" s="1">
        <v>0</v>
      </c>
      <c r="BE3989" s="1">
        <v>27721866</v>
      </c>
    </row>
    <row r="3990" spans="1:57" x14ac:dyDescent="0.25">
      <c r="A3990" s="1" t="str">
        <f>T("1950134953673691280")</f>
        <v>1950134953673691280</v>
      </c>
      <c r="B3990" s="1" t="str">
        <f>T("249918664165")</f>
        <v>249918664165</v>
      </c>
      <c r="C3990" s="1" t="str">
        <f>T("1941094470816629272")</f>
        <v>1941094470816629272</v>
      </c>
      <c r="AC3990" s="1" t="s">
        <v>276</v>
      </c>
      <c r="AD3990" s="1" t="s">
        <v>298</v>
      </c>
      <c r="AE3990" s="1" t="s">
        <v>513</v>
      </c>
      <c r="AF3990" s="1" t="s">
        <v>107</v>
      </c>
      <c r="AO3990" s="2">
        <v>46290</v>
      </c>
      <c r="AP3990" s="1" t="s">
        <v>923</v>
      </c>
      <c r="AS3990" s="1" t="s">
        <v>71</v>
      </c>
      <c r="AU3990" s="1" t="s">
        <v>72</v>
      </c>
      <c r="AV3990" s="1" t="s">
        <v>126</v>
      </c>
      <c r="AX3990" s="1">
        <v>0</v>
      </c>
      <c r="BA3990" s="1">
        <v>9</v>
      </c>
      <c r="BB3990" s="1">
        <v>0</v>
      </c>
      <c r="BC3990" s="1">
        <v>0</v>
      </c>
      <c r="BE3990" s="1">
        <v>27721866</v>
      </c>
    </row>
    <row r="3991" spans="1:57" x14ac:dyDescent="0.25">
      <c r="A3991" s="1" t="str">
        <f>T("1950134953719831068")</f>
        <v>1950134953719831068</v>
      </c>
      <c r="B3991" s="1" t="str">
        <f>T("249917771839")</f>
        <v>249917771839</v>
      </c>
      <c r="C3991" s="1" t="str">
        <f>T("1941094470816629972")</f>
        <v>1941094470816629972</v>
      </c>
      <c r="AC3991" s="1" t="s">
        <v>276</v>
      </c>
      <c r="AD3991" s="1" t="s">
        <v>298</v>
      </c>
      <c r="AE3991" s="1" t="s">
        <v>513</v>
      </c>
      <c r="AF3991" s="1" t="s">
        <v>107</v>
      </c>
      <c r="AO3991" s="2">
        <v>46290</v>
      </c>
      <c r="AP3991" s="1" t="s">
        <v>923</v>
      </c>
      <c r="AS3991" s="1" t="s">
        <v>71</v>
      </c>
      <c r="AU3991" s="1" t="s">
        <v>72</v>
      </c>
      <c r="AV3991" s="1" t="s">
        <v>126</v>
      </c>
      <c r="AX3991" s="1">
        <v>0</v>
      </c>
      <c r="BA3991" s="1">
        <v>9</v>
      </c>
      <c r="BB3991" s="1">
        <v>0</v>
      </c>
      <c r="BC3991" s="1">
        <v>0</v>
      </c>
      <c r="BE3991" s="1">
        <v>27721866</v>
      </c>
    </row>
    <row r="3992" spans="1:57" x14ac:dyDescent="0.25">
      <c r="A3992" s="1" t="str">
        <f>T("1950134953732415092")</f>
        <v>1950134953732415092</v>
      </c>
      <c r="B3992" s="1" t="str">
        <f>T("249905698412")</f>
        <v>249905698412</v>
      </c>
      <c r="C3992" s="1" t="str">
        <f>T("1941094470816630572")</f>
        <v>1941094470816630572</v>
      </c>
      <c r="AC3992" s="1" t="s">
        <v>276</v>
      </c>
      <c r="AD3992" s="1" t="s">
        <v>298</v>
      </c>
      <c r="AE3992" s="1" t="s">
        <v>513</v>
      </c>
      <c r="AF3992" s="1" t="s">
        <v>107</v>
      </c>
      <c r="AO3992" s="2">
        <v>46290</v>
      </c>
      <c r="AP3992" s="1" t="s">
        <v>923</v>
      </c>
      <c r="AS3992" s="1" t="s">
        <v>71</v>
      </c>
      <c r="AU3992" s="1" t="s">
        <v>72</v>
      </c>
      <c r="AV3992" s="1" t="s">
        <v>73</v>
      </c>
      <c r="AX3992" s="1">
        <v>0</v>
      </c>
      <c r="BA3992" s="1">
        <v>9</v>
      </c>
      <c r="BB3992" s="1">
        <v>0</v>
      </c>
      <c r="BC3992" s="1">
        <v>0</v>
      </c>
      <c r="BE3992" s="1">
        <v>27721866</v>
      </c>
    </row>
    <row r="3993" spans="1:57" x14ac:dyDescent="0.25">
      <c r="A3993" s="1" t="str">
        <f>T("1950134953795329712")</f>
        <v>1950134953795329712</v>
      </c>
      <c r="B3993" s="1" t="str">
        <f>T("249960263159")</f>
        <v>249960263159</v>
      </c>
      <c r="C3993" s="1" t="str">
        <f>T("1941094470816631672")</f>
        <v>1941094470816631672</v>
      </c>
      <c r="AC3993" s="1" t="s">
        <v>276</v>
      </c>
      <c r="AD3993" s="1" t="s">
        <v>298</v>
      </c>
      <c r="AE3993" s="1" t="s">
        <v>514</v>
      </c>
      <c r="AF3993" s="1" t="s">
        <v>144</v>
      </c>
      <c r="AO3993" s="2">
        <v>46290</v>
      </c>
      <c r="AP3993" s="1" t="s">
        <v>923</v>
      </c>
      <c r="AS3993" s="1" t="s">
        <v>71</v>
      </c>
      <c r="AU3993" s="1" t="s">
        <v>72</v>
      </c>
      <c r="AV3993" s="1" t="s">
        <v>437</v>
      </c>
      <c r="AX3993" s="1">
        <v>0</v>
      </c>
      <c r="BA3993" s="1">
        <v>9</v>
      </c>
      <c r="BB3993" s="1">
        <v>0</v>
      </c>
      <c r="BC3993" s="1">
        <v>0</v>
      </c>
      <c r="BE3993" s="1">
        <v>27721866</v>
      </c>
    </row>
    <row r="3994" spans="1:57" x14ac:dyDescent="0.25">
      <c r="A3994" s="1" t="str">
        <f>T("1950134953799520720")</f>
        <v>1950134953799520720</v>
      </c>
      <c r="B3994" s="1" t="str">
        <f>T("249903989761")</f>
        <v>249903989761</v>
      </c>
      <c r="C3994" s="1" t="str">
        <f>T("1941094470816631072")</f>
        <v>1941094470816631072</v>
      </c>
      <c r="AC3994" s="1" t="s">
        <v>276</v>
      </c>
      <c r="AD3994" s="1" t="s">
        <v>298</v>
      </c>
      <c r="AE3994" s="1" t="s">
        <v>514</v>
      </c>
      <c r="AF3994" s="1" t="s">
        <v>144</v>
      </c>
      <c r="AO3994" s="2">
        <v>46290</v>
      </c>
      <c r="AP3994" s="1" t="s">
        <v>923</v>
      </c>
      <c r="AS3994" s="1" t="s">
        <v>71</v>
      </c>
      <c r="AU3994" s="1" t="s">
        <v>72</v>
      </c>
      <c r="AV3994" s="1" t="s">
        <v>126</v>
      </c>
      <c r="AX3994" s="1">
        <v>0</v>
      </c>
      <c r="BA3994" s="1">
        <v>9</v>
      </c>
      <c r="BB3994" s="1">
        <v>0</v>
      </c>
      <c r="BC3994" s="1">
        <v>0</v>
      </c>
      <c r="BE3994" s="1">
        <v>27721866</v>
      </c>
    </row>
    <row r="3995" spans="1:57" x14ac:dyDescent="0.25">
      <c r="A3995" s="1" t="str">
        <f>T("1950134953858241232")</f>
        <v>1950134953858241232</v>
      </c>
      <c r="B3995" s="1" t="str">
        <f>T("24991923605")</f>
        <v>24991923605</v>
      </c>
      <c r="C3995" s="1" t="str">
        <f>T("1941094470816632172")</f>
        <v>1941094470816632172</v>
      </c>
      <c r="AC3995" s="1" t="s">
        <v>276</v>
      </c>
      <c r="AD3995" s="1" t="s">
        <v>298</v>
      </c>
      <c r="AE3995" s="1" t="s">
        <v>514</v>
      </c>
      <c r="AF3995" s="1" t="s">
        <v>144</v>
      </c>
      <c r="AO3995" s="2">
        <v>46290</v>
      </c>
      <c r="AP3995" s="1" t="s">
        <v>923</v>
      </c>
      <c r="AS3995" s="1" t="s">
        <v>71</v>
      </c>
      <c r="AU3995" s="1" t="s">
        <v>72</v>
      </c>
      <c r="AV3995" s="1" t="s">
        <v>73</v>
      </c>
      <c r="AX3995" s="1">
        <v>0</v>
      </c>
      <c r="BA3995" s="1">
        <v>9</v>
      </c>
      <c r="BB3995" s="1">
        <v>0</v>
      </c>
      <c r="BC3995" s="1">
        <v>0</v>
      </c>
      <c r="BE3995" s="1">
        <v>27721866</v>
      </c>
    </row>
    <row r="3996" spans="1:57" x14ac:dyDescent="0.25">
      <c r="A3996" s="1" t="str">
        <f>T("1950134953858242232")</f>
        <v>1950134953858242232</v>
      </c>
      <c r="B3996" s="1" t="str">
        <f>T("249911867295")</f>
        <v>249911867295</v>
      </c>
      <c r="C3996" s="1" t="str">
        <f>T("1941094470820824080")</f>
        <v>1941094470820824080</v>
      </c>
      <c r="AC3996" s="1" t="s">
        <v>276</v>
      </c>
      <c r="AD3996" s="1" t="s">
        <v>298</v>
      </c>
      <c r="AE3996" s="1" t="s">
        <v>514</v>
      </c>
      <c r="AF3996" s="1" t="s">
        <v>107</v>
      </c>
      <c r="AO3996" s="2">
        <v>46290</v>
      </c>
      <c r="AP3996" s="1" t="s">
        <v>923</v>
      </c>
      <c r="AS3996" s="1" t="s">
        <v>71</v>
      </c>
      <c r="AU3996" s="1" t="s">
        <v>72</v>
      </c>
      <c r="AV3996" s="1" t="s">
        <v>73</v>
      </c>
      <c r="AX3996" s="1">
        <v>0</v>
      </c>
      <c r="BA3996" s="1">
        <v>9</v>
      </c>
      <c r="BB3996" s="1">
        <v>0</v>
      </c>
      <c r="BC3996" s="1">
        <v>0</v>
      </c>
      <c r="BE3996" s="1">
        <v>27721866</v>
      </c>
    </row>
    <row r="3997" spans="1:57" x14ac:dyDescent="0.25">
      <c r="A3997" s="1" t="str">
        <f>T("1950134953929545068")</f>
        <v>1950134953929545068</v>
      </c>
      <c r="B3997" s="1" t="str">
        <f>T("249917850717")</f>
        <v>249917850717</v>
      </c>
      <c r="C3997" s="1" t="str">
        <f>T("1941094470820824480")</f>
        <v>1941094470820824480</v>
      </c>
      <c r="AC3997" s="1" t="s">
        <v>276</v>
      </c>
      <c r="AD3997" s="1" t="s">
        <v>298</v>
      </c>
      <c r="AE3997" s="1" t="s">
        <v>514</v>
      </c>
      <c r="AF3997" s="1" t="s">
        <v>107</v>
      </c>
      <c r="AO3997" s="2">
        <v>46290</v>
      </c>
      <c r="AP3997" s="1" t="s">
        <v>923</v>
      </c>
      <c r="AS3997" s="1" t="s">
        <v>71</v>
      </c>
      <c r="AU3997" s="1" t="s">
        <v>72</v>
      </c>
      <c r="AV3997" s="1" t="s">
        <v>437</v>
      </c>
      <c r="AX3997" s="1">
        <v>0</v>
      </c>
      <c r="BA3997" s="1">
        <v>9</v>
      </c>
      <c r="BB3997" s="1">
        <v>0</v>
      </c>
      <c r="BC3997" s="1">
        <v>0</v>
      </c>
      <c r="BE3997" s="1">
        <v>27721866</v>
      </c>
    </row>
    <row r="3998" spans="1:57" x14ac:dyDescent="0.25">
      <c r="A3998" s="1" t="str">
        <f>T("1950134953929545868")</f>
        <v>1950134953929545868</v>
      </c>
      <c r="B3998" s="1" t="str">
        <f>T("249911432489")</f>
        <v>249911432489</v>
      </c>
      <c r="C3998" s="1" t="str">
        <f>T("1941094470820824880")</f>
        <v>1941094470820824880</v>
      </c>
      <c r="AC3998" s="1" t="s">
        <v>276</v>
      </c>
      <c r="AD3998" s="1" t="s">
        <v>298</v>
      </c>
      <c r="AE3998" s="1" t="s">
        <v>514</v>
      </c>
      <c r="AF3998" s="1" t="s">
        <v>107</v>
      </c>
      <c r="AO3998" s="2">
        <v>46290</v>
      </c>
      <c r="AP3998" s="1" t="s">
        <v>923</v>
      </c>
      <c r="AS3998" s="1" t="s">
        <v>71</v>
      </c>
      <c r="AU3998" s="1" t="s">
        <v>72</v>
      </c>
      <c r="AV3998" s="1" t="s">
        <v>126</v>
      </c>
      <c r="AX3998" s="1">
        <v>0</v>
      </c>
      <c r="BA3998" s="1">
        <v>9</v>
      </c>
      <c r="BB3998" s="1">
        <v>0</v>
      </c>
      <c r="BC3998" s="1">
        <v>0</v>
      </c>
      <c r="BE3998" s="1">
        <v>27721866</v>
      </c>
    </row>
    <row r="3999" spans="1:57" x14ac:dyDescent="0.25">
      <c r="A3999" s="1" t="str">
        <f>T("1950134953979878964")</f>
        <v>1950134953979878964</v>
      </c>
      <c r="B3999" s="1" t="str">
        <f>T("249912462326")</f>
        <v>249912462326</v>
      </c>
      <c r="C3999" s="1" t="str">
        <f>T("1941094470820825280")</f>
        <v>1941094470820825280</v>
      </c>
      <c r="AC3999" s="1" t="s">
        <v>276</v>
      </c>
      <c r="AD3999" s="1" t="s">
        <v>298</v>
      </c>
      <c r="AE3999" s="1" t="s">
        <v>514</v>
      </c>
      <c r="AF3999" s="1" t="s">
        <v>107</v>
      </c>
      <c r="AO3999" s="2">
        <v>46290</v>
      </c>
      <c r="AP3999" s="1" t="s">
        <v>923</v>
      </c>
      <c r="AS3999" s="1" t="s">
        <v>71</v>
      </c>
      <c r="AU3999" s="1" t="s">
        <v>72</v>
      </c>
      <c r="AV3999" s="1" t="s">
        <v>437</v>
      </c>
      <c r="AX3999" s="1">
        <v>0</v>
      </c>
      <c r="BA3999" s="1">
        <v>9</v>
      </c>
      <c r="BB3999" s="1">
        <v>0</v>
      </c>
      <c r="BC3999" s="1">
        <v>0</v>
      </c>
      <c r="BE3999" s="1">
        <v>27721866</v>
      </c>
    </row>
    <row r="4000" spans="1:57" x14ac:dyDescent="0.25">
      <c r="A4000" s="1" t="str">
        <f>T("1950134953988265680")</f>
        <v>1950134953988265680</v>
      </c>
      <c r="B4000" s="1" t="str">
        <f>T("249911856803")</f>
        <v>249911856803</v>
      </c>
      <c r="C4000" s="1" t="str">
        <f>T("1941094470820825780")</f>
        <v>1941094470820825780</v>
      </c>
      <c r="AC4000" s="1" t="s">
        <v>276</v>
      </c>
      <c r="AD4000" s="1" t="s">
        <v>298</v>
      </c>
      <c r="AE4000" s="1" t="s">
        <v>514</v>
      </c>
      <c r="AF4000" s="1" t="s">
        <v>107</v>
      </c>
      <c r="AO4000" s="2">
        <v>46290</v>
      </c>
      <c r="AP4000" s="1" t="s">
        <v>923</v>
      </c>
      <c r="AS4000" s="1" t="s">
        <v>71</v>
      </c>
      <c r="AU4000" s="1" t="s">
        <v>72</v>
      </c>
      <c r="AV4000" s="1" t="s">
        <v>126</v>
      </c>
      <c r="AX4000" s="1">
        <v>0</v>
      </c>
      <c r="BA4000" s="1">
        <v>9</v>
      </c>
      <c r="BB4000" s="1">
        <v>0</v>
      </c>
      <c r="BC4000" s="1">
        <v>0</v>
      </c>
      <c r="BE4000" s="1">
        <v>27721866</v>
      </c>
    </row>
    <row r="4001" spans="1:57" x14ac:dyDescent="0.25">
      <c r="A4001" s="1" t="str">
        <f>T("1950134954034402668")</f>
        <v>1950134954034402668</v>
      </c>
      <c r="B4001" s="1" t="str">
        <f>T("249961232949")</f>
        <v>249961232949</v>
      </c>
      <c r="C4001" s="1" t="str">
        <f>T("1941094470820826280")</f>
        <v>1941094470820826280</v>
      </c>
      <c r="AC4001" s="1" t="s">
        <v>276</v>
      </c>
      <c r="AD4001" s="1" t="s">
        <v>298</v>
      </c>
      <c r="AE4001" s="1" t="s">
        <v>514</v>
      </c>
      <c r="AF4001" s="1" t="s">
        <v>107</v>
      </c>
      <c r="AO4001" s="2">
        <v>46290</v>
      </c>
      <c r="AP4001" s="1" t="s">
        <v>923</v>
      </c>
      <c r="AS4001" s="1" t="s">
        <v>71</v>
      </c>
      <c r="AU4001" s="1" t="s">
        <v>72</v>
      </c>
      <c r="AV4001" s="1" t="s">
        <v>437</v>
      </c>
      <c r="AX4001" s="1">
        <v>0</v>
      </c>
      <c r="BA4001" s="1">
        <v>9</v>
      </c>
      <c r="BB4001" s="1">
        <v>0</v>
      </c>
      <c r="BC4001" s="1">
        <v>0</v>
      </c>
      <c r="BE4001" s="1">
        <v>27721866</v>
      </c>
    </row>
    <row r="4002" spans="1:57" x14ac:dyDescent="0.25">
      <c r="A4002" s="1" t="str">
        <f>T("1950134954034404268")</f>
        <v>1950134954034404268</v>
      </c>
      <c r="B4002" s="1" t="str">
        <f>T("249913014019")</f>
        <v>249913014019</v>
      </c>
      <c r="C4002" s="1" t="str">
        <f>T("1941094470820826680")</f>
        <v>1941094470820826680</v>
      </c>
      <c r="AC4002" s="1" t="s">
        <v>276</v>
      </c>
      <c r="AD4002" s="1" t="s">
        <v>298</v>
      </c>
      <c r="AE4002" s="1" t="s">
        <v>514</v>
      </c>
      <c r="AF4002" s="1" t="s">
        <v>107</v>
      </c>
      <c r="AO4002" s="2">
        <v>46290</v>
      </c>
      <c r="AP4002" s="1" t="s">
        <v>923</v>
      </c>
      <c r="AS4002" s="1" t="s">
        <v>71</v>
      </c>
      <c r="AU4002" s="1" t="s">
        <v>72</v>
      </c>
      <c r="AV4002" s="1" t="s">
        <v>73</v>
      </c>
      <c r="AX4002" s="1">
        <v>0</v>
      </c>
      <c r="BA4002" s="1">
        <v>9</v>
      </c>
      <c r="BB4002" s="1">
        <v>0</v>
      </c>
      <c r="BC4002" s="1">
        <v>0</v>
      </c>
      <c r="BE4002" s="1">
        <v>27721866</v>
      </c>
    </row>
    <row r="4003" spans="1:57" x14ac:dyDescent="0.25">
      <c r="A4003" s="1" t="str">
        <f>T("1950134954093122980")</f>
        <v>1950134954093122980</v>
      </c>
      <c r="B4003" s="1" t="str">
        <f>T("249908626012")</f>
        <v>249908626012</v>
      </c>
      <c r="C4003" s="1" t="str">
        <f>T("1941094470825017488")</f>
        <v>1941094470825017488</v>
      </c>
      <c r="AC4003" s="1" t="s">
        <v>276</v>
      </c>
      <c r="AD4003" s="1" t="s">
        <v>298</v>
      </c>
      <c r="AE4003" s="1" t="s">
        <v>514</v>
      </c>
      <c r="AF4003" s="1" t="s">
        <v>107</v>
      </c>
      <c r="AO4003" s="2">
        <v>46290</v>
      </c>
      <c r="AP4003" s="1" t="s">
        <v>923</v>
      </c>
      <c r="AS4003" s="1" t="s">
        <v>71</v>
      </c>
      <c r="AU4003" s="1" t="s">
        <v>72</v>
      </c>
      <c r="AV4003" s="1" t="s">
        <v>73</v>
      </c>
      <c r="AX4003" s="1">
        <v>0</v>
      </c>
      <c r="BA4003" s="1">
        <v>9</v>
      </c>
      <c r="BB4003" s="1">
        <v>0</v>
      </c>
      <c r="BC4003" s="1">
        <v>0</v>
      </c>
      <c r="BE4003" s="1">
        <v>27721866</v>
      </c>
    </row>
    <row r="4004" spans="1:57" x14ac:dyDescent="0.25">
      <c r="A4004" s="1" t="str">
        <f>T("1950134954093123180")</f>
        <v>1950134954093123180</v>
      </c>
      <c r="B4004" s="1" t="str">
        <f>T("249910689186")</f>
        <v>249910689186</v>
      </c>
      <c r="C4004" s="1" t="str">
        <f>T("1941094470825017888")</f>
        <v>1941094470825017888</v>
      </c>
      <c r="AC4004" s="1" t="s">
        <v>276</v>
      </c>
      <c r="AD4004" s="1" t="s">
        <v>298</v>
      </c>
      <c r="AE4004" s="1" t="s">
        <v>514</v>
      </c>
      <c r="AF4004" s="1" t="s">
        <v>107</v>
      </c>
      <c r="AO4004" s="2">
        <v>46290</v>
      </c>
      <c r="AP4004" s="1" t="s">
        <v>923</v>
      </c>
      <c r="AS4004" s="1" t="s">
        <v>71</v>
      </c>
      <c r="AU4004" s="1" t="s">
        <v>72</v>
      </c>
      <c r="AV4004" s="1" t="s">
        <v>437</v>
      </c>
      <c r="AX4004" s="1">
        <v>0</v>
      </c>
      <c r="BA4004" s="1">
        <v>9</v>
      </c>
      <c r="BB4004" s="1">
        <v>0</v>
      </c>
      <c r="BC4004" s="1">
        <v>0</v>
      </c>
      <c r="BE4004" s="1">
        <v>27721866</v>
      </c>
    </row>
    <row r="4005" spans="1:57" x14ac:dyDescent="0.25">
      <c r="A4005" s="1" t="str">
        <f>T("1950134954147650384")</f>
        <v>1950134954147650384</v>
      </c>
      <c r="B4005" s="1" t="str">
        <f>T("24990423455")</f>
        <v>24990423455</v>
      </c>
      <c r="C4005" s="1" t="str">
        <f>T("1941094470825018388")</f>
        <v>1941094470825018388</v>
      </c>
      <c r="AC4005" s="1" t="s">
        <v>276</v>
      </c>
      <c r="AD4005" s="1" t="s">
        <v>298</v>
      </c>
      <c r="AE4005" s="1" t="s">
        <v>514</v>
      </c>
      <c r="AF4005" s="1" t="s">
        <v>107</v>
      </c>
      <c r="AO4005" s="2">
        <v>46290</v>
      </c>
      <c r="AP4005" s="1" t="s">
        <v>923</v>
      </c>
      <c r="AS4005" s="1" t="s">
        <v>71</v>
      </c>
      <c r="AU4005" s="1" t="s">
        <v>72</v>
      </c>
      <c r="AV4005" s="1" t="s">
        <v>73</v>
      </c>
      <c r="AX4005" s="1">
        <v>0</v>
      </c>
      <c r="BA4005" s="1">
        <v>9</v>
      </c>
      <c r="BB4005" s="1">
        <v>0</v>
      </c>
      <c r="BC4005" s="1">
        <v>0</v>
      </c>
      <c r="BE4005" s="1">
        <v>27721866</v>
      </c>
    </row>
    <row r="4006" spans="1:57" x14ac:dyDescent="0.25">
      <c r="A4006" s="1" t="str">
        <f>T("1950134954151842992")</f>
        <v>1950134954151842992</v>
      </c>
      <c r="B4006" s="1" t="str">
        <f>T("249961464514")</f>
        <v>249961464514</v>
      </c>
      <c r="C4006" s="1" t="str">
        <f>T("1941094470825018888")</f>
        <v>1941094470825018888</v>
      </c>
      <c r="AC4006" s="1" t="s">
        <v>276</v>
      </c>
      <c r="AD4006" s="1" t="s">
        <v>298</v>
      </c>
      <c r="AE4006" s="1" t="s">
        <v>514</v>
      </c>
      <c r="AF4006" s="1" t="s">
        <v>107</v>
      </c>
      <c r="AO4006" s="2">
        <v>46290</v>
      </c>
      <c r="AP4006" s="1" t="s">
        <v>923</v>
      </c>
      <c r="AS4006" s="1" t="s">
        <v>71</v>
      </c>
      <c r="AU4006" s="1" t="s">
        <v>72</v>
      </c>
      <c r="AV4006" s="1" t="s">
        <v>73</v>
      </c>
      <c r="AX4006" s="1">
        <v>0</v>
      </c>
      <c r="BA4006" s="1">
        <v>9</v>
      </c>
      <c r="BB4006" s="1">
        <v>0</v>
      </c>
      <c r="BC4006" s="1">
        <v>0</v>
      </c>
      <c r="BE4006" s="1">
        <v>27721866</v>
      </c>
    </row>
    <row r="4007" spans="1:57" x14ac:dyDescent="0.25">
      <c r="A4007" s="1" t="str">
        <f>T("1950134954197982780")</f>
        <v>1950134954197982780</v>
      </c>
      <c r="B4007" s="1" t="str">
        <f>T("249903500395")</f>
        <v>249903500395</v>
      </c>
      <c r="C4007" s="1" t="str">
        <f>T("1941094470825019288")</f>
        <v>1941094470825019288</v>
      </c>
      <c r="AC4007" s="1" t="s">
        <v>276</v>
      </c>
      <c r="AD4007" s="1" t="s">
        <v>298</v>
      </c>
      <c r="AE4007" s="1" t="s">
        <v>514</v>
      </c>
      <c r="AF4007" s="1" t="s">
        <v>107</v>
      </c>
      <c r="AO4007" s="2">
        <v>46290</v>
      </c>
      <c r="AP4007" s="1" t="s">
        <v>923</v>
      </c>
      <c r="AS4007" s="1" t="s">
        <v>71</v>
      </c>
      <c r="AU4007" s="1" t="s">
        <v>72</v>
      </c>
      <c r="AV4007" s="1" t="s">
        <v>73</v>
      </c>
      <c r="AX4007" s="1">
        <v>0</v>
      </c>
      <c r="BA4007" s="1">
        <v>9</v>
      </c>
      <c r="BB4007" s="1">
        <v>0</v>
      </c>
      <c r="BC4007" s="1">
        <v>0</v>
      </c>
      <c r="BE4007" s="1">
        <v>27721866</v>
      </c>
    </row>
    <row r="4008" spans="1:57" x14ac:dyDescent="0.25">
      <c r="A4008" s="1" t="str">
        <f>T("1950134954210565204")</f>
        <v>1950134954210565204</v>
      </c>
      <c r="B4008" s="1" t="str">
        <f>T("249914802633")</f>
        <v>249914802633</v>
      </c>
      <c r="C4008" s="1" t="str">
        <f>T("1941094470825019888")</f>
        <v>1941094470825019888</v>
      </c>
      <c r="AC4008" s="1" t="s">
        <v>276</v>
      </c>
      <c r="AD4008" s="1" t="s">
        <v>298</v>
      </c>
      <c r="AE4008" s="1" t="s">
        <v>514</v>
      </c>
      <c r="AF4008" s="1" t="s">
        <v>107</v>
      </c>
      <c r="AO4008" s="2">
        <v>46290</v>
      </c>
      <c r="AP4008" s="1" t="s">
        <v>923</v>
      </c>
      <c r="AS4008" s="1" t="s">
        <v>71</v>
      </c>
      <c r="AU4008" s="1" t="s">
        <v>72</v>
      </c>
      <c r="AV4008" s="1" t="s">
        <v>437</v>
      </c>
      <c r="AX4008" s="1">
        <v>0</v>
      </c>
      <c r="BA4008" s="1">
        <v>9</v>
      </c>
      <c r="BB4008" s="1">
        <v>0</v>
      </c>
      <c r="BC4008" s="1">
        <v>0</v>
      </c>
      <c r="BE4008" s="1">
        <v>27721866</v>
      </c>
    </row>
    <row r="4009" spans="1:57" x14ac:dyDescent="0.25">
      <c r="A4009" s="1" t="str">
        <f>T("1950134954269283516")</f>
        <v>1950134954269283516</v>
      </c>
      <c r="B4009" s="1" t="str">
        <f>T("249969137189")</f>
        <v>249969137189</v>
      </c>
      <c r="C4009" s="1" t="str">
        <f>T("1941094470829213496")</f>
        <v>1941094470829213496</v>
      </c>
      <c r="AC4009" s="1" t="s">
        <v>276</v>
      </c>
      <c r="AD4009" s="1" t="s">
        <v>298</v>
      </c>
      <c r="AE4009" s="1" t="s">
        <v>515</v>
      </c>
      <c r="AF4009" s="1" t="s">
        <v>144</v>
      </c>
      <c r="AO4009" s="2">
        <v>46290</v>
      </c>
      <c r="AP4009" s="1" t="s">
        <v>923</v>
      </c>
      <c r="AS4009" s="1" t="s">
        <v>71</v>
      </c>
      <c r="AU4009" s="1" t="s">
        <v>72</v>
      </c>
      <c r="AV4009" s="1" t="s">
        <v>73</v>
      </c>
      <c r="AX4009" s="1">
        <v>0</v>
      </c>
      <c r="BA4009" s="1">
        <v>9</v>
      </c>
      <c r="BB4009" s="1">
        <v>0</v>
      </c>
      <c r="BC4009" s="1">
        <v>0</v>
      </c>
      <c r="BE4009" s="1">
        <v>27721866</v>
      </c>
    </row>
    <row r="4010" spans="1:57" x14ac:dyDescent="0.25">
      <c r="A4010" s="1" t="str">
        <f>T("1950134954273477924")</f>
        <v>1950134954273477924</v>
      </c>
      <c r="B4010" s="1" t="str">
        <f>T("249963772047")</f>
        <v>249963772047</v>
      </c>
      <c r="C4010" s="1" t="str">
        <f>T("1941094470829215096")</f>
        <v>1941094470829215096</v>
      </c>
      <c r="AC4010" s="1" t="s">
        <v>276</v>
      </c>
      <c r="AD4010" s="1" t="s">
        <v>298</v>
      </c>
      <c r="AE4010" s="1" t="s">
        <v>515</v>
      </c>
      <c r="AF4010" s="1" t="s">
        <v>144</v>
      </c>
      <c r="AO4010" s="2">
        <v>46290</v>
      </c>
      <c r="AP4010" s="1" t="s">
        <v>923</v>
      </c>
      <c r="AS4010" s="1" t="s">
        <v>71</v>
      </c>
      <c r="AU4010" s="1" t="s">
        <v>72</v>
      </c>
      <c r="AV4010" s="1" t="s">
        <v>126</v>
      </c>
      <c r="AX4010" s="1">
        <v>0</v>
      </c>
      <c r="BA4010" s="1">
        <v>9</v>
      </c>
      <c r="BB4010" s="1">
        <v>0</v>
      </c>
      <c r="BC4010" s="1">
        <v>0</v>
      </c>
      <c r="BE4010" s="1">
        <v>27721866</v>
      </c>
    </row>
    <row r="4011" spans="1:57" x14ac:dyDescent="0.25">
      <c r="A4011" s="1" t="str">
        <f>T("1950134954357364284")</f>
        <v>1950134954357364284</v>
      </c>
      <c r="B4011" s="1" t="str">
        <f>T("249912666856")</f>
        <v>249912666856</v>
      </c>
      <c r="C4011" s="1" t="str">
        <f>T("1941094470833409704")</f>
        <v>1941094470833409704</v>
      </c>
      <c r="AC4011" s="1" t="s">
        <v>276</v>
      </c>
      <c r="AD4011" s="1" t="s">
        <v>298</v>
      </c>
      <c r="AE4011" s="1" t="s">
        <v>515</v>
      </c>
      <c r="AF4011" s="1" t="s">
        <v>107</v>
      </c>
      <c r="AO4011" s="2">
        <v>46290</v>
      </c>
      <c r="AP4011" s="1" t="s">
        <v>923</v>
      </c>
      <c r="AS4011" s="1" t="s">
        <v>71</v>
      </c>
      <c r="AU4011" s="1" t="s">
        <v>72</v>
      </c>
      <c r="AV4011" s="1" t="s">
        <v>437</v>
      </c>
      <c r="AX4011" s="1">
        <v>0</v>
      </c>
      <c r="BA4011" s="1">
        <v>9</v>
      </c>
      <c r="BB4011" s="1">
        <v>0</v>
      </c>
      <c r="BC4011" s="1">
        <v>0</v>
      </c>
      <c r="BE4011" s="1">
        <v>27721866</v>
      </c>
    </row>
    <row r="4012" spans="1:57" x14ac:dyDescent="0.25">
      <c r="A4012" s="1" t="str">
        <f>T("1950134954361558092")</f>
        <v>1950134954361558092</v>
      </c>
      <c r="B4012" s="1" t="str">
        <f>T("249916198848")</f>
        <v>249916198848</v>
      </c>
      <c r="C4012" s="1" t="str">
        <f>T("1941094470829215696")</f>
        <v>1941094470829215696</v>
      </c>
      <c r="AC4012" s="1" t="s">
        <v>276</v>
      </c>
      <c r="AD4012" s="1" t="s">
        <v>298</v>
      </c>
      <c r="AE4012" s="1" t="s">
        <v>515</v>
      </c>
      <c r="AF4012" s="1" t="s">
        <v>107</v>
      </c>
      <c r="AO4012" s="2">
        <v>46290</v>
      </c>
      <c r="AP4012" s="1" t="s">
        <v>923</v>
      </c>
      <c r="AS4012" s="1" t="s">
        <v>71</v>
      </c>
      <c r="AU4012" s="1" t="s">
        <v>72</v>
      </c>
      <c r="AV4012" s="1" t="s">
        <v>73</v>
      </c>
      <c r="AX4012" s="1">
        <v>0</v>
      </c>
      <c r="BA4012" s="1">
        <v>9</v>
      </c>
      <c r="BB4012" s="1">
        <v>0</v>
      </c>
      <c r="BC4012" s="1">
        <v>0</v>
      </c>
      <c r="BE4012" s="1">
        <v>27721866</v>
      </c>
    </row>
    <row r="4013" spans="1:57" x14ac:dyDescent="0.25">
      <c r="A4013" s="1" t="str">
        <f>T("1950134954424472812")</f>
        <v>1950134954424472812</v>
      </c>
      <c r="B4013" s="1" t="str">
        <f>T("249904828952")</f>
        <v>249904828952</v>
      </c>
      <c r="C4013" s="1" t="str">
        <f>T("1941094470837600612")</f>
        <v>1941094470837600612</v>
      </c>
      <c r="AC4013" s="1" t="s">
        <v>276</v>
      </c>
      <c r="AD4013" s="1" t="s">
        <v>517</v>
      </c>
      <c r="AE4013" s="1" t="s">
        <v>518</v>
      </c>
      <c r="AF4013" s="1" t="s">
        <v>144</v>
      </c>
      <c r="AO4013" s="2">
        <v>46290</v>
      </c>
      <c r="AP4013" s="1" t="s">
        <v>923</v>
      </c>
      <c r="AS4013" s="1" t="s">
        <v>71</v>
      </c>
      <c r="AU4013" s="1" t="s">
        <v>72</v>
      </c>
      <c r="AV4013" s="1" t="s">
        <v>437</v>
      </c>
      <c r="AX4013" s="1">
        <v>0</v>
      </c>
      <c r="BA4013" s="1">
        <v>9</v>
      </c>
      <c r="BB4013" s="1">
        <v>0</v>
      </c>
      <c r="BC4013" s="1">
        <v>0</v>
      </c>
      <c r="BE4013" s="1">
        <v>27721866</v>
      </c>
    </row>
    <row r="4014" spans="1:57" x14ac:dyDescent="0.25">
      <c r="A4014" s="1" t="str">
        <f>T("1950134954424474712")</f>
        <v>1950134954424474712</v>
      </c>
      <c r="B4014" s="1" t="str">
        <f>T("249907858604")</f>
        <v>249907858604</v>
      </c>
      <c r="C4014" s="1" t="str">
        <f>T("1941094470837601112")</f>
        <v>1941094470837601112</v>
      </c>
      <c r="AC4014" s="1" t="s">
        <v>276</v>
      </c>
      <c r="AD4014" s="1" t="s">
        <v>517</v>
      </c>
      <c r="AE4014" s="1" t="s">
        <v>518</v>
      </c>
      <c r="AF4014" s="1" t="s">
        <v>107</v>
      </c>
      <c r="AO4014" s="2">
        <v>46290</v>
      </c>
      <c r="AP4014" s="1" t="s">
        <v>923</v>
      </c>
      <c r="AS4014" s="1" t="s">
        <v>71</v>
      </c>
      <c r="AU4014" s="1" t="s">
        <v>72</v>
      </c>
      <c r="AV4014" s="1" t="s">
        <v>126</v>
      </c>
      <c r="AX4014" s="1">
        <v>0</v>
      </c>
      <c r="BA4014" s="1">
        <v>9</v>
      </c>
      <c r="BB4014" s="1">
        <v>0</v>
      </c>
      <c r="BC4014" s="1">
        <v>0</v>
      </c>
      <c r="BE4014" s="1">
        <v>27721866</v>
      </c>
    </row>
    <row r="4015" spans="1:57" x14ac:dyDescent="0.25">
      <c r="A4015" s="1" t="str">
        <f>T("1950134954499970656")</f>
        <v>1950134954499970656</v>
      </c>
      <c r="B4015" s="1" t="str">
        <f>T("249900863685")</f>
        <v>249900863685</v>
      </c>
      <c r="C4015" s="1" t="str">
        <f>T("1941094470841795220")</f>
        <v>1941094470841795220</v>
      </c>
      <c r="AC4015" s="1" t="s">
        <v>276</v>
      </c>
      <c r="AD4015" s="1" t="s">
        <v>517</v>
      </c>
      <c r="AE4015" s="1" t="s">
        <v>518</v>
      </c>
      <c r="AF4015" s="1" t="s">
        <v>107</v>
      </c>
      <c r="AO4015" s="2">
        <v>46290</v>
      </c>
      <c r="AP4015" s="1" t="s">
        <v>923</v>
      </c>
      <c r="AS4015" s="1" t="s">
        <v>71</v>
      </c>
      <c r="AU4015" s="1" t="s">
        <v>72</v>
      </c>
      <c r="AV4015" s="1" t="s">
        <v>437</v>
      </c>
      <c r="AX4015" s="1">
        <v>0</v>
      </c>
      <c r="BA4015" s="1">
        <v>9</v>
      </c>
      <c r="BB4015" s="1">
        <v>0</v>
      </c>
      <c r="BC4015" s="1">
        <v>0</v>
      </c>
      <c r="BE4015" s="1">
        <v>27721866</v>
      </c>
    </row>
    <row r="4016" spans="1:57" x14ac:dyDescent="0.25">
      <c r="A4016" s="1" t="str">
        <f>T("1950134954499972856")</f>
        <v>1950134954499972856</v>
      </c>
      <c r="B4016" s="1" t="str">
        <f>T("249913839822")</f>
        <v>249913839822</v>
      </c>
      <c r="C4016" s="1" t="str">
        <f>T("1941094470841795720")</f>
        <v>1941094470841795720</v>
      </c>
      <c r="AC4016" s="1" t="s">
        <v>276</v>
      </c>
      <c r="AD4016" s="1" t="s">
        <v>517</v>
      </c>
      <c r="AE4016" s="1" t="s">
        <v>518</v>
      </c>
      <c r="AF4016" s="1" t="s">
        <v>107</v>
      </c>
      <c r="AO4016" s="2">
        <v>46290</v>
      </c>
      <c r="AP4016" s="1" t="s">
        <v>923</v>
      </c>
      <c r="AS4016" s="1" t="s">
        <v>71</v>
      </c>
      <c r="AU4016" s="1" t="s">
        <v>72</v>
      </c>
      <c r="AV4016" s="1" t="s">
        <v>73</v>
      </c>
      <c r="AX4016" s="1">
        <v>0</v>
      </c>
      <c r="BA4016" s="1">
        <v>9</v>
      </c>
      <c r="BB4016" s="1">
        <v>0</v>
      </c>
      <c r="BC4016" s="1">
        <v>0</v>
      </c>
      <c r="BE4016" s="1">
        <v>27721866</v>
      </c>
    </row>
    <row r="4017" spans="1:57" x14ac:dyDescent="0.25">
      <c r="A4017" s="1" t="str">
        <f>T("1950134954562886176")</f>
        <v>1950134954562886176</v>
      </c>
      <c r="B4017" s="1" t="str">
        <f>T("249965854537")</f>
        <v>249965854537</v>
      </c>
      <c r="C4017" s="1" t="str">
        <f>T("1941094470845992328")</f>
        <v>1941094470845992328</v>
      </c>
      <c r="AC4017" s="1" t="s">
        <v>276</v>
      </c>
      <c r="AD4017" s="1" t="s">
        <v>517</v>
      </c>
      <c r="AE4017" s="1" t="s">
        <v>518</v>
      </c>
      <c r="AF4017" s="1" t="s">
        <v>144</v>
      </c>
      <c r="AO4017" s="2">
        <v>46290</v>
      </c>
      <c r="AP4017" s="1" t="s">
        <v>923</v>
      </c>
      <c r="AS4017" s="1" t="s">
        <v>71</v>
      </c>
      <c r="AU4017" s="1" t="s">
        <v>72</v>
      </c>
      <c r="AV4017" s="1" t="s">
        <v>126</v>
      </c>
      <c r="AX4017" s="1">
        <v>0</v>
      </c>
      <c r="BA4017" s="1">
        <v>9</v>
      </c>
      <c r="BB4017" s="1">
        <v>0</v>
      </c>
      <c r="BC4017" s="1">
        <v>0</v>
      </c>
      <c r="BE4017" s="1">
        <v>27721866</v>
      </c>
    </row>
    <row r="4018" spans="1:57" x14ac:dyDescent="0.25">
      <c r="A4018" s="1" t="str">
        <f>T("1950134954567080684")</f>
        <v>1950134954567080684</v>
      </c>
      <c r="B4018" s="1" t="str">
        <f>T("249918036901")</f>
        <v>249918036901</v>
      </c>
      <c r="C4018" s="1" t="str">
        <f>T("1941094470850185836")</f>
        <v>1941094470850185836</v>
      </c>
      <c r="AC4018" s="1" t="s">
        <v>276</v>
      </c>
      <c r="AD4018" s="1" t="s">
        <v>517</v>
      </c>
      <c r="AE4018" s="1" t="s">
        <v>519</v>
      </c>
      <c r="AF4018" s="1" t="s">
        <v>107</v>
      </c>
      <c r="AO4018" s="2">
        <v>46290</v>
      </c>
      <c r="AP4018" s="1" t="s">
        <v>923</v>
      </c>
      <c r="AS4018" s="1" t="s">
        <v>71</v>
      </c>
      <c r="AU4018" s="1" t="s">
        <v>72</v>
      </c>
      <c r="AV4018" s="1" t="s">
        <v>126</v>
      </c>
      <c r="AX4018" s="1">
        <v>0</v>
      </c>
      <c r="BA4018" s="1">
        <v>9</v>
      </c>
      <c r="BB4018" s="1">
        <v>0</v>
      </c>
      <c r="BC4018" s="1">
        <v>0</v>
      </c>
      <c r="BE4018" s="1">
        <v>27721866</v>
      </c>
    </row>
    <row r="4019" spans="1:57" x14ac:dyDescent="0.25">
      <c r="A4019" s="1" t="str">
        <f>T("1950134954625798496")</f>
        <v>1950134954625798496</v>
      </c>
      <c r="B4019" s="1" t="str">
        <f>T("249914083712")</f>
        <v>249914083712</v>
      </c>
      <c r="C4019" s="1" t="str">
        <f>T("1941094470854379044")</f>
        <v>1941094470854379044</v>
      </c>
      <c r="AC4019" s="1" t="s">
        <v>276</v>
      </c>
      <c r="AD4019" s="1" t="s">
        <v>517</v>
      </c>
      <c r="AE4019" s="1" t="s">
        <v>519</v>
      </c>
      <c r="AF4019" s="1" t="s">
        <v>107</v>
      </c>
      <c r="AO4019" s="2">
        <v>46290</v>
      </c>
      <c r="AP4019" s="1" t="s">
        <v>923</v>
      </c>
      <c r="AS4019" s="1" t="s">
        <v>71</v>
      </c>
      <c r="AU4019" s="1" t="s">
        <v>72</v>
      </c>
      <c r="AV4019" s="1" t="s">
        <v>126</v>
      </c>
      <c r="AX4019" s="1">
        <v>0</v>
      </c>
      <c r="BA4019" s="1">
        <v>9</v>
      </c>
      <c r="BB4019" s="1">
        <v>0</v>
      </c>
      <c r="BC4019" s="1">
        <v>0</v>
      </c>
      <c r="BE4019" s="1">
        <v>27721866</v>
      </c>
    </row>
    <row r="4020" spans="1:57" x14ac:dyDescent="0.25">
      <c r="A4020" s="1" t="str">
        <f>T("1950134954625801896")</f>
        <v>1950134954625801896</v>
      </c>
      <c r="B4020" s="1" t="str">
        <f>T("249906455089")</f>
        <v>249906455089</v>
      </c>
      <c r="C4020" s="1" t="str">
        <f>T("1941094470854379444")</f>
        <v>1941094470854379444</v>
      </c>
      <c r="AC4020" s="1" t="s">
        <v>276</v>
      </c>
      <c r="AD4020" s="1" t="s">
        <v>517</v>
      </c>
      <c r="AE4020" s="1" t="s">
        <v>519</v>
      </c>
      <c r="AF4020" s="1" t="s">
        <v>107</v>
      </c>
      <c r="AO4020" s="2">
        <v>46290</v>
      </c>
      <c r="AP4020" s="1" t="s">
        <v>923</v>
      </c>
      <c r="AS4020" s="1" t="s">
        <v>71</v>
      </c>
      <c r="AU4020" s="1" t="s">
        <v>72</v>
      </c>
      <c r="AV4020" s="1" t="s">
        <v>126</v>
      </c>
      <c r="AX4020" s="1">
        <v>0</v>
      </c>
      <c r="BA4020" s="1">
        <v>9</v>
      </c>
      <c r="BB4020" s="1">
        <v>0</v>
      </c>
      <c r="BC4020" s="1">
        <v>0</v>
      </c>
      <c r="BE4020" s="1">
        <v>27721866</v>
      </c>
    </row>
    <row r="4021" spans="1:57" x14ac:dyDescent="0.25">
      <c r="A4021" s="1" t="str">
        <f>T("1950134954705493248")</f>
        <v>1950134954705493248</v>
      </c>
      <c r="B4021" s="1" t="str">
        <f>T("249917549984")</f>
        <v>249917549984</v>
      </c>
      <c r="C4021" s="1" t="str">
        <f>T("1941094470854379744")</f>
        <v>1941094470854379744</v>
      </c>
      <c r="AC4021" s="1" t="s">
        <v>276</v>
      </c>
      <c r="AD4021" s="1" t="s">
        <v>517</v>
      </c>
      <c r="AE4021" s="1" t="s">
        <v>520</v>
      </c>
      <c r="AF4021" s="1" t="s">
        <v>107</v>
      </c>
      <c r="AO4021" s="2">
        <v>46290</v>
      </c>
      <c r="AP4021" s="1" t="s">
        <v>923</v>
      </c>
      <c r="AS4021" s="1" t="s">
        <v>71</v>
      </c>
      <c r="AU4021" s="1" t="s">
        <v>72</v>
      </c>
      <c r="AV4021" s="1" t="s">
        <v>126</v>
      </c>
      <c r="AX4021" s="1">
        <v>0</v>
      </c>
      <c r="BA4021" s="1">
        <v>9</v>
      </c>
      <c r="BB4021" s="1">
        <v>0</v>
      </c>
      <c r="BC4021" s="1">
        <v>0</v>
      </c>
      <c r="BE4021" s="1">
        <v>27721866</v>
      </c>
    </row>
    <row r="4022" spans="1:57" x14ac:dyDescent="0.25">
      <c r="A4022" s="1" t="str">
        <f>T("1951572738527924656")</f>
        <v>1951572738527924656</v>
      </c>
      <c r="B4022" s="1" t="str">
        <f>T("249961068682")</f>
        <v>249961068682</v>
      </c>
      <c r="C4022" s="1" t="str">
        <f>T("1941094533362093768")</f>
        <v>1941094533362093768</v>
      </c>
      <c r="AC4022" s="1" t="s">
        <v>344</v>
      </c>
      <c r="AD4022" s="1" t="s">
        <v>357</v>
      </c>
      <c r="AE4022" s="1" t="s">
        <v>812</v>
      </c>
      <c r="AF4022" s="1" t="s">
        <v>107</v>
      </c>
      <c r="AG4022" s="1">
        <v>36</v>
      </c>
      <c r="AO4022" s="2">
        <v>46294</v>
      </c>
      <c r="AP4022" s="1" t="s">
        <v>924</v>
      </c>
      <c r="AS4022" s="1" t="s">
        <v>71</v>
      </c>
      <c r="AU4022" s="1" t="s">
        <v>72</v>
      </c>
      <c r="AV4022" s="1" t="s">
        <v>73</v>
      </c>
      <c r="AX4022" s="1">
        <v>0</v>
      </c>
      <c r="BA4022" s="1">
        <v>9</v>
      </c>
      <c r="BB4022" s="1">
        <v>0</v>
      </c>
      <c r="BC4022" s="1">
        <v>0</v>
      </c>
      <c r="BE4022" s="1">
        <v>27824644</v>
      </c>
    </row>
    <row r="4023" spans="1:57" x14ac:dyDescent="0.25">
      <c r="A4023" s="1" t="str">
        <f>T("1951572738527928056")</f>
        <v>1951572738527928056</v>
      </c>
      <c r="B4023" s="1" t="str">
        <f>T("249913204983")</f>
        <v>249913204983</v>
      </c>
      <c r="C4023" s="1" t="str">
        <f>T("1941094533366285076")</f>
        <v>1941094533366285076</v>
      </c>
      <c r="AC4023" s="1" t="s">
        <v>344</v>
      </c>
      <c r="AD4023" s="1" t="s">
        <v>441</v>
      </c>
      <c r="AE4023" s="1" t="s">
        <v>530</v>
      </c>
      <c r="AF4023" s="1" t="s">
        <v>107</v>
      </c>
      <c r="AG4023" s="1">
        <v>25</v>
      </c>
      <c r="AO4023" s="2">
        <v>46294</v>
      </c>
      <c r="AP4023" s="1" t="s">
        <v>924</v>
      </c>
      <c r="AS4023" s="1" t="s">
        <v>71</v>
      </c>
      <c r="AU4023" s="1" t="s">
        <v>72</v>
      </c>
      <c r="AV4023" s="1" t="s">
        <v>437</v>
      </c>
      <c r="AX4023" s="1">
        <v>0</v>
      </c>
      <c r="BA4023" s="1">
        <v>9</v>
      </c>
      <c r="BB4023" s="1">
        <v>0</v>
      </c>
      <c r="BC4023" s="1">
        <v>0</v>
      </c>
      <c r="BE4023" s="1">
        <v>27824644</v>
      </c>
    </row>
    <row r="4024" spans="1:57" x14ac:dyDescent="0.25">
      <c r="A4024" s="1" t="str">
        <f>T("1951572738532119064")</f>
        <v>1951572738532119064</v>
      </c>
      <c r="B4024" s="1" t="str">
        <f>T("249188366690")</f>
        <v>249188366690</v>
      </c>
      <c r="C4024" s="1" t="str">
        <f>T("1941094533366284576")</f>
        <v>1941094533366284576</v>
      </c>
      <c r="AC4024" s="1" t="s">
        <v>344</v>
      </c>
      <c r="AD4024" s="1" t="s">
        <v>372</v>
      </c>
      <c r="AE4024" s="1" t="s">
        <v>814</v>
      </c>
      <c r="AF4024" s="1" t="s">
        <v>107</v>
      </c>
      <c r="AG4024" s="1">
        <v>55</v>
      </c>
      <c r="AO4024" s="2">
        <v>46294</v>
      </c>
      <c r="AP4024" s="1" t="s">
        <v>924</v>
      </c>
      <c r="AS4024" s="1" t="s">
        <v>71</v>
      </c>
      <c r="AU4024" s="1" t="s">
        <v>72</v>
      </c>
      <c r="AV4024" s="1" t="s">
        <v>336</v>
      </c>
      <c r="AX4024" s="1">
        <v>0</v>
      </c>
      <c r="BA4024" s="1">
        <v>1</v>
      </c>
      <c r="BB4024" s="1">
        <v>0</v>
      </c>
      <c r="BC4024" s="1">
        <v>0</v>
      </c>
      <c r="BE4024" s="1">
        <v>27824644</v>
      </c>
    </row>
    <row r="4025" spans="1:57" x14ac:dyDescent="0.25">
      <c r="A4025" s="1" t="str">
        <f>T("1951572738574062744")</f>
        <v>1951572738574062744</v>
      </c>
      <c r="B4025" s="1" t="str">
        <f>T("249900282357")</f>
        <v>249900282357</v>
      </c>
      <c r="C4025" s="1" t="str">
        <f>T("1941094533366285476")</f>
        <v>1941094533366285476</v>
      </c>
      <c r="AC4025" s="1" t="s">
        <v>344</v>
      </c>
      <c r="AD4025" s="1" t="s">
        <v>441</v>
      </c>
      <c r="AE4025" s="1" t="s">
        <v>530</v>
      </c>
      <c r="AF4025" s="1" t="s">
        <v>144</v>
      </c>
      <c r="AG4025" s="1">
        <v>43</v>
      </c>
      <c r="AO4025" s="2">
        <v>46294</v>
      </c>
      <c r="AP4025" s="1" t="s">
        <v>924</v>
      </c>
      <c r="AS4025" s="1" t="s">
        <v>71</v>
      </c>
      <c r="AU4025" s="1" t="s">
        <v>72</v>
      </c>
      <c r="AV4025" s="1" t="s">
        <v>437</v>
      </c>
      <c r="AX4025" s="1">
        <v>0</v>
      </c>
      <c r="BA4025" s="1">
        <v>9</v>
      </c>
      <c r="BB4025" s="1">
        <v>0</v>
      </c>
      <c r="BC4025" s="1">
        <v>0</v>
      </c>
      <c r="BE4025" s="1">
        <v>27824644</v>
      </c>
    </row>
    <row r="4026" spans="1:57" x14ac:dyDescent="0.25">
      <c r="A4026" s="1" t="str">
        <f>T("1951572738708282500")</f>
        <v>1951572738708282500</v>
      </c>
      <c r="B4026" s="1" t="str">
        <f>T("249914426401")</f>
        <v>249914426401</v>
      </c>
      <c r="C4026" s="1" t="str">
        <f>T("1941094533366285876")</f>
        <v>1941094533366285876</v>
      </c>
      <c r="AC4026" s="1" t="s">
        <v>344</v>
      </c>
      <c r="AD4026" s="1" t="s">
        <v>372</v>
      </c>
      <c r="AE4026" s="1" t="s">
        <v>813</v>
      </c>
      <c r="AF4026" s="1" t="s">
        <v>107</v>
      </c>
      <c r="AG4026" s="1">
        <v>35</v>
      </c>
      <c r="AO4026" s="2">
        <v>46294</v>
      </c>
      <c r="AP4026" s="1" t="s">
        <v>924</v>
      </c>
      <c r="AS4026" s="1" t="s">
        <v>71</v>
      </c>
      <c r="AU4026" s="1" t="s">
        <v>72</v>
      </c>
      <c r="AV4026" s="1" t="s">
        <v>437</v>
      </c>
      <c r="AX4026" s="1">
        <v>0</v>
      </c>
      <c r="BA4026" s="1">
        <v>9</v>
      </c>
      <c r="BB4026" s="1">
        <v>0</v>
      </c>
      <c r="BC4026" s="1">
        <v>0</v>
      </c>
      <c r="BE4026" s="1">
        <v>27824644</v>
      </c>
    </row>
    <row r="4027" spans="1:57" x14ac:dyDescent="0.25">
      <c r="A4027" s="1" t="str">
        <f>T("1951572738716670116")</f>
        <v>1951572738716670116</v>
      </c>
      <c r="B4027" s="1" t="str">
        <f>T("249900517595")</f>
        <v>249900517595</v>
      </c>
      <c r="C4027" s="1" t="str">
        <f>T("1941094533366286976")</f>
        <v>1941094533366286976</v>
      </c>
      <c r="AC4027" s="1" t="s">
        <v>344</v>
      </c>
      <c r="AD4027" s="1" t="s">
        <v>372</v>
      </c>
      <c r="AE4027" s="1" t="s">
        <v>813</v>
      </c>
      <c r="AF4027" s="1" t="s">
        <v>107</v>
      </c>
      <c r="AG4027" s="1">
        <v>50</v>
      </c>
      <c r="AO4027" s="2">
        <v>46294</v>
      </c>
      <c r="AP4027" s="1" t="s">
        <v>924</v>
      </c>
      <c r="AS4027" s="1" t="s">
        <v>71</v>
      </c>
      <c r="AU4027" s="1" t="s">
        <v>72</v>
      </c>
      <c r="AV4027" s="1" t="s">
        <v>73</v>
      </c>
      <c r="AX4027" s="1">
        <v>0</v>
      </c>
      <c r="BA4027" s="1">
        <v>9</v>
      </c>
      <c r="BB4027" s="1">
        <v>0</v>
      </c>
      <c r="BC4027" s="1">
        <v>0</v>
      </c>
      <c r="BE4027" s="1">
        <v>27824644</v>
      </c>
    </row>
    <row r="4028" spans="1:57" x14ac:dyDescent="0.25">
      <c r="A4028" s="1" t="str">
        <f>T("1951572738716671516")</f>
        <v>1951572738716671516</v>
      </c>
      <c r="B4028" s="1" t="str">
        <f>T("249902281953")</f>
        <v>249902281953</v>
      </c>
      <c r="C4028" s="1" t="str">
        <f>T("1941094533366286276")</f>
        <v>1941094533366286276</v>
      </c>
      <c r="AC4028" s="1" t="s">
        <v>344</v>
      </c>
      <c r="AD4028" s="1" t="s">
        <v>430</v>
      </c>
      <c r="AE4028" s="1" t="s">
        <v>530</v>
      </c>
      <c r="AF4028" s="1" t="s">
        <v>107</v>
      </c>
      <c r="AG4028" s="1">
        <v>33</v>
      </c>
      <c r="AO4028" s="2">
        <v>46294</v>
      </c>
      <c r="AP4028" s="1" t="s">
        <v>924</v>
      </c>
      <c r="AS4028" s="1" t="s">
        <v>71</v>
      </c>
      <c r="AU4028" s="1" t="s">
        <v>72</v>
      </c>
      <c r="AV4028" s="1" t="s">
        <v>73</v>
      </c>
      <c r="AX4028" s="1">
        <v>0</v>
      </c>
      <c r="BA4028" s="1">
        <v>9</v>
      </c>
      <c r="BB4028" s="1">
        <v>0</v>
      </c>
      <c r="BC4028" s="1">
        <v>0</v>
      </c>
      <c r="BE4028" s="1">
        <v>27824644</v>
      </c>
    </row>
    <row r="4029" spans="1:57" x14ac:dyDescent="0.25">
      <c r="A4029" s="1" t="str">
        <f>T("1951572738762807004")</f>
        <v>1951572738762807004</v>
      </c>
      <c r="B4029" s="1" t="str">
        <f>T("249912550630")</f>
        <v>249912550630</v>
      </c>
      <c r="C4029" s="1" t="str">
        <f>T("1941094533366287276")</f>
        <v>1941094533366287276</v>
      </c>
      <c r="AC4029" s="1" t="s">
        <v>344</v>
      </c>
      <c r="AD4029" s="1" t="s">
        <v>372</v>
      </c>
      <c r="AE4029" s="1" t="s">
        <v>818</v>
      </c>
      <c r="AF4029" s="1" t="s">
        <v>144</v>
      </c>
      <c r="AG4029" s="1">
        <v>30</v>
      </c>
      <c r="AO4029" s="2">
        <v>46294</v>
      </c>
      <c r="AP4029" s="1" t="s">
        <v>924</v>
      </c>
      <c r="AS4029" s="1" t="s">
        <v>71</v>
      </c>
      <c r="AU4029" s="1" t="s">
        <v>72</v>
      </c>
      <c r="AV4029" s="1" t="s">
        <v>73</v>
      </c>
      <c r="AX4029" s="1">
        <v>0</v>
      </c>
      <c r="BA4029" s="1">
        <v>9</v>
      </c>
      <c r="BB4029" s="1">
        <v>0</v>
      </c>
      <c r="BC4029" s="1">
        <v>0</v>
      </c>
      <c r="BE4029" s="1">
        <v>27824644</v>
      </c>
    </row>
    <row r="4030" spans="1:57" x14ac:dyDescent="0.25">
      <c r="A4030" s="1" t="str">
        <f>T("1951572738767000912")</f>
        <v>1951572738767000912</v>
      </c>
      <c r="B4030" s="1" t="str">
        <f>T("249904385947")</f>
        <v>249904385947</v>
      </c>
      <c r="C4030" s="1" t="str">
        <f>T("1941094533366287776")</f>
        <v>1941094533366287776</v>
      </c>
      <c r="AC4030" s="1" t="s">
        <v>344</v>
      </c>
      <c r="AD4030" s="1" t="s">
        <v>430</v>
      </c>
      <c r="AE4030" s="1" t="s">
        <v>530</v>
      </c>
      <c r="AF4030" s="1" t="s">
        <v>107</v>
      </c>
      <c r="AG4030" s="1">
        <v>23</v>
      </c>
      <c r="AO4030" s="2">
        <v>46294</v>
      </c>
      <c r="AP4030" s="1" t="s">
        <v>924</v>
      </c>
      <c r="AS4030" s="1" t="s">
        <v>71</v>
      </c>
      <c r="AU4030" s="1" t="s">
        <v>72</v>
      </c>
      <c r="AV4030" s="1" t="s">
        <v>73</v>
      </c>
      <c r="AX4030" s="1">
        <v>0</v>
      </c>
      <c r="BA4030" s="1">
        <v>9</v>
      </c>
      <c r="BB4030" s="1">
        <v>0</v>
      </c>
      <c r="BC4030" s="1">
        <v>0</v>
      </c>
      <c r="BE4030" s="1">
        <v>27824644</v>
      </c>
    </row>
    <row r="4031" spans="1:57" x14ac:dyDescent="0.25">
      <c r="A4031" s="1" t="str">
        <f>T("1951572738783776944")</f>
        <v>1951572738783776944</v>
      </c>
      <c r="B4031" s="1" t="str">
        <f>T("249915264826")</f>
        <v>249915264826</v>
      </c>
      <c r="C4031" s="1" t="str">
        <f>T("1941094533374674692")</f>
        <v>1941094533374674692</v>
      </c>
      <c r="AC4031" s="1" t="s">
        <v>344</v>
      </c>
      <c r="AD4031" s="1" t="s">
        <v>441</v>
      </c>
      <c r="AE4031" s="1" t="s">
        <v>530</v>
      </c>
      <c r="AF4031" s="1" t="s">
        <v>144</v>
      </c>
      <c r="AG4031" s="1">
        <v>40</v>
      </c>
      <c r="AO4031" s="2">
        <v>46294</v>
      </c>
      <c r="AP4031" s="1" t="s">
        <v>924</v>
      </c>
      <c r="AS4031" s="1" t="s">
        <v>71</v>
      </c>
      <c r="AU4031" s="1" t="s">
        <v>72</v>
      </c>
      <c r="AV4031" s="1" t="s">
        <v>437</v>
      </c>
      <c r="AX4031" s="1">
        <v>0</v>
      </c>
      <c r="BA4031" s="1">
        <v>9</v>
      </c>
      <c r="BB4031" s="1">
        <v>0</v>
      </c>
      <c r="BC4031" s="1">
        <v>0</v>
      </c>
      <c r="BE4031" s="1">
        <v>27824644</v>
      </c>
    </row>
    <row r="4032" spans="1:57" x14ac:dyDescent="0.25">
      <c r="A4032" s="1" t="str">
        <f>T("1951572738787974452")</f>
        <v>1951572738787974452</v>
      </c>
      <c r="B4032" s="1" t="str">
        <f>T("249917568798")</f>
        <v>249917568798</v>
      </c>
      <c r="C4032" s="1" t="str">
        <f>T("1941094533374675292")</f>
        <v>1941094533374675292</v>
      </c>
      <c r="AC4032" s="1" t="s">
        <v>344</v>
      </c>
      <c r="AD4032" s="1" t="s">
        <v>430</v>
      </c>
      <c r="AE4032" s="1" t="s">
        <v>530</v>
      </c>
      <c r="AF4032" s="1" t="s">
        <v>107</v>
      </c>
      <c r="AG4032" s="1">
        <v>25</v>
      </c>
      <c r="AO4032" s="2">
        <v>46294</v>
      </c>
      <c r="AP4032" s="1" t="s">
        <v>924</v>
      </c>
      <c r="AS4032" s="1" t="s">
        <v>71</v>
      </c>
      <c r="AU4032" s="1" t="s">
        <v>72</v>
      </c>
      <c r="AV4032" s="1" t="s">
        <v>437</v>
      </c>
      <c r="AX4032" s="1">
        <v>0</v>
      </c>
      <c r="BA4032" s="1">
        <v>9</v>
      </c>
      <c r="BB4032" s="1">
        <v>0</v>
      </c>
      <c r="BC4032" s="1">
        <v>0</v>
      </c>
      <c r="BE4032" s="1">
        <v>27824644</v>
      </c>
    </row>
    <row r="4033" spans="1:57" x14ac:dyDescent="0.25">
      <c r="A4033" s="1" t="str">
        <f>T("1951572738813140200")</f>
        <v>1951572738813140200</v>
      </c>
      <c r="B4033" s="1" t="str">
        <f>T("249902183017")</f>
        <v>249902183017</v>
      </c>
      <c r="C4033" s="1" t="str">
        <f>T("1941094533374675692")</f>
        <v>1941094533374675692</v>
      </c>
      <c r="AC4033" s="1" t="s">
        <v>344</v>
      </c>
      <c r="AD4033" s="1" t="s">
        <v>441</v>
      </c>
      <c r="AE4033" s="1" t="s">
        <v>530</v>
      </c>
      <c r="AF4033" s="1" t="s">
        <v>107</v>
      </c>
      <c r="AG4033" s="1">
        <v>35</v>
      </c>
      <c r="AO4033" s="2">
        <v>46294</v>
      </c>
      <c r="AP4033" s="1" t="s">
        <v>924</v>
      </c>
      <c r="AS4033" s="1" t="s">
        <v>71</v>
      </c>
      <c r="AU4033" s="1" t="s">
        <v>72</v>
      </c>
      <c r="AV4033" s="1" t="s">
        <v>73</v>
      </c>
      <c r="AX4033" s="1">
        <v>0</v>
      </c>
      <c r="BA4033" s="1">
        <v>9</v>
      </c>
      <c r="BB4033" s="1">
        <v>0</v>
      </c>
      <c r="BC4033" s="1">
        <v>0</v>
      </c>
      <c r="BE4033" s="1">
        <v>27824644</v>
      </c>
    </row>
    <row r="4034" spans="1:57" x14ac:dyDescent="0.25">
      <c r="A4034" s="1" t="str">
        <f>T("1951572738829915932")</f>
        <v>1951572738829915932</v>
      </c>
      <c r="B4034" s="1" t="str">
        <f>T("249962162109")</f>
        <v>249962162109</v>
      </c>
      <c r="C4034" s="1" t="str">
        <f>T("1941094533378869400")</f>
        <v>1941094533378869400</v>
      </c>
      <c r="AC4034" s="1" t="s">
        <v>344</v>
      </c>
      <c r="AD4034" s="1" t="s">
        <v>372</v>
      </c>
      <c r="AE4034" s="1" t="s">
        <v>820</v>
      </c>
      <c r="AF4034" s="1" t="s">
        <v>107</v>
      </c>
      <c r="AG4034" s="1">
        <v>53</v>
      </c>
      <c r="AO4034" s="2">
        <v>46294</v>
      </c>
      <c r="AP4034" s="1" t="s">
        <v>924</v>
      </c>
      <c r="AS4034" s="1" t="s">
        <v>71</v>
      </c>
      <c r="AU4034" s="1" t="s">
        <v>72</v>
      </c>
      <c r="AV4034" s="1" t="s">
        <v>437</v>
      </c>
      <c r="AX4034" s="1">
        <v>0</v>
      </c>
      <c r="BA4034" s="1">
        <v>9</v>
      </c>
      <c r="BB4034" s="1">
        <v>0</v>
      </c>
      <c r="BC4034" s="1">
        <v>0</v>
      </c>
      <c r="BE4034" s="1">
        <v>27824644</v>
      </c>
    </row>
    <row r="4035" spans="1:57" x14ac:dyDescent="0.25">
      <c r="A4035" s="1" t="str">
        <f>T("1951572738834110740")</f>
        <v>1951572738834110740</v>
      </c>
      <c r="B4035" s="1" t="str">
        <f>T("249969215793")</f>
        <v>249969215793</v>
      </c>
      <c r="C4035" s="1" t="str">
        <f>T("1941094533374676292")</f>
        <v>1941094533374676292</v>
      </c>
      <c r="AC4035" s="1" t="s">
        <v>344</v>
      </c>
      <c r="AD4035" s="1" t="s">
        <v>372</v>
      </c>
      <c r="AE4035" s="1" t="s">
        <v>373</v>
      </c>
      <c r="AF4035" s="1" t="s">
        <v>107</v>
      </c>
      <c r="AG4035" s="1">
        <v>25</v>
      </c>
      <c r="AO4035" s="2">
        <v>46294</v>
      </c>
      <c r="AP4035" s="1" t="s">
        <v>924</v>
      </c>
      <c r="AS4035" s="1" t="s">
        <v>71</v>
      </c>
      <c r="AU4035" s="1" t="s">
        <v>72</v>
      </c>
      <c r="AV4035" s="1" t="s">
        <v>437</v>
      </c>
      <c r="AX4035" s="1">
        <v>0</v>
      </c>
      <c r="BA4035" s="1">
        <v>9</v>
      </c>
      <c r="BB4035" s="1">
        <v>0</v>
      </c>
      <c r="BC4035" s="1">
        <v>0</v>
      </c>
      <c r="BE4035" s="1">
        <v>27824644</v>
      </c>
    </row>
    <row r="4036" spans="1:57" x14ac:dyDescent="0.25">
      <c r="A4036" s="1" t="str">
        <f>T("1951572738842499656")</f>
        <v>1951572738842499656</v>
      </c>
      <c r="B4036" s="1" t="str">
        <f>T("249918090922")</f>
        <v>249918090922</v>
      </c>
      <c r="C4036" s="1" t="str">
        <f>T("1941094533378869800")</f>
        <v>1941094533378869800</v>
      </c>
      <c r="AC4036" s="1" t="s">
        <v>344</v>
      </c>
      <c r="AD4036" s="1" t="s">
        <v>372</v>
      </c>
      <c r="AE4036" s="1" t="s">
        <v>373</v>
      </c>
      <c r="AF4036" s="1" t="s">
        <v>107</v>
      </c>
      <c r="AG4036" s="1">
        <v>35</v>
      </c>
      <c r="AO4036" s="2">
        <v>46294</v>
      </c>
      <c r="AP4036" s="1" t="s">
        <v>924</v>
      </c>
      <c r="AS4036" s="1" t="s">
        <v>71</v>
      </c>
      <c r="AU4036" s="1" t="s">
        <v>72</v>
      </c>
      <c r="AV4036" s="1" t="s">
        <v>73</v>
      </c>
      <c r="AX4036" s="1">
        <v>0</v>
      </c>
      <c r="BA4036" s="1">
        <v>9</v>
      </c>
      <c r="BB4036" s="1">
        <v>0</v>
      </c>
      <c r="BC4036" s="1">
        <v>0</v>
      </c>
      <c r="BE4036" s="1">
        <v>27824644</v>
      </c>
    </row>
    <row r="4037" spans="1:57" x14ac:dyDescent="0.25">
      <c r="A4037" s="1" t="str">
        <f>T("1951572738863468796")</f>
        <v>1951572738863468796</v>
      </c>
      <c r="B4037" s="1" t="str">
        <f>T("249918498932")</f>
        <v>249918498932</v>
      </c>
      <c r="C4037" s="1" t="str">
        <f>T("1941094533378870400")</f>
        <v>1941094533378870400</v>
      </c>
      <c r="AC4037" s="1" t="s">
        <v>344</v>
      </c>
      <c r="AD4037" s="1" t="s">
        <v>372</v>
      </c>
      <c r="AE4037" s="1" t="s">
        <v>813</v>
      </c>
      <c r="AF4037" s="1" t="s">
        <v>144</v>
      </c>
      <c r="AG4037" s="1">
        <v>60</v>
      </c>
      <c r="AO4037" s="2">
        <v>46294</v>
      </c>
      <c r="AP4037" s="1" t="s">
        <v>924</v>
      </c>
      <c r="AS4037" s="1" t="s">
        <v>71</v>
      </c>
      <c r="AU4037" s="1" t="s">
        <v>72</v>
      </c>
      <c r="AV4037" s="1" t="s">
        <v>437</v>
      </c>
      <c r="AX4037" s="1">
        <v>0</v>
      </c>
      <c r="BA4037" s="1">
        <v>9</v>
      </c>
      <c r="BB4037" s="1">
        <v>0</v>
      </c>
      <c r="BC4037" s="1">
        <v>0</v>
      </c>
      <c r="BE4037" s="1">
        <v>27824644</v>
      </c>
    </row>
    <row r="4038" spans="1:57" x14ac:dyDescent="0.25">
      <c r="A4038" s="1" t="str">
        <f>T("1951572738876053220")</f>
        <v>1951572738876053220</v>
      </c>
      <c r="B4038" s="1" t="str">
        <f>T("249919296254")</f>
        <v>249919296254</v>
      </c>
      <c r="C4038" s="1" t="str">
        <f>T("1941094533378870900")</f>
        <v>1941094533378870900</v>
      </c>
      <c r="AC4038" s="1" t="s">
        <v>344</v>
      </c>
      <c r="AD4038" s="1" t="s">
        <v>372</v>
      </c>
      <c r="AE4038" s="1" t="s">
        <v>818</v>
      </c>
      <c r="AF4038" s="1" t="s">
        <v>144</v>
      </c>
      <c r="AG4038" s="1">
        <v>65</v>
      </c>
      <c r="AO4038" s="2">
        <v>46294</v>
      </c>
      <c r="AP4038" s="1" t="s">
        <v>924</v>
      </c>
      <c r="AS4038" s="1" t="s">
        <v>71</v>
      </c>
      <c r="AU4038" s="1" t="s">
        <v>72</v>
      </c>
      <c r="AV4038" s="1" t="s">
        <v>73</v>
      </c>
      <c r="AX4038" s="1">
        <v>0</v>
      </c>
      <c r="BA4038" s="1">
        <v>9</v>
      </c>
      <c r="BB4038" s="1">
        <v>0</v>
      </c>
      <c r="BC4038" s="1">
        <v>0</v>
      </c>
      <c r="BE4038" s="1">
        <v>27824644</v>
      </c>
    </row>
    <row r="4039" spans="1:57" x14ac:dyDescent="0.25">
      <c r="A4039" s="1" t="str">
        <f>T("1951572738884442436")</f>
        <v>1951572738884442436</v>
      </c>
      <c r="B4039" s="1" t="str">
        <f>T("249917860586")</f>
        <v>249917860586</v>
      </c>
      <c r="C4039" s="1" t="str">
        <f>T("1941094533383061608")</f>
        <v>1941094533383061608</v>
      </c>
      <c r="AC4039" s="1" t="s">
        <v>344</v>
      </c>
      <c r="AD4039" s="1" t="s">
        <v>441</v>
      </c>
      <c r="AE4039" s="1" t="s">
        <v>530</v>
      </c>
      <c r="AF4039" s="1" t="s">
        <v>107</v>
      </c>
      <c r="AG4039" s="1">
        <v>40</v>
      </c>
      <c r="AO4039" s="2">
        <v>46294</v>
      </c>
      <c r="AP4039" s="1" t="s">
        <v>924</v>
      </c>
      <c r="AS4039" s="1" t="s">
        <v>71</v>
      </c>
      <c r="AU4039" s="1" t="s">
        <v>72</v>
      </c>
      <c r="AV4039" s="1" t="s">
        <v>73</v>
      </c>
      <c r="AX4039" s="1">
        <v>0</v>
      </c>
      <c r="BA4039" s="1">
        <v>9</v>
      </c>
      <c r="BB4039" s="1">
        <v>0</v>
      </c>
      <c r="BC4039" s="1">
        <v>0</v>
      </c>
      <c r="BE4039" s="1">
        <v>27824644</v>
      </c>
    </row>
    <row r="4040" spans="1:57" x14ac:dyDescent="0.25">
      <c r="A4040" s="1" t="str">
        <f>T("1951572738892832152")</f>
        <v>1951572738892832152</v>
      </c>
      <c r="B4040" s="1" t="str">
        <f>T("249916671650")</f>
        <v>249916671650</v>
      </c>
      <c r="C4040" s="1" t="str">
        <f>T("1941094533383062108")</f>
        <v>1941094533383062108</v>
      </c>
      <c r="AC4040" s="1" t="s">
        <v>344</v>
      </c>
      <c r="AD4040" s="1" t="s">
        <v>430</v>
      </c>
      <c r="AE4040" s="1" t="s">
        <v>530</v>
      </c>
      <c r="AF4040" s="1" t="s">
        <v>144</v>
      </c>
      <c r="AG4040" s="1">
        <v>18</v>
      </c>
      <c r="AO4040" s="2">
        <v>46294</v>
      </c>
      <c r="AP4040" s="1" t="s">
        <v>924</v>
      </c>
      <c r="AS4040" s="1" t="s">
        <v>71</v>
      </c>
      <c r="AU4040" s="1" t="s">
        <v>72</v>
      </c>
      <c r="AV4040" s="1" t="s">
        <v>437</v>
      </c>
      <c r="AX4040" s="1">
        <v>0</v>
      </c>
      <c r="BA4040" s="1">
        <v>9</v>
      </c>
      <c r="BB4040" s="1">
        <v>0</v>
      </c>
      <c r="BC4040" s="1">
        <v>0</v>
      </c>
      <c r="BE4040" s="1">
        <v>27824644</v>
      </c>
    </row>
    <row r="4041" spans="1:57" x14ac:dyDescent="0.25">
      <c r="A4041" s="1" t="str">
        <f>T("1951572738926383816")</f>
        <v>1951572738926383816</v>
      </c>
      <c r="B4041" s="1" t="str">
        <f>T("249904649591")</f>
        <v>249904649591</v>
      </c>
      <c r="C4041" s="1" t="str">
        <f>T("1941094533383062508")</f>
        <v>1941094533383062508</v>
      </c>
      <c r="AC4041" s="1" t="s">
        <v>344</v>
      </c>
      <c r="AD4041" s="1" t="s">
        <v>372</v>
      </c>
      <c r="AE4041" s="1" t="s">
        <v>815</v>
      </c>
      <c r="AF4041" s="1" t="s">
        <v>107</v>
      </c>
      <c r="AG4041" s="1">
        <v>65</v>
      </c>
      <c r="AO4041" s="2">
        <v>46294</v>
      </c>
      <c r="AP4041" s="1" t="s">
        <v>924</v>
      </c>
      <c r="AS4041" s="1" t="s">
        <v>71</v>
      </c>
      <c r="AU4041" s="1" t="s">
        <v>72</v>
      </c>
      <c r="AV4041" s="1" t="s">
        <v>73</v>
      </c>
      <c r="AX4041" s="1">
        <v>0</v>
      </c>
      <c r="BA4041" s="1">
        <v>9</v>
      </c>
      <c r="BB4041" s="1">
        <v>0</v>
      </c>
      <c r="BC4041" s="1">
        <v>0</v>
      </c>
      <c r="BE4041" s="1">
        <v>27824644</v>
      </c>
    </row>
    <row r="4042" spans="1:57" x14ac:dyDescent="0.25">
      <c r="A4042" s="1" t="str">
        <f>T("1951572738926383817")</f>
        <v>1951572738926383817</v>
      </c>
      <c r="B4042" s="1" t="str">
        <f>T("249900640382")</f>
        <v>249900640382</v>
      </c>
      <c r="C4042" s="1" t="str">
        <f>T("1941094533383062908")</f>
        <v>1941094533383062908</v>
      </c>
      <c r="AC4042" s="1" t="s">
        <v>344</v>
      </c>
      <c r="AD4042" s="1" t="s">
        <v>372</v>
      </c>
      <c r="AE4042" s="1" t="s">
        <v>373</v>
      </c>
      <c r="AF4042" s="1" t="s">
        <v>107</v>
      </c>
      <c r="AG4042" s="1">
        <v>58</v>
      </c>
      <c r="AO4042" s="2">
        <v>46294</v>
      </c>
      <c r="AP4042" s="1" t="s">
        <v>924</v>
      </c>
      <c r="AS4042" s="1" t="s">
        <v>71</v>
      </c>
      <c r="AU4042" s="1" t="s">
        <v>72</v>
      </c>
      <c r="AV4042" s="1" t="s">
        <v>73</v>
      </c>
      <c r="AX4042" s="1">
        <v>0</v>
      </c>
      <c r="BA4042" s="1">
        <v>9</v>
      </c>
      <c r="BB4042" s="1">
        <v>0</v>
      </c>
      <c r="BC4042" s="1">
        <v>0</v>
      </c>
      <c r="BE4042" s="1">
        <v>27824644</v>
      </c>
    </row>
    <row r="4043" spans="1:57" x14ac:dyDescent="0.25">
      <c r="A4043" s="1" t="str">
        <f>T("1951572738947357756")</f>
        <v>1951572738947357756</v>
      </c>
      <c r="B4043" s="1" t="str">
        <f>T("249915792321")</f>
        <v>249915792321</v>
      </c>
      <c r="C4043" s="1" t="str">
        <f>T("1941094533383063408")</f>
        <v>1941094533383063408</v>
      </c>
      <c r="AC4043" s="1" t="s">
        <v>344</v>
      </c>
      <c r="AD4043" s="1" t="s">
        <v>441</v>
      </c>
      <c r="AE4043" s="1" t="s">
        <v>530</v>
      </c>
      <c r="AF4043" s="1" t="s">
        <v>107</v>
      </c>
      <c r="AG4043" s="1">
        <v>35</v>
      </c>
      <c r="AO4043" s="2">
        <v>46294</v>
      </c>
      <c r="AP4043" s="1" t="s">
        <v>924</v>
      </c>
      <c r="AS4043" s="1" t="s">
        <v>71</v>
      </c>
      <c r="AU4043" s="1" t="s">
        <v>72</v>
      </c>
      <c r="AV4043" s="1" t="s">
        <v>73</v>
      </c>
      <c r="AX4043" s="1">
        <v>0</v>
      </c>
      <c r="BA4043" s="1">
        <v>9</v>
      </c>
      <c r="BB4043" s="1">
        <v>0</v>
      </c>
      <c r="BC4043" s="1">
        <v>0</v>
      </c>
      <c r="BE4043" s="1">
        <v>27824644</v>
      </c>
    </row>
    <row r="4044" spans="1:57" x14ac:dyDescent="0.25">
      <c r="A4044" s="1" t="str">
        <f>T("1951572738955743372")</f>
        <v>1951572738955743372</v>
      </c>
      <c r="B4044" s="1" t="str">
        <f>T("249913978113")</f>
        <v>249913978113</v>
      </c>
      <c r="C4044" s="1" t="str">
        <f>T("1941094533383063908")</f>
        <v>1941094533383063908</v>
      </c>
      <c r="AC4044" s="1" t="s">
        <v>344</v>
      </c>
      <c r="AD4044" s="1" t="s">
        <v>441</v>
      </c>
      <c r="AE4044" s="1" t="s">
        <v>530</v>
      </c>
      <c r="AF4044" s="1" t="s">
        <v>107</v>
      </c>
      <c r="AG4044" s="1">
        <v>65</v>
      </c>
      <c r="AO4044" s="2">
        <v>46294</v>
      </c>
      <c r="AP4044" s="1" t="s">
        <v>924</v>
      </c>
      <c r="AS4044" s="1" t="s">
        <v>71</v>
      </c>
      <c r="AU4044" s="1" t="s">
        <v>72</v>
      </c>
      <c r="AV4044" s="1" t="s">
        <v>437</v>
      </c>
      <c r="AX4044" s="1">
        <v>0</v>
      </c>
      <c r="BA4044" s="1">
        <v>9</v>
      </c>
      <c r="BB4044" s="1">
        <v>0</v>
      </c>
      <c r="BC4044" s="1">
        <v>0</v>
      </c>
      <c r="BE4044" s="1">
        <v>27824644</v>
      </c>
    </row>
    <row r="4045" spans="1:57" x14ac:dyDescent="0.25">
      <c r="A4045" s="1" t="str">
        <f>T("1951572738980909920")</f>
        <v>1951572738980909920</v>
      </c>
      <c r="B4045" s="1" t="str">
        <f>T("249969255289")</f>
        <v>249969255289</v>
      </c>
      <c r="C4045" s="1" t="str">
        <f>T("1941094533383064408")</f>
        <v>1941094533383064408</v>
      </c>
      <c r="AC4045" s="1" t="s">
        <v>344</v>
      </c>
      <c r="AD4045" s="1" t="s">
        <v>430</v>
      </c>
      <c r="AE4045" s="1" t="s">
        <v>530</v>
      </c>
      <c r="AF4045" s="1" t="s">
        <v>107</v>
      </c>
      <c r="AG4045" s="1">
        <v>18</v>
      </c>
      <c r="AO4045" s="2">
        <v>46294</v>
      </c>
      <c r="AP4045" s="1" t="s">
        <v>924</v>
      </c>
      <c r="AS4045" s="1" t="s">
        <v>71</v>
      </c>
      <c r="AU4045" s="1" t="s">
        <v>72</v>
      </c>
      <c r="AV4045" s="1" t="s">
        <v>73</v>
      </c>
      <c r="AX4045" s="1">
        <v>0</v>
      </c>
      <c r="BA4045" s="1">
        <v>9</v>
      </c>
      <c r="BB4045" s="1">
        <v>0</v>
      </c>
      <c r="BC4045" s="1">
        <v>0</v>
      </c>
      <c r="BE4045" s="1">
        <v>27824644</v>
      </c>
    </row>
    <row r="4046" spans="1:57" x14ac:dyDescent="0.25">
      <c r="A4046" s="1" t="str">
        <f>T("1951572738985103928")</f>
        <v>1951572738985103928</v>
      </c>
      <c r="B4046" s="1" t="str">
        <f>T("249906082731")</f>
        <v>249906082731</v>
      </c>
      <c r="C4046" s="1" t="str">
        <f>T("1941094533387257016")</f>
        <v>1941094533387257016</v>
      </c>
      <c r="AC4046" s="1" t="s">
        <v>344</v>
      </c>
      <c r="AD4046" s="1" t="s">
        <v>441</v>
      </c>
      <c r="AE4046" s="1" t="s">
        <v>530</v>
      </c>
      <c r="AF4046" s="1" t="s">
        <v>144</v>
      </c>
      <c r="AG4046" s="1">
        <v>45</v>
      </c>
      <c r="AO4046" s="2">
        <v>46294</v>
      </c>
      <c r="AP4046" s="1" t="s">
        <v>924</v>
      </c>
      <c r="AS4046" s="1" t="s">
        <v>71</v>
      </c>
      <c r="AU4046" s="1" t="s">
        <v>72</v>
      </c>
      <c r="AV4046" s="1" t="s">
        <v>437</v>
      </c>
      <c r="AX4046" s="1">
        <v>0</v>
      </c>
      <c r="BA4046" s="1">
        <v>9</v>
      </c>
      <c r="BB4046" s="1">
        <v>0</v>
      </c>
      <c r="BC4046" s="1">
        <v>0</v>
      </c>
      <c r="BE4046" s="1">
        <v>27824644</v>
      </c>
    </row>
    <row r="4047" spans="1:57" x14ac:dyDescent="0.25">
      <c r="A4047" s="1" t="str">
        <f>T("1951572738997689452")</f>
        <v>1951572738997689452</v>
      </c>
      <c r="B4047" s="1" t="str">
        <f>T("249913460114")</f>
        <v>249913460114</v>
      </c>
      <c r="C4047" s="1" t="str">
        <f>T("1941094533387259116")</f>
        <v>1941094533387259116</v>
      </c>
      <c r="AC4047" s="1" t="s">
        <v>344</v>
      </c>
      <c r="AD4047" s="1" t="s">
        <v>372</v>
      </c>
      <c r="AE4047" s="1" t="s">
        <v>820</v>
      </c>
      <c r="AF4047" s="1" t="s">
        <v>144</v>
      </c>
      <c r="AG4047" s="1">
        <v>70</v>
      </c>
      <c r="AO4047" s="2">
        <v>46294</v>
      </c>
      <c r="AP4047" s="1" t="s">
        <v>924</v>
      </c>
      <c r="AS4047" s="1" t="s">
        <v>71</v>
      </c>
      <c r="AU4047" s="1" t="s">
        <v>72</v>
      </c>
      <c r="AV4047" s="1" t="s">
        <v>73</v>
      </c>
      <c r="AX4047" s="1">
        <v>0</v>
      </c>
      <c r="BA4047" s="1">
        <v>9</v>
      </c>
      <c r="BB4047" s="1">
        <v>0</v>
      </c>
      <c r="BC4047" s="1">
        <v>0</v>
      </c>
      <c r="BE4047" s="1">
        <v>27824644</v>
      </c>
    </row>
    <row r="4048" spans="1:57" x14ac:dyDescent="0.25">
      <c r="A4048" s="1" t="str">
        <f>T("1951572739014463984")</f>
        <v>1951572739014463984</v>
      </c>
      <c r="B4048" s="1" t="str">
        <f>T("249968266536")</f>
        <v>249968266536</v>
      </c>
      <c r="C4048" s="1" t="str">
        <f>T("1941094533391450124")</f>
        <v>1941094533391450124</v>
      </c>
      <c r="AC4048" s="1" t="s">
        <v>344</v>
      </c>
      <c r="AD4048" s="1" t="s">
        <v>441</v>
      </c>
      <c r="AE4048" s="1" t="s">
        <v>530</v>
      </c>
      <c r="AF4048" s="1" t="s">
        <v>107</v>
      </c>
      <c r="AG4048" s="1">
        <v>35</v>
      </c>
      <c r="AO4048" s="2">
        <v>46294</v>
      </c>
      <c r="AP4048" s="1" t="s">
        <v>924</v>
      </c>
      <c r="AS4048" s="1" t="s">
        <v>71</v>
      </c>
      <c r="AU4048" s="1" t="s">
        <v>72</v>
      </c>
      <c r="AV4048" s="1" t="s">
        <v>437</v>
      </c>
      <c r="AX4048" s="1">
        <v>0</v>
      </c>
      <c r="BA4048" s="1">
        <v>9</v>
      </c>
      <c r="BB4048" s="1">
        <v>0</v>
      </c>
      <c r="BC4048" s="1">
        <v>0</v>
      </c>
      <c r="BE4048" s="1">
        <v>27824644</v>
      </c>
    </row>
    <row r="4049" spans="1:57" x14ac:dyDescent="0.25">
      <c r="A4049" s="1" t="str">
        <f>T("1951572739031241916")</f>
        <v>1951572739031241916</v>
      </c>
      <c r="B4049" s="1" t="str">
        <f>T("249916700542")</f>
        <v>249916700542</v>
      </c>
      <c r="C4049" s="1" t="str">
        <f>T("1941094533391451824")</f>
        <v>1941094533391451824</v>
      </c>
      <c r="AC4049" s="1" t="s">
        <v>344</v>
      </c>
      <c r="AD4049" s="1" t="s">
        <v>430</v>
      </c>
      <c r="AE4049" s="1" t="s">
        <v>530</v>
      </c>
      <c r="AF4049" s="1" t="s">
        <v>107</v>
      </c>
      <c r="AG4049" s="1">
        <v>27</v>
      </c>
      <c r="AO4049" s="2">
        <v>46294</v>
      </c>
      <c r="AP4049" s="1" t="s">
        <v>924</v>
      </c>
      <c r="AS4049" s="1" t="s">
        <v>71</v>
      </c>
      <c r="AU4049" s="1" t="s">
        <v>72</v>
      </c>
      <c r="AV4049" s="1" t="s">
        <v>73</v>
      </c>
      <c r="AX4049" s="1">
        <v>0</v>
      </c>
      <c r="BA4049" s="1">
        <v>9</v>
      </c>
      <c r="BB4049" s="1">
        <v>0</v>
      </c>
      <c r="BC4049" s="1">
        <v>0</v>
      </c>
      <c r="BE4049" s="1">
        <v>27824644</v>
      </c>
    </row>
    <row r="4050" spans="1:57" x14ac:dyDescent="0.25">
      <c r="A4050" s="1" t="str">
        <f>T("1951572739048021148")</f>
        <v>1951572739048021148</v>
      </c>
      <c r="B4050" s="1" t="str">
        <f>T("249911208247")</f>
        <v>249911208247</v>
      </c>
      <c r="C4050" s="1" t="str">
        <f>T("1941094533391453124")</f>
        <v>1941094533391453124</v>
      </c>
      <c r="AC4050" s="1" t="s">
        <v>344</v>
      </c>
      <c r="AD4050" s="1" t="s">
        <v>441</v>
      </c>
      <c r="AE4050" s="1" t="s">
        <v>530</v>
      </c>
      <c r="AF4050" s="1" t="s">
        <v>144</v>
      </c>
      <c r="AG4050" s="1">
        <v>35</v>
      </c>
      <c r="AO4050" s="2">
        <v>46294</v>
      </c>
      <c r="AP4050" s="1" t="s">
        <v>924</v>
      </c>
      <c r="AS4050" s="1" t="s">
        <v>71</v>
      </c>
      <c r="AU4050" s="1" t="s">
        <v>72</v>
      </c>
      <c r="AV4050" s="1" t="s">
        <v>437</v>
      </c>
      <c r="AX4050" s="1">
        <v>0</v>
      </c>
      <c r="BA4050" s="1">
        <v>9</v>
      </c>
      <c r="BB4050" s="1">
        <v>0</v>
      </c>
      <c r="BC4050" s="1">
        <v>0</v>
      </c>
      <c r="BE4050" s="1">
        <v>27824644</v>
      </c>
    </row>
    <row r="4051" spans="1:57" x14ac:dyDescent="0.25">
      <c r="A4051" s="1" t="str">
        <f>T("1951572739048021748")</f>
        <v>1951572739048021748</v>
      </c>
      <c r="B4051" s="1" t="str">
        <f>T("249925241036")</f>
        <v>249925241036</v>
      </c>
      <c r="C4051" s="1" t="str">
        <f>T("1941094533391452624")</f>
        <v>1941094533391452624</v>
      </c>
      <c r="AC4051" s="1" t="s">
        <v>344</v>
      </c>
      <c r="AD4051" s="1" t="s">
        <v>372</v>
      </c>
      <c r="AE4051" s="1" t="s">
        <v>818</v>
      </c>
      <c r="AF4051" s="1" t="s">
        <v>144</v>
      </c>
      <c r="AG4051" s="1">
        <v>50</v>
      </c>
      <c r="AO4051" s="2">
        <v>46294</v>
      </c>
      <c r="AP4051" s="1" t="s">
        <v>924</v>
      </c>
      <c r="AS4051" s="1" t="s">
        <v>71</v>
      </c>
      <c r="AU4051" s="1" t="s">
        <v>72</v>
      </c>
      <c r="AV4051" s="1" t="s">
        <v>73</v>
      </c>
      <c r="AX4051" s="1">
        <v>0</v>
      </c>
      <c r="BA4051" s="1">
        <v>9</v>
      </c>
      <c r="BB4051" s="1">
        <v>0</v>
      </c>
      <c r="BC4051" s="1">
        <v>0</v>
      </c>
      <c r="BE4051" s="1">
        <v>27824644</v>
      </c>
    </row>
    <row r="4052" spans="1:57" x14ac:dyDescent="0.25">
      <c r="A4052" s="1" t="str">
        <f>T("1951572739073186196")</f>
        <v>1951572739073186196</v>
      </c>
      <c r="B4052" s="1" t="str">
        <f>T("249964239370")</f>
        <v>249964239370</v>
      </c>
      <c r="C4052" s="1" t="str">
        <f>T("1941094533395645932")</f>
        <v>1941094533395645932</v>
      </c>
      <c r="AC4052" s="1" t="s">
        <v>344</v>
      </c>
      <c r="AD4052" s="1" t="s">
        <v>372</v>
      </c>
      <c r="AE4052" s="1" t="s">
        <v>815</v>
      </c>
      <c r="AF4052" s="1" t="s">
        <v>107</v>
      </c>
      <c r="AG4052" s="1">
        <v>41</v>
      </c>
      <c r="AO4052" s="2">
        <v>46294</v>
      </c>
      <c r="AP4052" s="1" t="s">
        <v>924</v>
      </c>
      <c r="AS4052" s="1" t="s">
        <v>71</v>
      </c>
      <c r="AU4052" s="1" t="s">
        <v>72</v>
      </c>
      <c r="AV4052" s="1" t="s">
        <v>437</v>
      </c>
      <c r="AX4052" s="1">
        <v>0</v>
      </c>
      <c r="BA4052" s="1">
        <v>9</v>
      </c>
      <c r="BB4052" s="1">
        <v>0</v>
      </c>
      <c r="BC4052" s="1">
        <v>0</v>
      </c>
      <c r="BE4052" s="1">
        <v>27824644</v>
      </c>
    </row>
    <row r="4053" spans="1:57" x14ac:dyDescent="0.25">
      <c r="A4053" s="1" t="str">
        <f>T("1951572739085769520")</f>
        <v>1951572739085769520</v>
      </c>
      <c r="B4053" s="1" t="str">
        <f>T("249909860770")</f>
        <v>249909860770</v>
      </c>
      <c r="C4053" s="1" t="str">
        <f>T("1941094533395646432")</f>
        <v>1941094533395646432</v>
      </c>
      <c r="AC4053" s="1" t="s">
        <v>344</v>
      </c>
      <c r="AD4053" s="1" t="s">
        <v>372</v>
      </c>
      <c r="AE4053" s="1" t="s">
        <v>818</v>
      </c>
      <c r="AF4053" s="1" t="s">
        <v>144</v>
      </c>
      <c r="AG4053" s="1">
        <v>45</v>
      </c>
      <c r="AO4053" s="2">
        <v>46294</v>
      </c>
      <c r="AP4053" s="1" t="s">
        <v>924</v>
      </c>
      <c r="AS4053" s="1" t="s">
        <v>71</v>
      </c>
      <c r="AU4053" s="1" t="s">
        <v>72</v>
      </c>
      <c r="AV4053" s="1" t="s">
        <v>437</v>
      </c>
      <c r="AX4053" s="1">
        <v>0</v>
      </c>
      <c r="BA4053" s="1">
        <v>9</v>
      </c>
      <c r="BB4053" s="1">
        <v>0</v>
      </c>
      <c r="BC4053" s="1">
        <v>0</v>
      </c>
      <c r="BE4053" s="1">
        <v>27824644</v>
      </c>
    </row>
    <row r="4054" spans="1:57" x14ac:dyDescent="0.25">
      <c r="A4054" s="1" t="str">
        <f>T("1951572739106738360")</f>
        <v>1951572739106738360</v>
      </c>
      <c r="B4054" s="1" t="str">
        <f>T("249922121849")</f>
        <v>249922121849</v>
      </c>
      <c r="C4054" s="1" t="str">
        <f>T("1941094533395646932")</f>
        <v>1941094533395646932</v>
      </c>
      <c r="AC4054" s="1" t="s">
        <v>344</v>
      </c>
      <c r="AD4054" s="1" t="s">
        <v>372</v>
      </c>
      <c r="AE4054" s="1" t="s">
        <v>815</v>
      </c>
      <c r="AF4054" s="1" t="s">
        <v>107</v>
      </c>
      <c r="AG4054" s="1">
        <v>37</v>
      </c>
      <c r="AO4054" s="2">
        <v>46294</v>
      </c>
      <c r="AP4054" s="1" t="s">
        <v>924</v>
      </c>
      <c r="AS4054" s="1" t="s">
        <v>71</v>
      </c>
      <c r="AU4054" s="1" t="s">
        <v>72</v>
      </c>
      <c r="AV4054" s="1" t="s">
        <v>73</v>
      </c>
      <c r="AX4054" s="1">
        <v>0</v>
      </c>
      <c r="BA4054" s="1">
        <v>9</v>
      </c>
      <c r="BB4054" s="1">
        <v>0</v>
      </c>
      <c r="BC4054" s="1">
        <v>0</v>
      </c>
      <c r="BE4054" s="1">
        <v>27824644</v>
      </c>
    </row>
    <row r="4055" spans="1:57" x14ac:dyDescent="0.25">
      <c r="A4055" s="1" t="str">
        <f>T("1951572739106741860")</f>
        <v>1951572739106741860</v>
      </c>
      <c r="B4055" s="1" t="str">
        <f>T("249912942648")</f>
        <v>249912942648</v>
      </c>
      <c r="C4055" s="1" t="str">
        <f>T("1941094533399838840")</f>
        <v>1941094533399838840</v>
      </c>
      <c r="AC4055" s="1" t="s">
        <v>344</v>
      </c>
      <c r="AD4055" s="1" t="s">
        <v>372</v>
      </c>
      <c r="AE4055" s="1" t="s">
        <v>815</v>
      </c>
      <c r="AF4055" s="1" t="s">
        <v>107</v>
      </c>
      <c r="AG4055" s="1">
        <v>37</v>
      </c>
      <c r="AO4055" s="2">
        <v>46294</v>
      </c>
      <c r="AP4055" s="1" t="s">
        <v>924</v>
      </c>
      <c r="AS4055" s="1" t="s">
        <v>71</v>
      </c>
      <c r="AU4055" s="1" t="s">
        <v>72</v>
      </c>
      <c r="AV4055" s="1" t="s">
        <v>126</v>
      </c>
      <c r="AX4055" s="1">
        <v>0</v>
      </c>
      <c r="BA4055" s="1">
        <v>9</v>
      </c>
      <c r="BB4055" s="1">
        <v>0</v>
      </c>
      <c r="BC4055" s="1">
        <v>0</v>
      </c>
      <c r="BE4055" s="1">
        <v>27824644</v>
      </c>
    </row>
    <row r="4056" spans="1:57" x14ac:dyDescent="0.25">
      <c r="A4056" s="1" t="str">
        <f>T("1951572739136101916")</f>
        <v>1951572739136101916</v>
      </c>
      <c r="B4056" s="1" t="str">
        <f>T("249961691996")</f>
        <v>249961691996</v>
      </c>
      <c r="C4056" s="1" t="str">
        <f>T("1941094533399840240")</f>
        <v>1941094533399840240</v>
      </c>
      <c r="AC4056" s="1" t="s">
        <v>344</v>
      </c>
      <c r="AD4056" s="1" t="s">
        <v>372</v>
      </c>
      <c r="AE4056" s="1" t="s">
        <v>814</v>
      </c>
      <c r="AF4056" s="1" t="s">
        <v>144</v>
      </c>
      <c r="AG4056" s="1">
        <v>50</v>
      </c>
      <c r="AO4056" s="2">
        <v>46294</v>
      </c>
      <c r="AP4056" s="1" t="s">
        <v>924</v>
      </c>
      <c r="AS4056" s="1" t="s">
        <v>71</v>
      </c>
      <c r="AU4056" s="1" t="s">
        <v>72</v>
      </c>
      <c r="AV4056" s="1" t="s">
        <v>437</v>
      </c>
      <c r="AX4056" s="1">
        <v>0</v>
      </c>
      <c r="BA4056" s="1">
        <v>9</v>
      </c>
      <c r="BB4056" s="1">
        <v>0</v>
      </c>
      <c r="BC4056" s="1">
        <v>0</v>
      </c>
      <c r="BE4056" s="1">
        <v>27824644</v>
      </c>
    </row>
    <row r="4057" spans="1:57" x14ac:dyDescent="0.25">
      <c r="A4057" s="1" t="str">
        <f>T("1951572739140294324")</f>
        <v>1951572739140294324</v>
      </c>
      <c r="B4057" s="1" t="str">
        <f>T("249916833797")</f>
        <v>249916833797</v>
      </c>
      <c r="C4057" s="1" t="str">
        <f>T("1941094533399839340")</f>
        <v>1941094533399839340</v>
      </c>
      <c r="AC4057" s="1" t="s">
        <v>344</v>
      </c>
      <c r="AD4057" s="1" t="s">
        <v>430</v>
      </c>
      <c r="AE4057" s="1" t="s">
        <v>530</v>
      </c>
      <c r="AF4057" s="1" t="s">
        <v>107</v>
      </c>
      <c r="AG4057" s="1">
        <v>35</v>
      </c>
      <c r="AO4057" s="2">
        <v>46294</v>
      </c>
      <c r="AP4057" s="1" t="s">
        <v>924</v>
      </c>
      <c r="AS4057" s="1" t="s">
        <v>71</v>
      </c>
      <c r="AU4057" s="1" t="s">
        <v>72</v>
      </c>
      <c r="AV4057" s="1" t="s">
        <v>73</v>
      </c>
      <c r="AX4057" s="1">
        <v>0</v>
      </c>
      <c r="BA4057" s="1">
        <v>9</v>
      </c>
      <c r="BB4057" s="1">
        <v>0</v>
      </c>
      <c r="BC4057" s="1">
        <v>0</v>
      </c>
      <c r="BE4057" s="1">
        <v>27824644</v>
      </c>
    </row>
    <row r="4058" spans="1:57" x14ac:dyDescent="0.25">
      <c r="A4058" s="1" t="str">
        <f>T("1951572739157071956")</f>
        <v>1951572739157071956</v>
      </c>
      <c r="B4058" s="1" t="str">
        <f>T("249919433780")</f>
        <v>249919433780</v>
      </c>
      <c r="C4058" s="1" t="str">
        <f>T("1941094533399840640")</f>
        <v>1941094533399840640</v>
      </c>
      <c r="AC4058" s="1" t="s">
        <v>344</v>
      </c>
      <c r="AD4058" s="1" t="s">
        <v>372</v>
      </c>
      <c r="AE4058" s="1" t="s">
        <v>815</v>
      </c>
      <c r="AF4058" s="1" t="s">
        <v>107</v>
      </c>
      <c r="AG4058" s="1">
        <v>52</v>
      </c>
      <c r="AO4058" s="2">
        <v>46294</v>
      </c>
      <c r="AP4058" s="1" t="s">
        <v>924</v>
      </c>
      <c r="AS4058" s="1" t="s">
        <v>71</v>
      </c>
      <c r="AU4058" s="1" t="s">
        <v>72</v>
      </c>
      <c r="AV4058" s="1" t="s">
        <v>73</v>
      </c>
      <c r="AX4058" s="1">
        <v>0</v>
      </c>
      <c r="BA4058" s="1">
        <v>9</v>
      </c>
      <c r="BB4058" s="1">
        <v>0</v>
      </c>
      <c r="BC4058" s="1">
        <v>0</v>
      </c>
      <c r="BE4058" s="1">
        <v>27824644</v>
      </c>
    </row>
    <row r="4059" spans="1:57" x14ac:dyDescent="0.25">
      <c r="A4059" s="1" t="str">
        <f>T("1951572739165459172")</f>
        <v>1951572739165459172</v>
      </c>
      <c r="B4059" s="1" t="str">
        <f>T("249910474212")</f>
        <v>249910474212</v>
      </c>
      <c r="C4059" s="1" t="str">
        <f>T("1941094533399840840")</f>
        <v>1941094533399840840</v>
      </c>
      <c r="AC4059" s="1" t="s">
        <v>344</v>
      </c>
      <c r="AD4059" s="1" t="s">
        <v>430</v>
      </c>
      <c r="AE4059" s="1" t="s">
        <v>530</v>
      </c>
      <c r="AF4059" s="1" t="s">
        <v>107</v>
      </c>
      <c r="AG4059" s="1">
        <v>29</v>
      </c>
      <c r="AO4059" s="2">
        <v>46294</v>
      </c>
      <c r="AP4059" s="1" t="s">
        <v>924</v>
      </c>
      <c r="AS4059" s="1" t="s">
        <v>71</v>
      </c>
      <c r="AU4059" s="1" t="s">
        <v>72</v>
      </c>
      <c r="AV4059" s="1" t="s">
        <v>73</v>
      </c>
      <c r="AX4059" s="1">
        <v>0</v>
      </c>
      <c r="BA4059" s="1">
        <v>9</v>
      </c>
      <c r="BB4059" s="1">
        <v>0</v>
      </c>
      <c r="BC4059" s="1">
        <v>0</v>
      </c>
      <c r="BE4059" s="1">
        <v>27824644</v>
      </c>
    </row>
    <row r="4060" spans="1:57" x14ac:dyDescent="0.25">
      <c r="A4060" s="1" t="str">
        <f>T("1951572739182236204")</f>
        <v>1951572739182236204</v>
      </c>
      <c r="B4060" s="1" t="str">
        <f>T("249904182505")</f>
        <v>249904182505</v>
      </c>
      <c r="C4060" s="1" t="str">
        <f>T("1941094533399841340")</f>
        <v>1941094533399841340</v>
      </c>
      <c r="AC4060" s="1" t="s">
        <v>344</v>
      </c>
      <c r="AD4060" s="1" t="s">
        <v>372</v>
      </c>
      <c r="AE4060" s="1" t="s">
        <v>813</v>
      </c>
      <c r="AF4060" s="1" t="s">
        <v>107</v>
      </c>
      <c r="AG4060" s="1">
        <v>65</v>
      </c>
      <c r="AO4060" s="2">
        <v>46294</v>
      </c>
      <c r="AP4060" s="1" t="s">
        <v>924</v>
      </c>
      <c r="AS4060" s="1" t="s">
        <v>71</v>
      </c>
      <c r="AU4060" s="1" t="s">
        <v>72</v>
      </c>
      <c r="AV4060" s="1" t="s">
        <v>437</v>
      </c>
      <c r="AX4060" s="1">
        <v>0</v>
      </c>
      <c r="BA4060" s="1">
        <v>9</v>
      </c>
      <c r="BB4060" s="1">
        <v>0</v>
      </c>
      <c r="BC4060" s="1">
        <v>0</v>
      </c>
      <c r="BE4060" s="1">
        <v>27824644</v>
      </c>
    </row>
    <row r="4061" spans="1:57" x14ac:dyDescent="0.25">
      <c r="A4061" s="1" t="str">
        <f>T("1951572739203207244")</f>
        <v>1951572739203207244</v>
      </c>
      <c r="B4061" s="1" t="str">
        <f>T("249905163909")</f>
        <v>249905163909</v>
      </c>
      <c r="C4061" s="1" t="str">
        <f>T("1941094533399841740")</f>
        <v>1941094533399841740</v>
      </c>
      <c r="AC4061" s="1" t="s">
        <v>344</v>
      </c>
      <c r="AD4061" s="1" t="s">
        <v>430</v>
      </c>
      <c r="AE4061" s="1" t="s">
        <v>530</v>
      </c>
      <c r="AF4061" s="1" t="s">
        <v>144</v>
      </c>
      <c r="AG4061" s="1">
        <v>45</v>
      </c>
      <c r="AO4061" s="2">
        <v>46294</v>
      </c>
      <c r="AP4061" s="1" t="s">
        <v>924</v>
      </c>
      <c r="AS4061" s="1" t="s">
        <v>71</v>
      </c>
      <c r="AU4061" s="1" t="s">
        <v>72</v>
      </c>
      <c r="AV4061" s="1" t="s">
        <v>73</v>
      </c>
      <c r="AX4061" s="1">
        <v>0</v>
      </c>
      <c r="BA4061" s="1">
        <v>9</v>
      </c>
      <c r="BB4061" s="1">
        <v>0</v>
      </c>
      <c r="BC4061" s="1">
        <v>0</v>
      </c>
      <c r="BE4061" s="1">
        <v>27824644</v>
      </c>
    </row>
    <row r="4062" spans="1:57" x14ac:dyDescent="0.25">
      <c r="A4062" s="1" t="str">
        <f>T("1951572739207401852")</f>
        <v>1951572739207401852</v>
      </c>
      <c r="B4062" s="1" t="str">
        <f>T("249902927747")</f>
        <v>249902927747</v>
      </c>
      <c r="C4062" s="1" t="str">
        <f>T("1941094533399842140")</f>
        <v>1941094533399842140</v>
      </c>
      <c r="AC4062" s="1" t="s">
        <v>344</v>
      </c>
      <c r="AD4062" s="1" t="s">
        <v>441</v>
      </c>
      <c r="AE4062" s="1" t="s">
        <v>530</v>
      </c>
      <c r="AF4062" s="1" t="s">
        <v>144</v>
      </c>
      <c r="AG4062" s="1">
        <v>25</v>
      </c>
      <c r="AO4062" s="2">
        <v>46294</v>
      </c>
      <c r="AP4062" s="1" t="s">
        <v>924</v>
      </c>
      <c r="AS4062" s="1" t="s">
        <v>71</v>
      </c>
      <c r="AU4062" s="1" t="s">
        <v>72</v>
      </c>
      <c r="AV4062" s="1" t="s">
        <v>437</v>
      </c>
      <c r="AX4062" s="1">
        <v>0</v>
      </c>
      <c r="BA4062" s="1">
        <v>9</v>
      </c>
      <c r="BB4062" s="1">
        <v>0</v>
      </c>
      <c r="BC4062" s="1">
        <v>0</v>
      </c>
      <c r="BE4062" s="1">
        <v>27824644</v>
      </c>
    </row>
    <row r="4063" spans="1:57" x14ac:dyDescent="0.25">
      <c r="A4063" s="1" t="str">
        <f>T("1951572739207405452")</f>
        <v>1951572739207405452</v>
      </c>
      <c r="B4063" s="1" t="str">
        <f>T("249965147674")</f>
        <v>249965147674</v>
      </c>
      <c r="C4063" s="1" t="str">
        <f>T("1941094533399842540")</f>
        <v>1941094533399842540</v>
      </c>
      <c r="AC4063" s="1" t="s">
        <v>344</v>
      </c>
      <c r="AD4063" s="1" t="s">
        <v>430</v>
      </c>
      <c r="AE4063" s="1" t="s">
        <v>530</v>
      </c>
      <c r="AF4063" s="1" t="s">
        <v>107</v>
      </c>
      <c r="AG4063" s="1">
        <v>62</v>
      </c>
      <c r="AO4063" s="2">
        <v>46294</v>
      </c>
      <c r="AP4063" s="1" t="s">
        <v>924</v>
      </c>
      <c r="AS4063" s="1" t="s">
        <v>71</v>
      </c>
      <c r="AU4063" s="1" t="s">
        <v>72</v>
      </c>
      <c r="AV4063" s="1" t="s">
        <v>73</v>
      </c>
      <c r="AX4063" s="1">
        <v>0</v>
      </c>
      <c r="BA4063" s="1">
        <v>9</v>
      </c>
      <c r="BB4063" s="1">
        <v>0</v>
      </c>
      <c r="BC4063" s="1">
        <v>0</v>
      </c>
      <c r="BE4063" s="1">
        <v>27824644</v>
      </c>
    </row>
    <row r="4064" spans="1:57" x14ac:dyDescent="0.25">
      <c r="A4064" s="1" t="str">
        <f>T("1951572739228372992")</f>
        <v>1951572739228372992</v>
      </c>
      <c r="B4064" s="1" t="str">
        <f>T("249969346483")</f>
        <v>249969346483</v>
      </c>
      <c r="C4064" s="1" t="str">
        <f>T("1941094533404033148")</f>
        <v>1941094533404033148</v>
      </c>
      <c r="AC4064" s="1" t="s">
        <v>344</v>
      </c>
      <c r="AD4064" s="1" t="s">
        <v>441</v>
      </c>
      <c r="AE4064" s="1" t="s">
        <v>530</v>
      </c>
      <c r="AF4064" s="1" t="s">
        <v>107</v>
      </c>
      <c r="AG4064" s="1">
        <v>37</v>
      </c>
      <c r="AO4064" s="2">
        <v>46294</v>
      </c>
      <c r="AP4064" s="1" t="s">
        <v>924</v>
      </c>
      <c r="AS4064" s="1" t="s">
        <v>71</v>
      </c>
      <c r="AU4064" s="1" t="s">
        <v>72</v>
      </c>
      <c r="AV4064" s="1" t="s">
        <v>437</v>
      </c>
      <c r="AX4064" s="1">
        <v>0</v>
      </c>
      <c r="BA4064" s="1">
        <v>9</v>
      </c>
      <c r="BB4064" s="1">
        <v>0</v>
      </c>
      <c r="BC4064" s="1">
        <v>0</v>
      </c>
      <c r="BE4064" s="1">
        <v>27824644</v>
      </c>
    </row>
    <row r="4065" spans="1:57" x14ac:dyDescent="0.25">
      <c r="A4065" s="1" t="str">
        <f>T("1951572739232571100")</f>
        <v>1951572739232571100</v>
      </c>
      <c r="B4065" s="1" t="str">
        <f>T("249910218401")</f>
        <v>249910218401</v>
      </c>
      <c r="C4065" s="1" t="str">
        <f>T("1941094533395644932")</f>
        <v>1941094533395644932</v>
      </c>
      <c r="AC4065" s="1" t="s">
        <v>344</v>
      </c>
      <c r="AD4065" s="1" t="s">
        <v>430</v>
      </c>
      <c r="AE4065" s="1" t="s">
        <v>530</v>
      </c>
      <c r="AF4065" s="1" t="s">
        <v>144</v>
      </c>
      <c r="AG4065" s="1">
        <v>30</v>
      </c>
      <c r="AO4065" s="2">
        <v>46294</v>
      </c>
      <c r="AP4065" s="1" t="s">
        <v>924</v>
      </c>
      <c r="AS4065" s="1" t="s">
        <v>71</v>
      </c>
      <c r="AU4065" s="1" t="s">
        <v>72</v>
      </c>
      <c r="AV4065" s="1" t="s">
        <v>437</v>
      </c>
      <c r="AX4065" s="1">
        <v>0</v>
      </c>
      <c r="BA4065" s="1">
        <v>9</v>
      </c>
      <c r="BB4065" s="1">
        <v>0</v>
      </c>
      <c r="BC4065" s="1">
        <v>0</v>
      </c>
      <c r="BE4065" s="1">
        <v>27824644</v>
      </c>
    </row>
    <row r="4066" spans="1:57" x14ac:dyDescent="0.25">
      <c r="A4066" s="1" t="str">
        <f>T("1951572739245150924")</f>
        <v>1951572739245150924</v>
      </c>
      <c r="B4066" s="1" t="str">
        <f>T("249904055956")</f>
        <v>249904055956</v>
      </c>
      <c r="C4066" s="1" t="str">
        <f>T("1941094533395645432")</f>
        <v>1941094533395645432</v>
      </c>
      <c r="AC4066" s="1" t="s">
        <v>344</v>
      </c>
      <c r="AD4066" s="1" t="s">
        <v>441</v>
      </c>
      <c r="AE4066" s="1" t="s">
        <v>530</v>
      </c>
      <c r="AF4066" s="1" t="s">
        <v>107</v>
      </c>
      <c r="AG4066" s="1">
        <v>32</v>
      </c>
      <c r="AO4066" s="2">
        <v>46294</v>
      </c>
      <c r="AP4066" s="1" t="s">
        <v>924</v>
      </c>
      <c r="AS4066" s="1" t="s">
        <v>71</v>
      </c>
      <c r="AU4066" s="1" t="s">
        <v>72</v>
      </c>
      <c r="AV4066" s="1" t="s">
        <v>73</v>
      </c>
      <c r="AX4066" s="1">
        <v>0</v>
      </c>
      <c r="BA4066" s="1">
        <v>9</v>
      </c>
      <c r="BB4066" s="1">
        <v>0</v>
      </c>
      <c r="BC4066" s="1">
        <v>0</v>
      </c>
      <c r="BE4066" s="1">
        <v>27824644</v>
      </c>
    </row>
    <row r="4067" spans="1:57" x14ac:dyDescent="0.25">
      <c r="A4067" s="1" t="str">
        <f>T("1951572739257733548")</f>
        <v>1951572739257733548</v>
      </c>
      <c r="B4067" s="1" t="str">
        <f>T("249903604552")</f>
        <v>249903604552</v>
      </c>
      <c r="C4067" s="1" t="str">
        <f>T("1941094533404033548")</f>
        <v>1941094533404033548</v>
      </c>
      <c r="AC4067" s="1" t="s">
        <v>344</v>
      </c>
      <c r="AD4067" s="1" t="s">
        <v>430</v>
      </c>
      <c r="AE4067" s="1" t="s">
        <v>530</v>
      </c>
      <c r="AF4067" s="1" t="s">
        <v>144</v>
      </c>
      <c r="AG4067" s="1">
        <v>22</v>
      </c>
      <c r="AO4067" s="2">
        <v>46294</v>
      </c>
      <c r="AP4067" s="1" t="s">
        <v>924</v>
      </c>
      <c r="AS4067" s="1" t="s">
        <v>71</v>
      </c>
      <c r="AU4067" s="1" t="s">
        <v>72</v>
      </c>
      <c r="AV4067" s="1" t="s">
        <v>73</v>
      </c>
      <c r="AX4067" s="1">
        <v>0</v>
      </c>
      <c r="BA4067" s="1">
        <v>9</v>
      </c>
      <c r="BB4067" s="1">
        <v>0</v>
      </c>
      <c r="BC4067" s="1">
        <v>0</v>
      </c>
      <c r="BE4067" s="1">
        <v>27824644</v>
      </c>
    </row>
    <row r="4068" spans="1:57" x14ac:dyDescent="0.25">
      <c r="A4068" s="1" t="str">
        <f>T("1951572739261928456")</f>
        <v>1951572739261928456</v>
      </c>
      <c r="B4068" s="1" t="str">
        <f>T("249116522970")</f>
        <v>249116522970</v>
      </c>
      <c r="C4068" s="1" t="str">
        <f>T("1941094533404036448")</f>
        <v>1941094533404036448</v>
      </c>
      <c r="AC4068" s="1" t="s">
        <v>344</v>
      </c>
      <c r="AD4068" s="1" t="s">
        <v>372</v>
      </c>
      <c r="AE4068" s="1" t="s">
        <v>814</v>
      </c>
      <c r="AF4068" s="1" t="s">
        <v>107</v>
      </c>
      <c r="AG4068" s="1">
        <v>42</v>
      </c>
      <c r="AO4068" s="2">
        <v>46294</v>
      </c>
      <c r="AP4068" s="1" t="s">
        <v>924</v>
      </c>
      <c r="AS4068" s="1" t="s">
        <v>71</v>
      </c>
      <c r="AU4068" s="1" t="s">
        <v>72</v>
      </c>
      <c r="AV4068" s="1" t="s">
        <v>73</v>
      </c>
      <c r="AX4068" s="1">
        <v>0</v>
      </c>
      <c r="BA4068" s="1">
        <v>9</v>
      </c>
      <c r="BB4068" s="1">
        <v>0</v>
      </c>
      <c r="BC4068" s="1">
        <v>0</v>
      </c>
      <c r="BE4068" s="1">
        <v>27824644</v>
      </c>
    </row>
    <row r="4069" spans="1:57" x14ac:dyDescent="0.25">
      <c r="A4069" s="1" t="str">
        <f>T("1951572739261929456")</f>
        <v>1951572739261929456</v>
      </c>
      <c r="B4069" s="1" t="str">
        <f>T("249905657886")</f>
        <v>249905657886</v>
      </c>
      <c r="C4069" s="1" t="str">
        <f>T("1941094533404035748")</f>
        <v>1941094533404035748</v>
      </c>
      <c r="AC4069" s="1" t="s">
        <v>344</v>
      </c>
      <c r="AD4069" s="1" t="s">
        <v>357</v>
      </c>
      <c r="AE4069" s="1" t="s">
        <v>812</v>
      </c>
      <c r="AF4069" s="1" t="s">
        <v>107</v>
      </c>
      <c r="AG4069" s="1">
        <v>44</v>
      </c>
      <c r="AO4069" s="2">
        <v>46294</v>
      </c>
      <c r="AP4069" s="1" t="s">
        <v>924</v>
      </c>
      <c r="AS4069" s="1" t="s">
        <v>71</v>
      </c>
      <c r="AU4069" s="1" t="s">
        <v>72</v>
      </c>
      <c r="AV4069" s="1" t="s">
        <v>437</v>
      </c>
      <c r="AX4069" s="1">
        <v>0</v>
      </c>
      <c r="BA4069" s="1">
        <v>9</v>
      </c>
      <c r="BB4069" s="1">
        <v>0</v>
      </c>
      <c r="BC4069" s="1">
        <v>0</v>
      </c>
      <c r="BE4069" s="1">
        <v>27824644</v>
      </c>
    </row>
    <row r="4070" spans="1:57" x14ac:dyDescent="0.25">
      <c r="A4070" s="1" t="str">
        <f>T("1951572739282900696")</f>
        <v>1951572739282900696</v>
      </c>
      <c r="B4070" s="1" t="str">
        <f>T("249910576335")</f>
        <v>249910576335</v>
      </c>
      <c r="C4070" s="1" t="str">
        <f>T("1941094533404036948")</f>
        <v>1941094533404036948</v>
      </c>
      <c r="AC4070" s="1" t="s">
        <v>344</v>
      </c>
      <c r="AD4070" s="1" t="s">
        <v>357</v>
      </c>
      <c r="AE4070" s="1" t="s">
        <v>817</v>
      </c>
      <c r="AF4070" s="1" t="s">
        <v>107</v>
      </c>
      <c r="AG4070" s="1">
        <v>50</v>
      </c>
      <c r="AO4070" s="2">
        <v>46294</v>
      </c>
      <c r="AP4070" s="1" t="s">
        <v>924</v>
      </c>
      <c r="AS4070" s="1" t="s">
        <v>71</v>
      </c>
      <c r="AU4070" s="1" t="s">
        <v>72</v>
      </c>
      <c r="AV4070" s="1" t="s">
        <v>73</v>
      </c>
      <c r="AX4070" s="1">
        <v>0</v>
      </c>
      <c r="BA4070" s="1">
        <v>9</v>
      </c>
      <c r="BB4070" s="1">
        <v>0</v>
      </c>
      <c r="BC4070" s="1">
        <v>0</v>
      </c>
      <c r="BE4070" s="1">
        <v>27824644</v>
      </c>
    </row>
    <row r="4071" spans="1:57" x14ac:dyDescent="0.25">
      <c r="A4071" s="1" t="str">
        <f>T("1951572739312261452")</f>
        <v>1951572739312261452</v>
      </c>
      <c r="B4071" s="1" t="str">
        <f>T("249903415687")</f>
        <v>249903415687</v>
      </c>
      <c r="C4071" s="1" t="str">
        <f>T("1941094533408227656")</f>
        <v>1941094533408227656</v>
      </c>
      <c r="AC4071" s="1" t="s">
        <v>344</v>
      </c>
      <c r="AD4071" s="1" t="s">
        <v>441</v>
      </c>
      <c r="AE4071" s="1" t="s">
        <v>530</v>
      </c>
      <c r="AF4071" s="1" t="s">
        <v>107</v>
      </c>
      <c r="AG4071" s="1">
        <v>26</v>
      </c>
      <c r="AO4071" s="2">
        <v>46294</v>
      </c>
      <c r="AP4071" s="1" t="s">
        <v>924</v>
      </c>
      <c r="AS4071" s="1" t="s">
        <v>71</v>
      </c>
      <c r="AU4071" s="1" t="s">
        <v>72</v>
      </c>
      <c r="AV4071" s="1" t="s">
        <v>437</v>
      </c>
      <c r="AX4071" s="1">
        <v>0</v>
      </c>
      <c r="BA4071" s="1">
        <v>9</v>
      </c>
      <c r="BB4071" s="1">
        <v>0</v>
      </c>
      <c r="BC4071" s="1">
        <v>0</v>
      </c>
      <c r="BE4071" s="1">
        <v>27824644</v>
      </c>
    </row>
    <row r="4072" spans="1:57" x14ac:dyDescent="0.25">
      <c r="A4072" s="1" t="str">
        <f>T("1951572739316454760")</f>
        <v>1951572739316454760</v>
      </c>
      <c r="B4072" s="1" t="str">
        <f>T("249966212004")</f>
        <v>249966212004</v>
      </c>
      <c r="C4072" s="1" t="str">
        <f>T("1941094533408228556")</f>
        <v>1941094533408228556</v>
      </c>
      <c r="AC4072" s="1" t="s">
        <v>344</v>
      </c>
      <c r="AD4072" s="1" t="s">
        <v>441</v>
      </c>
      <c r="AE4072" s="1" t="s">
        <v>530</v>
      </c>
      <c r="AF4072" s="1" t="s">
        <v>107</v>
      </c>
      <c r="AG4072" s="1">
        <v>32</v>
      </c>
      <c r="AO4072" s="2">
        <v>46294</v>
      </c>
      <c r="AP4072" s="1" t="s">
        <v>924</v>
      </c>
      <c r="AS4072" s="1" t="s">
        <v>71</v>
      </c>
      <c r="AU4072" s="1" t="s">
        <v>72</v>
      </c>
      <c r="AV4072" s="1" t="s">
        <v>73</v>
      </c>
      <c r="AX4072" s="1">
        <v>0</v>
      </c>
      <c r="BA4072" s="1">
        <v>9</v>
      </c>
      <c r="BB4072" s="1">
        <v>0</v>
      </c>
      <c r="BC4072" s="1">
        <v>0</v>
      </c>
      <c r="BE4072" s="1">
        <v>27824644</v>
      </c>
    </row>
    <row r="4073" spans="1:57" x14ac:dyDescent="0.25">
      <c r="A4073" s="1" t="str">
        <f>T("1951572739324843676")</f>
        <v>1951572739324843676</v>
      </c>
      <c r="B4073" s="1" t="str">
        <f>T("249907435821")</f>
        <v>249907435821</v>
      </c>
      <c r="C4073" s="1" t="str">
        <f>T("1941094533408228156")</f>
        <v>1941094533408228156</v>
      </c>
      <c r="AC4073" s="1" t="s">
        <v>344</v>
      </c>
      <c r="AD4073" s="1" t="s">
        <v>441</v>
      </c>
      <c r="AE4073" s="1" t="s">
        <v>530</v>
      </c>
      <c r="AF4073" s="1" t="s">
        <v>144</v>
      </c>
      <c r="AG4073" s="1">
        <v>70</v>
      </c>
      <c r="AO4073" s="2">
        <v>46294</v>
      </c>
      <c r="AP4073" s="1" t="s">
        <v>924</v>
      </c>
      <c r="AS4073" s="1" t="s">
        <v>71</v>
      </c>
      <c r="AU4073" s="1" t="s">
        <v>72</v>
      </c>
      <c r="AV4073" s="1" t="s">
        <v>437</v>
      </c>
      <c r="AX4073" s="1">
        <v>0</v>
      </c>
      <c r="BA4073" s="1">
        <v>9</v>
      </c>
      <c r="BB4073" s="1">
        <v>0</v>
      </c>
      <c r="BC4073" s="1">
        <v>0</v>
      </c>
      <c r="BE4073" s="1">
        <v>27824644</v>
      </c>
    </row>
    <row r="4074" spans="1:57" x14ac:dyDescent="0.25">
      <c r="A4074" s="1" t="str">
        <f>T("1951572739337428800")</f>
        <v>1951572739337428800</v>
      </c>
      <c r="B4074" s="1" t="str">
        <f>T("249968839765")</f>
        <v>249968839765</v>
      </c>
      <c r="C4074" s="1" t="str">
        <f>T("1941094533408229056")</f>
        <v>1941094533408229056</v>
      </c>
      <c r="AC4074" s="1" t="s">
        <v>344</v>
      </c>
      <c r="AD4074" s="1" t="s">
        <v>430</v>
      </c>
      <c r="AE4074" s="1" t="s">
        <v>530</v>
      </c>
      <c r="AF4074" s="1" t="s">
        <v>107</v>
      </c>
      <c r="AG4074" s="1">
        <v>73</v>
      </c>
      <c r="AO4074" s="2">
        <v>46294</v>
      </c>
      <c r="AP4074" s="1" t="s">
        <v>924</v>
      </c>
      <c r="AS4074" s="1" t="s">
        <v>71</v>
      </c>
      <c r="AU4074" s="1" t="s">
        <v>72</v>
      </c>
      <c r="AV4074" s="1" t="s">
        <v>437</v>
      </c>
      <c r="AX4074" s="1">
        <v>0</v>
      </c>
      <c r="BA4074" s="1">
        <v>9</v>
      </c>
      <c r="BB4074" s="1">
        <v>0</v>
      </c>
      <c r="BC4074" s="1">
        <v>0</v>
      </c>
      <c r="BE4074" s="1">
        <v>27824644</v>
      </c>
    </row>
    <row r="4075" spans="1:57" x14ac:dyDescent="0.25">
      <c r="A4075" s="1" t="str">
        <f>T("1951572739354202832")</f>
        <v>1951572739354202832</v>
      </c>
      <c r="B4075" s="1" t="str">
        <f>T("249967386778")</f>
        <v>249967386778</v>
      </c>
      <c r="C4075" s="1" t="str">
        <f>T("1941094533408229356")</f>
        <v>1941094533408229356</v>
      </c>
      <c r="AC4075" s="1" t="s">
        <v>344</v>
      </c>
      <c r="AD4075" s="1" t="s">
        <v>430</v>
      </c>
      <c r="AE4075" s="1" t="s">
        <v>530</v>
      </c>
      <c r="AF4075" s="1" t="s">
        <v>107</v>
      </c>
      <c r="AG4075" s="1">
        <v>30</v>
      </c>
      <c r="AO4075" s="2">
        <v>46294</v>
      </c>
      <c r="AP4075" s="1" t="s">
        <v>924</v>
      </c>
      <c r="AS4075" s="1" t="s">
        <v>71</v>
      </c>
      <c r="AU4075" s="1" t="s">
        <v>72</v>
      </c>
      <c r="AV4075" s="1" t="s">
        <v>437</v>
      </c>
      <c r="AX4075" s="1">
        <v>0</v>
      </c>
      <c r="BA4075" s="1">
        <v>9</v>
      </c>
      <c r="BB4075" s="1">
        <v>0</v>
      </c>
      <c r="BC4075" s="1">
        <v>0</v>
      </c>
      <c r="BE4075" s="1">
        <v>27824644</v>
      </c>
    </row>
    <row r="4076" spans="1:57" x14ac:dyDescent="0.25">
      <c r="A4076" s="1" t="str">
        <f>T("1951572739358399440")</f>
        <v>1951572739358399440</v>
      </c>
      <c r="B4076" s="1" t="str">
        <f>T("249913158696")</f>
        <v>249913158696</v>
      </c>
      <c r="C4076" s="1" t="str">
        <f>T("1941094533408229756")</f>
        <v>1941094533408229756</v>
      </c>
      <c r="AC4076" s="1" t="s">
        <v>344</v>
      </c>
      <c r="AD4076" s="1" t="s">
        <v>430</v>
      </c>
      <c r="AE4076" s="1" t="s">
        <v>530</v>
      </c>
      <c r="AF4076" s="1" t="s">
        <v>107</v>
      </c>
      <c r="AG4076" s="1">
        <v>52</v>
      </c>
      <c r="AO4076" s="2">
        <v>46294</v>
      </c>
      <c r="AP4076" s="1" t="s">
        <v>924</v>
      </c>
      <c r="AS4076" s="1" t="s">
        <v>71</v>
      </c>
      <c r="AU4076" s="1" t="s">
        <v>72</v>
      </c>
      <c r="AV4076" s="1" t="s">
        <v>73</v>
      </c>
      <c r="AX4076" s="1">
        <v>0</v>
      </c>
      <c r="BA4076" s="1">
        <v>9</v>
      </c>
      <c r="BB4076" s="1">
        <v>0</v>
      </c>
      <c r="BC4076" s="1">
        <v>0</v>
      </c>
      <c r="BE4076" s="1">
        <v>27824644</v>
      </c>
    </row>
    <row r="4077" spans="1:57" x14ac:dyDescent="0.25">
      <c r="A4077" s="1" t="str">
        <f>T("1951572739362594048")</f>
        <v>1951572739362594048</v>
      </c>
      <c r="B4077" s="1" t="str">
        <f>T("249964068242")</f>
        <v>249964068242</v>
      </c>
      <c r="C4077" s="1" t="str">
        <f>T("1941094533408230156")</f>
        <v>1941094533408230156</v>
      </c>
      <c r="AC4077" s="1" t="s">
        <v>344</v>
      </c>
      <c r="AD4077" s="1" t="s">
        <v>441</v>
      </c>
      <c r="AE4077" s="1" t="s">
        <v>530</v>
      </c>
      <c r="AF4077" s="1" t="s">
        <v>144</v>
      </c>
      <c r="AG4077" s="1">
        <v>25</v>
      </c>
      <c r="AO4077" s="2">
        <v>46294</v>
      </c>
      <c r="AP4077" s="1" t="s">
        <v>924</v>
      </c>
      <c r="AS4077" s="1" t="s">
        <v>71</v>
      </c>
      <c r="AU4077" s="1" t="s">
        <v>72</v>
      </c>
      <c r="AV4077" s="1" t="s">
        <v>73</v>
      </c>
      <c r="AX4077" s="1">
        <v>0</v>
      </c>
      <c r="BA4077" s="1">
        <v>9</v>
      </c>
      <c r="BB4077" s="1">
        <v>0</v>
      </c>
      <c r="BC4077" s="1">
        <v>0</v>
      </c>
      <c r="BE4077" s="1">
        <v>27824644</v>
      </c>
    </row>
    <row r="4078" spans="1:57" x14ac:dyDescent="0.25">
      <c r="A4078" s="1" t="str">
        <f>T("1951572739370979464")</f>
        <v>1951572739370979464</v>
      </c>
      <c r="B4078" s="1" t="str">
        <f>T("249963650986")</f>
        <v>249963650986</v>
      </c>
      <c r="C4078" s="1" t="str">
        <f>T("1941094533408230856")</f>
        <v>1941094533408230856</v>
      </c>
      <c r="AC4078" s="1" t="s">
        <v>344</v>
      </c>
      <c r="AD4078" s="1" t="s">
        <v>430</v>
      </c>
      <c r="AE4078" s="1" t="s">
        <v>530</v>
      </c>
      <c r="AF4078" s="1" t="s">
        <v>107</v>
      </c>
      <c r="AG4078" s="1">
        <v>25</v>
      </c>
      <c r="AO4078" s="2">
        <v>46294</v>
      </c>
      <c r="AP4078" s="1" t="s">
        <v>924</v>
      </c>
      <c r="AS4078" s="1" t="s">
        <v>71</v>
      </c>
      <c r="AU4078" s="1" t="s">
        <v>72</v>
      </c>
      <c r="AV4078" s="1" t="s">
        <v>437</v>
      </c>
      <c r="AX4078" s="1">
        <v>0</v>
      </c>
      <c r="BA4078" s="1">
        <v>9</v>
      </c>
      <c r="BB4078" s="1">
        <v>0</v>
      </c>
      <c r="BC4078" s="1">
        <v>0</v>
      </c>
      <c r="BE4078" s="1">
        <v>27824644</v>
      </c>
    </row>
    <row r="4079" spans="1:57" x14ac:dyDescent="0.25">
      <c r="A4079" s="1" t="str">
        <f>T("1951572739383566088")</f>
        <v>1951572739383566088</v>
      </c>
      <c r="B4079" s="1" t="str">
        <f>T("249919017064")</f>
        <v>249919017064</v>
      </c>
      <c r="C4079" s="1" t="str">
        <f>T("1941094533408231356")</f>
        <v>1941094533408231356</v>
      </c>
      <c r="AC4079" s="1" t="s">
        <v>344</v>
      </c>
      <c r="AD4079" s="1" t="s">
        <v>430</v>
      </c>
      <c r="AE4079" s="1" t="s">
        <v>530</v>
      </c>
      <c r="AF4079" s="1" t="s">
        <v>107</v>
      </c>
      <c r="AG4079" s="1">
        <v>70</v>
      </c>
      <c r="AO4079" s="2">
        <v>46294</v>
      </c>
      <c r="AP4079" s="1" t="s">
        <v>924</v>
      </c>
      <c r="AS4079" s="1" t="s">
        <v>71</v>
      </c>
      <c r="AU4079" s="1" t="s">
        <v>72</v>
      </c>
      <c r="AV4079" s="1" t="s">
        <v>437</v>
      </c>
      <c r="AX4079" s="1">
        <v>0</v>
      </c>
      <c r="BA4079" s="1">
        <v>9</v>
      </c>
      <c r="BB4079" s="1">
        <v>0</v>
      </c>
      <c r="BC4079" s="1">
        <v>0</v>
      </c>
      <c r="BE4079" s="1">
        <v>27824644</v>
      </c>
    </row>
    <row r="4080" spans="1:57" x14ac:dyDescent="0.25">
      <c r="A4080" s="1" t="str">
        <f>T("1951572739391951004")</f>
        <v>1951572739391951004</v>
      </c>
      <c r="B4080" s="1" t="str">
        <f>T("249903862952")</f>
        <v>249903862952</v>
      </c>
      <c r="C4080" s="1" t="str">
        <f>T("1941094533412422464")</f>
        <v>1941094533412422464</v>
      </c>
      <c r="AC4080" s="1" t="s">
        <v>344</v>
      </c>
      <c r="AD4080" s="1" t="s">
        <v>441</v>
      </c>
      <c r="AE4080" s="1" t="s">
        <v>530</v>
      </c>
      <c r="AF4080" s="1" t="s">
        <v>144</v>
      </c>
      <c r="AG4080" s="1">
        <v>70</v>
      </c>
      <c r="AO4080" s="2">
        <v>46294</v>
      </c>
      <c r="AP4080" s="1" t="s">
        <v>924</v>
      </c>
      <c r="AS4080" s="1" t="s">
        <v>71</v>
      </c>
      <c r="AU4080" s="1" t="s">
        <v>72</v>
      </c>
      <c r="AV4080" s="1" t="s">
        <v>73</v>
      </c>
      <c r="AX4080" s="1">
        <v>0</v>
      </c>
      <c r="BA4080" s="1">
        <v>9</v>
      </c>
      <c r="BB4080" s="1">
        <v>0</v>
      </c>
      <c r="BC4080" s="1">
        <v>0</v>
      </c>
      <c r="BE4080" s="1">
        <v>27824644</v>
      </c>
    </row>
    <row r="4081" spans="1:57" x14ac:dyDescent="0.25">
      <c r="A4081" s="1" t="str">
        <f>T("1951572739404535228")</f>
        <v>1951572739404535228</v>
      </c>
      <c r="B4081" s="1" t="str">
        <f>T("249961493120")</f>
        <v>249961493120</v>
      </c>
      <c r="C4081" s="1" t="str">
        <f>T("1941094533412423364")</f>
        <v>1941094533412423364</v>
      </c>
      <c r="AC4081" s="1" t="s">
        <v>344</v>
      </c>
      <c r="AD4081" s="1" t="s">
        <v>372</v>
      </c>
      <c r="AE4081" s="1" t="s">
        <v>373</v>
      </c>
      <c r="AF4081" s="1" t="s">
        <v>107</v>
      </c>
      <c r="AG4081" s="1">
        <v>30</v>
      </c>
      <c r="AO4081" s="2">
        <v>46294</v>
      </c>
      <c r="AP4081" s="1" t="s">
        <v>924</v>
      </c>
      <c r="AS4081" s="1" t="s">
        <v>71</v>
      </c>
      <c r="AU4081" s="1" t="s">
        <v>72</v>
      </c>
      <c r="AV4081" s="1" t="s">
        <v>126</v>
      </c>
      <c r="AX4081" s="1">
        <v>0</v>
      </c>
      <c r="BA4081" s="1">
        <v>9</v>
      </c>
      <c r="BB4081" s="1">
        <v>0</v>
      </c>
      <c r="BC4081" s="1">
        <v>0</v>
      </c>
      <c r="BE4081" s="1">
        <v>27824644</v>
      </c>
    </row>
    <row r="4082" spans="1:57" x14ac:dyDescent="0.25">
      <c r="A4082" s="1" t="str">
        <f>T("1951572739417119052")</f>
        <v>1951572739417119052</v>
      </c>
      <c r="B4082" s="1" t="str">
        <f>T("249906839175")</f>
        <v>249906839175</v>
      </c>
      <c r="C4082" s="1" t="str">
        <f>T("1941094533412424264")</f>
        <v>1941094533412424264</v>
      </c>
      <c r="AC4082" s="1" t="s">
        <v>344</v>
      </c>
      <c r="AD4082" s="1" t="s">
        <v>430</v>
      </c>
      <c r="AE4082" s="1" t="s">
        <v>530</v>
      </c>
      <c r="AF4082" s="1" t="s">
        <v>144</v>
      </c>
      <c r="AG4082" s="1">
        <v>35</v>
      </c>
      <c r="AO4082" s="2">
        <v>46294</v>
      </c>
      <c r="AP4082" s="1" t="s">
        <v>924</v>
      </c>
      <c r="AS4082" s="1" t="s">
        <v>71</v>
      </c>
      <c r="AU4082" s="1" t="s">
        <v>72</v>
      </c>
      <c r="AV4082" s="1" t="s">
        <v>73</v>
      </c>
      <c r="AX4082" s="1">
        <v>0</v>
      </c>
      <c r="BA4082" s="1">
        <v>9</v>
      </c>
      <c r="BB4082" s="1">
        <v>0</v>
      </c>
      <c r="BC4082" s="1">
        <v>0</v>
      </c>
      <c r="BE4082" s="1">
        <v>27824644</v>
      </c>
    </row>
    <row r="4083" spans="1:57" x14ac:dyDescent="0.25">
      <c r="A4083" s="1" t="str">
        <f>T("1951572739417119852")</f>
        <v>1951572739417119852</v>
      </c>
      <c r="B4083" s="1" t="str">
        <f>T("249916613332")</f>
        <v>249916613332</v>
      </c>
      <c r="C4083" s="1" t="str">
        <f>T("1941094533412423864")</f>
        <v>1941094533412423864</v>
      </c>
      <c r="AC4083" s="1" t="s">
        <v>344</v>
      </c>
      <c r="AD4083" s="1" t="s">
        <v>430</v>
      </c>
      <c r="AE4083" s="1" t="s">
        <v>530</v>
      </c>
      <c r="AF4083" s="1" t="s">
        <v>144</v>
      </c>
      <c r="AG4083" s="1">
        <v>22</v>
      </c>
      <c r="AO4083" s="2">
        <v>46294</v>
      </c>
      <c r="AP4083" s="1" t="s">
        <v>924</v>
      </c>
      <c r="AS4083" s="1" t="s">
        <v>71</v>
      </c>
      <c r="AU4083" s="1" t="s">
        <v>72</v>
      </c>
      <c r="AV4083" s="1" t="s">
        <v>437</v>
      </c>
      <c r="AX4083" s="1">
        <v>0</v>
      </c>
      <c r="BA4083" s="1">
        <v>9</v>
      </c>
      <c r="BB4083" s="1">
        <v>0</v>
      </c>
      <c r="BC4083" s="1">
        <v>0</v>
      </c>
      <c r="BE4083" s="1">
        <v>27824644</v>
      </c>
    </row>
    <row r="4084" spans="1:57" x14ac:dyDescent="0.25">
      <c r="A4084" s="1" t="str">
        <f>T("1951572739433895784")</f>
        <v>1951572739433895784</v>
      </c>
      <c r="B4084" s="1" t="str">
        <f>T("249966881158")</f>
        <v>249966881158</v>
      </c>
      <c r="C4084" s="1" t="str">
        <f>T("1941094533416617072")</f>
        <v>1941094533416617072</v>
      </c>
      <c r="AC4084" s="1" t="s">
        <v>344</v>
      </c>
      <c r="AD4084" s="1" t="s">
        <v>372</v>
      </c>
      <c r="AE4084" s="1" t="s">
        <v>815</v>
      </c>
      <c r="AF4084" s="1" t="s">
        <v>107</v>
      </c>
      <c r="AG4084" s="1">
        <v>40</v>
      </c>
      <c r="AO4084" s="2">
        <v>46294</v>
      </c>
      <c r="AP4084" s="1" t="s">
        <v>924</v>
      </c>
      <c r="AS4084" s="1" t="s">
        <v>71</v>
      </c>
      <c r="AU4084" s="1" t="s">
        <v>72</v>
      </c>
      <c r="AV4084" s="1" t="s">
        <v>73</v>
      </c>
      <c r="AX4084" s="1">
        <v>0</v>
      </c>
      <c r="BA4084" s="1">
        <v>9</v>
      </c>
      <c r="BB4084" s="1">
        <v>0</v>
      </c>
      <c r="BC4084" s="1">
        <v>0</v>
      </c>
      <c r="BE4084" s="1">
        <v>27824644</v>
      </c>
    </row>
    <row r="4085" spans="1:57" x14ac:dyDescent="0.25">
      <c r="A4085" s="1" t="str">
        <f>T("1951572739450674316")</f>
        <v>1951572739450674316</v>
      </c>
      <c r="B4085" s="1" t="str">
        <f>T("249906748329")</f>
        <v>249906748329</v>
      </c>
      <c r="C4085" s="1" t="str">
        <f>T("1941094533416618472")</f>
        <v>1941094533416618472</v>
      </c>
      <c r="AC4085" s="1" t="s">
        <v>344</v>
      </c>
      <c r="AD4085" s="1" t="s">
        <v>430</v>
      </c>
      <c r="AE4085" s="1" t="s">
        <v>530</v>
      </c>
      <c r="AF4085" s="1" t="s">
        <v>107</v>
      </c>
      <c r="AG4085" s="1">
        <v>38</v>
      </c>
      <c r="AO4085" s="2">
        <v>46294</v>
      </c>
      <c r="AP4085" s="1" t="s">
        <v>924</v>
      </c>
      <c r="AS4085" s="1" t="s">
        <v>71</v>
      </c>
      <c r="AU4085" s="1" t="s">
        <v>72</v>
      </c>
      <c r="AV4085" s="1" t="s">
        <v>126</v>
      </c>
      <c r="AX4085" s="1">
        <v>0</v>
      </c>
      <c r="BA4085" s="1">
        <v>9</v>
      </c>
      <c r="BB4085" s="1">
        <v>0</v>
      </c>
      <c r="BC4085" s="1">
        <v>0</v>
      </c>
      <c r="BE4085" s="1">
        <v>27824644</v>
      </c>
    </row>
    <row r="4086" spans="1:57" x14ac:dyDescent="0.25">
      <c r="A4086" s="1" t="str">
        <f>T("1951572739454867424")</f>
        <v>1951572739454867424</v>
      </c>
      <c r="B4086" s="1" t="str">
        <f>T("249909019381")</f>
        <v>249909019381</v>
      </c>
      <c r="C4086" s="1" t="str">
        <f>T("1941094533416618972")</f>
        <v>1941094533416618972</v>
      </c>
      <c r="AC4086" s="1" t="s">
        <v>344</v>
      </c>
      <c r="AD4086" s="1" t="s">
        <v>372</v>
      </c>
      <c r="AE4086" s="1" t="s">
        <v>815</v>
      </c>
      <c r="AF4086" s="1" t="s">
        <v>107</v>
      </c>
      <c r="AG4086" s="1">
        <v>61</v>
      </c>
      <c r="AO4086" s="2">
        <v>46294</v>
      </c>
      <c r="AP4086" s="1" t="s">
        <v>924</v>
      </c>
      <c r="AS4086" s="1" t="s">
        <v>71</v>
      </c>
      <c r="AU4086" s="1" t="s">
        <v>72</v>
      </c>
      <c r="AV4086" s="1" t="s">
        <v>437</v>
      </c>
      <c r="AX4086" s="1">
        <v>0</v>
      </c>
      <c r="BA4086" s="1">
        <v>9</v>
      </c>
      <c r="BB4086" s="1">
        <v>0</v>
      </c>
      <c r="BC4086" s="1">
        <v>0</v>
      </c>
      <c r="BE4086" s="1">
        <v>27824644</v>
      </c>
    </row>
    <row r="4087" spans="1:57" x14ac:dyDescent="0.25">
      <c r="A4087" s="1" t="str">
        <f>T("1951572739463254940")</f>
        <v>1951572739463254940</v>
      </c>
      <c r="B4087" s="1" t="str">
        <f>T("249911755522")</f>
        <v>249911755522</v>
      </c>
      <c r="C4087" s="1" t="str">
        <f>T("1941094533416619472")</f>
        <v>1941094533416619472</v>
      </c>
      <c r="AC4087" s="1" t="s">
        <v>344</v>
      </c>
      <c r="AD4087" s="1" t="s">
        <v>372</v>
      </c>
      <c r="AE4087" s="1" t="s">
        <v>814</v>
      </c>
      <c r="AF4087" s="1" t="s">
        <v>107</v>
      </c>
      <c r="AG4087" s="1">
        <v>55</v>
      </c>
      <c r="AO4087" s="2">
        <v>46294</v>
      </c>
      <c r="AP4087" s="1" t="s">
        <v>924</v>
      </c>
      <c r="AS4087" s="1" t="s">
        <v>71</v>
      </c>
      <c r="AU4087" s="1" t="s">
        <v>72</v>
      </c>
      <c r="AV4087" s="1" t="s">
        <v>73</v>
      </c>
      <c r="AX4087" s="1">
        <v>0</v>
      </c>
      <c r="BA4087" s="1">
        <v>9</v>
      </c>
      <c r="BB4087" s="1">
        <v>0</v>
      </c>
      <c r="BC4087" s="1">
        <v>0</v>
      </c>
      <c r="BE4087" s="1">
        <v>27824644</v>
      </c>
    </row>
    <row r="4088" spans="1:57" x14ac:dyDescent="0.25">
      <c r="A4088" s="1" t="str">
        <f>T("1951572739480033172")</f>
        <v>1951572739480033172</v>
      </c>
      <c r="B4088" s="1" t="str">
        <f>T("249964402621")</f>
        <v>249964402621</v>
      </c>
      <c r="C4088" s="1" t="str">
        <f>T("1941094533420810280")</f>
        <v>1941094533420810280</v>
      </c>
      <c r="AC4088" s="1" t="s">
        <v>344</v>
      </c>
      <c r="AD4088" s="1" t="s">
        <v>357</v>
      </c>
      <c r="AE4088" s="1" t="s">
        <v>812</v>
      </c>
      <c r="AF4088" s="1" t="s">
        <v>107</v>
      </c>
      <c r="AG4088" s="1">
        <v>37</v>
      </c>
      <c r="AO4088" s="2">
        <v>46294</v>
      </c>
      <c r="AP4088" s="1" t="s">
        <v>924</v>
      </c>
      <c r="AS4088" s="1" t="s">
        <v>71</v>
      </c>
      <c r="AU4088" s="1" t="s">
        <v>72</v>
      </c>
      <c r="AV4088" s="1" t="s">
        <v>437</v>
      </c>
      <c r="AX4088" s="1">
        <v>0</v>
      </c>
      <c r="BA4088" s="1">
        <v>9</v>
      </c>
      <c r="BB4088" s="1">
        <v>0</v>
      </c>
      <c r="BC4088" s="1">
        <v>0</v>
      </c>
      <c r="BE4088" s="1">
        <v>27824644</v>
      </c>
    </row>
    <row r="4089" spans="1:57" x14ac:dyDescent="0.25">
      <c r="A4089" s="1" t="str">
        <f>T("1951572739484229080")</f>
        <v>1951572739484229080</v>
      </c>
      <c r="B4089" s="1" t="str">
        <f>T("249916342733")</f>
        <v>249916342733</v>
      </c>
      <c r="C4089" s="1" t="str">
        <f>T("1941094533420810680")</f>
        <v>1941094533420810680</v>
      </c>
      <c r="AC4089" s="1" t="s">
        <v>344</v>
      </c>
      <c r="AD4089" s="1" t="s">
        <v>430</v>
      </c>
      <c r="AE4089" s="1" t="s">
        <v>530</v>
      </c>
      <c r="AF4089" s="1" t="s">
        <v>144</v>
      </c>
      <c r="AG4089" s="1">
        <v>21</v>
      </c>
      <c r="AO4089" s="2">
        <v>46294</v>
      </c>
      <c r="AP4089" s="1" t="s">
        <v>924</v>
      </c>
      <c r="AS4089" s="1" t="s">
        <v>71</v>
      </c>
      <c r="AU4089" s="1" t="s">
        <v>72</v>
      </c>
      <c r="AV4089" s="1" t="s">
        <v>126</v>
      </c>
      <c r="AX4089" s="1">
        <v>0</v>
      </c>
      <c r="BA4089" s="1">
        <v>9</v>
      </c>
      <c r="BB4089" s="1">
        <v>0</v>
      </c>
      <c r="BC4089" s="1">
        <v>0</v>
      </c>
      <c r="BE4089" s="1">
        <v>27824644</v>
      </c>
    </row>
    <row r="4090" spans="1:57" x14ac:dyDescent="0.25">
      <c r="A4090" s="1" t="str">
        <f>T("1951572739492615996")</f>
        <v>1951572739492615996</v>
      </c>
      <c r="B4090" s="1" t="str">
        <f>T("249902650048")</f>
        <v>249902650048</v>
      </c>
      <c r="C4090" s="1" t="str">
        <f>T("1941094533420811180")</f>
        <v>1941094533420811180</v>
      </c>
      <c r="AC4090" s="1" t="s">
        <v>344</v>
      </c>
      <c r="AD4090" s="1" t="s">
        <v>372</v>
      </c>
      <c r="AE4090" s="1" t="s">
        <v>813</v>
      </c>
      <c r="AF4090" s="1" t="s">
        <v>144</v>
      </c>
      <c r="AG4090" s="1">
        <v>27</v>
      </c>
      <c r="AO4090" s="2">
        <v>46294</v>
      </c>
      <c r="AP4090" s="1" t="s">
        <v>924</v>
      </c>
      <c r="AS4090" s="1" t="s">
        <v>71</v>
      </c>
      <c r="AU4090" s="1" t="s">
        <v>72</v>
      </c>
      <c r="AV4090" s="1" t="s">
        <v>73</v>
      </c>
      <c r="AX4090" s="1">
        <v>0</v>
      </c>
      <c r="BA4090" s="1">
        <v>9</v>
      </c>
      <c r="BB4090" s="1">
        <v>0</v>
      </c>
      <c r="BC4090" s="1">
        <v>0</v>
      </c>
      <c r="BE4090" s="1">
        <v>27824644</v>
      </c>
    </row>
    <row r="4091" spans="1:57" x14ac:dyDescent="0.25">
      <c r="A4091" s="1" t="str">
        <f>T("1951572739509392528")</f>
        <v>1951572739509392528</v>
      </c>
      <c r="B4091" s="1" t="str">
        <f>T("249961182966")</f>
        <v>249961182966</v>
      </c>
      <c r="C4091" s="1" t="str">
        <f>T("1941094533420813980")</f>
        <v>1941094533420813980</v>
      </c>
      <c r="AC4091" s="1" t="s">
        <v>344</v>
      </c>
      <c r="AD4091" s="1" t="s">
        <v>430</v>
      </c>
      <c r="AE4091" s="1" t="s">
        <v>530</v>
      </c>
      <c r="AF4091" s="1" t="s">
        <v>107</v>
      </c>
      <c r="AG4091" s="1">
        <v>31</v>
      </c>
      <c r="AO4091" s="2">
        <v>46294</v>
      </c>
      <c r="AP4091" s="1" t="s">
        <v>924</v>
      </c>
      <c r="AS4091" s="1" t="s">
        <v>71</v>
      </c>
      <c r="AU4091" s="1" t="s">
        <v>72</v>
      </c>
      <c r="AV4091" s="1" t="s">
        <v>437</v>
      </c>
      <c r="AX4091" s="1">
        <v>0</v>
      </c>
      <c r="BA4091" s="1">
        <v>9</v>
      </c>
      <c r="BB4091" s="1">
        <v>0</v>
      </c>
      <c r="BC4091" s="1">
        <v>0</v>
      </c>
      <c r="BE4091" s="1">
        <v>27824644</v>
      </c>
    </row>
    <row r="4092" spans="1:57" x14ac:dyDescent="0.25">
      <c r="A4092" s="1" t="str">
        <f>T("1951572739509393728")</f>
        <v>1951572739509393728</v>
      </c>
      <c r="B4092" s="1" t="str">
        <f>T("249905910887")</f>
        <v>249905910887</v>
      </c>
      <c r="C4092" s="1" t="str">
        <f>T("1941094533420811680")</f>
        <v>1941094533420811680</v>
      </c>
      <c r="AC4092" s="1" t="s">
        <v>344</v>
      </c>
      <c r="AD4092" s="1" t="s">
        <v>441</v>
      </c>
      <c r="AE4092" s="1" t="s">
        <v>530</v>
      </c>
      <c r="AF4092" s="1" t="s">
        <v>107</v>
      </c>
      <c r="AG4092" s="1">
        <v>55</v>
      </c>
      <c r="AO4092" s="2">
        <v>46294</v>
      </c>
      <c r="AP4092" s="1" t="s">
        <v>924</v>
      </c>
      <c r="AS4092" s="1" t="s">
        <v>71</v>
      </c>
      <c r="AU4092" s="1" t="s">
        <v>72</v>
      </c>
      <c r="AV4092" s="1" t="s">
        <v>437</v>
      </c>
      <c r="AX4092" s="1">
        <v>0</v>
      </c>
      <c r="BA4092" s="1">
        <v>9</v>
      </c>
      <c r="BB4092" s="1">
        <v>0</v>
      </c>
      <c r="BC4092" s="1">
        <v>0</v>
      </c>
      <c r="BE4092" s="1">
        <v>27824644</v>
      </c>
    </row>
    <row r="4093" spans="1:57" x14ac:dyDescent="0.25">
      <c r="A4093" s="1" t="str">
        <f>T("1951572739526170160")</f>
        <v>1951572739526170160</v>
      </c>
      <c r="B4093" s="1" t="str">
        <f>T("249909603264")</f>
        <v>249909603264</v>
      </c>
      <c r="C4093" s="1" t="str">
        <f>T("1941094533425004788")</f>
        <v>1941094533425004788</v>
      </c>
      <c r="AC4093" s="1" t="s">
        <v>344</v>
      </c>
      <c r="AD4093" s="1" t="s">
        <v>441</v>
      </c>
      <c r="AE4093" s="1" t="s">
        <v>530</v>
      </c>
      <c r="AF4093" s="1" t="s">
        <v>107</v>
      </c>
      <c r="AG4093" s="1">
        <v>32</v>
      </c>
      <c r="AO4093" s="2">
        <v>46294</v>
      </c>
      <c r="AP4093" s="1" t="s">
        <v>924</v>
      </c>
      <c r="AS4093" s="1" t="s">
        <v>71</v>
      </c>
      <c r="AU4093" s="1" t="s">
        <v>72</v>
      </c>
      <c r="AV4093" s="1" t="s">
        <v>437</v>
      </c>
      <c r="AX4093" s="1">
        <v>0</v>
      </c>
      <c r="BA4093" s="1">
        <v>9</v>
      </c>
      <c r="BB4093" s="1">
        <v>0</v>
      </c>
      <c r="BC4093" s="1">
        <v>0</v>
      </c>
      <c r="BE4093" s="1">
        <v>27824644</v>
      </c>
    </row>
    <row r="4094" spans="1:57" x14ac:dyDescent="0.25">
      <c r="A4094" s="1" t="str">
        <f>T("1951572739542946092")</f>
        <v>1951572739542946092</v>
      </c>
      <c r="B4094" s="1" t="str">
        <f>T("249902194372")</f>
        <v>249902194372</v>
      </c>
      <c r="C4094" s="1" t="str">
        <f>T("1941094533425005288")</f>
        <v>1941094533425005288</v>
      </c>
      <c r="AC4094" s="1" t="s">
        <v>344</v>
      </c>
      <c r="AD4094" s="1" t="s">
        <v>430</v>
      </c>
      <c r="AE4094" s="1" t="s">
        <v>530</v>
      </c>
      <c r="AF4094" s="1" t="s">
        <v>107</v>
      </c>
      <c r="AG4094" s="1">
        <v>26</v>
      </c>
      <c r="AO4094" s="2">
        <v>46294</v>
      </c>
      <c r="AP4094" s="1" t="s">
        <v>924</v>
      </c>
      <c r="AS4094" s="1" t="s">
        <v>71</v>
      </c>
      <c r="AU4094" s="1" t="s">
        <v>72</v>
      </c>
      <c r="AV4094" s="1" t="s">
        <v>73</v>
      </c>
      <c r="AX4094" s="1">
        <v>0</v>
      </c>
      <c r="BA4094" s="1">
        <v>9</v>
      </c>
      <c r="BB4094" s="1">
        <v>0</v>
      </c>
      <c r="BC4094" s="1">
        <v>0</v>
      </c>
      <c r="BE4094" s="1">
        <v>27824644</v>
      </c>
    </row>
    <row r="4095" spans="1:57" x14ac:dyDescent="0.25">
      <c r="A4095" s="1" t="str">
        <f>T("1951572739551337008")</f>
        <v>1951572739551337008</v>
      </c>
      <c r="B4095" s="1" t="str">
        <f>T("249966040787")</f>
        <v>249966040787</v>
      </c>
      <c r="C4095" s="1" t="str">
        <f>T("1941094533425005788")</f>
        <v>1941094533425005788</v>
      </c>
      <c r="AC4095" s="1" t="s">
        <v>344</v>
      </c>
      <c r="AD4095" s="1" t="s">
        <v>372</v>
      </c>
      <c r="AE4095" s="1" t="s">
        <v>813</v>
      </c>
      <c r="AF4095" s="1" t="s">
        <v>107</v>
      </c>
      <c r="AG4095" s="1">
        <v>68</v>
      </c>
      <c r="AO4095" s="2">
        <v>46294</v>
      </c>
      <c r="AP4095" s="1" t="s">
        <v>924</v>
      </c>
      <c r="AS4095" s="1" t="s">
        <v>71</v>
      </c>
      <c r="AU4095" s="1" t="s">
        <v>72</v>
      </c>
      <c r="AV4095" s="1" t="s">
        <v>73</v>
      </c>
      <c r="AX4095" s="1">
        <v>0</v>
      </c>
      <c r="BA4095" s="1">
        <v>9</v>
      </c>
      <c r="BB4095" s="1">
        <v>0</v>
      </c>
      <c r="BC4095" s="1">
        <v>0</v>
      </c>
      <c r="BE4095" s="1">
        <v>27824644</v>
      </c>
    </row>
    <row r="4096" spans="1:57" x14ac:dyDescent="0.25">
      <c r="A4096" s="1" t="str">
        <f>T("1951572739559724324")</f>
        <v>1951572739559724324</v>
      </c>
      <c r="B4096" s="1" t="str">
        <f>T("249960911892")</f>
        <v>249960911892</v>
      </c>
      <c r="C4096" s="1" t="str">
        <f>T("1941094533425006288")</f>
        <v>1941094533425006288</v>
      </c>
      <c r="AC4096" s="1" t="s">
        <v>344</v>
      </c>
      <c r="AD4096" s="1" t="s">
        <v>372</v>
      </c>
      <c r="AE4096" s="1" t="s">
        <v>818</v>
      </c>
      <c r="AF4096" s="1" t="s">
        <v>144</v>
      </c>
      <c r="AG4096" s="1">
        <v>39</v>
      </c>
      <c r="AO4096" s="2">
        <v>46294</v>
      </c>
      <c r="AP4096" s="1" t="s">
        <v>924</v>
      </c>
      <c r="AS4096" s="1" t="s">
        <v>71</v>
      </c>
      <c r="AU4096" s="1" t="s">
        <v>72</v>
      </c>
      <c r="AV4096" s="1" t="s">
        <v>437</v>
      </c>
      <c r="AX4096" s="1">
        <v>0</v>
      </c>
      <c r="BA4096" s="1">
        <v>9</v>
      </c>
      <c r="BB4096" s="1">
        <v>0</v>
      </c>
      <c r="BC4096" s="1">
        <v>0</v>
      </c>
      <c r="BE4096" s="1">
        <v>27824644</v>
      </c>
    </row>
    <row r="4097" spans="1:57" x14ac:dyDescent="0.25">
      <c r="A4097" s="1" t="str">
        <f>T("1951572739568113240")</f>
        <v>1951572739568113240</v>
      </c>
      <c r="B4097" s="1" t="str">
        <f>T("249904075417")</f>
        <v>249904075417</v>
      </c>
      <c r="C4097" s="1" t="str">
        <f>T("1941094533425006788")</f>
        <v>1941094533425006788</v>
      </c>
      <c r="AC4097" s="1" t="s">
        <v>344</v>
      </c>
      <c r="AD4097" s="1" t="s">
        <v>441</v>
      </c>
      <c r="AE4097" s="1" t="s">
        <v>530</v>
      </c>
      <c r="AF4097" s="1" t="s">
        <v>144</v>
      </c>
      <c r="AG4097" s="1">
        <v>46</v>
      </c>
      <c r="AO4097" s="2">
        <v>46294</v>
      </c>
      <c r="AP4097" s="1" t="s">
        <v>924</v>
      </c>
      <c r="AS4097" s="1" t="s">
        <v>71</v>
      </c>
      <c r="AU4097" s="1" t="s">
        <v>72</v>
      </c>
      <c r="AV4097" s="1" t="s">
        <v>73</v>
      </c>
      <c r="AX4097" s="1">
        <v>0</v>
      </c>
      <c r="BA4097" s="1">
        <v>9</v>
      </c>
      <c r="BB4097" s="1">
        <v>0</v>
      </c>
      <c r="BC4097" s="1">
        <v>0</v>
      </c>
      <c r="BE4097" s="1">
        <v>27824644</v>
      </c>
    </row>
    <row r="4098" spans="1:57" x14ac:dyDescent="0.25">
      <c r="A4098" s="1" t="str">
        <f>T("1951572739568113440")</f>
        <v>1951572739568113440</v>
      </c>
      <c r="B4098" s="1" t="str">
        <f>T("249911376567")</f>
        <v>249911376567</v>
      </c>
      <c r="C4098" s="1" t="str">
        <f>T("1941094533425007988")</f>
        <v>1941094533425007988</v>
      </c>
      <c r="AC4098" s="1" t="s">
        <v>344</v>
      </c>
      <c r="AD4098" s="1" t="s">
        <v>430</v>
      </c>
      <c r="AE4098" s="1" t="s">
        <v>530</v>
      </c>
      <c r="AF4098" s="1" t="s">
        <v>107</v>
      </c>
      <c r="AG4098" s="1">
        <v>20</v>
      </c>
      <c r="AO4098" s="2">
        <v>46294</v>
      </c>
      <c r="AP4098" s="1" t="s">
        <v>924</v>
      </c>
      <c r="AS4098" s="1" t="s">
        <v>71</v>
      </c>
      <c r="AU4098" s="1" t="s">
        <v>72</v>
      </c>
      <c r="AV4098" s="1" t="s">
        <v>73</v>
      </c>
      <c r="AX4098" s="1">
        <v>0</v>
      </c>
      <c r="BA4098" s="1">
        <v>9</v>
      </c>
      <c r="BB4098" s="1">
        <v>0</v>
      </c>
      <c r="BC4098" s="1">
        <v>0</v>
      </c>
      <c r="BE4098" s="1">
        <v>27824644</v>
      </c>
    </row>
    <row r="4099" spans="1:57" x14ac:dyDescent="0.25">
      <c r="A4099" s="1" t="str">
        <f>T("1951572739584890972")</f>
        <v>1951572739584890972</v>
      </c>
      <c r="B4099" s="1" t="str">
        <f>T("249903918940")</f>
        <v>249903918940</v>
      </c>
      <c r="C4099" s="1" t="str">
        <f>T("1941094533425008388")</f>
        <v>1941094533425008388</v>
      </c>
      <c r="AC4099" s="1" t="s">
        <v>344</v>
      </c>
      <c r="AD4099" s="1" t="s">
        <v>372</v>
      </c>
      <c r="AE4099" s="1" t="s">
        <v>815</v>
      </c>
      <c r="AF4099" s="1" t="s">
        <v>144</v>
      </c>
      <c r="AG4099" s="1">
        <v>50</v>
      </c>
      <c r="AO4099" s="2">
        <v>46294</v>
      </c>
      <c r="AP4099" s="1" t="s">
        <v>924</v>
      </c>
      <c r="AS4099" s="1" t="s">
        <v>71</v>
      </c>
      <c r="AU4099" s="1" t="s">
        <v>72</v>
      </c>
      <c r="AV4099" s="1" t="s">
        <v>437</v>
      </c>
      <c r="AX4099" s="1">
        <v>0</v>
      </c>
      <c r="BA4099" s="1">
        <v>9</v>
      </c>
      <c r="BB4099" s="1">
        <v>0</v>
      </c>
      <c r="BC4099" s="1">
        <v>0</v>
      </c>
      <c r="BE4099" s="1">
        <v>27824644</v>
      </c>
    </row>
    <row r="4100" spans="1:57" x14ac:dyDescent="0.25">
      <c r="A4100" s="1" t="str">
        <f>T("1951572739601667304")</f>
        <v>1951572739601667304</v>
      </c>
      <c r="B4100" s="1" t="str">
        <f>T("249965577755")</f>
        <v>249965577755</v>
      </c>
      <c r="C4100" s="1" t="str">
        <f>T("1941094533437589012")</f>
        <v>1941094533437589012</v>
      </c>
      <c r="AC4100" s="1" t="s">
        <v>344</v>
      </c>
      <c r="AD4100" s="1" t="s">
        <v>372</v>
      </c>
      <c r="AE4100" s="1" t="s">
        <v>813</v>
      </c>
      <c r="AF4100" s="1" t="s">
        <v>144</v>
      </c>
      <c r="AG4100" s="1">
        <v>29</v>
      </c>
      <c r="AO4100" s="2">
        <v>46294</v>
      </c>
      <c r="AP4100" s="1" t="s">
        <v>924</v>
      </c>
      <c r="AS4100" s="1" t="s">
        <v>71</v>
      </c>
      <c r="AU4100" s="1" t="s">
        <v>72</v>
      </c>
      <c r="AV4100" s="1" t="s">
        <v>126</v>
      </c>
      <c r="AX4100" s="1">
        <v>0</v>
      </c>
      <c r="BA4100" s="1">
        <v>9</v>
      </c>
      <c r="BB4100" s="1">
        <v>0</v>
      </c>
      <c r="BC4100" s="1">
        <v>0</v>
      </c>
      <c r="BE4100" s="1">
        <v>27824644</v>
      </c>
    </row>
    <row r="4101" spans="1:57" x14ac:dyDescent="0.25">
      <c r="A4101" s="1" t="str">
        <f>T("1951572739622638144")</f>
        <v>1951572739622638144</v>
      </c>
      <c r="B4101" s="1" t="str">
        <f>T("249962381552")</f>
        <v>249962381552</v>
      </c>
      <c r="C4101" s="1" t="str">
        <f>T("1941094533437590012")</f>
        <v>1941094533437590012</v>
      </c>
      <c r="AC4101" s="1" t="s">
        <v>344</v>
      </c>
      <c r="AD4101" s="1" t="s">
        <v>372</v>
      </c>
      <c r="AE4101" s="1" t="s">
        <v>813</v>
      </c>
      <c r="AF4101" s="1" t="s">
        <v>144</v>
      </c>
      <c r="AG4101" s="1">
        <v>28</v>
      </c>
      <c r="AO4101" s="2">
        <v>46294</v>
      </c>
      <c r="AP4101" s="1" t="s">
        <v>924</v>
      </c>
      <c r="AS4101" s="1" t="s">
        <v>71</v>
      </c>
      <c r="AU4101" s="1" t="s">
        <v>72</v>
      </c>
      <c r="AV4101" s="1" t="s">
        <v>73</v>
      </c>
      <c r="AX4101" s="1">
        <v>0</v>
      </c>
      <c r="BA4101" s="1">
        <v>9</v>
      </c>
      <c r="BB4101" s="1">
        <v>0</v>
      </c>
      <c r="BC4101" s="1">
        <v>0</v>
      </c>
      <c r="BE4101" s="1">
        <v>27824644</v>
      </c>
    </row>
    <row r="4102" spans="1:57" x14ac:dyDescent="0.25">
      <c r="A4102" s="1" t="str">
        <f>T("1951572739740080268")</f>
        <v>1951572739740080268</v>
      </c>
      <c r="B4102" s="1" t="str">
        <f>T("249901720797")</f>
        <v>249901720797</v>
      </c>
      <c r="C4102" s="1" t="str">
        <f>T("1941094533437590512")</f>
        <v>1941094533437590512</v>
      </c>
      <c r="AC4102" s="1" t="s">
        <v>344</v>
      </c>
      <c r="AD4102" s="1" t="s">
        <v>441</v>
      </c>
      <c r="AE4102" s="1" t="s">
        <v>530</v>
      </c>
      <c r="AF4102" s="1" t="s">
        <v>107</v>
      </c>
      <c r="AG4102" s="1">
        <v>37</v>
      </c>
      <c r="AO4102" s="2">
        <v>46294</v>
      </c>
      <c r="AP4102" s="1" t="s">
        <v>924</v>
      </c>
      <c r="AS4102" s="1" t="s">
        <v>71</v>
      </c>
      <c r="AU4102" s="1" t="s">
        <v>72</v>
      </c>
      <c r="AV4102" s="1" t="s">
        <v>73</v>
      </c>
      <c r="AX4102" s="1">
        <v>0</v>
      </c>
      <c r="BA4102" s="1">
        <v>9</v>
      </c>
      <c r="BB4102" s="1">
        <v>0</v>
      </c>
      <c r="BC4102" s="1">
        <v>0</v>
      </c>
      <c r="BE4102" s="1">
        <v>27824644</v>
      </c>
    </row>
    <row r="4103" spans="1:57" x14ac:dyDescent="0.25">
      <c r="A4103" s="1" t="str">
        <f>T("1951572739748469584")</f>
        <v>1951572739748469584</v>
      </c>
      <c r="B4103" s="1" t="str">
        <f>T("249917739665")</f>
        <v>249917739665</v>
      </c>
      <c r="C4103" s="1" t="str">
        <f>T("1941094533437591012")</f>
        <v>1941094533437591012</v>
      </c>
      <c r="AC4103" s="1" t="s">
        <v>344</v>
      </c>
      <c r="AD4103" s="1" t="s">
        <v>441</v>
      </c>
      <c r="AE4103" s="1" t="s">
        <v>530</v>
      </c>
      <c r="AF4103" s="1" t="s">
        <v>107</v>
      </c>
      <c r="AG4103" s="1">
        <v>27</v>
      </c>
      <c r="AO4103" s="2">
        <v>46294</v>
      </c>
      <c r="AP4103" s="1" t="s">
        <v>924</v>
      </c>
      <c r="AS4103" s="1" t="s">
        <v>71</v>
      </c>
      <c r="AU4103" s="1" t="s">
        <v>72</v>
      </c>
      <c r="AV4103" s="1" t="s">
        <v>437</v>
      </c>
      <c r="AX4103" s="1">
        <v>0</v>
      </c>
      <c r="BA4103" s="1">
        <v>9</v>
      </c>
      <c r="BB4103" s="1">
        <v>0</v>
      </c>
      <c r="BC4103" s="1">
        <v>0</v>
      </c>
      <c r="BE4103" s="1">
        <v>27824644</v>
      </c>
    </row>
    <row r="4104" spans="1:57" x14ac:dyDescent="0.25">
      <c r="A4104" s="1" t="str">
        <f>T("1951572739761050608")</f>
        <v>1951572739761050608</v>
      </c>
      <c r="B4104" s="1" t="str">
        <f>T("249900282152")</f>
        <v>249900282152</v>
      </c>
      <c r="C4104" s="1" t="str">
        <f>T("1941094533441781820")</f>
        <v>1941094533441781820</v>
      </c>
      <c r="AC4104" s="1" t="s">
        <v>344</v>
      </c>
      <c r="AD4104" s="1" t="s">
        <v>372</v>
      </c>
      <c r="AE4104" s="1" t="s">
        <v>813</v>
      </c>
      <c r="AF4104" s="1" t="s">
        <v>144</v>
      </c>
      <c r="AG4104" s="1">
        <v>35</v>
      </c>
      <c r="AO4104" s="2">
        <v>46294</v>
      </c>
      <c r="AP4104" s="1" t="s">
        <v>924</v>
      </c>
      <c r="AS4104" s="1" t="s">
        <v>71</v>
      </c>
      <c r="AU4104" s="1" t="s">
        <v>72</v>
      </c>
      <c r="AV4104" s="1" t="s">
        <v>73</v>
      </c>
      <c r="AX4104" s="1">
        <v>0</v>
      </c>
      <c r="BA4104" s="1">
        <v>9</v>
      </c>
      <c r="BB4104" s="1">
        <v>0</v>
      </c>
      <c r="BC4104" s="1">
        <v>0</v>
      </c>
      <c r="BE4104" s="1">
        <v>27824644</v>
      </c>
    </row>
    <row r="4105" spans="1:57" x14ac:dyDescent="0.25">
      <c r="A4105" s="1" t="str">
        <f>T("1951572739777829240")</f>
        <v>1951572739777829240</v>
      </c>
      <c r="B4105" s="1" t="str">
        <f>T("249907222894")</f>
        <v>249907222894</v>
      </c>
      <c r="C4105" s="1" t="str">
        <f>T("1941094533441782320")</f>
        <v>1941094533441782320</v>
      </c>
      <c r="AC4105" s="1" t="s">
        <v>344</v>
      </c>
      <c r="AD4105" s="1" t="s">
        <v>441</v>
      </c>
      <c r="AE4105" s="1" t="s">
        <v>530</v>
      </c>
      <c r="AF4105" s="1" t="s">
        <v>144</v>
      </c>
      <c r="AG4105" s="1">
        <v>30</v>
      </c>
      <c r="AO4105" s="2">
        <v>46294</v>
      </c>
      <c r="AP4105" s="1" t="s">
        <v>924</v>
      </c>
      <c r="AS4105" s="1" t="s">
        <v>71</v>
      </c>
      <c r="AU4105" s="1" t="s">
        <v>72</v>
      </c>
      <c r="AV4105" s="1" t="s">
        <v>126</v>
      </c>
      <c r="AX4105" s="1">
        <v>0</v>
      </c>
      <c r="BA4105" s="1">
        <v>9</v>
      </c>
      <c r="BB4105" s="1">
        <v>0</v>
      </c>
      <c r="BC4105" s="1">
        <v>0</v>
      </c>
      <c r="BE4105" s="1">
        <v>27824644</v>
      </c>
    </row>
    <row r="4106" spans="1:57" x14ac:dyDescent="0.25">
      <c r="A4106" s="1" t="str">
        <f>T("1951572739790412464")</f>
        <v>1951572739790412464</v>
      </c>
      <c r="B4106" s="1" t="str">
        <f>T("249913526728")</f>
        <v>249913526728</v>
      </c>
      <c r="C4106" s="1" t="str">
        <f>T("1941094533441783320")</f>
        <v>1941094533441783320</v>
      </c>
      <c r="AC4106" s="1" t="s">
        <v>344</v>
      </c>
      <c r="AD4106" s="1" t="s">
        <v>372</v>
      </c>
      <c r="AE4106" s="1" t="s">
        <v>813</v>
      </c>
      <c r="AF4106" s="1" t="s">
        <v>144</v>
      </c>
      <c r="AG4106" s="1">
        <v>45</v>
      </c>
      <c r="AO4106" s="2">
        <v>46294</v>
      </c>
      <c r="AP4106" s="1" t="s">
        <v>924</v>
      </c>
      <c r="AS4106" s="1" t="s">
        <v>71</v>
      </c>
      <c r="AU4106" s="1" t="s">
        <v>72</v>
      </c>
      <c r="AV4106" s="1" t="s">
        <v>437</v>
      </c>
      <c r="AX4106" s="1">
        <v>0</v>
      </c>
      <c r="BA4106" s="1">
        <v>9</v>
      </c>
      <c r="BB4106" s="1">
        <v>0</v>
      </c>
      <c r="BC4106" s="1">
        <v>0</v>
      </c>
      <c r="BE4106" s="1">
        <v>27824644</v>
      </c>
    </row>
    <row r="4107" spans="1:57" x14ac:dyDescent="0.25">
      <c r="A4107" s="1" t="str">
        <f>T("1951572739794604672")</f>
        <v>1951572739794604672</v>
      </c>
      <c r="B4107" s="1" t="str">
        <f>T("249917389398")</f>
        <v>249917389398</v>
      </c>
      <c r="C4107" s="1" t="str">
        <f>T("1941094533441782920")</f>
        <v>1941094533441782920</v>
      </c>
      <c r="AC4107" s="1" t="s">
        <v>344</v>
      </c>
      <c r="AD4107" s="1" t="s">
        <v>441</v>
      </c>
      <c r="AE4107" s="1" t="s">
        <v>530</v>
      </c>
      <c r="AF4107" s="1" t="s">
        <v>107</v>
      </c>
      <c r="AG4107" s="1">
        <v>50</v>
      </c>
      <c r="AO4107" s="2">
        <v>46294</v>
      </c>
      <c r="AP4107" s="1" t="s">
        <v>924</v>
      </c>
      <c r="AS4107" s="1" t="s">
        <v>71</v>
      </c>
      <c r="AU4107" s="1" t="s">
        <v>72</v>
      </c>
      <c r="AV4107" s="1" t="s">
        <v>437</v>
      </c>
      <c r="AX4107" s="1">
        <v>0</v>
      </c>
      <c r="BA4107" s="1">
        <v>9</v>
      </c>
      <c r="BB4107" s="1">
        <v>0</v>
      </c>
      <c r="BC4107" s="1">
        <v>0</v>
      </c>
      <c r="BE4107" s="1">
        <v>27824644</v>
      </c>
    </row>
    <row r="4108" spans="1:57" x14ac:dyDescent="0.25">
      <c r="A4108" s="1" t="str">
        <f>T("1951572739794605772")</f>
        <v>1951572739794605772</v>
      </c>
      <c r="B4108" s="1" t="str">
        <f>T("249966723801")</f>
        <v>249966723801</v>
      </c>
      <c r="C4108" s="1" t="str">
        <f>T("1941094533441784120")</f>
        <v>1941094533441784120</v>
      </c>
      <c r="AC4108" s="1" t="s">
        <v>344</v>
      </c>
      <c r="AD4108" s="1" t="s">
        <v>372</v>
      </c>
      <c r="AE4108" s="1" t="s">
        <v>815</v>
      </c>
      <c r="AF4108" s="1" t="s">
        <v>144</v>
      </c>
      <c r="AG4108" s="1">
        <v>59</v>
      </c>
      <c r="AO4108" s="2">
        <v>46294</v>
      </c>
      <c r="AP4108" s="1" t="s">
        <v>924</v>
      </c>
      <c r="AS4108" s="1" t="s">
        <v>71</v>
      </c>
      <c r="AU4108" s="1" t="s">
        <v>72</v>
      </c>
      <c r="AV4108" s="1" t="s">
        <v>437</v>
      </c>
      <c r="AX4108" s="1">
        <v>0</v>
      </c>
      <c r="BA4108" s="1">
        <v>9</v>
      </c>
      <c r="BB4108" s="1">
        <v>0</v>
      </c>
      <c r="BC4108" s="1">
        <v>0</v>
      </c>
      <c r="BE4108" s="1">
        <v>27824644</v>
      </c>
    </row>
    <row r="4109" spans="1:57" x14ac:dyDescent="0.25">
      <c r="A4109" s="1" t="str">
        <f>T("1951572739807189996")</f>
        <v>1951572739807189996</v>
      </c>
      <c r="B4109" s="1" t="str">
        <f>T("249916813986")</f>
        <v>249916813986</v>
      </c>
      <c r="C4109" s="1" t="str">
        <f>T("1941094533441784620")</f>
        <v>1941094533441784620</v>
      </c>
      <c r="AC4109" s="1" t="s">
        <v>344</v>
      </c>
      <c r="AD4109" s="1" t="s">
        <v>372</v>
      </c>
      <c r="AE4109" s="1" t="s">
        <v>813</v>
      </c>
      <c r="AF4109" s="1" t="s">
        <v>107</v>
      </c>
      <c r="AG4109" s="1">
        <v>53</v>
      </c>
      <c r="AO4109" s="2">
        <v>46294</v>
      </c>
      <c r="AP4109" s="1" t="s">
        <v>924</v>
      </c>
      <c r="AS4109" s="1" t="s">
        <v>71</v>
      </c>
      <c r="AU4109" s="1" t="s">
        <v>72</v>
      </c>
      <c r="AV4109" s="1" t="s">
        <v>126</v>
      </c>
      <c r="AX4109" s="1">
        <v>0</v>
      </c>
      <c r="BA4109" s="1">
        <v>9</v>
      </c>
      <c r="BB4109" s="1">
        <v>0</v>
      </c>
      <c r="BC4109" s="1">
        <v>0</v>
      </c>
      <c r="BE4109" s="1">
        <v>27824644</v>
      </c>
    </row>
    <row r="4110" spans="1:57" x14ac:dyDescent="0.25">
      <c r="A4110" s="1" t="str">
        <f>T("1951572739823965728")</f>
        <v>1951572739823965728</v>
      </c>
      <c r="B4110" s="1" t="str">
        <f>T("249905135084")</f>
        <v>249905135084</v>
      </c>
      <c r="C4110" s="1" t="str">
        <f>T("1941094533441785220")</f>
        <v>1941094533441785220</v>
      </c>
      <c r="AC4110" s="1" t="s">
        <v>344</v>
      </c>
      <c r="AD4110" s="1" t="s">
        <v>430</v>
      </c>
      <c r="AE4110" s="1" t="s">
        <v>530</v>
      </c>
      <c r="AF4110" s="1" t="s">
        <v>107</v>
      </c>
      <c r="AG4110" s="1">
        <v>22</v>
      </c>
      <c r="AO4110" s="2">
        <v>46294</v>
      </c>
      <c r="AP4110" s="1" t="s">
        <v>924</v>
      </c>
      <c r="AS4110" s="1" t="s">
        <v>71</v>
      </c>
      <c r="AU4110" s="1" t="s">
        <v>72</v>
      </c>
      <c r="AV4110" s="1" t="s">
        <v>73</v>
      </c>
      <c r="AX4110" s="1">
        <v>0</v>
      </c>
      <c r="BA4110" s="1">
        <v>9</v>
      </c>
      <c r="BB4110" s="1">
        <v>0</v>
      </c>
      <c r="BC4110" s="1">
        <v>0</v>
      </c>
      <c r="BE4110" s="1">
        <v>27824644</v>
      </c>
    </row>
    <row r="4111" spans="1:57" x14ac:dyDescent="0.25">
      <c r="A4111" s="1" t="str">
        <f>T("1951572739844936168")</f>
        <v>1951572739844936168</v>
      </c>
      <c r="B4111" s="1" t="str">
        <f>T("249909487409")</f>
        <v>249909487409</v>
      </c>
      <c r="C4111" s="1" t="str">
        <f>T("1941094533441785720")</f>
        <v>1941094533441785720</v>
      </c>
      <c r="AC4111" s="1" t="s">
        <v>344</v>
      </c>
      <c r="AD4111" s="1" t="s">
        <v>441</v>
      </c>
      <c r="AE4111" s="1" t="s">
        <v>530</v>
      </c>
      <c r="AF4111" s="1" t="s">
        <v>107</v>
      </c>
      <c r="AG4111" s="1">
        <v>65</v>
      </c>
      <c r="AO4111" s="2">
        <v>46294</v>
      </c>
      <c r="AP4111" s="1" t="s">
        <v>924</v>
      </c>
      <c r="AS4111" s="1" t="s">
        <v>71</v>
      </c>
      <c r="AU4111" s="1" t="s">
        <v>72</v>
      </c>
      <c r="AV4111" s="1" t="s">
        <v>73</v>
      </c>
      <c r="AX4111" s="1">
        <v>0</v>
      </c>
      <c r="BA4111" s="1">
        <v>9</v>
      </c>
      <c r="BB4111" s="1">
        <v>0</v>
      </c>
      <c r="BC4111" s="1">
        <v>0</v>
      </c>
      <c r="BE4111" s="1">
        <v>27824644</v>
      </c>
    </row>
    <row r="4112" spans="1:57" x14ac:dyDescent="0.25">
      <c r="A4112" s="1" t="str">
        <f>T("1951572739857518992")</f>
        <v>1951572739857518992</v>
      </c>
      <c r="B4112" s="1" t="str">
        <f>T("249919754513")</f>
        <v>249919754513</v>
      </c>
      <c r="C4112" s="1" t="str">
        <f>T("1941094533445976428")</f>
        <v>1941094533445976428</v>
      </c>
      <c r="AC4112" s="1" t="s">
        <v>344</v>
      </c>
      <c r="AD4112" s="1" t="s">
        <v>372</v>
      </c>
      <c r="AE4112" s="1" t="s">
        <v>827</v>
      </c>
      <c r="AF4112" s="1" t="s">
        <v>144</v>
      </c>
      <c r="AG4112" s="1">
        <v>27</v>
      </c>
      <c r="AO4112" s="2">
        <v>46294</v>
      </c>
      <c r="AP4112" s="1" t="s">
        <v>924</v>
      </c>
      <c r="AS4112" s="1" t="s">
        <v>71</v>
      </c>
      <c r="AU4112" s="1" t="s">
        <v>72</v>
      </c>
      <c r="AV4112" s="1" t="s">
        <v>437</v>
      </c>
      <c r="AX4112" s="1">
        <v>0</v>
      </c>
      <c r="BA4112" s="1">
        <v>9</v>
      </c>
      <c r="BB4112" s="1">
        <v>0</v>
      </c>
      <c r="BC4112" s="1">
        <v>0</v>
      </c>
      <c r="BE4112" s="1">
        <v>27824644</v>
      </c>
    </row>
    <row r="4113" spans="1:57" x14ac:dyDescent="0.25">
      <c r="A4113" s="1" t="str">
        <f>T("1951572739857520592")</f>
        <v>1951572739857520592</v>
      </c>
      <c r="B4113" s="1" t="str">
        <f>T("249918469297")</f>
        <v>249918469297</v>
      </c>
      <c r="C4113" s="1" t="str">
        <f>T("1941094533445976928")</f>
        <v>1941094533445976928</v>
      </c>
      <c r="AC4113" s="1" t="s">
        <v>344</v>
      </c>
      <c r="AD4113" s="1" t="s">
        <v>441</v>
      </c>
      <c r="AE4113" s="1" t="s">
        <v>530</v>
      </c>
      <c r="AF4113" s="1" t="s">
        <v>107</v>
      </c>
      <c r="AG4113" s="1">
        <v>50</v>
      </c>
      <c r="AO4113" s="2">
        <v>46294</v>
      </c>
      <c r="AP4113" s="1" t="s">
        <v>924</v>
      </c>
      <c r="AS4113" s="1" t="s">
        <v>71</v>
      </c>
      <c r="AU4113" s="1" t="s">
        <v>72</v>
      </c>
      <c r="AV4113" s="1" t="s">
        <v>437</v>
      </c>
      <c r="AX4113" s="1">
        <v>0</v>
      </c>
      <c r="BA4113" s="1">
        <v>9</v>
      </c>
      <c r="BB4113" s="1">
        <v>0</v>
      </c>
      <c r="BC4113" s="1">
        <v>0</v>
      </c>
      <c r="BE4113" s="1">
        <v>27824644</v>
      </c>
    </row>
    <row r="4114" spans="1:57" x14ac:dyDescent="0.25">
      <c r="A4114" s="1" t="str">
        <f>T("1951572739861714900")</f>
        <v>1951572739861714900</v>
      </c>
      <c r="B4114" s="1" t="str">
        <f>T("249905564582")</f>
        <v>249905564582</v>
      </c>
      <c r="C4114" s="1" t="str">
        <f>T("1944060085533672448")</f>
        <v>1944060085533672448</v>
      </c>
      <c r="AC4114" s="1" t="s">
        <v>366</v>
      </c>
      <c r="AD4114" s="1" t="s">
        <v>367</v>
      </c>
      <c r="AE4114" s="1" t="s">
        <v>368</v>
      </c>
      <c r="AF4114" s="1" t="s">
        <v>144</v>
      </c>
      <c r="AG4114" s="1">
        <v>55</v>
      </c>
      <c r="AO4114" s="2">
        <v>46294</v>
      </c>
      <c r="AP4114" s="1" t="s">
        <v>924</v>
      </c>
      <c r="AS4114" s="1" t="s">
        <v>71</v>
      </c>
      <c r="AU4114" s="1" t="s">
        <v>72</v>
      </c>
      <c r="AV4114" s="1" t="s">
        <v>73</v>
      </c>
      <c r="AX4114" s="1">
        <v>0</v>
      </c>
      <c r="BA4114" s="1">
        <v>9</v>
      </c>
      <c r="BB4114" s="1">
        <v>0</v>
      </c>
      <c r="BC4114" s="1">
        <v>0</v>
      </c>
      <c r="BE4114" s="1">
        <v>27824644</v>
      </c>
    </row>
    <row r="4115" spans="1:57" x14ac:dyDescent="0.25">
      <c r="A4115" s="1" t="str">
        <f>T("1951572739874298624")</f>
        <v>1951572739874298624</v>
      </c>
      <c r="B4115" s="1" t="str">
        <f>T("249913358303")</f>
        <v>249913358303</v>
      </c>
      <c r="C4115" s="1" t="str">
        <f>T("1944060328778138300")</f>
        <v>1944060328778138300</v>
      </c>
      <c r="AC4115" s="1" t="s">
        <v>366</v>
      </c>
      <c r="AD4115" s="1" t="s">
        <v>367</v>
      </c>
      <c r="AE4115" s="1" t="s">
        <v>368</v>
      </c>
      <c r="AF4115" s="1" t="s">
        <v>144</v>
      </c>
      <c r="AG4115" s="1">
        <v>27</v>
      </c>
      <c r="AO4115" s="2">
        <v>46294</v>
      </c>
      <c r="AP4115" s="1" t="s">
        <v>924</v>
      </c>
      <c r="AS4115" s="1" t="s">
        <v>71</v>
      </c>
      <c r="AU4115" s="1" t="s">
        <v>72</v>
      </c>
      <c r="AV4115" s="1" t="s">
        <v>73</v>
      </c>
      <c r="AX4115" s="1">
        <v>0</v>
      </c>
      <c r="BA4115" s="1">
        <v>9</v>
      </c>
      <c r="BB4115" s="1">
        <v>0</v>
      </c>
      <c r="BC4115" s="1">
        <v>0</v>
      </c>
      <c r="BE4115" s="1">
        <v>27824644</v>
      </c>
    </row>
    <row r="4116" spans="1:57" x14ac:dyDescent="0.25">
      <c r="A4116" s="1" t="str">
        <f>T("1951572739891076156")</f>
        <v>1951572739891076156</v>
      </c>
      <c r="B4116" s="1" t="str">
        <f>T("249918743842")</f>
        <v>249918743842</v>
      </c>
      <c r="C4116" s="1" t="str">
        <f>T("1944060689169516292")</f>
        <v>1944060689169516292</v>
      </c>
      <c r="AC4116" s="1" t="s">
        <v>366</v>
      </c>
      <c r="AD4116" s="1" t="s">
        <v>367</v>
      </c>
      <c r="AE4116" s="1" t="s">
        <v>368</v>
      </c>
      <c r="AF4116" s="1" t="s">
        <v>144</v>
      </c>
      <c r="AG4116" s="1">
        <v>36</v>
      </c>
      <c r="AO4116" s="2">
        <v>46294</v>
      </c>
      <c r="AP4116" s="1" t="s">
        <v>924</v>
      </c>
      <c r="AS4116" s="1" t="s">
        <v>71</v>
      </c>
      <c r="AU4116" s="1" t="s">
        <v>72</v>
      </c>
      <c r="AV4116" s="1" t="s">
        <v>437</v>
      </c>
      <c r="AX4116" s="1">
        <v>0</v>
      </c>
      <c r="BA4116" s="1">
        <v>9</v>
      </c>
      <c r="BB4116" s="1">
        <v>0</v>
      </c>
      <c r="BC4116" s="1">
        <v>0</v>
      </c>
      <c r="BE4116" s="1">
        <v>27824644</v>
      </c>
    </row>
    <row r="4117" spans="1:57" x14ac:dyDescent="0.25">
      <c r="A4117" s="1" t="str">
        <f>T("1951572739903657180")</f>
        <v>1951572739903657180</v>
      </c>
      <c r="B4117" s="1" t="str">
        <f>T("249903928507")</f>
        <v>249903928507</v>
      </c>
      <c r="C4117" s="1" t="str">
        <f>T("1944060831306090096")</f>
        <v>1944060831306090096</v>
      </c>
      <c r="AC4117" s="1" t="s">
        <v>366</v>
      </c>
      <c r="AD4117" s="1" t="s">
        <v>367</v>
      </c>
      <c r="AE4117" s="1" t="s">
        <v>368</v>
      </c>
      <c r="AF4117" s="1" t="s">
        <v>144</v>
      </c>
      <c r="AG4117" s="1">
        <v>21</v>
      </c>
      <c r="AO4117" s="2">
        <v>46294</v>
      </c>
      <c r="AP4117" s="1" t="s">
        <v>924</v>
      </c>
      <c r="AS4117" s="1" t="s">
        <v>71</v>
      </c>
      <c r="AU4117" s="1" t="s">
        <v>72</v>
      </c>
      <c r="AV4117" s="1" t="s">
        <v>73</v>
      </c>
      <c r="AX4117" s="1">
        <v>0</v>
      </c>
      <c r="BA4117" s="1">
        <v>9</v>
      </c>
      <c r="BB4117" s="1">
        <v>0</v>
      </c>
      <c r="BC4117" s="1">
        <v>0</v>
      </c>
      <c r="BE4117" s="1">
        <v>27824644</v>
      </c>
    </row>
    <row r="4118" spans="1:57" x14ac:dyDescent="0.25">
      <c r="A4118" s="1" t="str">
        <f>T("1951572739916242104")</f>
        <v>1951572739916242104</v>
      </c>
      <c r="B4118" s="1" t="str">
        <f>T("249903623795")</f>
        <v>249903623795</v>
      </c>
      <c r="C4118" s="1" t="str">
        <f>T("1944060964496215636")</f>
        <v>1944060964496215636</v>
      </c>
      <c r="AC4118" s="1" t="s">
        <v>366</v>
      </c>
      <c r="AD4118" s="1" t="s">
        <v>367</v>
      </c>
      <c r="AE4118" s="1" t="s">
        <v>368</v>
      </c>
      <c r="AF4118" s="1" t="s">
        <v>144</v>
      </c>
      <c r="AG4118" s="1">
        <v>58</v>
      </c>
      <c r="AO4118" s="2">
        <v>46294</v>
      </c>
      <c r="AP4118" s="1" t="s">
        <v>924</v>
      </c>
      <c r="AS4118" s="1" t="s">
        <v>71</v>
      </c>
      <c r="AU4118" s="1" t="s">
        <v>72</v>
      </c>
      <c r="AV4118" s="1" t="s">
        <v>437</v>
      </c>
      <c r="AX4118" s="1">
        <v>0</v>
      </c>
      <c r="BA4118" s="1">
        <v>9</v>
      </c>
      <c r="BB4118" s="1">
        <v>0</v>
      </c>
      <c r="BC4118" s="1">
        <v>0</v>
      </c>
      <c r="BE4118" s="1">
        <v>27824644</v>
      </c>
    </row>
    <row r="4119" spans="1:57" x14ac:dyDescent="0.25">
      <c r="A4119" s="1" t="str">
        <f>T("1951572739920434412")</f>
        <v>1951572739920434412</v>
      </c>
      <c r="B4119" s="1" t="str">
        <f>T("249965684956")</f>
        <v>249965684956</v>
      </c>
      <c r="C4119" s="1" t="str">
        <f>T("1944061081257250340")</f>
        <v>1944061081257250340</v>
      </c>
      <c r="AC4119" s="1" t="s">
        <v>366</v>
      </c>
      <c r="AD4119" s="1" t="s">
        <v>367</v>
      </c>
      <c r="AE4119" s="1" t="s">
        <v>368</v>
      </c>
      <c r="AF4119" s="1" t="s">
        <v>144</v>
      </c>
      <c r="AG4119" s="1">
        <v>35</v>
      </c>
      <c r="AO4119" s="2">
        <v>46294</v>
      </c>
      <c r="AP4119" s="1" t="s">
        <v>924</v>
      </c>
      <c r="AS4119" s="1" t="s">
        <v>71</v>
      </c>
      <c r="AU4119" s="1" t="s">
        <v>72</v>
      </c>
      <c r="AV4119" s="1" t="s">
        <v>126</v>
      </c>
      <c r="AX4119" s="1">
        <v>0</v>
      </c>
      <c r="BA4119" s="1">
        <v>9</v>
      </c>
      <c r="BB4119" s="1">
        <v>0</v>
      </c>
      <c r="BC4119" s="1">
        <v>0</v>
      </c>
      <c r="BE4119" s="1">
        <v>27824644</v>
      </c>
    </row>
  </sheetData>
  <autoFilter ref="A1:BH4119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2d9f05-d449-4457-acdb-7d30940c7cbe}" enabled="1" method="Standard" siteId="{720b637a-655a-40cf-816a-f22f40755c2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call-logs-2026-10-02-1138422977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Ali</cp:lastModifiedBy>
  <dcterms:modified xsi:type="dcterms:W3CDTF">2026-10-04T10:05:51Z</dcterms:modified>
</cp:coreProperties>
</file>