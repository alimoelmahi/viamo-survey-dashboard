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Activities" sheetId="1" r:id="rId5"/>
  </sheets>
  <definedNames/>
  <calcPr/>
</workbook>
</file>

<file path=xl/sharedStrings.xml><?xml version="1.0" encoding="utf-8"?>
<sst xmlns="http://schemas.openxmlformats.org/spreadsheetml/2006/main" count="50" uniqueCount="41">
  <si>
    <t>September 2026 Activities</t>
  </si>
  <si>
    <t>Outbound campaign start date</t>
  </si>
  <si>
    <t>(Source: user-provided, confirmed in chat Oct 1, 2026. The dashboard PDF text states Aug 8, 2026; corrected per user confirmation of the actual launch date.)</t>
  </si>
  <si>
    <t>What We Did</t>
  </si>
  <si>
    <t>Launched Round 1 of the outbound IVR survey call campaign to the full target list; monitored daily pickup and completion rates; tracked per-question response counts to identify drop-off points in the funnel.</t>
  </si>
  <si>
    <t>Call Funnel - Round 1 (to date)</t>
  </si>
  <si>
    <t>Stage</t>
  </si>
  <si>
    <t>Count</t>
  </si>
  <si>
    <t>% of Sent</t>
  </si>
  <si>
    <t>% of Previous Stage</t>
  </si>
  <si>
    <t>Total calls sent</t>
  </si>
  <si>
    <t>Picked up</t>
  </si>
  <si>
    <t>Did not pick up</t>
  </si>
  <si>
    <t>Listened to intro</t>
  </si>
  <si>
    <t>Started survey</t>
  </si>
  <si>
    <t>Completed survey</t>
  </si>
  <si>
    <t>Key Rates</t>
  </si>
  <si>
    <t>Pick-up rate (picked up / sent)</t>
  </si>
  <si>
    <t>Survey completion rate (completed / started)</t>
  </si>
  <si>
    <t>Overall completion rate (completed / sent)</t>
  </si>
  <si>
    <t>Per-Question Response Counts - Round 1</t>
  </si>
  <si>
    <t>Question</t>
  </si>
  <si>
    <t>Respondents</t>
  </si>
  <si>
    <t>% of Started (211)</t>
  </si>
  <si>
    <t>Drop off</t>
  </si>
  <si>
    <t>drop off number</t>
  </si>
  <si>
    <t>loss percentage</t>
  </si>
  <si>
    <t>Q01</t>
  </si>
  <si>
    <t>Q02</t>
  </si>
  <si>
    <t>Q03</t>
  </si>
  <si>
    <t>Q04</t>
  </si>
  <si>
    <t>Q05</t>
  </si>
  <si>
    <t>Q06</t>
  </si>
  <si>
    <t>Q07</t>
  </si>
  <si>
    <t>Q09</t>
  </si>
  <si>
    <t>Q08</t>
  </si>
  <si>
    <t>Q11</t>
  </si>
  <si>
    <t>Q12</t>
  </si>
  <si>
    <t>Q10</t>
  </si>
  <si>
    <t>Q13</t>
  </si>
  <si>
    <t>(Source: UNDP Sudan Farmers Survey Dashboard PDF, Call Funnel and Per-Question Response Count tables, uploaded by user Oct 1, 2026. Note: Q07 shows 57 respondents despite only 19 people reporting "increased income" in Q06 - likely a skip-logic or dashboard-aggregation issue, flagged in Analysis tab.)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</si>
</sst>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0" xfId="0" applyFont="1"/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</row>
    <row r="2">
      <c r="A2" s="2" t="s">
        <v>1</v>
      </c>
      <c r="B2" s="3">
        <v>46273.0</v>
      </c>
    </row>
    <row r="3">
      <c r="A3" s="2" t="s">
        <v>2</v>
      </c>
    </row>
    <row r="5">
      <c r="A5" s="2" t="s">
        <v>3</v>
      </c>
    </row>
    <row r="6">
      <c r="A6" s="2" t="s">
        <v>4</v>
      </c>
    </row>
    <row r="8">
      <c r="A8" s="2" t="s">
        <v>5</v>
      </c>
    </row>
    <row r="9">
      <c r="A9" s="1" t="s">
        <v>6</v>
      </c>
      <c r="B9" s="1" t="s">
        <v>7</v>
      </c>
      <c r="C9" s="1" t="s">
        <v>8</v>
      </c>
      <c r="D9" s="1" t="s">
        <v>9</v>
      </c>
    </row>
    <row r="10">
      <c r="A10" s="2" t="s">
        <v>10</v>
      </c>
      <c r="B10" s="2">
        <v>3002.0</v>
      </c>
      <c r="C10" s="4">
        <f t="shared" ref="C10:C15" si="1">B10/$B$10</f>
        <v>1</v>
      </c>
      <c r="D10" s="4"/>
    </row>
    <row r="11">
      <c r="A11" s="2" t="s">
        <v>11</v>
      </c>
      <c r="B11" s="2">
        <v>804.0</v>
      </c>
      <c r="C11" s="4">
        <f t="shared" si="1"/>
        <v>0.2678214524</v>
      </c>
      <c r="D11" s="4">
        <f>B11/B10</f>
        <v>0.2678214524</v>
      </c>
    </row>
    <row r="12">
      <c r="A12" s="2" t="s">
        <v>12</v>
      </c>
      <c r="B12" s="5">
        <f>B10-B11</f>
        <v>2198</v>
      </c>
      <c r="C12" s="4">
        <f t="shared" si="1"/>
        <v>0.7321785476</v>
      </c>
      <c r="D12" s="4"/>
    </row>
    <row r="13">
      <c r="A13" s="2" t="s">
        <v>13</v>
      </c>
      <c r="B13" s="2">
        <v>561.0</v>
      </c>
      <c r="C13" s="4">
        <f t="shared" si="1"/>
        <v>0.1868754164</v>
      </c>
      <c r="D13" s="4">
        <f>B13/B11</f>
        <v>0.697761194</v>
      </c>
    </row>
    <row r="14">
      <c r="A14" s="2" t="s">
        <v>14</v>
      </c>
      <c r="B14" s="2">
        <v>211.0</v>
      </c>
      <c r="C14" s="4">
        <f t="shared" si="1"/>
        <v>0.07028647568</v>
      </c>
      <c r="D14" s="4">
        <f t="shared" ref="D14:D15" si="2">B14/B13</f>
        <v>0.376114082</v>
      </c>
    </row>
    <row r="15">
      <c r="A15" s="2" t="s">
        <v>15</v>
      </c>
      <c r="B15" s="2">
        <v>117.0</v>
      </c>
      <c r="C15" s="4">
        <f t="shared" si="1"/>
        <v>0.03897401732</v>
      </c>
      <c r="D15" s="4">
        <f t="shared" si="2"/>
        <v>0.5545023697</v>
      </c>
    </row>
    <row r="17">
      <c r="A17" s="1" t="s">
        <v>16</v>
      </c>
    </row>
    <row r="18">
      <c r="A18" s="2" t="s">
        <v>17</v>
      </c>
      <c r="B18" s="4">
        <f>B11/B10</f>
        <v>0.2678214524</v>
      </c>
    </row>
    <row r="19">
      <c r="A19" s="2" t="s">
        <v>18</v>
      </c>
      <c r="B19" s="4">
        <f>B15/B14</f>
        <v>0.5545023697</v>
      </c>
    </row>
    <row r="20">
      <c r="A20" s="2" t="s">
        <v>19</v>
      </c>
      <c r="B20" s="4">
        <f>B15/B10</f>
        <v>0.03897401732</v>
      </c>
    </row>
    <row r="22">
      <c r="A22" s="1" t="s">
        <v>20</v>
      </c>
      <c r="B22" s="6"/>
      <c r="C22" s="6"/>
    </row>
    <row r="23">
      <c r="A23" s="1" t="s">
        <v>21</v>
      </c>
      <c r="B23" s="1" t="s">
        <v>22</v>
      </c>
      <c r="C23" s="1" t="s">
        <v>23</v>
      </c>
      <c r="E23" s="7" t="s">
        <v>24</v>
      </c>
      <c r="F23" s="8"/>
      <c r="G23" s="7" t="s">
        <v>25</v>
      </c>
      <c r="H23" s="7" t="s">
        <v>26</v>
      </c>
    </row>
    <row r="24">
      <c r="A24" s="2" t="s">
        <v>27</v>
      </c>
      <c r="B24" s="2">
        <v>211.0</v>
      </c>
      <c r="C24" s="4">
        <f t="shared" ref="C24:C36" si="3">B24/$B$14</f>
        <v>1</v>
      </c>
      <c r="E24" s="7" t="s">
        <v>27</v>
      </c>
      <c r="F24" s="7">
        <v>211.0</v>
      </c>
      <c r="G24" s="8"/>
      <c r="H24" s="8"/>
    </row>
    <row r="25">
      <c r="A25" s="2" t="s">
        <v>28</v>
      </c>
      <c r="B25" s="2">
        <v>32.0</v>
      </c>
      <c r="C25" s="4">
        <f t="shared" si="3"/>
        <v>0.1516587678</v>
      </c>
      <c r="E25" s="8"/>
      <c r="F25" s="8"/>
      <c r="G25" s="8"/>
      <c r="H25" s="8"/>
    </row>
    <row r="26">
      <c r="A26" s="2" t="s">
        <v>29</v>
      </c>
      <c r="B26" s="2">
        <v>180.0</v>
      </c>
      <c r="C26" s="4">
        <f t="shared" si="3"/>
        <v>0.8530805687</v>
      </c>
      <c r="E26" s="7" t="s">
        <v>29</v>
      </c>
      <c r="F26" s="7">
        <v>180.0</v>
      </c>
      <c r="G26" s="8">
        <f>211-180</f>
        <v>31</v>
      </c>
      <c r="H26" s="9">
        <f>G26/F24</f>
        <v>0.1469194313</v>
      </c>
    </row>
    <row r="27">
      <c r="A27" s="2" t="s">
        <v>30</v>
      </c>
      <c r="B27" s="2">
        <v>169.0</v>
      </c>
      <c r="C27" s="4">
        <f t="shared" si="3"/>
        <v>0.8009478673</v>
      </c>
      <c r="E27" s="7" t="s">
        <v>30</v>
      </c>
      <c r="F27" s="7">
        <v>169.0</v>
      </c>
      <c r="G27" s="8">
        <f t="shared" ref="G27:G33" si="4">F26-F27</f>
        <v>11</v>
      </c>
      <c r="H27" s="9">
        <f>G27/F24</f>
        <v>0.05213270142</v>
      </c>
    </row>
    <row r="28">
      <c r="A28" s="2" t="s">
        <v>31</v>
      </c>
      <c r="B28" s="2">
        <v>153.0</v>
      </c>
      <c r="C28" s="4">
        <f t="shared" si="3"/>
        <v>0.7251184834</v>
      </c>
      <c r="E28" s="7" t="s">
        <v>31</v>
      </c>
      <c r="F28" s="7">
        <v>153.0</v>
      </c>
      <c r="G28" s="8">
        <f t="shared" si="4"/>
        <v>16</v>
      </c>
      <c r="H28" s="9">
        <f>G28/F24</f>
        <v>0.07582938389</v>
      </c>
    </row>
    <row r="29">
      <c r="A29" s="2" t="s">
        <v>32</v>
      </c>
      <c r="B29" s="2">
        <v>146.0</v>
      </c>
      <c r="C29" s="4">
        <f t="shared" si="3"/>
        <v>0.691943128</v>
      </c>
      <c r="E29" s="7" t="s">
        <v>32</v>
      </c>
      <c r="F29" s="7">
        <v>146.0</v>
      </c>
      <c r="G29" s="8">
        <f t="shared" si="4"/>
        <v>7</v>
      </c>
      <c r="H29" s="9">
        <f>G29/F24</f>
        <v>0.03317535545</v>
      </c>
    </row>
    <row r="30">
      <c r="A30" s="2" t="s">
        <v>33</v>
      </c>
      <c r="B30" s="2">
        <v>57.0</v>
      </c>
      <c r="C30" s="4">
        <f t="shared" si="3"/>
        <v>0.2701421801</v>
      </c>
      <c r="E30" s="7" t="s">
        <v>34</v>
      </c>
      <c r="F30" s="7">
        <v>135.0</v>
      </c>
      <c r="G30" s="8">
        <f t="shared" si="4"/>
        <v>11</v>
      </c>
      <c r="H30" s="9">
        <f>G30/F24</f>
        <v>0.05213270142</v>
      </c>
    </row>
    <row r="31">
      <c r="A31" s="2" t="s">
        <v>35</v>
      </c>
      <c r="B31" s="2">
        <v>85.0</v>
      </c>
      <c r="C31" s="4">
        <f t="shared" si="3"/>
        <v>0.4028436019</v>
      </c>
      <c r="E31" s="7" t="s">
        <v>36</v>
      </c>
      <c r="F31" s="7">
        <v>127.0</v>
      </c>
      <c r="G31" s="8">
        <f t="shared" si="4"/>
        <v>8</v>
      </c>
      <c r="H31" s="9">
        <f>G31/F24</f>
        <v>0.03791469194</v>
      </c>
    </row>
    <row r="32">
      <c r="A32" s="2" t="s">
        <v>34</v>
      </c>
      <c r="B32" s="2">
        <v>135.0</v>
      </c>
      <c r="C32" s="4">
        <f t="shared" si="3"/>
        <v>0.6398104265</v>
      </c>
      <c r="E32" s="7" t="s">
        <v>37</v>
      </c>
      <c r="F32" s="7">
        <v>123.0</v>
      </c>
      <c r="G32" s="8">
        <f t="shared" si="4"/>
        <v>4</v>
      </c>
      <c r="H32" s="9">
        <f>G32/F24</f>
        <v>0.01895734597</v>
      </c>
    </row>
    <row r="33">
      <c r="A33" s="2" t="s">
        <v>38</v>
      </c>
      <c r="B33" s="2">
        <v>129.0</v>
      </c>
      <c r="C33" s="4">
        <f t="shared" si="3"/>
        <v>0.6113744076</v>
      </c>
      <c r="E33" s="7" t="s">
        <v>39</v>
      </c>
      <c r="F33" s="7">
        <v>120.0</v>
      </c>
      <c r="G33" s="8">
        <f t="shared" si="4"/>
        <v>3</v>
      </c>
      <c r="H33" s="9">
        <f>G33/F24</f>
        <v>0.01421800948</v>
      </c>
    </row>
    <row r="34">
      <c r="A34" s="2" t="s">
        <v>36</v>
      </c>
      <c r="B34" s="2">
        <v>127.0</v>
      </c>
      <c r="C34" s="4">
        <f t="shared" si="3"/>
        <v>0.6018957346</v>
      </c>
    </row>
    <row r="35">
      <c r="A35" s="2" t="s">
        <v>37</v>
      </c>
      <c r="B35" s="2">
        <v>123.0</v>
      </c>
      <c r="C35" s="4">
        <f t="shared" si="3"/>
        <v>0.5829383886</v>
      </c>
    </row>
    <row r="36">
      <c r="A36" s="2" t="s">
        <v>39</v>
      </c>
      <c r="B36" s="2">
        <v>120.0</v>
      </c>
      <c r="C36" s="4">
        <f t="shared" si="3"/>
        <v>0.5687203791</v>
      </c>
    </row>
    <row r="38">
      <c r="A38" s="2" t="s">
        <v>40</v>
      </c>
    </row>
  </sheetData>
  <drawing r:id="rId1"/>
</worksheet>
</file>